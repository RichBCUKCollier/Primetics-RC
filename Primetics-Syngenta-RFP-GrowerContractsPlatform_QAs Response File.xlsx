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ourvolaris-my.sharepoint.com/personal/dan_heesome_primetics_co_uk/Documents/Desktop/2023-24/Prospects/Syngenta/"/>
    </mc:Choice>
  </mc:AlternateContent>
  <xr:revisionPtr revIDLastSave="0" documentId="8_{D3731050-97E2-4DA4-AB60-B0CF02DE2ADA}" xr6:coauthVersionLast="47" xr6:coauthVersionMax="47" xr10:uidLastSave="{00000000-0000-0000-0000-000000000000}"/>
  <bookViews>
    <workbookView xWindow="28680" yWindow="-120" windowWidth="29040" windowHeight="15720" activeTab="1" xr2:uid="{00000000-000D-0000-FFFF-FFFF00000000}"/>
  </bookViews>
  <sheets>
    <sheet name="Instructions" sheetId="2" r:id="rId1"/>
    <sheet name="Q&amp;A" sheetId="1" r:id="rId2"/>
    <sheet name="Grower Accural Header" sheetId="3" r:id="rId3"/>
    <sheet name="Hedging Reconcilation"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Fill" hidden="1">#REF!</definedName>
    <definedName name="_xlnm._FilterDatabase" localSheetId="3" hidden="1">'Hedging Reconcilation'!$A$2:$T$89</definedName>
    <definedName name="_Key1" hidden="1">#REF!</definedName>
    <definedName name="_Order1">255</definedName>
    <definedName name="_Order2">255</definedName>
    <definedName name="_Sort" hidden="1">#REF!</definedName>
    <definedName name="accrual">'[1]2010 Amortization'!$B$92:$Q$110</definedName>
    <definedName name="Actual_2005">'[2]Cost Table 2005'!$E$2:$E$1012</definedName>
    <definedName name="Actual_2006">'[2]Cost Table 2006'!$E$2:$E$930</definedName>
    <definedName name="Actuals2007">'[3]2007 Int Actuals'!$A$3:$Q$1569</definedName>
    <definedName name="Actuals2008">'[3]2008 Int Actuals'!$A$3:$Q$942</definedName>
    <definedName name="AdjtoAct">'[4]Adj to Actual-LO%'!$A$14:$E$20</definedName>
    <definedName name="AdjtoBud">'[5]2009 Var Amortization'!$C$221:$M$221</definedName>
    <definedName name="Air">'[5]2009 Var Amortization'!$C$82:$M$82</definedName>
    <definedName name="AirFreight">'[6]2008 Var Amortization'!$C$84:$L$84</definedName>
    <definedName name="Beans11">'Hedging Reconcilation'!#REF!</definedName>
    <definedName name="Budget_2006">'[2]Cost Table 2006'!$F$2:$F$930</definedName>
    <definedName name="Budget2008">'[3]2008 Int Budget'!$A$2:$Q$1036</definedName>
    <definedName name="cacp">'[7]lookup ca'!$A$1:$B$10</definedName>
    <definedName name="cadesc1208">[8]cadesc!$A$1:$T$1128</definedName>
    <definedName name="calookup">'[9]lookup ca'!$A$1:$B$10</definedName>
    <definedName name="CanSoya11">'Hedging Reconcilation'!#REF!</definedName>
    <definedName name="Corn_14">'Hedging Reconcilation'!#REF!</definedName>
    <definedName name="Corn11">'Hedging Reconcilation'!#REF!</definedName>
    <definedName name="Corn12">'Hedging Reconcilation'!#REF!</definedName>
    <definedName name="Corn14">'Hedging Reconcilation'!#REF!</definedName>
    <definedName name="CostCenter_2005">'[2]Cost Table 2005'!$C$2:$C$1012</definedName>
    <definedName name="CostCenter_2006">'[2]Cost Table 2006'!$C$2:$C$930</definedName>
    <definedName name="CostElement_2005">'[2]Cost Table 2005'!$A$2:$A$1012</definedName>
    <definedName name="CostElement_2006">'[2]Cost Table 2006'!$A$2:$A$930</definedName>
    <definedName name="cp">'[10]lookup us'!$A$2:$B$36</definedName>
    <definedName name="crop08">'[1]2010 Amortization'!$B$30:$Q$38</definedName>
    <definedName name="crop09">'[11]2011 Amort'!$B$30:$Q$38</definedName>
    <definedName name="crop10">'[11]2011 Amort'!$B$92:$Q$112</definedName>
    <definedName name="CurrencyCode">'[12]X Rates'!$A$1:$A$59</definedName>
    <definedName name="CurrMonth">[13]MTD!$A$3</definedName>
    <definedName name="Date">[14]Cover!$F$23</definedName>
    <definedName name="descca">[9]cadesc!$A$1:$S$146</definedName>
    <definedName name="DEST">[15]Sheet2!$M$2:$N$255</definedName>
    <definedName name="eee" localSheetId="3" hidden="1">{#N/A,#N/A,FALSE,"Numbers";#N/A,#N/A,FALSE,"Salary";#N/A,#N/A,FALSE,"DSC"}</definedName>
    <definedName name="eee" hidden="1">{#N/A,#N/A,FALSE,"Numbers";#N/A,#N/A,FALSE,"Salary";#N/A,#N/A,FALSE,"DSC"}</definedName>
    <definedName name="Exchange_rates">'[16]Exchange rate'!$A$2:$F$70</definedName>
    <definedName name="fenpropidin" localSheetId="3" hidden="1">{#N/A,#N/A,FALSE,"Numbers";#N/A,#N/A,FALSE,"Salary";#N/A,#N/A,FALSE,"DSC"}</definedName>
    <definedName name="fenpropidin" hidden="1">{#N/A,#N/A,FALSE,"Numbers";#N/A,#N/A,FALSE,"Salary";#N/A,#N/A,FALSE,"DSC"}</definedName>
    <definedName name="FirstYearAmort">'[6]2008 Var Amortization'!$C$15:$L$27</definedName>
    <definedName name="grossunits">'[17]YTD act 07'!$A$54:$N$121</definedName>
    <definedName name="Incoterm">[12]Repository!$A$1:$A$12</definedName>
    <definedName name="inflation">'[18]Valley Square'!$C$6</definedName>
    <definedName name="loc">'[19]Loc lookup'!$A:$B</definedName>
    <definedName name="Location">'[20]US Plant Codes'!$B$2:$F$97</definedName>
    <definedName name="lookupus">'[9]lookup us'!$A$1:$B$36</definedName>
    <definedName name="LTCC550">'[21]550'!$A$3:$CB$42</definedName>
    <definedName name="month">[11]monthlookup!$B$2:$C$13</definedName>
    <definedName name="mtd_ytd_col_Close">'[22]C&amp;S GP Brand Summary'!$A$428</definedName>
    <definedName name="n" hidden="1">#REF!</definedName>
    <definedName name="netunits">'[17]YTD act 07'!$A$124:$N$204</definedName>
    <definedName name="PECC150">'[23]150'!$A$3:$CB$57</definedName>
    <definedName name="PECC155">'[23]155'!$A$3:$CB$10</definedName>
    <definedName name="PECC50101">'[23]501-Corn'!$A$3:$CB$68</definedName>
    <definedName name="PECC501ZA">'[23]501-ZA'!$A$3:$CB$63</definedName>
    <definedName name="PECC511">'[23]511-Corn'!$A$3:$CB$7</definedName>
    <definedName name="PECC515">'[23]515-Corn'!$A$3:$CB$4</definedName>
    <definedName name="PECC550">'[23]550-Corn'!$A$3:$CB$46</definedName>
    <definedName name="PECC550RATE">'[23]Plant Activity Cost (Act Rate)'!$A$5:$H$29</definedName>
    <definedName name="PECC553">'[23]553'!$A$3:$CB$24</definedName>
    <definedName name="PECC553RATE">'[23]Plant Activity Cost (Act Rate)'!$A$41:$H$58</definedName>
    <definedName name="PECC557">'[23]557-Corn'!$A$3:$CB$5</definedName>
    <definedName name="PECC560">'[23]560-Corn'!$A$3:$CB$41</definedName>
    <definedName name="PECC560RATE">'[23]Plant Activity Cost (Act Rate)'!$A$86:$H$102</definedName>
    <definedName name="PECC564">'[23]564'!$A$3:$CB$28</definedName>
    <definedName name="PECC564RATE">'[23]Plant Activity Cost (Act Rate)'!$A$64:$H$80</definedName>
    <definedName name="PECC575">'[23]575'!$A$3:$CB$21</definedName>
    <definedName name="PECC585">'[23]585'!$A$3:$CB$8</definedName>
    <definedName name="PECC590">'[23]590'!$A$3:$CB$17</definedName>
    <definedName name="PECC592">'[23]592'!$A$3:$CB$12</definedName>
    <definedName name="Plant">[24]Plant!$A$1:$G$85</definedName>
    <definedName name="PRFCTR">[15]Sheet2!$I$3:$K$35</definedName>
    <definedName name="_xlnm.Print_Area" localSheetId="3">'Hedging Reconcilation'!$A$1:$C$77</definedName>
    <definedName name="_xlnm.Print_Titles" localSheetId="1">'Q&amp;A'!$5:$5</definedName>
    <definedName name="Print_Titles_MI">[25]CORN!$A$1:$IV$13,[25]CORN!$C$1:$AZ$65536</definedName>
    <definedName name="rate">'[18]Valley Square'!$C$7</definedName>
    <definedName name="SAPBEXdnldView">"43OXZPKDKU8OKHETSD55R83NS"</definedName>
    <definedName name="SAPBEXrevision">1</definedName>
    <definedName name="SAPBEXsysID">"PBS"</definedName>
    <definedName name="SAPBEXwbID">"3XCNC4FXL5GEC1B29UYFUVH9B"</definedName>
    <definedName name="Scale">[26]Settings!$F$29</definedName>
    <definedName name="scmgmt">'[11]2011 Amort'!$B$131:$Q$134</definedName>
    <definedName name="SecondYearAmort">'[6]2008 Var Amortization'!$C$32:$L$44</definedName>
    <definedName name="soya10">'Hedging Reconcilation'!#REF!</definedName>
    <definedName name="Soya12">'Hedging Reconcilation'!#REF!</definedName>
    <definedName name="SRG">[15]Sheet2!$A$2:$B$199</definedName>
    <definedName name="summary.import">[27]master!$A$1:$DX$187</definedName>
    <definedName name="Tech">[28]Tech!$A$1:$B$302</definedName>
    <definedName name="usdesc1208">[8]usdesc!$A$1:$T$196</definedName>
    <definedName name="V">[29]Settings!$A$7</definedName>
    <definedName name="what" localSheetId="3" hidden="1">{#N/A,#N/A,FALSE,"Numbers";#N/A,#N/A,FALSE,"Salary";#N/A,#N/A,FALSE,"DSC"}</definedName>
    <definedName name="what" hidden="1">{#N/A,#N/A,FALSE,"Numbers";#N/A,#N/A,FALSE,"Salary";#N/A,#N/A,FALSE,"DSC"}</definedName>
    <definedName name="WinterProd">'[5]2009 Var Amortization'!$C$220:$M$220</definedName>
    <definedName name="wrn.all." localSheetId="3" hidden="1">{#N/A,#N/A,FALSE,"Numbers";#N/A,#N/A,FALSE,"Salary";#N/A,#N/A,FALSE,"DSC"}</definedName>
    <definedName name="wrn.all." hidden="1">{#N/A,#N/A,FALSE,"Numbers";#N/A,#N/A,FALSE,"Salary";#N/A,#N/A,FALSE,"DSC"}</definedName>
    <definedName name="Year">[30]Datasheet!$D$27</definedName>
    <definedName name="ytdcogs">'[17]YTD act 07'!$A$3:$N$53</definedName>
    <definedName name="ytdcogsunits">'[17]YTD act 07'!$A$1:$N$121</definedName>
    <definedName name="Z_23E5B992_ADF4_4D6D_BBFD_1C3DE4F861E4_.wvu.PrintTitles" localSheetId="1" hidden="1">'Q&amp;A'!$5:$5</definedName>
    <definedName name="Z_F1D20CCB_6081_4AC7_8BFC_751690FE41B2_.wvu.PrintTitles" localSheetId="1" hidden="1">'Q&amp;A'!$5:$5</definedName>
  </definedNames>
  <calcPr calcId="191028"/>
  <customWorkbookViews>
    <customWorkbookView name="Joachim Hohmann - Persönliche Ansicht" guid="{23E5B992-ADF4-4D6D-BBFD-1C3DE4F861E4}" mergeInterval="0" personalView="1" maximized="1" windowWidth="1916" windowHeight="855" activeSheetId="1" showComments="commIndAndComment"/>
    <customWorkbookView name="Syngenta - Personal View" guid="{F1D20CCB-6081-4AC7-8BFC-751690FE41B2}" mergeInterval="0" personalView="1" maximized="1" windowWidth="1362" windowHeight="501"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1" l="1"/>
  <c r="C59" i="1"/>
  <c r="C50" i="1"/>
  <c r="C48" i="1"/>
  <c r="C47" i="1"/>
  <c r="C46" i="1"/>
  <c r="C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Matias Pineiro (Syngenta)</author>
  </authors>
  <commentList>
    <comment ref="C10" authorId="0" shapeId="0" xr:uid="{19847966-C341-41FD-8464-D4EE8D1F797F}">
      <text>
        <r>
          <rPr>
            <sz val="9"/>
            <color indexed="81"/>
            <rFont val="Tahoma"/>
            <family val="2"/>
          </rPr>
          <t xml:space="preserve">FUT OPEN TRADE EQUITY from ADM statement 
</t>
        </r>
      </text>
    </comment>
    <comment ref="C19" authorId="0" shapeId="0" xr:uid="{514AB017-9E4A-4D5C-999D-7D1F8F4006CD}">
      <text>
        <r>
          <rPr>
            <b/>
            <sz val="9"/>
            <color indexed="81"/>
            <rFont val="Tahoma"/>
            <family val="2"/>
          </rPr>
          <t xml:space="preserve">FUT OPEN TRADE EQUITY from ADM statement </t>
        </r>
      </text>
    </comment>
    <comment ref="C28" authorId="0" shapeId="0" xr:uid="{5DF35A3F-0C3E-4C42-ADAC-8A56BF55682B}">
      <text>
        <r>
          <rPr>
            <b/>
            <sz val="9"/>
            <color indexed="81"/>
            <rFont val="Tahoma"/>
            <family val="2"/>
          </rPr>
          <t xml:space="preserve">FUT OPEN TRADE EQUITY from ADM statement </t>
        </r>
      </text>
    </comment>
  </commentList>
</comments>
</file>

<file path=xl/sharedStrings.xml><?xml version="1.0" encoding="utf-8"?>
<sst xmlns="http://schemas.openxmlformats.org/spreadsheetml/2006/main" count="380" uniqueCount="202">
  <si>
    <t>INSTRUCTIONS to the Question and Answer SHEET (Tab 2.)</t>
  </si>
  <si>
    <t>Please include your question(s) in Column "C" of the second Tab of this excel file</t>
  </si>
  <si>
    <t>Please include the number of the question, such as 1., 2., 3....n in Column "A" of the second Tab</t>
  </si>
  <si>
    <t>Please include the reference to your question in Column "B" of the second Tab</t>
  </si>
  <si>
    <t>Syngenta will include its responses in Column "D" of the second Tab</t>
  </si>
  <si>
    <t>Syngenta - RFP - Questions and Answers</t>
  </si>
  <si>
    <t>Item #</t>
  </si>
  <si>
    <t>Reference to RFP section</t>
  </si>
  <si>
    <t>Bidder Question</t>
  </si>
  <si>
    <t>Syngenta Answer</t>
  </si>
  <si>
    <t>As per our emails we kindly request if Syngenta would consider granting a short extension to the bid submission deadline currently set for 16:00 CET on Wednesday, 6 May 2026. Requesting this to be close of play on the Monday 11th May.</t>
  </si>
  <si>
    <t>Assuming the entity to be updated is a production contract, please confirm the expected volume of records per bulk update, the specific fields/values to be updated, and the source and format (e.g., file type) of the input data.</t>
  </si>
  <si>
    <t>For multi-year (pluri-annual) contracts, please confirm whether each campaign year results in a separate seed lot/harvest (i.e., distinct yearly records) or if outputs are managed under a single contract.</t>
  </si>
  <si>
    <t>Please confirm whether field data and attachments are expected to be sourced from a specific third-party scouting tool, and the required integration approach.</t>
  </si>
  <si>
    <t>Please confirm whether contracts are expected to be managed per grower and variety (i.e., separate contracts per variety), or if multiple varieties should be managed within a single contract.</t>
  </si>
  <si>
    <t>Please confirm the expected approval structure, including number of levels, roles involved, and any conditional approval rules.</t>
  </si>
  <si>
    <t>Please confirm whether receipt of a PO from SAP should trigger creation of a production contract, or if additional processing/validation is required.</t>
  </si>
  <si>
    <t>Please confirm preferred notification channels (e.g., email, SMS, portal) and whether notifications should be event-driven and configurable.</t>
  </si>
  <si>
    <t>Please confirm whether this requirement relates to project delivery methodology (e.g., organising requirements into epics) or a functional capability within the solution.</t>
  </si>
  <si>
    <t>Please confirm the scope of design authority, including responsibilities, approval requirements, and whether this is a governance process or a system-supported workflow.</t>
  </si>
  <si>
    <t>Please confirm whether risk analysis is expected as a business process (documentation and tracking) or as a system capability, and the level of detail required.</t>
  </si>
  <si>
    <t>Please confirm pricing rule complexity and whether pricing logic must be configurable by users.</t>
  </si>
  <si>
    <t>Please confirm reconciliation process, frequency, and how discrepancies should be handled between systems.</t>
  </si>
  <si>
    <t>OK, the new bid submission deadline is 16:00 CET Monday, the 11th of May 2026</t>
  </si>
  <si>
    <t>We would have one contract on the Contract Management tool, but one Subcontracting purchase order per variety per Vendor per production  campaign ( lot)</t>
  </si>
  <si>
    <t>WE have numerous pricing models depending on crop and country. We shared some examples to give an idea of conditiones we have on our contract that will at the end define final payment per kilo</t>
  </si>
  <si>
    <t>email, Vendor portal. This should be flexible and adaptable</t>
  </si>
  <si>
    <t>Format would be Excle/CSV. I can't comment on the volume of updates we do. This is a ways of working question. I would guess it is depending on the number of contacts we have mostly and the frequency we want to do the updates</t>
  </si>
  <si>
    <t>We will be working with SAP and some Field Production Apps such as Panorama, Agterra). The Pricing App will need to extract information from this apps. The Subcontracting PO will be created in SAP and then it should send this information to the Pricing  App. SAP MDG manages all Vendor Master data. Name of Grower, Number in SAP,Address, VAT number, email could be some of the data that needs to be send. Onit Contract ID, SYN entity, Supplier ID, Business Partner, crop, Campaign, efective day, end day, Contract Value.  For field data the source would be our data layer through an integration leyer using API. Or in case the information is very timesensitive an API connection with our field application.Also through API</t>
  </si>
  <si>
    <t>Two level of approvals should be needed at once we have the final settlement detail per Subcontracting Purchase Order.  However, this all would happen in SAP.  No approvals would take place in the app.</t>
  </si>
  <si>
    <t>Contract should be created prior to Purchase Order receipt. Error log report</t>
  </si>
  <si>
    <t xml:space="preserve">The contract tool  would receive Purchase order information once createated in SAP. The contract tool would receive changes to the PO once done in SAP (components, Quantity, time). The contract tool would send calculated price to SAP to update the PO. Contract tool would send pre-payment instructions to SAP based on the contract terms. Contract tool wouood recieve payment confirmations from SAP </t>
  </si>
  <si>
    <t>Both primarily around hedging which will require information from the technical side to feed into a business process. Data Flow</t>
  </si>
  <si>
    <t>this is a governance process on Syngenta side. Objective to ensure uniform requirements and standardisation</t>
  </si>
  <si>
    <t>Ref 1.1  Bulk Status:  Provide Bulk Upload Status Reporting.</t>
  </si>
  <si>
    <t>Could you describe what you mean?  Is this reporting on weights and grades uploaded into the system?</t>
  </si>
  <si>
    <t>we would like to create/update multiple contracts using the bulk function. In this case a report is needed to identify if all the contracts have been created/updated correctly.</t>
  </si>
  <si>
    <t>Ref 3.3 Mass Contract Creation:  Create Contracts in Bulk.</t>
  </si>
  <si>
    <t xml:space="preserve">Is this referring to grower contracts (the original agreements you make with the farmer projecting yeilds), or merchandising contracts (where market pricing is locked in)? </t>
  </si>
  <si>
    <t>This refers to grower contracts</t>
  </si>
  <si>
    <t>Ref 3.5  Contract Import: Create/update contracts from flat file + Excel.</t>
  </si>
  <si>
    <t>Is this referring to grower contracts, or merchandising contracts?</t>
  </si>
  <si>
    <t xml:space="preserve">Ref 4.2 Field Data:  Attach field data from Field App.  </t>
  </si>
  <si>
    <t>Specifically, what field data do you want to see?</t>
  </si>
  <si>
    <t>We will be working with SAP and some Field Production Apps such as Panorama, Agterra). The Pricing App will need to extract information from this apps.  Some typical information needed will be SAP material number,Variety,Plot ID/Field ID, Season or grower yield estimate</t>
  </si>
  <si>
    <t>Ref 5.1 Mass Variety Upload: Upload Varieties in Bulk.</t>
  </si>
  <si>
    <t>Could you explain what you mean by uploading varieties in context of this question?  How are you defining varieties and what type of information would be uploaded?</t>
  </si>
  <si>
    <t>1 contract could cover multiple varieties with dedicated remuneration group. We would like the Pricing App to be able to create/update these data at contract level, using the bulk function.</t>
  </si>
  <si>
    <t>Ref 5.2 Variety List per Contract: View and manage varieties per contract and contract year.</t>
  </si>
  <si>
    <t>Ref 8.1:  Mass Update Remuneration Groups: Update remuneration groups in bulk.</t>
  </si>
  <si>
    <t>Can you define renumeration groups, and the business case when you would mass update them?</t>
  </si>
  <si>
    <t>Remuneration groups would be sets of grower contracts that are defined by their Country, Crop, Crop Generation, variety, and specific remuneration details, such as payment definitions as well as others.  Mass update would take place ahead of a new production season</t>
  </si>
  <si>
    <t xml:space="preserve">Ref 8.2: Mass upload Renumeration Groups:  Upload renumeration groups in bulk.  </t>
  </si>
  <si>
    <t>Can you define renumeration groups, and when you would mass upload them?</t>
  </si>
  <si>
    <t xml:space="preserve">Ref 8.3  Hedging:  Manage hedging in renumeration groups (US).  </t>
  </si>
  <si>
    <t>Can you give your definition of renumeration groups, and how you would hedge them?</t>
  </si>
  <si>
    <t>Bill  For the US Corn annd Soya the groups are based on month and year.  For example May and November are generally key months</t>
  </si>
  <si>
    <t xml:space="preserve">Ref 8.6 Create Renumeration Groups: Create unlimited renumeration groups. </t>
  </si>
  <si>
    <t>Can you define renumeration groups, and the business case where you would do a mass create?</t>
  </si>
  <si>
    <t xml:space="preserve">Ref 8.7 Assign a renumeration group to each grower / variety. </t>
  </si>
  <si>
    <t>Please define renumeration groups, and how they’d relate to grower/ variety.</t>
  </si>
  <si>
    <t>Remuneration group would resume all commercial clauses we have on a group of contracts or group of varieties. (e.g.: $/kg Sweet Corn US, $/ha SweetCorn US). When linking remuneration group to a Subcontracting Purchase order, we will define how final price will need to be calculated</t>
  </si>
  <si>
    <t xml:space="preserve">Ref 11.1 Inbound PO Number: Receive PO number for SAP. </t>
  </si>
  <si>
    <t>Will the PO be entered into Agrosoft first, then replicated into SAP, with Agrosoft keeping a cross reference to the SAP PO?</t>
  </si>
  <si>
    <t>The Subcontracting PO will be created in SAP and then it should send this information to the Pricing  App</t>
  </si>
  <si>
    <t>Ref 11.3 SAP PO Data: Provide data to create SAP subcontracting PO.</t>
  </si>
  <si>
    <t>What is a subcontract PO, and could you explain the business case you are trying to satisfy?</t>
  </si>
  <si>
    <t>A SAP Purchase Order (PO) is the formal procurement document Syngenta creates in SAP to engage a grower (vendor) for seed production services. SAP generates a subcontracting PO that activates the production relationship from a logistics and financial perspective.. It will hold; PO number, Vendor ID/name, Material (to be produced),Estimated quantity and unit, Estimated Price, Delivery date, Plant/Purchasing Org, Components provided.</t>
  </si>
  <si>
    <t xml:space="preserve">Ref 17.1  Risk Analysis:  Define risk impacts and mitigation plans. </t>
  </si>
  <si>
    <t>Could you give us any insights into any particular risks you want to mitigate?</t>
  </si>
  <si>
    <t>Primarily open contracts and payments. Data flow upload and download data function (bulk ) is a risk mitigation in case the others applications coudln' t be connected to the Pricing App.</t>
  </si>
  <si>
    <t>Ref 18.3  Internal Support:  Centralized Syngenta Support Model.</t>
  </si>
  <si>
    <t>Not sure what the question is?</t>
  </si>
  <si>
    <t>The expaectation is that Syngenta will have its own support in place for the on prem solution. Would be good if you could share your expectation on the model to make it work well from your experience</t>
  </si>
  <si>
    <t xml:space="preserve">Ref 19.5 Grower Accrual reporting/Exposure report (System: Grower App). </t>
  </si>
  <si>
    <t>What sort of accrual did you want to do?</t>
  </si>
  <si>
    <t>Example Grower Accural Header</t>
  </si>
  <si>
    <t>Ref 19.7:  Interface into SAP (System: Grower App).</t>
  </si>
  <si>
    <t>What specific information from your grower app did you want to interface?</t>
  </si>
  <si>
    <t>SAP material number,Variety,Plot ID/Field ID, Season, grower yield estimate, grower information as well as other information TBD</t>
  </si>
  <si>
    <t>Ref 19.10 Mark to Market (System)</t>
  </si>
  <si>
    <t xml:space="preserve">Do you mean you are doing mark-to-market on your merchandising contracts?  </t>
  </si>
  <si>
    <t>Yes.  It is an accounting requirement to value all open traded (Corn/Soya US) to market price at month-end.  For crops like cereals, sunflower and corn, even if we don't have hedging, we need the Pricing App to be connected to the market prices in order to calculate the applicable pricing.</t>
  </si>
  <si>
    <t>Ref 1.5.2 Please provide us details on the integration protocols supported.</t>
  </si>
  <si>
    <t>Can you provide examples of the types of integration protocols you are interested in?</t>
  </si>
  <si>
    <t>Mainly REST/ODATA API interfaces JSON format. And exceptional CSV/EXCEL upload functionality.</t>
  </si>
  <si>
    <t>PriceSheet Additional Software</t>
  </si>
  <si>
    <t>Note that we are not including the cost of the DBMS, or operating system / desktop services, as this will be an on premise solution managed by Syngenta.  Is that acceptable?</t>
  </si>
  <si>
    <t>Yes that is acceptable. It would be good if you can specify the needs from a DBMS perspective</t>
  </si>
  <si>
    <t>Fiscal Year</t>
  </si>
  <si>
    <t>Contract</t>
  </si>
  <si>
    <t>Plant</t>
  </si>
  <si>
    <t>Species Code</t>
  </si>
  <si>
    <t>Generation</t>
  </si>
  <si>
    <t>CType</t>
  </si>
  <si>
    <t>Process Ord</t>
  </si>
  <si>
    <t>Recd Qty</t>
  </si>
  <si>
    <t>UOM</t>
  </si>
  <si>
    <t>Purchase Order</t>
  </si>
  <si>
    <t>LinItm</t>
  </si>
  <si>
    <t>Pricing Month</t>
  </si>
  <si>
    <t>Close Date</t>
  </si>
  <si>
    <t>Order Quantity</t>
  </si>
  <si>
    <t>Gross Price</t>
  </si>
  <si>
    <t>Net Order Price</t>
  </si>
  <si>
    <t>PO Amt</t>
  </si>
  <si>
    <t>Invoiced Qty</t>
  </si>
  <si>
    <t>Invoiced Amount</t>
  </si>
  <si>
    <t>Net Qty</t>
  </si>
  <si>
    <t>Net Amount</t>
  </si>
  <si>
    <t>Down Pay  Not Cleared</t>
  </si>
  <si>
    <t>Condition Type</t>
  </si>
  <si>
    <t>Description</t>
  </si>
  <si>
    <t>Condition rate</t>
  </si>
  <si>
    <t>Ext Price</t>
  </si>
  <si>
    <t>Cond Paid Amt</t>
  </si>
  <si>
    <t>Net Cond</t>
  </si>
  <si>
    <t>Net Accrual</t>
  </si>
  <si>
    <t>J4063</t>
  </si>
  <si>
    <t>23/25 Corn</t>
  </si>
  <si>
    <t>Beg Bal</t>
  </si>
  <si>
    <t>Rev Mkt</t>
  </si>
  <si>
    <t>WT</t>
  </si>
  <si>
    <t>P&amp;L</t>
  </si>
  <si>
    <t>Fee/Comm</t>
  </si>
  <si>
    <t>Mkt</t>
  </si>
  <si>
    <t>End Bal</t>
  </si>
  <si>
    <t>J4065</t>
  </si>
  <si>
    <t>24 Corn</t>
  </si>
  <si>
    <t>J4066</t>
  </si>
  <si>
    <t>22 Corn</t>
  </si>
  <si>
    <t>J4073</t>
  </si>
  <si>
    <t>US 2023 SOYBEANS</t>
  </si>
  <si>
    <t>J4078</t>
  </si>
  <si>
    <t>US 2024 SOYBEANS</t>
  </si>
  <si>
    <t>J4080</t>
  </si>
  <si>
    <t>US 2025 SOYBEANS</t>
  </si>
  <si>
    <t>US 2023 SOYBEANS DUMPS</t>
  </si>
  <si>
    <t>J4079</t>
  </si>
  <si>
    <t>EB</t>
  </si>
  <si>
    <t>Corn</t>
  </si>
  <si>
    <t>Beans</t>
  </si>
  <si>
    <t>SAP</t>
  </si>
  <si>
    <t>DIFFERENCE</t>
  </si>
  <si>
    <t>OK</t>
  </si>
  <si>
    <t>faglb03</t>
  </si>
  <si>
    <t>CORN</t>
  </si>
  <si>
    <t>Multi-Year Contracts: Manage pluri-annual campaigns.</t>
  </si>
  <si>
    <t>To elaborate further on this campaign process, would it simply be a matter of marking a specific purchase agreement as being related to a particular campaign?</t>
  </si>
  <si>
    <t>Each purchase order will bring a material done by Vendor on a specific campaign. If we have a multiyear contract, we will then have several PO's linked to a contract.</t>
  </si>
  <si>
    <t>Legal Contract Import: Import grower contracts from Syngenta tool.</t>
  </si>
  <si>
    <t>Please send details of the data to be imported.</t>
  </si>
  <si>
    <t xml:space="preserve">Import .PDF of signed agreement? </t>
  </si>
  <si>
    <t>Grower Master Data: Sync growers from SAP MDG.</t>
  </si>
  <si>
    <t>Please send details of the data that will be sent.</t>
  </si>
  <si>
    <t>SAP MDG manages all Vendor Master data. Name of Grower, Number in SAP,Address, VAT number, email could be some of the data that needs to be send</t>
  </si>
  <si>
    <t>Contract Import: Create/update contracts from flat file + Excel.</t>
  </si>
  <si>
    <t>Onit Contract ID, SYN entity, Supplier ID, Business Partner, crop, Campaign, efective day, end day, Contract Value</t>
  </si>
  <si>
    <t>Quality Data: Attach quality data to varieties.</t>
  </si>
  <si>
    <t>It will depend on what the contract defines as quality requirements for payments. ( it could be germination, GP, moisture, diseases)</t>
  </si>
  <si>
    <t>Field Data: Attach field data from Field App</t>
  </si>
  <si>
    <t>We will be working with SAP and some Field Production Apps such as Panorama, Agterra). The Pricing App will need to extract information from this apps</t>
  </si>
  <si>
    <t>Mass Variety Upload: Upload varieties in bulk.</t>
  </si>
  <si>
    <t>we would like to be able to create a contract covering multiple varieties in the Pricing App, using bulk function. In this case the data would be: paper contract ID, SAP grower ID, crop, variety name, generation, number of hectares, cost per unit, currency....</t>
  </si>
  <si>
    <t>Mass Update Remuneration Groups: Update remuneration groups in bulk.</t>
  </si>
  <si>
    <t>What would this process of mass updating of compensation groups entail? Updating the rules for premiums and discounts in contracts? Price indices? Would this process perform the contract calculations and release payments accordingly?</t>
  </si>
  <si>
    <t>Hedging: Manage hedging in remuneration groups (US).</t>
  </si>
  <si>
    <t>please see additional tab</t>
  </si>
  <si>
    <t>Approval Matrix: Maintain approval matrix.</t>
  </si>
  <si>
    <t>Please send more information about the Approval Matrix.</t>
  </si>
  <si>
    <t>Need to approve price changes not within toleranceaccording to an internal Delegation of Authoroty matrix we have in Syngenta once we have all the yield and quality results.</t>
  </si>
  <si>
    <t>SAP PO Data: Provide data to create SAP subcontracting PO.</t>
  </si>
  <si>
    <t>Please provide the information needed to create the contract in SAP.</t>
  </si>
  <si>
    <t>The Subcontracting Purchase Order will be created first and then the Pricing App will update the price of the PO</t>
  </si>
  <si>
    <t>Grower Notifications: Notify growers of changes.</t>
  </si>
  <si>
    <t>Please specify what types of changes should generate notifications for producers.</t>
  </si>
  <si>
    <t>Notification to the Growers when we have a final settlement sharing with them a resume of what they are be paid and how the calculation was done ( premium, deductions, quality link results,….)</t>
  </si>
  <si>
    <t>Syngenta Notifications: Notify Syngenta users of changes.</t>
  </si>
  <si>
    <t>Please specify what types of changes should generate notifications for Syngenta.</t>
  </si>
  <si>
    <t>notifications linked to all changes in the contract (updates from the other applications fro example, updates from the user, updates from the grower)</t>
  </si>
  <si>
    <t>Epic Structure: Structure backlog into epics.</t>
  </si>
  <si>
    <t>Please provide more details on this requirement.</t>
  </si>
  <si>
    <t>Not sure how to answer this</t>
  </si>
  <si>
    <t>Reporting: Generate detailed reports.</t>
  </si>
  <si>
    <t>Please send examples of reports.</t>
  </si>
  <si>
    <t>one example: report linked to a mass contract cretaion/update using the bulk function in order to check if all contracts have been created/updated correctly</t>
  </si>
  <si>
    <t>Risk Analysis: Define risk impacts and mitigation plans.</t>
  </si>
  <si>
    <t>Please provide more details on this risk analysis process and send examples.</t>
  </si>
  <si>
    <t>upload and download data function (bulk ) is a risk mitigation in case the others applications coudln' t be connected to the Pricing App.</t>
  </si>
  <si>
    <t>Manage conditions with different general ledger accounts (System: Both)</t>
  </si>
  <si>
    <t>Please send more details about this process.</t>
  </si>
  <si>
    <t>Bill the tax condition will need to be posted to the proper liability.  It maybe the other conditions will have to rolled up into the price</t>
  </si>
  <si>
    <t>Multiple languages  (System: Grower App)</t>
  </si>
  <si>
    <t>We need to make sure we have all languages of countries where we have contracts. (e.g.: Spanish, English, Portuguesse, French, Portuguese, Dutch, Mandarin, Hindi, hungarian, polish, Romanian, Danish, Ukranian, Turkish, Russian, Afrikaans, Vietnamese, Indonesian, Thai, Hokkien, Hakka, Japanese, Urdu, and possibly others</t>
  </si>
  <si>
    <t>Mark to Market (System: Grower App)</t>
  </si>
  <si>
    <t>Please send more information about MTM.</t>
  </si>
  <si>
    <t>Bill for openly traded contracts (Corn/Soya US) the contracts will have to mark to CBOT for mont-end reporting.  For crops like cereals, sunflower and corn, even if we don't have hedging, we need the Pricing App to be connected to the market prices in order to calculate the applicable pricing.</t>
  </si>
  <si>
    <t>Production to-go for inventory management/provision - Inventory forecast/management (System: Grower App)</t>
  </si>
  <si>
    <t>SAP, Cropwise, Onit, and others</t>
  </si>
  <si>
    <t>High level roadmap per region</t>
  </si>
  <si>
    <t>The implementation project in Argentina and other regions will be handled as a rollout, addressing only the specific contractual items. Is that correct?</t>
  </si>
  <si>
    <t xml:space="preserve">What we need to address is: 1- automatization of final pricing calculations, 2- portal for Grower to price in Argentina and US and 3- a portal for Vendors to see their contracts, settlements, payments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</si>
</sst>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_(* #,##0.00_);_(* \(#,##0.00\);_(* &quot;-&quot;??_);_(@_)"/>
    <numFmt numFmtId="166" formatCode="_(* #,##0_);_(* \(#,##0\);_(* &quot;-&quot;??_);_(@_)"/>
  </numFmts>
  <fonts count="2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2"/>
      <name val="Arial"/>
      <family val="2"/>
    </font>
    <font>
      <sz val="10"/>
      <name val="Arial"/>
      <family val="2"/>
    </font>
    <font>
      <b/>
      <sz val="18"/>
      <name val="Arial"/>
      <family val="2"/>
    </font>
    <font>
      <b/>
      <sz val="10"/>
      <name val="Arial"/>
      <family val="2"/>
    </font>
    <font>
      <sz val="16"/>
      <name val="Arial"/>
      <family val="2"/>
    </font>
    <font>
      <b/>
      <sz val="16"/>
      <name val="Arial"/>
      <family val="2"/>
    </font>
    <font>
      <b/>
      <sz val="18"/>
      <color rgb="FFFF0000"/>
      <name val="Arial"/>
      <family val="2"/>
    </font>
    <font>
      <b/>
      <sz val="10"/>
      <color rgb="FFFF0000"/>
      <name val="Arial"/>
      <family val="2"/>
    </font>
    <font>
      <b/>
      <sz val="11"/>
      <color theme="1"/>
      <name val="Calibri"/>
      <family val="2"/>
      <scheme val="minor"/>
    </font>
    <font>
      <sz val="10"/>
      <color theme="1"/>
      <name val="Arial"/>
      <family val="2"/>
    </font>
    <font>
      <sz val="11"/>
      <name val="Calibri"/>
      <family val="2"/>
      <scheme val="minor"/>
    </font>
    <font>
      <sz val="11"/>
      <name val="Calibri"/>
      <family val="2"/>
    </font>
    <font>
      <b/>
      <sz val="10"/>
      <color theme="1"/>
      <name val="Arial"/>
      <family val="2"/>
    </font>
    <font>
      <sz val="9"/>
      <color theme="1"/>
      <name val="Arial"/>
      <family val="2"/>
    </font>
    <font>
      <sz val="9"/>
      <color indexed="81"/>
      <name val="Tahoma"/>
      <family val="2"/>
    </font>
    <font>
      <b/>
      <sz val="9"/>
      <color indexed="81"/>
      <name val="Tahoma"/>
      <family val="2"/>
    </font>
    <font>
      <sz val="11"/>
      <color theme="1"/>
      <name val="Calibri"/>
      <family val="2"/>
    </font>
    <font>
      <i/>
      <sz val="11"/>
      <color theme="1"/>
      <name val="Calibri"/>
      <family val="2"/>
    </font>
  </fonts>
  <fills count="11">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6"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00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theme="0"/>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7" fillId="0" borderId="0"/>
    <xf numFmtId="0" fontId="6" fillId="0" borderId="0"/>
    <xf numFmtId="0" fontId="2" fillId="0" borderId="0"/>
    <xf numFmtId="165" fontId="2" fillId="0" borderId="0" applyFont="0" applyFill="0" applyBorder="0" applyAlignment="0" applyProtection="0"/>
  </cellStyleXfs>
  <cellXfs count="70">
    <xf numFmtId="0" fontId="0" fillId="0" borderId="0" xfId="0"/>
    <xf numFmtId="0" fontId="9" fillId="0" borderId="0" xfId="0" applyFont="1" applyAlignment="1">
      <alignment horizontal="center"/>
    </xf>
    <xf numFmtId="0" fontId="9" fillId="2" borderId="0" xfId="0" applyFont="1" applyFill="1" applyAlignment="1">
      <alignment horizontal="center"/>
    </xf>
    <xf numFmtId="0" fontId="0" fillId="0" borderId="1" xfId="0" applyBorder="1" applyAlignment="1">
      <alignment horizontal="center" vertical="center"/>
    </xf>
    <xf numFmtId="0" fontId="0" fillId="0" borderId="0" xfId="0" applyAlignment="1">
      <alignment horizontal="center" vertical="center"/>
    </xf>
    <xf numFmtId="0" fontId="10" fillId="0" borderId="1" xfId="0" applyFont="1" applyBorder="1" applyAlignment="1">
      <alignment vertical="top" wrapText="1"/>
    </xf>
    <xf numFmtId="0" fontId="12" fillId="0" borderId="0" xfId="0" applyFont="1"/>
    <xf numFmtId="0" fontId="13" fillId="0" borderId="0" xfId="0" applyFont="1"/>
    <xf numFmtId="0" fontId="14" fillId="0" borderId="0" xfId="0" applyFont="1" applyAlignment="1">
      <alignment horizontal="center" vertical="center"/>
    </xf>
    <xf numFmtId="0" fontId="0" fillId="0" borderId="2" xfId="0" applyBorder="1"/>
    <xf numFmtId="0" fontId="12" fillId="0" borderId="3"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13" fillId="0" borderId="7" xfId="0" applyFont="1" applyBorder="1"/>
    <xf numFmtId="0" fontId="14" fillId="0" borderId="8" xfId="0" applyFont="1" applyBorder="1" applyAlignment="1">
      <alignment horizontal="center" vertical="center"/>
    </xf>
    <xf numFmtId="0" fontId="13" fillId="0" borderId="8" xfId="0" applyFont="1" applyBorder="1"/>
    <xf numFmtId="0" fontId="13" fillId="0" borderId="9" xfId="0" applyFont="1" applyBorder="1"/>
    <xf numFmtId="0" fontId="14" fillId="0" borderId="10" xfId="0" applyFont="1" applyBorder="1" applyAlignment="1">
      <alignment horizontal="center" vertical="center"/>
    </xf>
    <xf numFmtId="0" fontId="13" fillId="0" borderId="11" xfId="0" applyFont="1" applyBorder="1"/>
    <xf numFmtId="0" fontId="5" fillId="3" borderId="1" xfId="1" applyFont="1" applyFill="1" applyBorder="1" applyAlignment="1">
      <alignment vertical="top" wrapText="1"/>
    </xf>
    <xf numFmtId="0" fontId="4" fillId="3" borderId="1" xfId="1" applyFont="1" applyFill="1" applyBorder="1" applyAlignment="1">
      <alignment vertical="top" wrapText="1"/>
    </xf>
    <xf numFmtId="0" fontId="5" fillId="3" borderId="1" xfId="1" applyFont="1" applyFill="1" applyBorder="1" applyAlignment="1">
      <alignment horizontal="center" vertical="top" wrapText="1"/>
    </xf>
    <xf numFmtId="0" fontId="3" fillId="3" borderId="1" xfId="1" applyFont="1" applyFill="1" applyBorder="1" applyAlignment="1">
      <alignment vertical="top" wrapText="1"/>
    </xf>
    <xf numFmtId="0" fontId="16" fillId="0" borderId="1" xfId="0" applyFont="1" applyBorder="1" applyAlignment="1">
      <alignment vertical="top" wrapText="1"/>
    </xf>
    <xf numFmtId="0" fontId="0" fillId="0" borderId="0" xfId="0" applyAlignment="1">
      <alignment wrapText="1"/>
    </xf>
    <xf numFmtId="0" fontId="19" fillId="0" borderId="0" xfId="0" applyFont="1" applyAlignment="1">
      <alignment vertical="top"/>
    </xf>
    <xf numFmtId="0" fontId="19" fillId="0" borderId="0" xfId="0" applyFont="1" applyAlignment="1">
      <alignment vertical="top" wrapText="1"/>
    </xf>
    <xf numFmtId="0" fontId="2" fillId="3" borderId="1" xfId="1" applyFont="1" applyFill="1" applyBorder="1" applyAlignment="1">
      <alignment horizontal="left" vertical="top" wrapText="1"/>
    </xf>
    <xf numFmtId="0" fontId="20" fillId="0" borderId="0" xfId="0" applyFont="1" applyAlignment="1">
      <alignment vertical="top" wrapText="1"/>
    </xf>
    <xf numFmtId="0" fontId="2" fillId="3" borderId="1" xfId="1" applyFont="1" applyFill="1" applyBorder="1" applyAlignment="1">
      <alignment vertical="top" wrapText="1"/>
    </xf>
    <xf numFmtId="0" fontId="17" fillId="3" borderId="1" xfId="1" applyFont="1" applyFill="1" applyBorder="1" applyAlignment="1">
      <alignment horizontal="left" vertical="top" wrapText="1"/>
    </xf>
    <xf numFmtId="0" fontId="0" fillId="2" borderId="1" xfId="0" applyFill="1" applyBorder="1" applyAlignment="1">
      <alignment vertical="top"/>
    </xf>
    <xf numFmtId="0" fontId="0" fillId="2" borderId="1" xfId="0" applyFill="1" applyBorder="1" applyAlignment="1">
      <alignment vertical="top" wrapText="1"/>
    </xf>
    <xf numFmtId="0" fontId="18" fillId="0" borderId="0" xfId="3" applyFont="1"/>
    <xf numFmtId="164" fontId="21" fillId="0" borderId="0" xfId="3" applyNumberFormat="1" applyFont="1" applyAlignment="1">
      <alignment horizontal="center"/>
    </xf>
    <xf numFmtId="164" fontId="21" fillId="0" borderId="0" xfId="4" applyNumberFormat="1" applyFont="1" applyAlignment="1">
      <alignment horizontal="center"/>
    </xf>
    <xf numFmtId="0" fontId="16" fillId="0" borderId="0" xfId="3" applyFont="1"/>
    <xf numFmtId="165" fontId="18" fillId="0" borderId="0" xfId="4" applyFont="1" applyFill="1"/>
    <xf numFmtId="165" fontId="18" fillId="4" borderId="0" xfId="4" applyFont="1" applyFill="1"/>
    <xf numFmtId="165" fontId="18" fillId="5" borderId="0" xfId="4" applyFont="1" applyFill="1"/>
    <xf numFmtId="165" fontId="18" fillId="6" borderId="0" xfId="4" applyFont="1" applyFill="1"/>
    <xf numFmtId="4" fontId="2" fillId="0" borderId="0" xfId="3" applyNumberFormat="1"/>
    <xf numFmtId="165" fontId="18" fillId="7" borderId="10" xfId="4" applyFont="1" applyFill="1" applyBorder="1"/>
    <xf numFmtId="165" fontId="18" fillId="8" borderId="0" xfId="4" applyFont="1" applyFill="1"/>
    <xf numFmtId="165" fontId="18" fillId="0" borderId="0" xfId="4" applyFont="1" applyBorder="1"/>
    <xf numFmtId="165" fontId="18" fillId="0" borderId="0" xfId="4" applyFont="1" applyFill="1" applyBorder="1"/>
    <xf numFmtId="165" fontId="18" fillId="6" borderId="0" xfId="4" applyFont="1" applyFill="1" applyBorder="1"/>
    <xf numFmtId="165" fontId="0" fillId="0" borderId="0" xfId="4" applyFont="1"/>
    <xf numFmtId="165" fontId="18" fillId="7" borderId="0" xfId="4" applyFont="1" applyFill="1" applyBorder="1"/>
    <xf numFmtId="165" fontId="18" fillId="0" borderId="0" xfId="4" applyFont="1"/>
    <xf numFmtId="165" fontId="18" fillId="5" borderId="13" xfId="4" applyFont="1" applyFill="1" applyBorder="1"/>
    <xf numFmtId="165" fontId="18" fillId="0" borderId="0" xfId="4" applyFont="1" applyAlignment="1">
      <alignment horizontal="center"/>
    </xf>
    <xf numFmtId="165" fontId="18" fillId="9" borderId="0" xfId="4" applyFont="1" applyFill="1"/>
    <xf numFmtId="40" fontId="22" fillId="0" borderId="0" xfId="4" applyNumberFormat="1" applyFont="1" applyFill="1"/>
    <xf numFmtId="165" fontId="16" fillId="0" borderId="0" xfId="4" applyFont="1"/>
    <xf numFmtId="0" fontId="18" fillId="6" borderId="0" xfId="4" applyNumberFormat="1" applyFont="1" applyFill="1"/>
    <xf numFmtId="166" fontId="18" fillId="0" borderId="0" xfId="4" applyNumberFormat="1" applyFont="1"/>
    <xf numFmtId="166" fontId="18" fillId="0" borderId="0" xfId="3" applyNumberFormat="1" applyFont="1"/>
    <xf numFmtId="0" fontId="25" fillId="10" borderId="14" xfId="0" applyFont="1" applyFill="1" applyBorder="1" applyAlignment="1">
      <alignment horizontal="left" vertical="top" wrapText="1"/>
    </xf>
    <xf numFmtId="0" fontId="25" fillId="10" borderId="14" xfId="0" applyFont="1" applyFill="1" applyBorder="1" applyAlignment="1">
      <alignment vertical="top" wrapText="1"/>
    </xf>
    <xf numFmtId="0" fontId="25" fillId="0" borderId="14" xfId="0" applyFont="1" applyBorder="1" applyAlignment="1">
      <alignment vertical="top" wrapText="1"/>
    </xf>
    <xf numFmtId="0" fontId="26" fillId="0" borderId="14" xfId="0" applyFont="1" applyBorder="1" applyAlignment="1">
      <alignment vertical="top" wrapText="1"/>
    </xf>
    <xf numFmtId="0" fontId="1" fillId="3" borderId="1" xfId="1" applyFont="1" applyFill="1" applyBorder="1" applyAlignment="1">
      <alignment vertical="top" wrapText="1"/>
    </xf>
    <xf numFmtId="0" fontId="11" fillId="0" borderId="0" xfId="0" applyFont="1" applyAlignment="1">
      <alignment horizontal="center"/>
    </xf>
    <xf numFmtId="0" fontId="13" fillId="0" borderId="10" xfId="0" applyFont="1" applyBorder="1" applyAlignment="1">
      <alignment horizontal="left" vertical="top"/>
    </xf>
    <xf numFmtId="0" fontId="13" fillId="0" borderId="12" xfId="0" applyFont="1" applyBorder="1" applyAlignment="1">
      <alignment horizontal="left" vertical="top"/>
    </xf>
    <xf numFmtId="0" fontId="15" fillId="0" borderId="0" xfId="0" applyFont="1" applyAlignment="1">
      <alignment horizontal="center"/>
    </xf>
    <xf numFmtId="0" fontId="15" fillId="0" borderId="6" xfId="0" applyFont="1" applyBorder="1" applyAlignment="1">
      <alignment horizontal="center"/>
    </xf>
  </cellXfs>
  <cellStyles count="5">
    <cellStyle name="Comma 2" xfId="4" xr:uid="{AB1C0282-C2ED-43CF-9C12-6D7A001AC526}"/>
    <cellStyle name="Normal" xfId="0" builtinId="0"/>
    <cellStyle name="Normal 2" xfId="1" xr:uid="{00000000-0005-0000-0000-000001000000}"/>
    <cellStyle name="Normal 2 2" xfId="3" xr:uid="{838C5590-C1A2-413D-9E52-D23E0FCC8CC1}"/>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customXml" Target="../customXml/item1.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styles" Target="style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theme" Target="theme/theme1.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xdr:rowOff>
    </xdr:from>
    <xdr:to>
      <xdr:col>2</xdr:col>
      <xdr:colOff>44450</xdr:colOff>
      <xdr:row>3</xdr:row>
      <xdr:rowOff>149171</xdr:rowOff>
    </xdr:to>
    <xdr:pic>
      <xdr:nvPicPr>
        <xdr:cNvPr id="3" name="Graphic 27">
          <a:extLst>
            <a:ext uri="{FF2B5EF4-FFF2-40B4-BE49-F238E27FC236}">
              <a16:creationId xmlns:a16="http://schemas.microsoft.com/office/drawing/2014/main" id="{EFB761D8-D43C-4F07-AE1F-49806F11B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4333" y="2"/>
          <a:ext cx="1447800" cy="6279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1758950</xdr:colOff>
      <xdr:row>94</xdr:row>
      <xdr:rowOff>114300</xdr:rowOff>
    </xdr:from>
    <xdr:to>
      <xdr:col>9</xdr:col>
      <xdr:colOff>952885</xdr:colOff>
      <xdr:row>123</xdr:row>
      <xdr:rowOff>31982</xdr:rowOff>
    </xdr:to>
    <xdr:pic>
      <xdr:nvPicPr>
        <xdr:cNvPr id="2" name="Picture 1">
          <a:extLst>
            <a:ext uri="{FF2B5EF4-FFF2-40B4-BE49-F238E27FC236}">
              <a16:creationId xmlns:a16="http://schemas.microsoft.com/office/drawing/2014/main" id="{79BE1887-3F61-4E55-8072-ECC391FC8869}"/>
            </a:ext>
          </a:extLst>
        </xdr:cNvPr>
        <xdr:cNvPicPr>
          <a:picLocks noChangeAspect="1"/>
        </xdr:cNvPicPr>
      </xdr:nvPicPr>
      <xdr:blipFill>
        <a:blip xmlns:r="http://schemas.openxmlformats.org/officeDocument/2006/relationships" r:embed="rId1"/>
        <a:stretch>
          <a:fillRect/>
        </a:stretch>
      </xdr:blipFill>
      <xdr:spPr>
        <a:xfrm>
          <a:off x="4359027" y="15412610"/>
          <a:ext cx="7701830" cy="452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Month%20End\2010\Corn\US\Acct%20Recons\2009%20Variance%20Accumulation%20&amp;%202010%20Amortization%20-%20Cor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Budget%2007\Budget%20Templates%20-%20Blank%20Budget\Cost%20Tab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grf2\sbs_supply_chain_finance_north_america$\Documents%20and%20Settings\u366429.NAFTA.001\Local%20Settings\Temp\download%20combined-%20US%20CR%20Internal%2007%20&amp;%2008%20Actuals%204-25-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grf2\sbs_supply_chain_finance_north_america$\Users\u366429\AppData\Roaming\Microsoft\Excel\2008%20Variance%20Accumulation%20%202009%20Amortization%20-%20Cor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grf2\sbs_supply_chain_finance_north_america$\Users\u366429\AppData\Roaming\Microsoft\Excel\2008%20Variance%20Accumulation%20&amp;%202009%20Amortization%20-%20Cor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grf2\sbs_supply_chain_finance_north_america$\Users\u366429\Desktop\0409%20Recons\2007%20Variance%20Accumulation%20&amp;%202008%20Amortization%20-%20Corn.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Month%20End\2009\Report%20Downloads\Crop%20Protection\01\Corn\Corn%20US%20&amp;%20CA%20-%20CP%20on%20Other%20PPV%203001500930%20120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Month%20End\2008\Report%20Downloads\Crop%20Protection\12\Corn\Corn%20US%20&amp;%20CA%20-%20CP%20on%20Other%20PPV%203001500930%20120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Month%20End\2009\Report%20Downloads\Crop%20Protection\03\Corn\Corn%20US%20&amp;%20CA%20-%20CP%20on%20Other%20PPV%203001500930%2003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Month%20End\2009\Report%20Downloads\Crop%20Protection\02\Corn\Corn%20US%20&amp;%20CA%20-%20CP%20on%20Other%20PPV%203001500930%200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Month%20End\2011\Corn\US\Acct%20Recons\2010%20Variance%20Accumulation%20&amp;%202011%20Amortization%20-%20Corn.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gofile01\ACCOUNTS\Documents%20and%20Settings\RAMRABI1\Local%20Settings\Temporary%20Internet%20Files\OLK26\IN90_Final%20TPs%202004_17.1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grf2\sbs_supply_chain_finance_north_america$\Documents\2010\Sales\Februrary%20Month%20-%20Garst\Monthly%20Forecast%20-%202010-02_sent~Feb%2015%201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grf2\sbs_supply_chain_finance_north_america$\Hyperion%20Retrieve%20BT%20B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grf2\sbs_supply_chain_finance_north_america$\Users\u366429\AppData\Local\Microsoft\Windows\Temporary%20Internet%20Files\Content.Outlook\JABM4XVL\JV%20template%20and%20instructions%2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ngofile01\ACCOUNTS\Documents%20and%20Settings\m501827\Local%20Settings\Temporary%20Internet%20Files\OLK34\LEII\requests\Exchange%20rat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grf2\sbs_supply_chain_finance_north_america$\My%20Documents\Actual\SC%20Reporting\sc%20mgmt\COGS%20Schedule%20May%20v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07.05.03%20West%20Bloominto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Month%20End\2009\Report%20Downloads\Crop%20Protection\12\Corn\Corn%20US%20CP%20Chemical%20Inv%20Movement%20Report%20YTD%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Finance\SC%20Controlling\SC%20COST%20ACCT\Month%20End\2012\Corn\US\Acct%20Recons\Process%20Order%20Variances\US%2052111000%20-%20Process%20Order%20Variances%20011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sgrf2\sbs_supply_chain_finance_north_america$\Users\u366429\Desktop\CY09-FY10%20ZFAR01100%20Dwnlds\Original%20Budget%20Templates\CY09-FY10%20Lone%20Tree%20Budget%206-11-0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Usgrf2\sbs_supply_chain_finance_north_america$\Users\krollju1\AppData\Local\Microsoft\Windows\Temporary%20Internet%20Files\Content.Outlook\GIO3OD6A\NAFTA%20CS%20GP%20Summary%20Dec%2009%20Close.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grf2\sbs_supply_chain_finance_north_america$\Finance\SC%20Controlling\SC%20COST%20ACCT\Budgeting\Budget%2010\Soybean\Prod%20and%20Distrib%20Budgets\Internal\Original\CY09-FY10%20Pekin%20Budget%207-5-09%20Corrected%20(Copy)%2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sgrf2\sbs_supply_chain_finance_north_america$\Users\u366429\AppData\Roaming\Microsoft\Excel\Other%20PPV\US%20Other%20PPV%20YTD%20Summary%2002281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DATA\FINANCE\MTHFILES\AUDIT97\PL12299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ts2.pro.intra/SGRS%20forms-new.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ts2.pro.intra/WorkFiles/Strategic%20Plan/5-YP%202008/Modeling/RAT.Mast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sgrf2\SBS_Supply_Chain_Finance_North_America$\My%20Documents\From%20My%20PC\2003\Analysis\3P%20Royalty%20Accrual%20CRNLE11Ap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ts2.pro.intra/FINANCE/FRATT/SGRS%20SUPPORT/Data%20Load%20Templates/Hyperion%20Retrieve%20Full%20Se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grf2\SBS_Supply_Chain_Finance_North_America$\Documents%20and%20Settings\kayeph1\Local%20Settings\Temporary%20Internet%20Files\OLK3\HYP\REPORTING\Monthly\Current\Business%20Reporting\01%20Jan%202001\Jan%202001%20I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 vs Actual"/>
      <sheetName val="2010 Var Accumulation"/>
      <sheetName val="2009 Var Accumulation"/>
      <sheetName val="2010 Amortization"/>
      <sheetName val="Prod Var Recon"/>
      <sheetName val="US May 10 - Jun-May Rework"/>
      <sheetName val="US Apr 10 - Jun-May Rework"/>
      <sheetName val="08 Crop"/>
      <sheetName val="09 Crop"/>
      <sheetName val="Accrual (Fndtn)"/>
      <sheetName val="Accrual"/>
      <sheetName val="SC Mgmt"/>
      <sheetName val="Template(08 Crop)"/>
      <sheetName val="upload(08 Crop)"/>
      <sheetName val="Template(09 Crop)"/>
      <sheetName val="upload(09 Crop)"/>
      <sheetName val="Template(ACCRUAL)"/>
      <sheetName val="upload(ACCRUAL)"/>
      <sheetName val="Template(SCMGMT)"/>
      <sheetName val="upload(SCMGMT)"/>
      <sheetName val="monthlookup"/>
      <sheetName val="2010 B Units_YTD"/>
      <sheetName val="2010 B Units_Mthly"/>
      <sheetName val="08 Crop (Fnd)"/>
      <sheetName val="09 Crop (Fnd)"/>
      <sheetName val="Accrual (Fnd)"/>
      <sheetName val="SC Mgmt (Fnd)"/>
    </sheetNames>
    <sheetDataSet>
      <sheetData sheetId="0"/>
      <sheetData sheetId="1"/>
      <sheetData sheetId="2"/>
      <sheetData sheetId="3">
        <row r="30">
          <cell r="B30" t="str">
            <v>PPV - excld Hedging</v>
          </cell>
          <cell r="C30">
            <v>6319221.455787072</v>
          </cell>
          <cell r="D30">
            <v>3001500912</v>
          </cell>
          <cell r="E30">
            <v>1101209030</v>
          </cell>
          <cell r="F30">
            <v>891532.99401332345</v>
          </cell>
          <cell r="G30">
            <v>1255803.0916596856</v>
          </cell>
          <cell r="H30">
            <v>1765856.4851197018</v>
          </cell>
          <cell r="I30">
            <v>1002874.6529836175</v>
          </cell>
          <cell r="J30">
            <v>117669.07118694112</v>
          </cell>
          <cell r="K30">
            <v>277796.31104113813</v>
          </cell>
          <cell r="L30">
            <v>0</v>
          </cell>
          <cell r="M30">
            <v>0</v>
          </cell>
          <cell r="N30">
            <v>0</v>
          </cell>
          <cell r="O30">
            <v>0</v>
          </cell>
          <cell r="P30">
            <v>0</v>
          </cell>
          <cell r="Q30">
            <v>0</v>
          </cell>
        </row>
        <row r="31">
          <cell r="B31" t="str">
            <v xml:space="preserve"> - Winter PPV</v>
          </cell>
          <cell r="C31">
            <v>4627467.6259999983</v>
          </cell>
          <cell r="D31">
            <v>3001500912</v>
          </cell>
          <cell r="E31">
            <v>1101209030</v>
          </cell>
          <cell r="F31">
            <v>652855.75069210166</v>
          </cell>
          <cell r="G31">
            <v>919605.07982578827</v>
          </cell>
          <cell r="H31">
            <v>1293109.2499646852</v>
          </cell>
          <cell r="I31">
            <v>734389.5165072442</v>
          </cell>
          <cell r="J31">
            <v>86167.231407977175</v>
          </cell>
          <cell r="K31">
            <v>203425.91962619871</v>
          </cell>
          <cell r="L31">
            <v>0</v>
          </cell>
          <cell r="M31">
            <v>0</v>
          </cell>
          <cell r="N31">
            <v>0</v>
          </cell>
          <cell r="O31">
            <v>0</v>
          </cell>
          <cell r="P31">
            <v>0</v>
          </cell>
          <cell r="Q31">
            <v>0</v>
          </cell>
        </row>
        <row r="32">
          <cell r="B32" t="str">
            <v>Plant</v>
          </cell>
          <cell r="C32">
            <v>5358767.478629956</v>
          </cell>
          <cell r="D32">
            <v>3001500902</v>
          </cell>
          <cell r="E32">
            <v>1101209030</v>
          </cell>
          <cell r="F32">
            <v>756029.52798386198</v>
          </cell>
          <cell r="G32">
            <v>1064934.4724239763</v>
          </cell>
          <cell r="H32">
            <v>1497465.2131745312</v>
          </cell>
          <cell r="I32">
            <v>850448.44735253043</v>
          </cell>
          <cell r="J32">
            <v>99784.632700237446</v>
          </cell>
          <cell r="K32">
            <v>235574.24719264079</v>
          </cell>
          <cell r="L32">
            <v>0</v>
          </cell>
          <cell r="M32">
            <v>0</v>
          </cell>
          <cell r="N32">
            <v>0</v>
          </cell>
          <cell r="O32">
            <v>0</v>
          </cell>
          <cell r="P32">
            <v>0</v>
          </cell>
          <cell r="Q32">
            <v>0</v>
          </cell>
        </row>
        <row r="33">
          <cell r="B33" t="str">
            <v xml:space="preserve"> - Winter Plant</v>
          </cell>
          <cell r="C33">
            <v>650566.54137004691</v>
          </cell>
          <cell r="D33">
            <v>3001500902</v>
          </cell>
          <cell r="E33">
            <v>1101209030</v>
          </cell>
          <cell r="F33">
            <v>91783.701598457468</v>
          </cell>
          <cell r="G33">
            <v>129285.46335952025</v>
          </cell>
          <cell r="H33">
            <v>181795.67754001205</v>
          </cell>
          <cell r="I33">
            <v>103246.37282995414</v>
          </cell>
          <cell r="J33">
            <v>12114.081015187316</v>
          </cell>
          <cell r="K33">
            <v>28599.248585264431</v>
          </cell>
          <cell r="L33">
            <v>0</v>
          </cell>
          <cell r="M33">
            <v>0</v>
          </cell>
          <cell r="N33">
            <v>0</v>
          </cell>
          <cell r="O33">
            <v>0</v>
          </cell>
          <cell r="P33">
            <v>0</v>
          </cell>
          <cell r="Q33">
            <v>0</v>
          </cell>
        </row>
        <row r="34">
          <cell r="B34" t="str">
            <v xml:space="preserve"> - Winter Utilization</v>
          </cell>
          <cell r="C34">
            <v>4000000</v>
          </cell>
          <cell r="D34">
            <v>3001500902</v>
          </cell>
          <cell r="E34">
            <v>1101209030</v>
          </cell>
          <cell r="F34">
            <v>564330.90705936099</v>
          </cell>
          <cell r="G34">
            <v>794910.00620630896</v>
          </cell>
          <cell r="H34">
            <v>1117768.3817379435</v>
          </cell>
          <cell r="I34">
            <v>634808.99348143348</v>
          </cell>
          <cell r="J34">
            <v>74483.271086618304</v>
          </cell>
          <cell r="K34">
            <v>175842.11155425478</v>
          </cell>
          <cell r="L34">
            <v>0</v>
          </cell>
          <cell r="M34">
            <v>0</v>
          </cell>
          <cell r="N34">
            <v>0</v>
          </cell>
          <cell r="O34">
            <v>0</v>
          </cell>
          <cell r="P34">
            <v>0</v>
          </cell>
          <cell r="Q34">
            <v>0</v>
          </cell>
        </row>
        <row r="35">
          <cell r="B35" t="str">
            <v xml:space="preserve"> - Plant Rebag</v>
          </cell>
          <cell r="C35">
            <v>0</v>
          </cell>
          <cell r="D35">
            <v>3001500972</v>
          </cell>
          <cell r="E35">
            <v>1101209030</v>
          </cell>
          <cell r="F35">
            <v>0</v>
          </cell>
          <cell r="G35">
            <v>0</v>
          </cell>
          <cell r="H35">
            <v>0</v>
          </cell>
          <cell r="I35">
            <v>0</v>
          </cell>
          <cell r="J35">
            <v>0</v>
          </cell>
          <cell r="K35">
            <v>0</v>
          </cell>
          <cell r="L35">
            <v>0</v>
          </cell>
          <cell r="M35">
            <v>0</v>
          </cell>
          <cell r="N35">
            <v>0</v>
          </cell>
          <cell r="O35">
            <v>0</v>
          </cell>
          <cell r="P35">
            <v>0</v>
          </cell>
          <cell r="Q35">
            <v>0</v>
          </cell>
        </row>
        <row r="36">
          <cell r="B36" t="str">
            <v>Field</v>
          </cell>
          <cell r="C36">
            <v>-7481501.1819999982</v>
          </cell>
          <cell r="D36">
            <v>3001500905</v>
          </cell>
          <cell r="E36">
            <v>1101209030</v>
          </cell>
          <cell r="F36">
            <v>-1055510.587050935</v>
          </cell>
          <cell r="G36">
            <v>-1486780.0377540321</v>
          </cell>
          <cell r="H36">
            <v>-2090646.3672936624</v>
          </cell>
          <cell r="I36">
            <v>-1187331.0587688927</v>
          </cell>
          <cell r="J36">
            <v>-139311.67016844079</v>
          </cell>
          <cell r="K36">
            <v>-328890.74135963339</v>
          </cell>
          <cell r="L36">
            <v>0</v>
          </cell>
          <cell r="M36">
            <v>0</v>
          </cell>
          <cell r="N36">
            <v>0</v>
          </cell>
          <cell r="O36">
            <v>0</v>
          </cell>
          <cell r="P36">
            <v>0</v>
          </cell>
          <cell r="Q36">
            <v>0</v>
          </cell>
        </row>
        <row r="37">
          <cell r="B37" t="str">
            <v xml:space="preserve"> - Winter Field</v>
          </cell>
          <cell r="C37">
            <v>0</v>
          </cell>
          <cell r="D37">
            <v>3001500905</v>
          </cell>
          <cell r="E37">
            <v>1101209030</v>
          </cell>
          <cell r="F37">
            <v>0</v>
          </cell>
          <cell r="G37">
            <v>0</v>
          </cell>
          <cell r="H37">
            <v>0</v>
          </cell>
          <cell r="I37">
            <v>0</v>
          </cell>
          <cell r="J37">
            <v>0</v>
          </cell>
          <cell r="K37">
            <v>0</v>
          </cell>
          <cell r="L37">
            <v>0</v>
          </cell>
          <cell r="M37">
            <v>0</v>
          </cell>
          <cell r="N37">
            <v>0</v>
          </cell>
          <cell r="O37">
            <v>0</v>
          </cell>
          <cell r="P37">
            <v>0</v>
          </cell>
          <cell r="Q37">
            <v>0</v>
          </cell>
        </row>
        <row r="38">
          <cell r="B38" t="str">
            <v>Reval</v>
          </cell>
          <cell r="C38">
            <v>-3009827.7176484033</v>
          </cell>
          <cell r="D38">
            <v>3001500945</v>
          </cell>
          <cell r="E38">
            <v>1101209030</v>
          </cell>
          <cell r="F38">
            <v>-424634.70149823237</v>
          </cell>
          <cell r="G38">
            <v>-598135.54242895334</v>
          </cell>
          <cell r="H38">
            <v>-841072.56431646575</v>
          </cell>
          <cell r="I38">
            <v>-477666.42599822581</v>
          </cell>
          <cell r="J38">
            <v>-56045.453454406466</v>
          </cell>
          <cell r="K38">
            <v>-132313.61532145459</v>
          </cell>
          <cell r="L38">
            <v>0</v>
          </cell>
          <cell r="M38">
            <v>0</v>
          </cell>
          <cell r="N38">
            <v>0</v>
          </cell>
          <cell r="O38">
            <v>0</v>
          </cell>
          <cell r="P38">
            <v>0</v>
          </cell>
          <cell r="Q38">
            <v>0</v>
          </cell>
        </row>
        <row r="92">
          <cell r="B92" t="str">
            <v>PPV - excld Hedging</v>
          </cell>
          <cell r="C92">
            <v>-2790977.1440000008</v>
          </cell>
          <cell r="D92">
            <v>3001500912</v>
          </cell>
          <cell r="E92">
            <v>1101209010</v>
          </cell>
          <cell r="F92">
            <v>221923.12920109369</v>
          </cell>
          <cell r="G92">
            <v>-198816.03367557729</v>
          </cell>
          <cell r="H92">
            <v>102601.12619591698</v>
          </cell>
          <cell r="I92">
            <v>-587813.2375614628</v>
          </cell>
          <cell r="J92">
            <v>-11060.765756362875</v>
          </cell>
          <cell r="K92">
            <v>-26112.553565806884</v>
          </cell>
          <cell r="L92">
            <v>-1844224.483514037</v>
          </cell>
          <cell r="M92">
            <v>-2413.7165629384108</v>
          </cell>
          <cell r="N92">
            <v>0</v>
          </cell>
          <cell r="O92">
            <v>0</v>
          </cell>
          <cell r="P92">
            <v>0</v>
          </cell>
          <cell r="Q92">
            <v>0</v>
          </cell>
        </row>
        <row r="93">
          <cell r="B93" t="str">
            <v xml:space="preserve"> - Winter PPV</v>
          </cell>
          <cell r="C93">
            <v>5458020.2094000001</v>
          </cell>
          <cell r="D93">
            <v>3001500912</v>
          </cell>
          <cell r="E93">
            <v>1101209010</v>
          </cell>
          <cell r="F93">
            <v>826578.30122438143</v>
          </cell>
          <cell r="G93">
            <v>1198350.8493131504</v>
          </cell>
          <cell r="H93">
            <v>1665195.4466941012</v>
          </cell>
          <cell r="I93">
            <v>782336.23789350037</v>
          </cell>
          <cell r="J93">
            <v>107051.08136924263</v>
          </cell>
          <cell r="K93">
            <v>252729.07483135257</v>
          </cell>
          <cell r="L93">
            <v>-244578.96534783393</v>
          </cell>
          <cell r="M93">
            <v>0</v>
          </cell>
          <cell r="N93">
            <v>0</v>
          </cell>
          <cell r="O93">
            <v>0</v>
          </cell>
          <cell r="P93">
            <v>0</v>
          </cell>
          <cell r="Q93">
            <v>0</v>
          </cell>
        </row>
        <row r="94">
          <cell r="B94" t="str">
            <v xml:space="preserve"> - PPV Hedging - 09 Crop</v>
          </cell>
          <cell r="C94">
            <v>1583837.5</v>
          </cell>
          <cell r="D94">
            <v>3001500914</v>
          </cell>
          <cell r="F94">
            <v>1392637.5</v>
          </cell>
          <cell r="G94">
            <v>-437612.5</v>
          </cell>
          <cell r="H94">
            <v>796800</v>
          </cell>
          <cell r="I94">
            <v>-167987.5</v>
          </cell>
          <cell r="J94">
            <v>0</v>
          </cell>
          <cell r="K94">
            <v>0</v>
          </cell>
          <cell r="L94">
            <v>0</v>
          </cell>
          <cell r="M94">
            <v>0</v>
          </cell>
          <cell r="N94">
            <v>0</v>
          </cell>
          <cell r="O94">
            <v>258250</v>
          </cell>
        </row>
        <row r="95">
          <cell r="B95" t="str">
            <v xml:space="preserve"> - PPV Hedging - 10 Crop</v>
          </cell>
          <cell r="C95">
            <v>2452612.5</v>
          </cell>
          <cell r="D95">
            <v>3001500914</v>
          </cell>
          <cell r="F95">
            <v>2543600</v>
          </cell>
          <cell r="G95">
            <v>-1563737.5</v>
          </cell>
          <cell r="H95">
            <v>2521300</v>
          </cell>
          <cell r="I95">
            <v>-1338475</v>
          </cell>
          <cell r="J95">
            <v>885712.5</v>
          </cell>
          <cell r="K95">
            <v>434262.5</v>
          </cell>
          <cell r="L95">
            <v>-1030050</v>
          </cell>
          <cell r="M95">
            <v>-2379337.5</v>
          </cell>
          <cell r="N95">
            <v>-1813050</v>
          </cell>
          <cell r="O95">
            <v>-1808100</v>
          </cell>
        </row>
        <row r="96">
          <cell r="B96" t="str">
            <v>Plant</v>
          </cell>
          <cell r="C96">
            <v>3660240.8159999978</v>
          </cell>
          <cell r="D96">
            <v>3001500902</v>
          </cell>
          <cell r="E96">
            <v>1101209020</v>
          </cell>
          <cell r="F96">
            <v>1262363.0926192254</v>
          </cell>
          <cell r="G96">
            <v>1696024.7551035043</v>
          </cell>
          <cell r="H96">
            <v>3996757.0115320152</v>
          </cell>
          <cell r="I96">
            <v>1782467.476616648</v>
          </cell>
          <cell r="J96">
            <v>209140.08721869439</v>
          </cell>
          <cell r="K96">
            <v>608311.11539232731</v>
          </cell>
          <cell r="L96">
            <v>-4258678.6133577507</v>
          </cell>
          <cell r="M96">
            <v>-2219821.0515468717</v>
          </cell>
          <cell r="N96">
            <v>0</v>
          </cell>
          <cell r="O96">
            <v>0</v>
          </cell>
          <cell r="P96">
            <v>0</v>
          </cell>
          <cell r="Q96">
            <v>0</v>
          </cell>
        </row>
        <row r="97">
          <cell r="B97" t="str">
            <v xml:space="preserve"> - Winter Plant</v>
          </cell>
          <cell r="C97">
            <v>3590119.2426</v>
          </cell>
          <cell r="D97">
            <v>3001500902</v>
          </cell>
          <cell r="E97">
            <v>1101209020</v>
          </cell>
          <cell r="F97">
            <v>836355.33418918482</v>
          </cell>
          <cell r="G97">
            <v>1178080.4764979361</v>
          </cell>
          <cell r="H97">
            <v>1656566.2747870851</v>
          </cell>
          <cell r="I97">
            <v>-1127090.6346376804</v>
          </cell>
          <cell r="J97">
            <v>60890.07411331078</v>
          </cell>
          <cell r="K97">
            <v>143750.92619560333</v>
          </cell>
          <cell r="L97">
            <v>268874.86147828633</v>
          </cell>
          <cell r="M97">
            <v>196.85990001680329</v>
          </cell>
          <cell r="N97">
            <v>0</v>
          </cell>
          <cell r="O97">
            <v>0</v>
          </cell>
          <cell r="P97">
            <v>0</v>
          </cell>
          <cell r="Q97">
            <v>0</v>
          </cell>
        </row>
        <row r="98">
          <cell r="B98" t="str">
            <v xml:space="preserve"> - Direct to PL - Plant Rebag</v>
          </cell>
          <cell r="C98">
            <v>826960.19000000018</v>
          </cell>
          <cell r="D98">
            <v>3001500972</v>
          </cell>
          <cell r="E98">
            <v>1101209040</v>
          </cell>
          <cell r="F98">
            <v>357826.3495983053</v>
          </cell>
          <cell r="G98">
            <v>371854.83</v>
          </cell>
          <cell r="H98">
            <v>224488.85000000068</v>
          </cell>
          <cell r="I98">
            <v>75527.933890125307</v>
          </cell>
          <cell r="J98">
            <v>19834.400000000001</v>
          </cell>
          <cell r="K98">
            <v>-118976.03348843101</v>
          </cell>
          <cell r="L98">
            <v>-103596.14000000013</v>
          </cell>
          <cell r="M98">
            <v>196.86</v>
          </cell>
          <cell r="N98">
            <v>0</v>
          </cell>
          <cell r="O98">
            <v>0</v>
          </cell>
          <cell r="P98">
            <v>0</v>
          </cell>
          <cell r="Q98">
            <v>0</v>
          </cell>
        </row>
        <row r="99">
          <cell r="B99" t="str">
            <v xml:space="preserve"> - Direct to PL - Plant Rebag</v>
          </cell>
          <cell r="C99">
            <v>1361259.03</v>
          </cell>
          <cell r="D99">
            <v>9420000108</v>
          </cell>
          <cell r="E99">
            <v>1101209040</v>
          </cell>
          <cell r="F99">
            <v>200649.76</v>
          </cell>
          <cell r="G99">
            <v>255572.34</v>
          </cell>
          <cell r="H99">
            <v>317893.71999999997</v>
          </cell>
          <cell r="I99">
            <v>233271.29</v>
          </cell>
          <cell r="J99">
            <v>131299.74000000011</v>
          </cell>
          <cell r="K99">
            <v>118976.0399999998</v>
          </cell>
          <cell r="L99">
            <v>103596.14000000013</v>
          </cell>
        </row>
        <row r="100">
          <cell r="B100" t="str">
            <v xml:space="preserve"> - Direct to PL - Inventory Adj.</v>
          </cell>
          <cell r="C100">
            <v>-173473.58</v>
          </cell>
          <cell r="D100">
            <v>3001500920</v>
          </cell>
          <cell r="E100">
            <v>1101209040</v>
          </cell>
          <cell r="F100">
            <v>-3.83</v>
          </cell>
          <cell r="G100">
            <v>-0.23</v>
          </cell>
          <cell r="H100">
            <v>453.72</v>
          </cell>
          <cell r="I100">
            <v>-291.45</v>
          </cell>
          <cell r="J100">
            <v>25.649999999999977</v>
          </cell>
          <cell r="K100">
            <v>-170312.00999999998</v>
          </cell>
          <cell r="L100">
            <v>-3345.429999999993</v>
          </cell>
          <cell r="M100">
            <v>452307.97</v>
          </cell>
        </row>
        <row r="101">
          <cell r="B101" t="str">
            <v xml:space="preserve"> - Direct to PL - Inventory Adj.</v>
          </cell>
          <cell r="C101">
            <v>628495.56999999995</v>
          </cell>
          <cell r="D101">
            <v>3001500940</v>
          </cell>
          <cell r="F101">
            <v>-10411.02</v>
          </cell>
          <cell r="G101">
            <v>-1141.97</v>
          </cell>
          <cell r="H101">
            <v>-8561.61</v>
          </cell>
          <cell r="I101">
            <v>2432.13</v>
          </cell>
          <cell r="J101">
            <v>-4068.7400000000016</v>
          </cell>
          <cell r="K101">
            <v>58165.479999999996</v>
          </cell>
          <cell r="L101">
            <v>592081.29999999993</v>
          </cell>
          <cell r="M101">
            <v>-299015.71999999997</v>
          </cell>
        </row>
        <row r="102">
          <cell r="B102" t="str">
            <v xml:space="preserve"> - Direct to PL - Inventory Adj.</v>
          </cell>
          <cell r="C102">
            <v>176378.63</v>
          </cell>
          <cell r="D102">
            <v>3001500973</v>
          </cell>
          <cell r="F102">
            <v>1539.14</v>
          </cell>
          <cell r="G102">
            <v>531.27</v>
          </cell>
          <cell r="H102">
            <v>299.02999999999997</v>
          </cell>
          <cell r="I102">
            <v>415.15</v>
          </cell>
          <cell r="J102">
            <v>1311.2600000000002</v>
          </cell>
          <cell r="K102">
            <v>168410.28</v>
          </cell>
          <cell r="L102">
            <v>3872.5</v>
          </cell>
          <cell r="M102">
            <v>-299015.71999999997</v>
          </cell>
        </row>
        <row r="103">
          <cell r="B103" t="str">
            <v>Field</v>
          </cell>
          <cell r="C103">
            <v>-991462.03200000175</v>
          </cell>
          <cell r="D103">
            <v>3001500905</v>
          </cell>
          <cell r="E103">
            <v>1101209040</v>
          </cell>
          <cell r="F103">
            <v>0</v>
          </cell>
          <cell r="G103">
            <v>0</v>
          </cell>
          <cell r="H103">
            <v>0</v>
          </cell>
          <cell r="I103">
            <v>0</v>
          </cell>
          <cell r="J103">
            <v>0</v>
          </cell>
          <cell r="K103">
            <v>0</v>
          </cell>
          <cell r="L103">
            <v>-1020202.8707778543</v>
          </cell>
          <cell r="M103">
            <v>186843.42176524166</v>
          </cell>
          <cell r="N103">
            <v>0</v>
          </cell>
          <cell r="O103">
            <v>0</v>
          </cell>
          <cell r="P103">
            <v>0</v>
          </cell>
          <cell r="Q103">
            <v>0</v>
          </cell>
        </row>
        <row r="104">
          <cell r="B104" t="str">
            <v xml:space="preserve"> - Bulk Discard</v>
          </cell>
          <cell r="C104">
            <v>4264868.8199999994</v>
          </cell>
          <cell r="D104">
            <v>3001500905</v>
          </cell>
          <cell r="E104">
            <v>1101209040</v>
          </cell>
          <cell r="F104">
            <v>1149542.0576799184</v>
          </cell>
          <cell r="G104">
            <v>1619231.6826422515</v>
          </cell>
          <cell r="H104">
            <v>2276894.1936001908</v>
          </cell>
          <cell r="I104">
            <v>1293105.9197216798</v>
          </cell>
          <cell r="J104">
            <v>-1839716.0515288487</v>
          </cell>
          <cell r="K104">
            <v>1148942.1978848083</v>
          </cell>
          <cell r="L104">
            <v>0</v>
          </cell>
          <cell r="M104">
            <v>-1383131.1800000006</v>
          </cell>
          <cell r="N104">
            <v>0</v>
          </cell>
          <cell r="O104">
            <v>0</v>
          </cell>
          <cell r="P104">
            <v>0</v>
          </cell>
          <cell r="Q104">
            <v>0</v>
          </cell>
        </row>
        <row r="105">
          <cell r="B105" t="str">
            <v xml:space="preserve"> - Winter Field</v>
          </cell>
          <cell r="C105">
            <v>-1863462.3414000003</v>
          </cell>
          <cell r="D105">
            <v>3001500905</v>
          </cell>
          <cell r="E105">
            <v>1101209040</v>
          </cell>
          <cell r="F105">
            <v>0</v>
          </cell>
          <cell r="G105">
            <v>-404374.17169653618</v>
          </cell>
          <cell r="H105">
            <v>-332536.09356703766</v>
          </cell>
          <cell r="I105">
            <v>-601171.59878499631</v>
          </cell>
          <cell r="J105">
            <v>-32027.806567246094</v>
          </cell>
          <cell r="K105">
            <v>-75612.107968329452</v>
          </cell>
          <cell r="L105">
            <v>-120585.25079572923</v>
          </cell>
          <cell r="M105">
            <v>0</v>
          </cell>
          <cell r="N105">
            <v>0</v>
          </cell>
          <cell r="O105">
            <v>0</v>
          </cell>
          <cell r="P105">
            <v>0</v>
          </cell>
          <cell r="Q105">
            <v>0</v>
          </cell>
        </row>
        <row r="106">
          <cell r="B106" t="str">
            <v>Reval</v>
          </cell>
          <cell r="C106">
            <v>0</v>
          </cell>
          <cell r="D106">
            <v>3001500945</v>
          </cell>
          <cell r="E106">
            <v>1101209040</v>
          </cell>
          <cell r="F106">
            <v>0</v>
          </cell>
          <cell r="G106">
            <v>0</v>
          </cell>
          <cell r="H106">
            <v>0</v>
          </cell>
          <cell r="I106">
            <v>0</v>
          </cell>
          <cell r="J106">
            <v>0</v>
          </cell>
          <cell r="K106">
            <v>0</v>
          </cell>
          <cell r="L106">
            <v>0</v>
          </cell>
          <cell r="M106">
            <v>0</v>
          </cell>
          <cell r="N106">
            <v>0</v>
          </cell>
          <cell r="O106">
            <v>0</v>
          </cell>
          <cell r="P106">
            <v>0</v>
          </cell>
          <cell r="Q106">
            <v>0</v>
          </cell>
        </row>
        <row r="107">
          <cell r="B107" t="str">
            <v xml:space="preserve"> - Direct to PL - Reval</v>
          </cell>
          <cell r="C107">
            <v>-7735.089999999851</v>
          </cell>
          <cell r="D107" t="str">
            <v>3001500910/11</v>
          </cell>
          <cell r="F107">
            <v>-14.900000000372529</v>
          </cell>
          <cell r="G107">
            <v>-4.5199999999999996</v>
          </cell>
          <cell r="H107">
            <v>-45.62</v>
          </cell>
          <cell r="I107">
            <v>-4402.8100000000004</v>
          </cell>
          <cell r="J107">
            <v>-1039.8999999996267</v>
          </cell>
          <cell r="K107">
            <v>-2227.4199999999255</v>
          </cell>
          <cell r="L107">
            <v>8.0000000074505806E-2</v>
          </cell>
          <cell r="M107">
            <v>0</v>
          </cell>
          <cell r="N107">
            <v>0</v>
          </cell>
          <cell r="O107">
            <v>0</v>
          </cell>
          <cell r="P107">
            <v>0</v>
          </cell>
          <cell r="Q107">
            <v>0</v>
          </cell>
        </row>
        <row r="108">
          <cell r="B108" t="str">
            <v xml:space="preserve"> - Direct to PL - Reval</v>
          </cell>
          <cell r="C108">
            <v>-0.01</v>
          </cell>
          <cell r="D108">
            <v>3001500945</v>
          </cell>
          <cell r="F108">
            <v>0</v>
          </cell>
          <cell r="G108">
            <v>0</v>
          </cell>
          <cell r="H108">
            <v>0</v>
          </cell>
          <cell r="I108">
            <v>0</v>
          </cell>
          <cell r="J108">
            <v>0</v>
          </cell>
          <cell r="K108">
            <v>-0.01</v>
          </cell>
          <cell r="L108">
            <v>0</v>
          </cell>
          <cell r="M108">
            <v>0</v>
          </cell>
        </row>
        <row r="109">
          <cell r="B109" t="str">
            <v xml:space="preserve"> - Direct to PL - Reval</v>
          </cell>
          <cell r="C109">
            <v>-0.01</v>
          </cell>
          <cell r="D109">
            <v>3001500945</v>
          </cell>
          <cell r="F109">
            <v>0</v>
          </cell>
          <cell r="G109">
            <v>0</v>
          </cell>
          <cell r="H109">
            <v>0</v>
          </cell>
          <cell r="I109">
            <v>0</v>
          </cell>
          <cell r="J109">
            <v>0</v>
          </cell>
          <cell r="K109">
            <v>-0.01</v>
          </cell>
          <cell r="L109">
            <v>0</v>
          </cell>
          <cell r="M109">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v>1</v>
          </cell>
        </row>
      </sheetData>
      <sheetData sheetId="20">
        <row r="2">
          <cell r="B2">
            <v>1</v>
          </cell>
        </row>
      </sheetData>
      <sheetData sheetId="21"/>
      <sheetData sheetId="22"/>
      <sheetData sheetId="23"/>
      <sheetData sheetId="24">
        <row r="2">
          <cell r="B2">
            <v>1</v>
          </cell>
        </row>
      </sheetData>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Table 2005"/>
      <sheetName val="Cost Table 2006"/>
      <sheetName val="Quality Coon Rapids 0606"/>
      <sheetName val="Quality Coon Rapids Budget 06"/>
      <sheetName val="Quality Coon Rapids 2005 actual"/>
    </sheetNames>
    <sheetDataSet>
      <sheetData sheetId="0" refreshError="1">
        <row r="2">
          <cell r="A2">
            <v>3201400002</v>
          </cell>
          <cell r="C2" t="str">
            <v>US20P01001</v>
          </cell>
          <cell r="E2">
            <v>2</v>
          </cell>
        </row>
        <row r="3">
          <cell r="A3">
            <v>3311400099</v>
          </cell>
          <cell r="C3" t="str">
            <v>US20P01001</v>
          </cell>
          <cell r="E3">
            <v>1001.11</v>
          </cell>
        </row>
        <row r="4">
          <cell r="A4">
            <v>3911100010</v>
          </cell>
          <cell r="C4" t="str">
            <v>US20P01001</v>
          </cell>
          <cell r="E4">
            <v>643.83000000000004</v>
          </cell>
        </row>
        <row r="5">
          <cell r="A5">
            <v>3911100012</v>
          </cell>
          <cell r="C5" t="str">
            <v>US20P01001</v>
          </cell>
          <cell r="E5">
            <v>1456.59</v>
          </cell>
        </row>
        <row r="6">
          <cell r="A6">
            <v>3911100015</v>
          </cell>
          <cell r="C6" t="str">
            <v>US20P01001</v>
          </cell>
          <cell r="E6">
            <v>3882.59</v>
          </cell>
        </row>
        <row r="7">
          <cell r="A7">
            <v>3911100041</v>
          </cell>
          <cell r="C7" t="str">
            <v>US20P01001</v>
          </cell>
          <cell r="E7">
            <v>347.58</v>
          </cell>
        </row>
        <row r="8">
          <cell r="A8">
            <v>3911200001</v>
          </cell>
          <cell r="C8" t="str">
            <v>US20P01001</v>
          </cell>
          <cell r="E8">
            <v>4641.91</v>
          </cell>
        </row>
        <row r="9">
          <cell r="A9">
            <v>3921200003</v>
          </cell>
          <cell r="C9" t="str">
            <v>US20P01001</v>
          </cell>
          <cell r="E9">
            <v>318.41000000000003</v>
          </cell>
        </row>
        <row r="10">
          <cell r="A10">
            <v>3921200010</v>
          </cell>
          <cell r="C10" t="str">
            <v>US20P01001</v>
          </cell>
          <cell r="E10">
            <v>221.49</v>
          </cell>
        </row>
        <row r="11">
          <cell r="A11">
            <v>3951100002</v>
          </cell>
          <cell r="C11" t="str">
            <v>US20P01001</v>
          </cell>
          <cell r="E11">
            <v>6767</v>
          </cell>
        </row>
        <row r="12">
          <cell r="A12">
            <v>3951200008</v>
          </cell>
          <cell r="C12" t="str">
            <v>US20P01001</v>
          </cell>
          <cell r="E12">
            <v>709.76</v>
          </cell>
        </row>
        <row r="13">
          <cell r="A13">
            <v>3991200012</v>
          </cell>
          <cell r="C13" t="str">
            <v>US20P01001</v>
          </cell>
          <cell r="E13">
            <v>39.06</v>
          </cell>
        </row>
        <row r="14">
          <cell r="A14">
            <v>3991200015</v>
          </cell>
          <cell r="C14" t="str">
            <v>US20P01001</v>
          </cell>
          <cell r="E14">
            <v>620.46</v>
          </cell>
        </row>
        <row r="15">
          <cell r="A15">
            <v>9420000002</v>
          </cell>
          <cell r="C15" t="str">
            <v>US20P01001</v>
          </cell>
          <cell r="E15">
            <v>2285546.2999999998</v>
          </cell>
        </row>
        <row r="16">
          <cell r="A16">
            <v>9420000008</v>
          </cell>
          <cell r="C16" t="str">
            <v>US20P01001</v>
          </cell>
          <cell r="E16">
            <v>1006128.05</v>
          </cell>
        </row>
        <row r="17">
          <cell r="A17">
            <v>9430000037</v>
          </cell>
          <cell r="C17" t="str">
            <v>US20P01001</v>
          </cell>
          <cell r="E17">
            <v>0</v>
          </cell>
        </row>
        <row r="18">
          <cell r="A18">
            <v>9430000202</v>
          </cell>
          <cell r="C18" t="str">
            <v>US20P01001</v>
          </cell>
          <cell r="E18">
            <v>0</v>
          </cell>
        </row>
        <row r="19">
          <cell r="A19">
            <v>9430000207</v>
          </cell>
          <cell r="C19" t="str">
            <v>US20P01001</v>
          </cell>
          <cell r="E19">
            <v>0</v>
          </cell>
        </row>
        <row r="20">
          <cell r="A20">
            <v>9430000209</v>
          </cell>
          <cell r="C20" t="str">
            <v>US20P01001</v>
          </cell>
          <cell r="E20">
            <v>-3312326.14</v>
          </cell>
        </row>
        <row r="21">
          <cell r="A21">
            <v>9430000212</v>
          </cell>
          <cell r="C21" t="str">
            <v>US20P01001</v>
          </cell>
          <cell r="E21">
            <v>0</v>
          </cell>
        </row>
        <row r="22">
          <cell r="A22">
            <v>9430000400</v>
          </cell>
          <cell r="C22" t="str">
            <v>US20P01001</v>
          </cell>
          <cell r="E22">
            <v>0</v>
          </cell>
        </row>
        <row r="23">
          <cell r="A23">
            <v>9430000404</v>
          </cell>
          <cell r="C23" t="str">
            <v>US20P01001</v>
          </cell>
          <cell r="E23">
            <v>0</v>
          </cell>
        </row>
        <row r="24">
          <cell r="A24">
            <v>9430000405</v>
          </cell>
          <cell r="C24" t="str">
            <v>US20P01001</v>
          </cell>
          <cell r="E24">
            <v>0</v>
          </cell>
        </row>
        <row r="25">
          <cell r="A25">
            <v>9430000406</v>
          </cell>
          <cell r="C25" t="str">
            <v>US20P01001</v>
          </cell>
          <cell r="E25">
            <v>0</v>
          </cell>
        </row>
        <row r="26">
          <cell r="A26">
            <v>9430000407</v>
          </cell>
          <cell r="C26" t="str">
            <v>US20P01001</v>
          </cell>
          <cell r="E26">
            <v>0</v>
          </cell>
        </row>
        <row r="27">
          <cell r="A27">
            <v>9430000410</v>
          </cell>
          <cell r="C27" t="str">
            <v>US20P01001</v>
          </cell>
          <cell r="E27">
            <v>0</v>
          </cell>
        </row>
        <row r="28">
          <cell r="A28">
            <v>9430000411</v>
          </cell>
          <cell r="C28" t="str">
            <v>US20P01001</v>
          </cell>
          <cell r="E28">
            <v>0</v>
          </cell>
        </row>
        <row r="29">
          <cell r="A29">
            <v>3111100000</v>
          </cell>
          <cell r="C29" t="str">
            <v>US20P01002</v>
          </cell>
          <cell r="E29">
            <v>376689.39</v>
          </cell>
        </row>
        <row r="30">
          <cell r="A30">
            <v>3111100020</v>
          </cell>
          <cell r="C30" t="str">
            <v>US20P01002</v>
          </cell>
          <cell r="E30">
            <v>112195</v>
          </cell>
        </row>
        <row r="31">
          <cell r="A31">
            <v>3121300013</v>
          </cell>
          <cell r="C31" t="str">
            <v>US20P01002</v>
          </cell>
          <cell r="E31">
            <v>0</v>
          </cell>
        </row>
        <row r="32">
          <cell r="A32">
            <v>3131100005</v>
          </cell>
          <cell r="C32" t="str">
            <v>US20P01002</v>
          </cell>
          <cell r="E32">
            <v>17906.34</v>
          </cell>
        </row>
        <row r="33">
          <cell r="A33">
            <v>3131100007</v>
          </cell>
          <cell r="C33" t="str">
            <v>US20P01002</v>
          </cell>
          <cell r="E33">
            <v>0</v>
          </cell>
        </row>
        <row r="34">
          <cell r="A34">
            <v>3131100025</v>
          </cell>
          <cell r="C34" t="str">
            <v>US20P01002</v>
          </cell>
          <cell r="E34">
            <v>0</v>
          </cell>
        </row>
        <row r="35">
          <cell r="A35">
            <v>3201300002</v>
          </cell>
          <cell r="C35" t="str">
            <v>US20P01002</v>
          </cell>
          <cell r="E35">
            <v>0</v>
          </cell>
        </row>
        <row r="36">
          <cell r="A36">
            <v>3201300004</v>
          </cell>
          <cell r="C36" t="str">
            <v>US20P01002</v>
          </cell>
          <cell r="E36">
            <v>0</v>
          </cell>
        </row>
        <row r="37">
          <cell r="A37">
            <v>3201300007</v>
          </cell>
          <cell r="C37" t="str">
            <v>US20P01002</v>
          </cell>
          <cell r="E37">
            <v>0</v>
          </cell>
        </row>
        <row r="38">
          <cell r="A38">
            <v>3201400002</v>
          </cell>
          <cell r="C38" t="str">
            <v>US20P01002</v>
          </cell>
          <cell r="E38">
            <v>488.08</v>
          </cell>
        </row>
        <row r="39">
          <cell r="A39">
            <v>3201400029</v>
          </cell>
          <cell r="C39" t="str">
            <v>US20P01002</v>
          </cell>
          <cell r="E39">
            <v>80</v>
          </cell>
        </row>
        <row r="40">
          <cell r="A40">
            <v>3201400054</v>
          </cell>
          <cell r="C40" t="str">
            <v>US20P01002</v>
          </cell>
          <cell r="E40">
            <v>0</v>
          </cell>
        </row>
        <row r="41">
          <cell r="A41">
            <v>3201400055</v>
          </cell>
          <cell r="C41" t="str">
            <v>US20P01002</v>
          </cell>
          <cell r="E41">
            <v>1665</v>
          </cell>
        </row>
        <row r="42">
          <cell r="A42">
            <v>3911100010</v>
          </cell>
          <cell r="C42" t="str">
            <v>US20P01002</v>
          </cell>
          <cell r="E42">
            <v>74.489999999999995</v>
          </cell>
        </row>
        <row r="43">
          <cell r="A43">
            <v>3911100012</v>
          </cell>
          <cell r="C43" t="str">
            <v>US20P01002</v>
          </cell>
          <cell r="E43">
            <v>2544.6999999999998</v>
          </cell>
        </row>
        <row r="44">
          <cell r="A44">
            <v>3911100015</v>
          </cell>
          <cell r="C44" t="str">
            <v>US20P01002</v>
          </cell>
          <cell r="E44">
            <v>3022.18</v>
          </cell>
        </row>
        <row r="45">
          <cell r="A45">
            <v>3911100022</v>
          </cell>
          <cell r="C45" t="str">
            <v>US20P01002</v>
          </cell>
          <cell r="E45">
            <v>11644.73</v>
          </cell>
        </row>
        <row r="46">
          <cell r="A46">
            <v>3911100041</v>
          </cell>
          <cell r="C46" t="str">
            <v>US20P01002</v>
          </cell>
          <cell r="E46">
            <v>42.49</v>
          </cell>
        </row>
        <row r="47">
          <cell r="A47">
            <v>3911200000</v>
          </cell>
          <cell r="C47" t="str">
            <v>US20P01002</v>
          </cell>
          <cell r="E47">
            <v>0</v>
          </cell>
        </row>
        <row r="48">
          <cell r="A48">
            <v>3911200001</v>
          </cell>
          <cell r="C48" t="str">
            <v>US20P01002</v>
          </cell>
          <cell r="E48">
            <v>1027.19</v>
          </cell>
        </row>
        <row r="49">
          <cell r="A49">
            <v>3921200003</v>
          </cell>
          <cell r="C49" t="str">
            <v>US20P01002</v>
          </cell>
          <cell r="E49">
            <v>743.25</v>
          </cell>
        </row>
        <row r="50">
          <cell r="A50">
            <v>3921200010</v>
          </cell>
          <cell r="C50" t="str">
            <v>US20P01002</v>
          </cell>
          <cell r="E50">
            <v>376.25</v>
          </cell>
        </row>
        <row r="51">
          <cell r="A51">
            <v>3921200011</v>
          </cell>
          <cell r="C51" t="str">
            <v>US20P01002</v>
          </cell>
          <cell r="E51">
            <v>0</v>
          </cell>
        </row>
        <row r="52">
          <cell r="A52">
            <v>3941100019</v>
          </cell>
          <cell r="C52" t="str">
            <v>US20P01002</v>
          </cell>
          <cell r="E52">
            <v>1702.35</v>
          </cell>
        </row>
        <row r="53">
          <cell r="A53">
            <v>3951100005</v>
          </cell>
          <cell r="C53" t="str">
            <v>US20P01002</v>
          </cell>
          <cell r="E53">
            <v>0</v>
          </cell>
        </row>
        <row r="54">
          <cell r="A54">
            <v>3951200002</v>
          </cell>
          <cell r="C54" t="str">
            <v>US20P01002</v>
          </cell>
          <cell r="E54">
            <v>29</v>
          </cell>
        </row>
        <row r="55">
          <cell r="A55">
            <v>3951200008</v>
          </cell>
          <cell r="C55" t="str">
            <v>US20P01002</v>
          </cell>
          <cell r="E55">
            <v>1848.79</v>
          </cell>
        </row>
        <row r="56">
          <cell r="A56">
            <v>3991200001</v>
          </cell>
          <cell r="C56" t="str">
            <v>US20P01002</v>
          </cell>
          <cell r="E56">
            <v>579.92999999999995</v>
          </cell>
        </row>
        <row r="57">
          <cell r="A57">
            <v>3991200012</v>
          </cell>
          <cell r="C57" t="str">
            <v>US20P01002</v>
          </cell>
          <cell r="E57">
            <v>1531.92</v>
          </cell>
        </row>
        <row r="58">
          <cell r="A58">
            <v>3991200015</v>
          </cell>
          <cell r="C58" t="str">
            <v>US20P01002</v>
          </cell>
          <cell r="E58">
            <v>5874.33</v>
          </cell>
        </row>
        <row r="59">
          <cell r="A59">
            <v>3991200018</v>
          </cell>
          <cell r="C59" t="str">
            <v>US20P01002</v>
          </cell>
          <cell r="E59">
            <v>0</v>
          </cell>
        </row>
        <row r="60">
          <cell r="A60">
            <v>3991200023</v>
          </cell>
          <cell r="C60" t="str">
            <v>US20P01002</v>
          </cell>
          <cell r="E60">
            <v>0</v>
          </cell>
        </row>
        <row r="61">
          <cell r="A61">
            <v>3991200099</v>
          </cell>
          <cell r="C61" t="str">
            <v>US20P01002</v>
          </cell>
          <cell r="E61">
            <v>-88605</v>
          </cell>
        </row>
        <row r="62">
          <cell r="A62">
            <v>9420000008</v>
          </cell>
          <cell r="C62" t="str">
            <v>US20P01002</v>
          </cell>
          <cell r="E62">
            <v>3197635.16</v>
          </cell>
        </row>
        <row r="63">
          <cell r="A63">
            <v>9420000025</v>
          </cell>
          <cell r="C63" t="str">
            <v>US20P01002</v>
          </cell>
          <cell r="E63">
            <v>145471.94</v>
          </cell>
        </row>
        <row r="64">
          <cell r="A64">
            <v>9420000026</v>
          </cell>
          <cell r="C64" t="str">
            <v>US20P01002</v>
          </cell>
          <cell r="E64">
            <v>17959.59</v>
          </cell>
        </row>
        <row r="65">
          <cell r="A65">
            <v>9430000209</v>
          </cell>
          <cell r="C65" t="str">
            <v>US20P01002</v>
          </cell>
          <cell r="E65">
            <v>-3812527.1</v>
          </cell>
        </row>
        <row r="66">
          <cell r="A66">
            <v>3131100025</v>
          </cell>
          <cell r="C66" t="str">
            <v>US20P01003</v>
          </cell>
          <cell r="E66">
            <v>0</v>
          </cell>
        </row>
        <row r="67">
          <cell r="A67">
            <v>3201300002</v>
          </cell>
          <cell r="C67" t="str">
            <v>US20P01003</v>
          </cell>
          <cell r="E67">
            <v>0</v>
          </cell>
        </row>
        <row r="68">
          <cell r="A68">
            <v>3201300007</v>
          </cell>
          <cell r="C68" t="str">
            <v>US20P01003</v>
          </cell>
          <cell r="E68">
            <v>0</v>
          </cell>
        </row>
        <row r="69">
          <cell r="A69">
            <v>3911100010</v>
          </cell>
          <cell r="C69" t="str">
            <v>US20P01003</v>
          </cell>
          <cell r="E69">
            <v>0</v>
          </cell>
        </row>
        <row r="70">
          <cell r="A70">
            <v>3911100012</v>
          </cell>
          <cell r="C70" t="str">
            <v>US20P01003</v>
          </cell>
          <cell r="E70">
            <v>0</v>
          </cell>
        </row>
        <row r="71">
          <cell r="A71">
            <v>3911100015</v>
          </cell>
          <cell r="C71" t="str">
            <v>US20P01003</v>
          </cell>
          <cell r="E71">
            <v>0</v>
          </cell>
        </row>
        <row r="72">
          <cell r="A72">
            <v>3911100022</v>
          </cell>
          <cell r="C72" t="str">
            <v>US20P01003</v>
          </cell>
          <cell r="E72">
            <v>0</v>
          </cell>
        </row>
        <row r="73">
          <cell r="A73">
            <v>3911100041</v>
          </cell>
          <cell r="C73" t="str">
            <v>US20P01003</v>
          </cell>
          <cell r="E73">
            <v>0</v>
          </cell>
        </row>
        <row r="74">
          <cell r="A74">
            <v>3921200003</v>
          </cell>
          <cell r="C74" t="str">
            <v>US20P01003</v>
          </cell>
          <cell r="E74">
            <v>0</v>
          </cell>
        </row>
        <row r="75">
          <cell r="A75">
            <v>3921200010</v>
          </cell>
          <cell r="C75" t="str">
            <v>US20P01003</v>
          </cell>
          <cell r="E75">
            <v>0</v>
          </cell>
        </row>
        <row r="76">
          <cell r="A76">
            <v>3921200037</v>
          </cell>
          <cell r="C76" t="str">
            <v>US20P01003</v>
          </cell>
          <cell r="E76">
            <v>0</v>
          </cell>
        </row>
        <row r="77">
          <cell r="A77">
            <v>3951100005</v>
          </cell>
          <cell r="C77" t="str">
            <v>US20P01003</v>
          </cell>
          <cell r="E77">
            <v>0</v>
          </cell>
        </row>
        <row r="78">
          <cell r="A78">
            <v>3991200001</v>
          </cell>
          <cell r="C78" t="str">
            <v>US20P01003</v>
          </cell>
          <cell r="E78">
            <v>0</v>
          </cell>
        </row>
        <row r="79">
          <cell r="A79">
            <v>3991200015</v>
          </cell>
          <cell r="C79" t="str">
            <v>US20P01003</v>
          </cell>
          <cell r="E79">
            <v>0</v>
          </cell>
        </row>
        <row r="80">
          <cell r="A80">
            <v>3991200018</v>
          </cell>
          <cell r="C80" t="str">
            <v>US20P01003</v>
          </cell>
          <cell r="E80">
            <v>0</v>
          </cell>
        </row>
        <row r="81">
          <cell r="A81">
            <v>3991200023</v>
          </cell>
          <cell r="C81" t="str">
            <v>US20P01003</v>
          </cell>
          <cell r="E81">
            <v>0</v>
          </cell>
        </row>
        <row r="82">
          <cell r="A82">
            <v>3131100007</v>
          </cell>
          <cell r="C82" t="str">
            <v>US20P01004</v>
          </cell>
          <cell r="E82">
            <v>280</v>
          </cell>
        </row>
        <row r="83">
          <cell r="A83">
            <v>3201300002</v>
          </cell>
          <cell r="C83" t="str">
            <v>US20P01004</v>
          </cell>
          <cell r="E83">
            <v>0</v>
          </cell>
        </row>
        <row r="84">
          <cell r="A84">
            <v>3201400002</v>
          </cell>
          <cell r="C84" t="str">
            <v>US20P01004</v>
          </cell>
          <cell r="E84">
            <v>206.85</v>
          </cell>
        </row>
        <row r="85">
          <cell r="A85">
            <v>3201400029</v>
          </cell>
          <cell r="C85" t="str">
            <v>US20P01004</v>
          </cell>
          <cell r="E85">
            <v>150.09</v>
          </cell>
        </row>
        <row r="86">
          <cell r="A86">
            <v>3911100010</v>
          </cell>
          <cell r="C86" t="str">
            <v>US20P01004</v>
          </cell>
          <cell r="E86">
            <v>980.78</v>
          </cell>
        </row>
        <row r="87">
          <cell r="A87">
            <v>3911100012</v>
          </cell>
          <cell r="C87" t="str">
            <v>US20P01004</v>
          </cell>
          <cell r="E87">
            <v>9025.1200000000008</v>
          </cell>
        </row>
        <row r="88">
          <cell r="A88">
            <v>3911100015</v>
          </cell>
          <cell r="C88" t="str">
            <v>US20P01004</v>
          </cell>
          <cell r="E88">
            <v>5572.42</v>
          </cell>
        </row>
        <row r="89">
          <cell r="A89">
            <v>3911100022</v>
          </cell>
          <cell r="C89" t="str">
            <v>US20P01004</v>
          </cell>
          <cell r="E89">
            <v>18404.689999999999</v>
          </cell>
        </row>
        <row r="90">
          <cell r="A90">
            <v>3911100041</v>
          </cell>
          <cell r="C90" t="str">
            <v>US20P01004</v>
          </cell>
          <cell r="E90">
            <v>2570.87</v>
          </cell>
        </row>
        <row r="91">
          <cell r="A91">
            <v>3911200001</v>
          </cell>
          <cell r="C91" t="str">
            <v>US20P01004</v>
          </cell>
          <cell r="E91">
            <v>121.51</v>
          </cell>
        </row>
        <row r="92">
          <cell r="A92">
            <v>3921200003</v>
          </cell>
          <cell r="C92" t="str">
            <v>US20P01004</v>
          </cell>
          <cell r="E92">
            <v>865.53</v>
          </cell>
        </row>
        <row r="93">
          <cell r="A93">
            <v>3921200006</v>
          </cell>
          <cell r="C93" t="str">
            <v>US20P01004</v>
          </cell>
          <cell r="E93">
            <v>2</v>
          </cell>
        </row>
        <row r="94">
          <cell r="A94">
            <v>3921200010</v>
          </cell>
          <cell r="C94" t="str">
            <v>US20P01004</v>
          </cell>
          <cell r="E94">
            <v>178.39</v>
          </cell>
        </row>
        <row r="95">
          <cell r="A95">
            <v>3951100005</v>
          </cell>
          <cell r="C95" t="str">
            <v>US20P01004</v>
          </cell>
          <cell r="E95">
            <v>0</v>
          </cell>
        </row>
        <row r="96">
          <cell r="A96">
            <v>3951200008</v>
          </cell>
          <cell r="C96" t="str">
            <v>US20P01004</v>
          </cell>
          <cell r="E96">
            <v>449.44</v>
          </cell>
        </row>
        <row r="97">
          <cell r="A97">
            <v>3991200001</v>
          </cell>
          <cell r="C97" t="str">
            <v>US20P01004</v>
          </cell>
          <cell r="E97">
            <v>90.67</v>
          </cell>
        </row>
        <row r="98">
          <cell r="A98">
            <v>3991200012</v>
          </cell>
          <cell r="C98" t="str">
            <v>US20P01004</v>
          </cell>
          <cell r="E98">
            <v>0</v>
          </cell>
        </row>
        <row r="99">
          <cell r="A99">
            <v>3991200015</v>
          </cell>
          <cell r="C99" t="str">
            <v>US20P01004</v>
          </cell>
          <cell r="E99">
            <v>979.34</v>
          </cell>
        </row>
        <row r="100">
          <cell r="A100">
            <v>3991200023</v>
          </cell>
          <cell r="C100" t="str">
            <v>US20P01004</v>
          </cell>
          <cell r="E100">
            <v>87.34</v>
          </cell>
        </row>
        <row r="101">
          <cell r="A101">
            <v>3991200099</v>
          </cell>
          <cell r="C101" t="str">
            <v>US20P01004</v>
          </cell>
          <cell r="E101">
            <v>413.2</v>
          </cell>
        </row>
        <row r="102">
          <cell r="A102">
            <v>9420000008</v>
          </cell>
          <cell r="C102" t="str">
            <v>US20P01004</v>
          </cell>
          <cell r="E102">
            <v>-40378.239999999998</v>
          </cell>
        </row>
        <row r="103">
          <cell r="A103">
            <v>3991200099</v>
          </cell>
          <cell r="C103" t="str">
            <v>US20P01515</v>
          </cell>
          <cell r="E103">
            <v>-1131448.3200000001</v>
          </cell>
        </row>
        <row r="104">
          <cell r="A104">
            <v>9420000008</v>
          </cell>
          <cell r="C104" t="str">
            <v>US20P01515</v>
          </cell>
          <cell r="E104">
            <v>-145571.32999999999</v>
          </cell>
        </row>
        <row r="105">
          <cell r="A105">
            <v>9430000250</v>
          </cell>
          <cell r="C105" t="str">
            <v>US20P01515</v>
          </cell>
          <cell r="E105">
            <v>1277019.6499999999</v>
          </cell>
        </row>
        <row r="106">
          <cell r="A106">
            <v>3201400029</v>
          </cell>
          <cell r="C106" t="str">
            <v>US20P01550</v>
          </cell>
          <cell r="E106">
            <v>0</v>
          </cell>
        </row>
        <row r="107">
          <cell r="A107">
            <v>3921200010</v>
          </cell>
          <cell r="C107" t="str">
            <v>US20P01550</v>
          </cell>
          <cell r="E107">
            <v>925.11</v>
          </cell>
        </row>
        <row r="108">
          <cell r="A108">
            <v>3921200014</v>
          </cell>
          <cell r="C108" t="str">
            <v>US20P01550</v>
          </cell>
          <cell r="E108">
            <v>-46200.2</v>
          </cell>
        </row>
        <row r="109">
          <cell r="A109">
            <v>3921200037</v>
          </cell>
          <cell r="C109" t="str">
            <v>US20P01550</v>
          </cell>
          <cell r="E109">
            <v>0</v>
          </cell>
        </row>
        <row r="110">
          <cell r="A110">
            <v>3921200100</v>
          </cell>
          <cell r="C110" t="str">
            <v>US20P01550</v>
          </cell>
          <cell r="E110">
            <v>5062.4799999999996</v>
          </cell>
        </row>
        <row r="111">
          <cell r="A111">
            <v>3941100002</v>
          </cell>
          <cell r="C111" t="str">
            <v>US20P01550</v>
          </cell>
          <cell r="E111">
            <v>0</v>
          </cell>
        </row>
        <row r="112">
          <cell r="A112">
            <v>3961100000</v>
          </cell>
          <cell r="C112" t="str">
            <v>US20P01550</v>
          </cell>
          <cell r="E112">
            <v>407865</v>
          </cell>
        </row>
        <row r="113">
          <cell r="A113">
            <v>3991200012</v>
          </cell>
          <cell r="C113" t="str">
            <v>US20P01550</v>
          </cell>
          <cell r="E113">
            <v>50.01</v>
          </cell>
        </row>
        <row r="114">
          <cell r="A114">
            <v>3991200099</v>
          </cell>
          <cell r="C114" t="str">
            <v>US20P01550</v>
          </cell>
          <cell r="E114">
            <v>-19141.02</v>
          </cell>
        </row>
        <row r="115">
          <cell r="A115">
            <v>9420000002</v>
          </cell>
          <cell r="C115" t="str">
            <v>US20P01550</v>
          </cell>
          <cell r="E115">
            <v>859641.63</v>
          </cell>
        </row>
        <row r="116">
          <cell r="A116">
            <v>9420000008</v>
          </cell>
          <cell r="C116" t="str">
            <v>US20P01550</v>
          </cell>
          <cell r="E116">
            <v>1196563.77</v>
          </cell>
        </row>
        <row r="117">
          <cell r="A117">
            <v>9430000129</v>
          </cell>
          <cell r="C117" t="str">
            <v>US20P01550</v>
          </cell>
          <cell r="E117">
            <v>-1674755.82</v>
          </cell>
        </row>
        <row r="118">
          <cell r="A118">
            <v>9430000408</v>
          </cell>
          <cell r="C118" t="str">
            <v>US20P01550</v>
          </cell>
          <cell r="E118">
            <v>-730010.96</v>
          </cell>
        </row>
        <row r="119">
          <cell r="A119">
            <v>3001504004</v>
          </cell>
          <cell r="C119" t="str">
            <v>US20P01560</v>
          </cell>
          <cell r="E119">
            <v>-0.06</v>
          </cell>
        </row>
        <row r="120">
          <cell r="A120">
            <v>3001504005</v>
          </cell>
          <cell r="C120" t="str">
            <v>US20P01560</v>
          </cell>
          <cell r="E120">
            <v>0</v>
          </cell>
        </row>
        <row r="121">
          <cell r="A121">
            <v>3201400029</v>
          </cell>
          <cell r="C121" t="str">
            <v>US20P01560</v>
          </cell>
          <cell r="E121">
            <v>0</v>
          </cell>
        </row>
        <row r="122">
          <cell r="A122">
            <v>3311400099</v>
          </cell>
          <cell r="C122" t="str">
            <v>US20P01560</v>
          </cell>
          <cell r="E122">
            <v>90057.45</v>
          </cell>
        </row>
        <row r="123">
          <cell r="A123">
            <v>3921200010</v>
          </cell>
          <cell r="C123" t="str">
            <v>US20P01560</v>
          </cell>
          <cell r="E123">
            <v>41.15</v>
          </cell>
        </row>
        <row r="124">
          <cell r="A124">
            <v>3921200037</v>
          </cell>
          <cell r="C124" t="str">
            <v>US20P01560</v>
          </cell>
          <cell r="E124">
            <v>581.91</v>
          </cell>
        </row>
        <row r="125">
          <cell r="A125">
            <v>3921200100</v>
          </cell>
          <cell r="C125" t="str">
            <v>US20P01560</v>
          </cell>
          <cell r="E125">
            <v>423634.38</v>
          </cell>
        </row>
        <row r="126">
          <cell r="A126">
            <v>3941100013</v>
          </cell>
          <cell r="C126" t="str">
            <v>US20P01560</v>
          </cell>
          <cell r="E126">
            <v>0</v>
          </cell>
        </row>
        <row r="127">
          <cell r="A127">
            <v>3991200012</v>
          </cell>
          <cell r="C127" t="str">
            <v>US20P01560</v>
          </cell>
          <cell r="E127">
            <v>245.88</v>
          </cell>
        </row>
        <row r="128">
          <cell r="A128">
            <v>9420000008</v>
          </cell>
          <cell r="C128" t="str">
            <v>US20P01560</v>
          </cell>
          <cell r="E128">
            <v>-262721.51</v>
          </cell>
        </row>
        <row r="129">
          <cell r="A129">
            <v>9430000044</v>
          </cell>
          <cell r="C129" t="str">
            <v>US20P01560</v>
          </cell>
          <cell r="E129">
            <v>-251839.2</v>
          </cell>
        </row>
        <row r="130">
          <cell r="A130">
            <v>3201300001</v>
          </cell>
          <cell r="C130" t="str">
            <v>US20P3C001</v>
          </cell>
          <cell r="E130">
            <v>2831.4</v>
          </cell>
        </row>
        <row r="131">
          <cell r="A131">
            <v>3911100010</v>
          </cell>
          <cell r="C131" t="str">
            <v>US20P3C001</v>
          </cell>
          <cell r="E131">
            <v>182.03</v>
          </cell>
        </row>
        <row r="132">
          <cell r="A132">
            <v>3911100012</v>
          </cell>
          <cell r="C132" t="str">
            <v>US20P3C001</v>
          </cell>
          <cell r="E132">
            <v>522.11</v>
          </cell>
        </row>
        <row r="133">
          <cell r="A133">
            <v>3911100015</v>
          </cell>
          <cell r="C133" t="str">
            <v>US20P3C001</v>
          </cell>
          <cell r="E133">
            <v>471.79</v>
          </cell>
        </row>
        <row r="134">
          <cell r="A134">
            <v>3911100022</v>
          </cell>
          <cell r="C134" t="str">
            <v>US20P3C001</v>
          </cell>
          <cell r="E134">
            <v>613.79999999999995</v>
          </cell>
        </row>
        <row r="135">
          <cell r="A135">
            <v>3911100041</v>
          </cell>
          <cell r="C135" t="str">
            <v>US20P3C001</v>
          </cell>
          <cell r="E135">
            <v>27.58</v>
          </cell>
        </row>
        <row r="136">
          <cell r="A136">
            <v>3911200001</v>
          </cell>
          <cell r="C136" t="str">
            <v>US20P3C001</v>
          </cell>
          <cell r="E136">
            <v>391.43</v>
          </cell>
        </row>
        <row r="137">
          <cell r="A137">
            <v>3921200003</v>
          </cell>
          <cell r="C137" t="str">
            <v>US20P3C001</v>
          </cell>
          <cell r="E137">
            <v>189.26</v>
          </cell>
        </row>
        <row r="138">
          <cell r="A138">
            <v>3921200004</v>
          </cell>
          <cell r="C138" t="str">
            <v>US20P3C001</v>
          </cell>
          <cell r="E138">
            <v>0</v>
          </cell>
        </row>
        <row r="139">
          <cell r="A139">
            <v>3991200015</v>
          </cell>
          <cell r="C139" t="str">
            <v>US20P3C001</v>
          </cell>
          <cell r="E139">
            <v>776.29</v>
          </cell>
        </row>
        <row r="140">
          <cell r="A140">
            <v>9420000002</v>
          </cell>
          <cell r="C140" t="str">
            <v>US20P3C001</v>
          </cell>
          <cell r="E140">
            <v>1869992.39</v>
          </cell>
        </row>
        <row r="141">
          <cell r="A141">
            <v>9420000008</v>
          </cell>
          <cell r="C141" t="str">
            <v>US20P3C001</v>
          </cell>
          <cell r="E141">
            <v>-112132.41</v>
          </cell>
        </row>
        <row r="142">
          <cell r="A142">
            <v>9430000041</v>
          </cell>
          <cell r="C142" t="str">
            <v>US20P3C001</v>
          </cell>
          <cell r="E142">
            <v>0</v>
          </cell>
        </row>
        <row r="143">
          <cell r="A143">
            <v>9430000202</v>
          </cell>
          <cell r="C143" t="str">
            <v>US20P3C001</v>
          </cell>
          <cell r="E143">
            <v>0</v>
          </cell>
        </row>
        <row r="144">
          <cell r="A144">
            <v>9430000206</v>
          </cell>
          <cell r="C144" t="str">
            <v>US20P3C001</v>
          </cell>
          <cell r="E144">
            <v>0</v>
          </cell>
        </row>
        <row r="145">
          <cell r="A145">
            <v>9430000207</v>
          </cell>
          <cell r="C145" t="str">
            <v>US20P3C001</v>
          </cell>
          <cell r="E145">
            <v>0</v>
          </cell>
        </row>
        <row r="146">
          <cell r="A146">
            <v>9430000209</v>
          </cell>
          <cell r="C146" t="str">
            <v>US20P3C001</v>
          </cell>
          <cell r="E146">
            <v>-1763865.67</v>
          </cell>
        </row>
        <row r="147">
          <cell r="A147">
            <v>9430000250</v>
          </cell>
          <cell r="C147" t="str">
            <v>US20P3C001</v>
          </cell>
          <cell r="E147">
            <v>0</v>
          </cell>
        </row>
        <row r="148">
          <cell r="A148">
            <v>9430000400</v>
          </cell>
          <cell r="C148" t="str">
            <v>US20P3C001</v>
          </cell>
          <cell r="E148">
            <v>0</v>
          </cell>
        </row>
        <row r="149">
          <cell r="A149">
            <v>3991200099</v>
          </cell>
          <cell r="C149" t="str">
            <v>US20P3C513</v>
          </cell>
          <cell r="E149">
            <v>3127386.86</v>
          </cell>
        </row>
        <row r="150">
          <cell r="A150">
            <v>9420000008</v>
          </cell>
          <cell r="C150" t="str">
            <v>US20P3C513</v>
          </cell>
          <cell r="E150">
            <v>804500.29</v>
          </cell>
        </row>
        <row r="151">
          <cell r="A151">
            <v>9430000401</v>
          </cell>
          <cell r="C151" t="str">
            <v>US20P3C513</v>
          </cell>
          <cell r="E151">
            <v>-3931887.15</v>
          </cell>
        </row>
        <row r="152">
          <cell r="A152">
            <v>3921200037</v>
          </cell>
          <cell r="C152" t="str">
            <v>US20P3C550</v>
          </cell>
          <cell r="E152">
            <v>0</v>
          </cell>
        </row>
        <row r="153">
          <cell r="A153">
            <v>3991200099</v>
          </cell>
          <cell r="C153" t="str">
            <v>US20P3C550</v>
          </cell>
          <cell r="E153">
            <v>31463.39</v>
          </cell>
        </row>
        <row r="154">
          <cell r="A154">
            <v>3991200101</v>
          </cell>
          <cell r="C154" t="str">
            <v>US20P3C550</v>
          </cell>
          <cell r="E154">
            <v>424.5</v>
          </cell>
        </row>
        <row r="155">
          <cell r="A155">
            <v>9420000002</v>
          </cell>
          <cell r="C155" t="str">
            <v>US20P3C550</v>
          </cell>
          <cell r="E155">
            <v>573094.43999999994</v>
          </cell>
        </row>
        <row r="156">
          <cell r="A156">
            <v>9420000008</v>
          </cell>
          <cell r="C156" t="str">
            <v>US20P3C550</v>
          </cell>
          <cell r="E156">
            <v>254599.24</v>
          </cell>
        </row>
        <row r="157">
          <cell r="A157">
            <v>9430000129</v>
          </cell>
          <cell r="C157" t="str">
            <v>US20P3C550</v>
          </cell>
          <cell r="E157">
            <v>-859581.57</v>
          </cell>
        </row>
        <row r="158">
          <cell r="A158">
            <v>3001504004</v>
          </cell>
          <cell r="C158" t="str">
            <v>US20P3C560</v>
          </cell>
          <cell r="E158">
            <v>0</v>
          </cell>
        </row>
        <row r="159">
          <cell r="A159">
            <v>3201400029</v>
          </cell>
          <cell r="C159" t="str">
            <v>US20P3C560</v>
          </cell>
          <cell r="E159">
            <v>18434</v>
          </cell>
        </row>
        <row r="160">
          <cell r="A160">
            <v>3311400099</v>
          </cell>
          <cell r="C160" t="str">
            <v>US20P3C560</v>
          </cell>
          <cell r="E160">
            <v>214050.63</v>
          </cell>
        </row>
        <row r="161">
          <cell r="A161">
            <v>3921200006</v>
          </cell>
          <cell r="C161" t="str">
            <v>US20P3C560</v>
          </cell>
          <cell r="E161">
            <v>0</v>
          </cell>
        </row>
        <row r="162">
          <cell r="A162">
            <v>3921200014</v>
          </cell>
          <cell r="C162" t="str">
            <v>US20P3C560</v>
          </cell>
          <cell r="E162">
            <v>26683.65</v>
          </cell>
        </row>
        <row r="163">
          <cell r="A163">
            <v>3921200037</v>
          </cell>
          <cell r="C163" t="str">
            <v>US20P3C560</v>
          </cell>
          <cell r="E163">
            <v>-221.25</v>
          </cell>
        </row>
        <row r="164">
          <cell r="A164">
            <v>3921200100</v>
          </cell>
          <cell r="C164" t="str">
            <v>US20P3C560</v>
          </cell>
          <cell r="E164">
            <v>1462055.81</v>
          </cell>
        </row>
        <row r="165">
          <cell r="A165">
            <v>3941100013</v>
          </cell>
          <cell r="C165" t="str">
            <v>US20P3C560</v>
          </cell>
          <cell r="E165">
            <v>0</v>
          </cell>
        </row>
        <row r="166">
          <cell r="A166">
            <v>3981100067</v>
          </cell>
          <cell r="C166" t="str">
            <v>US20P3C560</v>
          </cell>
          <cell r="E166">
            <v>0</v>
          </cell>
        </row>
        <row r="167">
          <cell r="A167">
            <v>3981100078</v>
          </cell>
          <cell r="C167" t="str">
            <v>US20P3C560</v>
          </cell>
          <cell r="E167">
            <v>0</v>
          </cell>
        </row>
        <row r="168">
          <cell r="A168">
            <v>3991200012</v>
          </cell>
          <cell r="C168" t="str">
            <v>US20P3C560</v>
          </cell>
          <cell r="E168">
            <v>132.71</v>
          </cell>
        </row>
        <row r="169">
          <cell r="A169">
            <v>9420000008</v>
          </cell>
          <cell r="C169" t="str">
            <v>US20P3C560</v>
          </cell>
          <cell r="E169">
            <v>-488376.58</v>
          </cell>
        </row>
        <row r="170">
          <cell r="A170">
            <v>9430000044</v>
          </cell>
          <cell r="C170" t="str">
            <v>US20P3C560</v>
          </cell>
          <cell r="E170">
            <v>-1232758.97</v>
          </cell>
        </row>
        <row r="171">
          <cell r="A171">
            <v>3111100000</v>
          </cell>
          <cell r="C171" t="str">
            <v>US20PZA001</v>
          </cell>
          <cell r="E171">
            <v>1050809.3700000001</v>
          </cell>
        </row>
        <row r="172">
          <cell r="A172">
            <v>3111100012</v>
          </cell>
          <cell r="C172" t="str">
            <v>US20PZA001</v>
          </cell>
          <cell r="E172">
            <v>5045.92</v>
          </cell>
        </row>
        <row r="173">
          <cell r="A173">
            <v>3111100020</v>
          </cell>
          <cell r="C173" t="str">
            <v>US20PZA001</v>
          </cell>
          <cell r="E173">
            <v>-30472.66</v>
          </cell>
        </row>
        <row r="174">
          <cell r="A174">
            <v>3111100900</v>
          </cell>
          <cell r="C174" t="str">
            <v>US20PZA001</v>
          </cell>
          <cell r="E174">
            <v>1387.5</v>
          </cell>
        </row>
        <row r="175">
          <cell r="A175">
            <v>3111101000</v>
          </cell>
          <cell r="C175" t="str">
            <v>US20PZA001</v>
          </cell>
          <cell r="E175">
            <v>99003.91</v>
          </cell>
        </row>
        <row r="176">
          <cell r="A176">
            <v>3121300013</v>
          </cell>
          <cell r="C176" t="str">
            <v>US20PZA001</v>
          </cell>
          <cell r="E176">
            <v>0</v>
          </cell>
        </row>
        <row r="177">
          <cell r="A177">
            <v>3121300031</v>
          </cell>
          <cell r="C177" t="str">
            <v>US20PZA001</v>
          </cell>
          <cell r="E177">
            <v>232.4</v>
          </cell>
        </row>
        <row r="178">
          <cell r="A178">
            <v>3131100005</v>
          </cell>
          <cell r="C178" t="str">
            <v>US20PZA001</v>
          </cell>
          <cell r="E178">
            <v>39395.120000000003</v>
          </cell>
        </row>
        <row r="179">
          <cell r="A179">
            <v>3131100006</v>
          </cell>
          <cell r="C179" t="str">
            <v>US20PZA001</v>
          </cell>
          <cell r="E179">
            <v>3476.37</v>
          </cell>
        </row>
        <row r="180">
          <cell r="A180">
            <v>3131100007</v>
          </cell>
          <cell r="C180" t="str">
            <v>US20PZA001</v>
          </cell>
          <cell r="E180">
            <v>198</v>
          </cell>
        </row>
        <row r="181">
          <cell r="A181">
            <v>3131100025</v>
          </cell>
          <cell r="C181" t="str">
            <v>US20PZA001</v>
          </cell>
          <cell r="E181">
            <v>1790.61</v>
          </cell>
        </row>
        <row r="182">
          <cell r="A182">
            <v>3131100031</v>
          </cell>
          <cell r="C182" t="str">
            <v>US20PZA001</v>
          </cell>
          <cell r="E182">
            <v>506</v>
          </cell>
        </row>
        <row r="183">
          <cell r="A183">
            <v>3131100032</v>
          </cell>
          <cell r="C183" t="str">
            <v>US20PZA001</v>
          </cell>
          <cell r="E183">
            <v>0</v>
          </cell>
        </row>
        <row r="184">
          <cell r="A184">
            <v>3201300001</v>
          </cell>
          <cell r="C184" t="str">
            <v>US20PZA001</v>
          </cell>
          <cell r="E184">
            <v>5171.1099999999997</v>
          </cell>
        </row>
        <row r="185">
          <cell r="A185">
            <v>3201300002</v>
          </cell>
          <cell r="C185" t="str">
            <v>US20PZA001</v>
          </cell>
          <cell r="E185">
            <v>7483.12</v>
          </cell>
        </row>
        <row r="186">
          <cell r="A186">
            <v>3201300004</v>
          </cell>
          <cell r="C186" t="str">
            <v>US20PZA001</v>
          </cell>
          <cell r="E186">
            <v>50</v>
          </cell>
        </row>
        <row r="187">
          <cell r="A187">
            <v>3201300005</v>
          </cell>
          <cell r="C187" t="str">
            <v>US20PZA001</v>
          </cell>
          <cell r="E187">
            <v>0</v>
          </cell>
        </row>
        <row r="188">
          <cell r="A188">
            <v>3201300006</v>
          </cell>
          <cell r="C188" t="str">
            <v>US20PZA001</v>
          </cell>
          <cell r="E188">
            <v>0</v>
          </cell>
        </row>
        <row r="189">
          <cell r="A189">
            <v>3201300007</v>
          </cell>
          <cell r="C189" t="str">
            <v>US20PZA001</v>
          </cell>
          <cell r="E189">
            <v>500</v>
          </cell>
        </row>
        <row r="190">
          <cell r="A190">
            <v>3201400002</v>
          </cell>
          <cell r="C190" t="str">
            <v>US20PZA001</v>
          </cell>
          <cell r="E190">
            <v>1696.4</v>
          </cell>
        </row>
        <row r="191">
          <cell r="A191">
            <v>3201400003</v>
          </cell>
          <cell r="C191" t="str">
            <v>US20PZA001</v>
          </cell>
          <cell r="E191">
            <v>0</v>
          </cell>
        </row>
        <row r="192">
          <cell r="A192">
            <v>3201400004</v>
          </cell>
          <cell r="C192" t="str">
            <v>US20PZA001</v>
          </cell>
          <cell r="E192">
            <v>0</v>
          </cell>
        </row>
        <row r="193">
          <cell r="A193">
            <v>3201400029</v>
          </cell>
          <cell r="C193" t="str">
            <v>US20PZA001</v>
          </cell>
          <cell r="E193">
            <v>3516.35</v>
          </cell>
        </row>
        <row r="194">
          <cell r="A194">
            <v>3201400051</v>
          </cell>
          <cell r="C194" t="str">
            <v>US20PZA001</v>
          </cell>
          <cell r="E194">
            <v>292.02999999999997</v>
          </cell>
        </row>
        <row r="195">
          <cell r="A195">
            <v>3201400055</v>
          </cell>
          <cell r="C195" t="str">
            <v>US20PZA001</v>
          </cell>
          <cell r="E195">
            <v>0</v>
          </cell>
        </row>
        <row r="196">
          <cell r="A196">
            <v>3201400061</v>
          </cell>
          <cell r="C196" t="str">
            <v>US20PZA001</v>
          </cell>
          <cell r="E196">
            <v>269.45</v>
          </cell>
        </row>
        <row r="197">
          <cell r="A197">
            <v>3201400070</v>
          </cell>
          <cell r="C197" t="str">
            <v>US20PZA001</v>
          </cell>
          <cell r="E197">
            <v>0</v>
          </cell>
        </row>
        <row r="198">
          <cell r="A198">
            <v>3311400099</v>
          </cell>
          <cell r="C198" t="str">
            <v>US20PZA001</v>
          </cell>
          <cell r="E198">
            <v>90601.54</v>
          </cell>
        </row>
        <row r="199">
          <cell r="A199">
            <v>3911100010</v>
          </cell>
          <cell r="C199" t="str">
            <v>US20PZA001</v>
          </cell>
          <cell r="E199">
            <v>3363.24</v>
          </cell>
        </row>
        <row r="200">
          <cell r="A200">
            <v>3911100012</v>
          </cell>
          <cell r="C200" t="str">
            <v>US20PZA001</v>
          </cell>
          <cell r="E200">
            <v>23124.18</v>
          </cell>
        </row>
        <row r="201">
          <cell r="A201">
            <v>3911100015</v>
          </cell>
          <cell r="C201" t="str">
            <v>US20PZA001</v>
          </cell>
          <cell r="E201">
            <v>19270.8</v>
          </cell>
        </row>
        <row r="202">
          <cell r="A202">
            <v>3911100022</v>
          </cell>
          <cell r="C202" t="str">
            <v>US20PZA001</v>
          </cell>
          <cell r="E202">
            <v>83919.93</v>
          </cell>
        </row>
        <row r="203">
          <cell r="A203">
            <v>3911100041</v>
          </cell>
          <cell r="C203" t="str">
            <v>US20PZA001</v>
          </cell>
          <cell r="E203">
            <v>4734.6400000000003</v>
          </cell>
        </row>
        <row r="204">
          <cell r="A204">
            <v>3911200000</v>
          </cell>
          <cell r="C204" t="str">
            <v>US20PZA001</v>
          </cell>
          <cell r="E204">
            <v>0</v>
          </cell>
        </row>
        <row r="205">
          <cell r="A205">
            <v>3911200001</v>
          </cell>
          <cell r="C205" t="str">
            <v>US20PZA001</v>
          </cell>
          <cell r="E205">
            <v>7266.13</v>
          </cell>
        </row>
        <row r="206">
          <cell r="A206">
            <v>3911200006</v>
          </cell>
          <cell r="C206" t="str">
            <v>US20PZA001</v>
          </cell>
          <cell r="E206">
            <v>189.16</v>
          </cell>
        </row>
        <row r="207">
          <cell r="A207">
            <v>3911200014</v>
          </cell>
          <cell r="C207" t="str">
            <v>US20PZA001</v>
          </cell>
          <cell r="E207">
            <v>0</v>
          </cell>
        </row>
        <row r="208">
          <cell r="A208">
            <v>3921200001</v>
          </cell>
          <cell r="C208" t="str">
            <v>US20PZA001</v>
          </cell>
          <cell r="E208">
            <v>27.03</v>
          </cell>
        </row>
        <row r="209">
          <cell r="A209">
            <v>3921200003</v>
          </cell>
          <cell r="C209" t="str">
            <v>US20PZA001</v>
          </cell>
          <cell r="E209">
            <v>5141.24</v>
          </cell>
        </row>
        <row r="210">
          <cell r="A210">
            <v>3921200006</v>
          </cell>
          <cell r="C210" t="str">
            <v>US20PZA001</v>
          </cell>
          <cell r="E210">
            <v>0</v>
          </cell>
        </row>
        <row r="211">
          <cell r="A211">
            <v>3921200010</v>
          </cell>
          <cell r="C211" t="str">
            <v>US20PZA001</v>
          </cell>
          <cell r="E211">
            <v>12651.7</v>
          </cell>
        </row>
        <row r="212">
          <cell r="A212">
            <v>3921200011</v>
          </cell>
          <cell r="C212" t="str">
            <v>US20PZA001</v>
          </cell>
          <cell r="E212">
            <v>0</v>
          </cell>
        </row>
        <row r="213">
          <cell r="A213">
            <v>3921200014</v>
          </cell>
          <cell r="C213" t="str">
            <v>US20PZA001</v>
          </cell>
          <cell r="E213">
            <v>0</v>
          </cell>
        </row>
        <row r="214">
          <cell r="A214">
            <v>3921200037</v>
          </cell>
          <cell r="C214" t="str">
            <v>US20PZA001</v>
          </cell>
          <cell r="E214">
            <v>4775.3999999999996</v>
          </cell>
        </row>
        <row r="215">
          <cell r="A215">
            <v>3921200050</v>
          </cell>
          <cell r="C215" t="str">
            <v>US20PZA001</v>
          </cell>
          <cell r="E215">
            <v>64.989999999999995</v>
          </cell>
        </row>
        <row r="216">
          <cell r="A216">
            <v>3921200100</v>
          </cell>
          <cell r="C216" t="str">
            <v>US20PZA001</v>
          </cell>
          <cell r="E216">
            <v>22548.39</v>
          </cell>
        </row>
        <row r="217">
          <cell r="A217">
            <v>3951100002</v>
          </cell>
          <cell r="C217" t="str">
            <v>US20PZA001</v>
          </cell>
          <cell r="E217">
            <v>2384.41</v>
          </cell>
        </row>
        <row r="218">
          <cell r="A218">
            <v>3951100005</v>
          </cell>
          <cell r="C218" t="str">
            <v>US20PZA001</v>
          </cell>
          <cell r="E218">
            <v>1115.3800000000001</v>
          </cell>
        </row>
        <row r="219">
          <cell r="A219">
            <v>3951200002</v>
          </cell>
          <cell r="C219" t="str">
            <v>US20PZA001</v>
          </cell>
          <cell r="E219">
            <v>20701.47</v>
          </cell>
        </row>
        <row r="220">
          <cell r="A220">
            <v>3951200008</v>
          </cell>
          <cell r="C220" t="str">
            <v>US20PZA001</v>
          </cell>
          <cell r="E220">
            <v>8423.9</v>
          </cell>
        </row>
        <row r="221">
          <cell r="A221">
            <v>3981100067</v>
          </cell>
          <cell r="C221" t="str">
            <v>US20PZA001</v>
          </cell>
          <cell r="E221">
            <v>0</v>
          </cell>
        </row>
        <row r="222">
          <cell r="A222">
            <v>3981100078</v>
          </cell>
          <cell r="C222" t="str">
            <v>US20PZA001</v>
          </cell>
          <cell r="E222">
            <v>0</v>
          </cell>
        </row>
        <row r="223">
          <cell r="A223">
            <v>3991200001</v>
          </cell>
          <cell r="C223" t="str">
            <v>US20PZA001</v>
          </cell>
          <cell r="E223">
            <v>-0.5</v>
          </cell>
        </row>
        <row r="224">
          <cell r="A224">
            <v>3991200012</v>
          </cell>
          <cell r="C224" t="str">
            <v>US20PZA001</v>
          </cell>
          <cell r="E224">
            <v>2078.39</v>
          </cell>
        </row>
        <row r="225">
          <cell r="A225">
            <v>3991200013</v>
          </cell>
          <cell r="C225" t="str">
            <v>US20PZA001</v>
          </cell>
          <cell r="E225">
            <v>0</v>
          </cell>
        </row>
        <row r="226">
          <cell r="A226">
            <v>3991200015</v>
          </cell>
          <cell r="C226" t="str">
            <v>US20PZA001</v>
          </cell>
          <cell r="E226">
            <v>27714.06</v>
          </cell>
        </row>
        <row r="227">
          <cell r="A227">
            <v>3991200018</v>
          </cell>
          <cell r="C227" t="str">
            <v>US20PZA001</v>
          </cell>
          <cell r="E227">
            <v>749.3</v>
          </cell>
        </row>
        <row r="228">
          <cell r="A228">
            <v>3991200068</v>
          </cell>
          <cell r="C228" t="str">
            <v>US20PZA001</v>
          </cell>
          <cell r="E228">
            <v>0</v>
          </cell>
        </row>
        <row r="229">
          <cell r="A229">
            <v>3991200099</v>
          </cell>
          <cell r="C229" t="str">
            <v>US20PZA001</v>
          </cell>
          <cell r="E229">
            <v>6691.52</v>
          </cell>
        </row>
        <row r="230">
          <cell r="A230">
            <v>3991200201</v>
          </cell>
          <cell r="C230" t="str">
            <v>US20PZA001</v>
          </cell>
          <cell r="E230">
            <v>0</v>
          </cell>
        </row>
        <row r="231">
          <cell r="A231">
            <v>3991200203</v>
          </cell>
          <cell r="C231" t="str">
            <v>US20PZA001</v>
          </cell>
          <cell r="E231">
            <v>0</v>
          </cell>
        </row>
        <row r="232">
          <cell r="A232">
            <v>3991200301</v>
          </cell>
          <cell r="C232" t="str">
            <v>US20PZA001</v>
          </cell>
          <cell r="E232">
            <v>358668.64</v>
          </cell>
        </row>
        <row r="233">
          <cell r="A233">
            <v>9420000002</v>
          </cell>
          <cell r="C233" t="str">
            <v>US20PZA001</v>
          </cell>
          <cell r="E233">
            <v>-3519091.63</v>
          </cell>
        </row>
        <row r="234">
          <cell r="A234">
            <v>9420000025</v>
          </cell>
          <cell r="C234" t="str">
            <v>US20PZA001</v>
          </cell>
          <cell r="E234">
            <v>383440.35</v>
          </cell>
        </row>
        <row r="235">
          <cell r="A235">
            <v>9420000301</v>
          </cell>
          <cell r="C235" t="str">
            <v>US20PZA001</v>
          </cell>
          <cell r="E235">
            <v>1239095.3400000001</v>
          </cell>
        </row>
        <row r="236">
          <cell r="A236">
            <v>3111100000</v>
          </cell>
          <cell r="C236" t="str">
            <v>US20PZA145</v>
          </cell>
          <cell r="E236">
            <v>369489.03</v>
          </cell>
        </row>
        <row r="237">
          <cell r="A237">
            <v>3111100020</v>
          </cell>
          <cell r="C237" t="str">
            <v>US20PZA145</v>
          </cell>
          <cell r="E237">
            <v>44305</v>
          </cell>
        </row>
        <row r="238">
          <cell r="A238">
            <v>3111100900</v>
          </cell>
          <cell r="C238" t="str">
            <v>US20PZA145</v>
          </cell>
          <cell r="E238">
            <v>1561.61</v>
          </cell>
        </row>
        <row r="239">
          <cell r="A239">
            <v>3111101000</v>
          </cell>
          <cell r="C239" t="str">
            <v>US20PZA145</v>
          </cell>
          <cell r="E239">
            <v>-167.66</v>
          </cell>
        </row>
        <row r="240">
          <cell r="A240">
            <v>3121300013</v>
          </cell>
          <cell r="C240" t="str">
            <v>US20PZA145</v>
          </cell>
          <cell r="E240">
            <v>0</v>
          </cell>
        </row>
        <row r="241">
          <cell r="A241">
            <v>3121300031</v>
          </cell>
          <cell r="C241" t="str">
            <v>US20PZA145</v>
          </cell>
          <cell r="E241">
            <v>158.30000000000001</v>
          </cell>
        </row>
        <row r="242">
          <cell r="A242">
            <v>3131100005</v>
          </cell>
          <cell r="C242" t="str">
            <v>US20PZA145</v>
          </cell>
          <cell r="E242">
            <v>49455.82</v>
          </cell>
        </row>
        <row r="243">
          <cell r="A243">
            <v>3131100006</v>
          </cell>
          <cell r="C243" t="str">
            <v>US20PZA145</v>
          </cell>
          <cell r="E243">
            <v>14310</v>
          </cell>
        </row>
        <row r="244">
          <cell r="A244">
            <v>3131100007</v>
          </cell>
          <cell r="C244" t="str">
            <v>US20PZA145</v>
          </cell>
          <cell r="E244">
            <v>0</v>
          </cell>
        </row>
        <row r="245">
          <cell r="A245">
            <v>3131100025</v>
          </cell>
          <cell r="C245" t="str">
            <v>US20PZA145</v>
          </cell>
          <cell r="E245">
            <v>616.76</v>
          </cell>
        </row>
        <row r="246">
          <cell r="A246">
            <v>3201300001</v>
          </cell>
          <cell r="C246" t="str">
            <v>US20PZA145</v>
          </cell>
          <cell r="E246">
            <v>15875.79</v>
          </cell>
        </row>
        <row r="247">
          <cell r="A247">
            <v>3201300002</v>
          </cell>
          <cell r="C247" t="str">
            <v>US20PZA145</v>
          </cell>
          <cell r="E247">
            <v>1203</v>
          </cell>
        </row>
        <row r="248">
          <cell r="A248">
            <v>3201300006</v>
          </cell>
          <cell r="C248" t="str">
            <v>US20PZA145</v>
          </cell>
          <cell r="E248">
            <v>0</v>
          </cell>
        </row>
        <row r="249">
          <cell r="A249">
            <v>3201300007</v>
          </cell>
          <cell r="C249" t="str">
            <v>US20PZA145</v>
          </cell>
          <cell r="E249">
            <v>5154</v>
          </cell>
        </row>
        <row r="250">
          <cell r="A250">
            <v>3201400029</v>
          </cell>
          <cell r="C250" t="str">
            <v>US20PZA145</v>
          </cell>
          <cell r="E250">
            <v>0</v>
          </cell>
        </row>
        <row r="251">
          <cell r="A251">
            <v>3911100010</v>
          </cell>
          <cell r="C251" t="str">
            <v>US20PZA145</v>
          </cell>
          <cell r="E251">
            <v>657.82</v>
          </cell>
        </row>
        <row r="252">
          <cell r="A252">
            <v>3911100012</v>
          </cell>
          <cell r="C252" t="str">
            <v>US20PZA145</v>
          </cell>
          <cell r="E252">
            <v>3537.45</v>
          </cell>
        </row>
        <row r="253">
          <cell r="A253">
            <v>3911100015</v>
          </cell>
          <cell r="C253" t="str">
            <v>US20PZA145</v>
          </cell>
          <cell r="E253">
            <v>1257.1099999999999</v>
          </cell>
        </row>
        <row r="254">
          <cell r="A254">
            <v>3911100022</v>
          </cell>
          <cell r="C254" t="str">
            <v>US20PZA145</v>
          </cell>
          <cell r="E254">
            <v>3300.43</v>
          </cell>
        </row>
        <row r="255">
          <cell r="A255">
            <v>3911100041</v>
          </cell>
          <cell r="C255" t="str">
            <v>US20PZA145</v>
          </cell>
          <cell r="E255">
            <v>677.26</v>
          </cell>
        </row>
        <row r="256">
          <cell r="A256">
            <v>3911200001</v>
          </cell>
          <cell r="C256" t="str">
            <v>US20PZA145</v>
          </cell>
          <cell r="E256">
            <v>311.52999999999997</v>
          </cell>
        </row>
        <row r="257">
          <cell r="A257">
            <v>3921200003</v>
          </cell>
          <cell r="C257" t="str">
            <v>US20PZA145</v>
          </cell>
          <cell r="E257">
            <v>58.99</v>
          </cell>
        </row>
        <row r="258">
          <cell r="A258">
            <v>3921200010</v>
          </cell>
          <cell r="C258" t="str">
            <v>US20PZA145</v>
          </cell>
          <cell r="E258">
            <v>578.96</v>
          </cell>
        </row>
        <row r="259">
          <cell r="A259">
            <v>3921200014</v>
          </cell>
          <cell r="C259" t="str">
            <v>US20PZA145</v>
          </cell>
          <cell r="E259">
            <v>0</v>
          </cell>
        </row>
        <row r="260">
          <cell r="A260">
            <v>3951100005</v>
          </cell>
          <cell r="C260" t="str">
            <v>US20PZA145</v>
          </cell>
          <cell r="E260">
            <v>0</v>
          </cell>
        </row>
        <row r="261">
          <cell r="A261">
            <v>3951100008</v>
          </cell>
          <cell r="C261" t="str">
            <v>US20PZA145</v>
          </cell>
          <cell r="E261">
            <v>0</v>
          </cell>
        </row>
        <row r="262">
          <cell r="A262">
            <v>3951200008</v>
          </cell>
          <cell r="C262" t="str">
            <v>US20PZA145</v>
          </cell>
          <cell r="E262">
            <v>2014.2</v>
          </cell>
        </row>
        <row r="263">
          <cell r="A263">
            <v>3991200001</v>
          </cell>
          <cell r="C263" t="str">
            <v>US20PZA145</v>
          </cell>
          <cell r="E263">
            <v>24.04</v>
          </cell>
        </row>
        <row r="264">
          <cell r="A264">
            <v>3991200012</v>
          </cell>
          <cell r="C264" t="str">
            <v>US20PZA145</v>
          </cell>
          <cell r="E264">
            <v>309.01</v>
          </cell>
        </row>
        <row r="265">
          <cell r="A265">
            <v>3991200015</v>
          </cell>
          <cell r="C265" t="str">
            <v>US20PZA145</v>
          </cell>
          <cell r="E265">
            <v>1432.94</v>
          </cell>
        </row>
        <row r="266">
          <cell r="A266">
            <v>3991200018</v>
          </cell>
          <cell r="C266" t="str">
            <v>US20PZA145</v>
          </cell>
          <cell r="E266">
            <v>470</v>
          </cell>
        </row>
        <row r="267">
          <cell r="A267">
            <v>3991200099</v>
          </cell>
          <cell r="C267" t="str">
            <v>US20PZA145</v>
          </cell>
          <cell r="E267">
            <v>177.69</v>
          </cell>
        </row>
        <row r="268">
          <cell r="A268">
            <v>9420000002</v>
          </cell>
          <cell r="C268" t="str">
            <v>US20PZA145</v>
          </cell>
          <cell r="E268">
            <v>-636447.06000000006</v>
          </cell>
        </row>
        <row r="269">
          <cell r="A269">
            <v>9420000025</v>
          </cell>
          <cell r="C269" t="str">
            <v>US20PZA145</v>
          </cell>
          <cell r="E269">
            <v>119677.98</v>
          </cell>
        </row>
        <row r="270">
          <cell r="A270">
            <v>3111100000</v>
          </cell>
          <cell r="C270" t="str">
            <v>US26P01005</v>
          </cell>
          <cell r="E270">
            <v>210384.58</v>
          </cell>
        </row>
        <row r="271">
          <cell r="A271">
            <v>3111100012</v>
          </cell>
          <cell r="C271" t="str">
            <v>US26P01005</v>
          </cell>
          <cell r="E271">
            <v>1391.25</v>
          </cell>
        </row>
        <row r="272">
          <cell r="A272">
            <v>3111100020</v>
          </cell>
          <cell r="C272" t="str">
            <v>US26P01005</v>
          </cell>
          <cell r="E272">
            <v>9119</v>
          </cell>
        </row>
        <row r="273">
          <cell r="A273">
            <v>3111100900</v>
          </cell>
          <cell r="C273" t="str">
            <v>US26P01005</v>
          </cell>
          <cell r="E273">
            <v>7240.15</v>
          </cell>
        </row>
        <row r="274">
          <cell r="A274">
            <v>3121300013</v>
          </cell>
          <cell r="C274" t="str">
            <v>US26P01005</v>
          </cell>
          <cell r="E274">
            <v>0</v>
          </cell>
        </row>
        <row r="275">
          <cell r="A275">
            <v>3131100005</v>
          </cell>
          <cell r="C275" t="str">
            <v>US26P01005</v>
          </cell>
          <cell r="E275">
            <v>1200</v>
          </cell>
        </row>
        <row r="276">
          <cell r="A276">
            <v>3131100007</v>
          </cell>
          <cell r="C276" t="str">
            <v>US26P01005</v>
          </cell>
          <cell r="E276">
            <v>0</v>
          </cell>
        </row>
        <row r="277">
          <cell r="A277">
            <v>3131100025</v>
          </cell>
          <cell r="C277" t="str">
            <v>US26P01005</v>
          </cell>
          <cell r="E277">
            <v>175</v>
          </cell>
        </row>
        <row r="278">
          <cell r="A278">
            <v>3131100031</v>
          </cell>
          <cell r="C278" t="str">
            <v>US26P01005</v>
          </cell>
          <cell r="E278">
            <v>0</v>
          </cell>
        </row>
        <row r="279">
          <cell r="A279">
            <v>3201300001</v>
          </cell>
          <cell r="C279" t="str">
            <v>US26P01005</v>
          </cell>
          <cell r="E279">
            <v>0</v>
          </cell>
        </row>
        <row r="280">
          <cell r="A280">
            <v>3201300002</v>
          </cell>
          <cell r="C280" t="str">
            <v>US26P01005</v>
          </cell>
          <cell r="E280">
            <v>160.57</v>
          </cell>
        </row>
        <row r="281">
          <cell r="A281">
            <v>3201300005</v>
          </cell>
          <cell r="C281" t="str">
            <v>US26P01005</v>
          </cell>
          <cell r="E281">
            <v>8433.75</v>
          </cell>
        </row>
        <row r="282">
          <cell r="A282">
            <v>3201400002</v>
          </cell>
          <cell r="C282" t="str">
            <v>US26P01005</v>
          </cell>
          <cell r="E282">
            <v>659.08</v>
          </cell>
        </row>
        <row r="283">
          <cell r="A283">
            <v>3201400004</v>
          </cell>
          <cell r="C283" t="str">
            <v>US26P01005</v>
          </cell>
          <cell r="E283">
            <v>0</v>
          </cell>
        </row>
        <row r="284">
          <cell r="A284">
            <v>3201400029</v>
          </cell>
          <cell r="C284" t="str">
            <v>US26P01005</v>
          </cell>
          <cell r="E284">
            <v>0</v>
          </cell>
        </row>
        <row r="285">
          <cell r="A285">
            <v>3201400054</v>
          </cell>
          <cell r="C285" t="str">
            <v>US26P01005</v>
          </cell>
          <cell r="E285">
            <v>6048</v>
          </cell>
        </row>
        <row r="286">
          <cell r="A286">
            <v>3201400055</v>
          </cell>
          <cell r="C286" t="str">
            <v>US26P01005</v>
          </cell>
          <cell r="E286">
            <v>0</v>
          </cell>
        </row>
        <row r="287">
          <cell r="A287">
            <v>3201400056</v>
          </cell>
          <cell r="C287" t="str">
            <v>US26P01005</v>
          </cell>
          <cell r="E287">
            <v>0</v>
          </cell>
        </row>
        <row r="288">
          <cell r="A288">
            <v>3201400057</v>
          </cell>
          <cell r="C288" t="str">
            <v>US26P01005</v>
          </cell>
          <cell r="E288">
            <v>0</v>
          </cell>
        </row>
        <row r="289">
          <cell r="A289">
            <v>3311400099</v>
          </cell>
          <cell r="C289" t="str">
            <v>US26P01005</v>
          </cell>
          <cell r="E289">
            <v>730.23</v>
          </cell>
        </row>
        <row r="290">
          <cell r="A290">
            <v>3911100010</v>
          </cell>
          <cell r="C290" t="str">
            <v>US26P01005</v>
          </cell>
          <cell r="E290">
            <v>544.66</v>
          </cell>
        </row>
        <row r="291">
          <cell r="A291">
            <v>3911100012</v>
          </cell>
          <cell r="C291" t="str">
            <v>US26P01005</v>
          </cell>
          <cell r="E291">
            <v>1243.3599999999999</v>
          </cell>
        </row>
        <row r="292">
          <cell r="A292">
            <v>3911100015</v>
          </cell>
          <cell r="C292" t="str">
            <v>US26P01005</v>
          </cell>
          <cell r="E292">
            <v>1626.3</v>
          </cell>
        </row>
        <row r="293">
          <cell r="A293">
            <v>3911100022</v>
          </cell>
          <cell r="C293" t="str">
            <v>US26P01005</v>
          </cell>
          <cell r="E293">
            <v>1497.97</v>
          </cell>
        </row>
        <row r="294">
          <cell r="A294">
            <v>3911100041</v>
          </cell>
          <cell r="C294" t="str">
            <v>US26P01005</v>
          </cell>
          <cell r="E294">
            <v>470.92</v>
          </cell>
        </row>
        <row r="295">
          <cell r="A295">
            <v>3911200001</v>
          </cell>
          <cell r="C295" t="str">
            <v>US26P01005</v>
          </cell>
          <cell r="E295">
            <v>1292.99</v>
          </cell>
        </row>
        <row r="296">
          <cell r="A296">
            <v>3921200001</v>
          </cell>
          <cell r="C296" t="str">
            <v>US26P01005</v>
          </cell>
          <cell r="E296">
            <v>0</v>
          </cell>
        </row>
        <row r="297">
          <cell r="A297">
            <v>3921200003</v>
          </cell>
          <cell r="C297" t="str">
            <v>US26P01005</v>
          </cell>
          <cell r="E297">
            <v>2795.18</v>
          </cell>
        </row>
        <row r="298">
          <cell r="A298">
            <v>3921200006</v>
          </cell>
          <cell r="C298" t="str">
            <v>US26P01005</v>
          </cell>
          <cell r="E298">
            <v>233.11</v>
          </cell>
        </row>
        <row r="299">
          <cell r="A299">
            <v>3921200010</v>
          </cell>
          <cell r="C299" t="str">
            <v>US26P01005</v>
          </cell>
          <cell r="E299">
            <v>188.26</v>
          </cell>
        </row>
        <row r="300">
          <cell r="A300">
            <v>3921200014</v>
          </cell>
          <cell r="C300" t="str">
            <v>US26P01005</v>
          </cell>
          <cell r="E300">
            <v>11772</v>
          </cell>
        </row>
        <row r="301">
          <cell r="A301">
            <v>3921200026</v>
          </cell>
          <cell r="C301" t="str">
            <v>US26P01005</v>
          </cell>
          <cell r="E301">
            <v>12</v>
          </cell>
        </row>
        <row r="302">
          <cell r="A302">
            <v>3921200037</v>
          </cell>
          <cell r="C302" t="str">
            <v>US26P01005</v>
          </cell>
          <cell r="E302">
            <v>1001.42</v>
          </cell>
        </row>
        <row r="303">
          <cell r="A303">
            <v>3921200050</v>
          </cell>
          <cell r="C303" t="str">
            <v>US26P01005</v>
          </cell>
          <cell r="E303">
            <v>158.79</v>
          </cell>
        </row>
        <row r="304">
          <cell r="A304">
            <v>3921200100</v>
          </cell>
          <cell r="C304" t="str">
            <v>US26P01005</v>
          </cell>
          <cell r="E304">
            <v>215.21</v>
          </cell>
        </row>
        <row r="305">
          <cell r="A305">
            <v>3941100001</v>
          </cell>
          <cell r="C305" t="str">
            <v>US26P01005</v>
          </cell>
          <cell r="E305">
            <v>1006.24</v>
          </cell>
        </row>
        <row r="306">
          <cell r="A306">
            <v>3941100004</v>
          </cell>
          <cell r="C306" t="str">
            <v>US26P01005</v>
          </cell>
          <cell r="E306">
            <v>16.41</v>
          </cell>
        </row>
        <row r="307">
          <cell r="A307">
            <v>3951100005</v>
          </cell>
          <cell r="C307" t="str">
            <v>US26P01005</v>
          </cell>
          <cell r="E307">
            <v>0</v>
          </cell>
        </row>
        <row r="308">
          <cell r="A308">
            <v>3951200002</v>
          </cell>
          <cell r="C308" t="str">
            <v>US26P01005</v>
          </cell>
          <cell r="E308">
            <v>3555.99</v>
          </cell>
        </row>
        <row r="309">
          <cell r="A309">
            <v>3951200008</v>
          </cell>
          <cell r="C309" t="str">
            <v>US26P01005</v>
          </cell>
          <cell r="E309">
            <v>999.4</v>
          </cell>
        </row>
        <row r="310">
          <cell r="A310">
            <v>3991200001</v>
          </cell>
          <cell r="C310" t="str">
            <v>US26P01005</v>
          </cell>
          <cell r="E310">
            <v>0</v>
          </cell>
        </row>
        <row r="311">
          <cell r="A311">
            <v>3991200012</v>
          </cell>
          <cell r="C311" t="str">
            <v>US26P01005</v>
          </cell>
          <cell r="E311">
            <v>629.95000000000005</v>
          </cell>
        </row>
        <row r="312">
          <cell r="A312">
            <v>3991200015</v>
          </cell>
          <cell r="C312" t="str">
            <v>US26P01005</v>
          </cell>
          <cell r="E312">
            <v>1437.36</v>
          </cell>
        </row>
        <row r="313">
          <cell r="A313">
            <v>3991200018</v>
          </cell>
          <cell r="C313" t="str">
            <v>US26P01005</v>
          </cell>
          <cell r="E313">
            <v>250</v>
          </cell>
        </row>
        <row r="314">
          <cell r="A314">
            <v>3991200099</v>
          </cell>
          <cell r="C314" t="str">
            <v>US26P01005</v>
          </cell>
          <cell r="E314">
            <v>645.80999999999995</v>
          </cell>
        </row>
        <row r="315">
          <cell r="A315">
            <v>3991200210</v>
          </cell>
          <cell r="C315" t="str">
            <v>US26P01005</v>
          </cell>
          <cell r="E315">
            <v>15617</v>
          </cell>
        </row>
        <row r="316">
          <cell r="A316">
            <v>3991200211</v>
          </cell>
          <cell r="C316" t="str">
            <v>US26P01005</v>
          </cell>
          <cell r="E316">
            <v>35836</v>
          </cell>
        </row>
        <row r="317">
          <cell r="A317">
            <v>3991200213</v>
          </cell>
          <cell r="C317" t="str">
            <v>US26P01005</v>
          </cell>
          <cell r="E317">
            <v>0</v>
          </cell>
        </row>
        <row r="318">
          <cell r="A318">
            <v>9420000008</v>
          </cell>
          <cell r="C318" t="str">
            <v>US26P01005</v>
          </cell>
          <cell r="E318">
            <v>-386985.12</v>
          </cell>
        </row>
        <row r="319">
          <cell r="A319">
            <v>9420000025</v>
          </cell>
          <cell r="C319" t="str">
            <v>US26P01005</v>
          </cell>
          <cell r="E319">
            <v>58397.18</v>
          </cell>
        </row>
        <row r="320">
          <cell r="A320">
            <v>3131100007</v>
          </cell>
          <cell r="C320" t="str">
            <v>US26P01006</v>
          </cell>
          <cell r="E320">
            <v>0</v>
          </cell>
        </row>
        <row r="321">
          <cell r="A321">
            <v>3131100031</v>
          </cell>
          <cell r="C321" t="str">
            <v>US26P01006</v>
          </cell>
          <cell r="E321">
            <v>0</v>
          </cell>
        </row>
        <row r="322">
          <cell r="A322">
            <v>3201300002</v>
          </cell>
          <cell r="C322" t="str">
            <v>US26P01006</v>
          </cell>
          <cell r="E322">
            <v>0</v>
          </cell>
        </row>
        <row r="323">
          <cell r="A323">
            <v>3201400002</v>
          </cell>
          <cell r="C323" t="str">
            <v>US26P01006</v>
          </cell>
          <cell r="E323">
            <v>278.57</v>
          </cell>
        </row>
        <row r="324">
          <cell r="A324">
            <v>3201400029</v>
          </cell>
          <cell r="C324" t="str">
            <v>US26P01006</v>
          </cell>
          <cell r="E324">
            <v>0</v>
          </cell>
        </row>
        <row r="325">
          <cell r="A325">
            <v>3201400054</v>
          </cell>
          <cell r="C325" t="str">
            <v>US26P01006</v>
          </cell>
          <cell r="E325">
            <v>0</v>
          </cell>
        </row>
        <row r="326">
          <cell r="A326">
            <v>3201400055</v>
          </cell>
          <cell r="C326" t="str">
            <v>US26P01006</v>
          </cell>
          <cell r="E326">
            <v>0</v>
          </cell>
        </row>
        <row r="327">
          <cell r="A327">
            <v>3201400057</v>
          </cell>
          <cell r="C327" t="str">
            <v>US26P01006</v>
          </cell>
          <cell r="E327">
            <v>0</v>
          </cell>
        </row>
        <row r="328">
          <cell r="A328">
            <v>3911100010</v>
          </cell>
          <cell r="C328" t="str">
            <v>US26P01006</v>
          </cell>
          <cell r="E328">
            <v>77.959999999999994</v>
          </cell>
        </row>
        <row r="329">
          <cell r="A329">
            <v>3911100012</v>
          </cell>
          <cell r="C329" t="str">
            <v>US26P01006</v>
          </cell>
          <cell r="E329">
            <v>485.85</v>
          </cell>
        </row>
        <row r="330">
          <cell r="A330">
            <v>3911100022</v>
          </cell>
          <cell r="C330" t="str">
            <v>US26P01006</v>
          </cell>
          <cell r="E330">
            <v>0</v>
          </cell>
        </row>
        <row r="331">
          <cell r="A331">
            <v>3911100041</v>
          </cell>
          <cell r="C331" t="str">
            <v>US26P01006</v>
          </cell>
          <cell r="E331">
            <v>0</v>
          </cell>
        </row>
        <row r="332">
          <cell r="A332">
            <v>3911200001</v>
          </cell>
          <cell r="C332" t="str">
            <v>US26P01006</v>
          </cell>
          <cell r="E332">
            <v>31.17</v>
          </cell>
        </row>
        <row r="333">
          <cell r="A333">
            <v>3921200003</v>
          </cell>
          <cell r="C333" t="str">
            <v>US26P01006</v>
          </cell>
          <cell r="E333">
            <v>891.6</v>
          </cell>
        </row>
        <row r="334">
          <cell r="A334">
            <v>3921200006</v>
          </cell>
          <cell r="C334" t="str">
            <v>US26P01006</v>
          </cell>
          <cell r="E334">
            <v>9.6199999999999992</v>
          </cell>
        </row>
        <row r="335">
          <cell r="A335">
            <v>3921200010</v>
          </cell>
          <cell r="C335" t="str">
            <v>US26P01006</v>
          </cell>
          <cell r="E335">
            <v>23.95</v>
          </cell>
        </row>
        <row r="336">
          <cell r="A336">
            <v>3921200037</v>
          </cell>
          <cell r="C336" t="str">
            <v>US26P01006</v>
          </cell>
          <cell r="E336">
            <v>0</v>
          </cell>
        </row>
        <row r="337">
          <cell r="A337">
            <v>3921200050</v>
          </cell>
          <cell r="C337" t="str">
            <v>US26P01006</v>
          </cell>
          <cell r="E337">
            <v>0</v>
          </cell>
        </row>
        <row r="338">
          <cell r="A338">
            <v>3921200100</v>
          </cell>
          <cell r="C338" t="str">
            <v>US26P01006</v>
          </cell>
          <cell r="E338">
            <v>0</v>
          </cell>
        </row>
        <row r="339">
          <cell r="A339">
            <v>3951100005</v>
          </cell>
          <cell r="C339" t="str">
            <v>US26P01006</v>
          </cell>
          <cell r="E339">
            <v>0</v>
          </cell>
        </row>
        <row r="340">
          <cell r="A340">
            <v>3951200002</v>
          </cell>
          <cell r="C340" t="str">
            <v>US26P01006</v>
          </cell>
          <cell r="E340">
            <v>456.36</v>
          </cell>
        </row>
        <row r="341">
          <cell r="A341">
            <v>3991200001</v>
          </cell>
          <cell r="C341" t="str">
            <v>US26P01006</v>
          </cell>
          <cell r="E341">
            <v>0</v>
          </cell>
        </row>
        <row r="342">
          <cell r="A342">
            <v>3991200015</v>
          </cell>
          <cell r="C342" t="str">
            <v>US26P01006</v>
          </cell>
          <cell r="E342">
            <v>2</v>
          </cell>
        </row>
        <row r="343">
          <cell r="A343">
            <v>3991200018</v>
          </cell>
          <cell r="C343" t="str">
            <v>US26P01006</v>
          </cell>
          <cell r="E343">
            <v>0</v>
          </cell>
        </row>
        <row r="344">
          <cell r="A344">
            <v>9420000008</v>
          </cell>
          <cell r="C344" t="str">
            <v>US26P01006</v>
          </cell>
          <cell r="E344">
            <v>-2257.08</v>
          </cell>
        </row>
        <row r="345">
          <cell r="A345">
            <v>3111100020</v>
          </cell>
          <cell r="C345" t="str">
            <v>US26P01007</v>
          </cell>
          <cell r="E345">
            <v>3200</v>
          </cell>
        </row>
        <row r="346">
          <cell r="A346">
            <v>3111100900</v>
          </cell>
          <cell r="C346" t="str">
            <v>US26P01007</v>
          </cell>
          <cell r="E346">
            <v>6408.5</v>
          </cell>
        </row>
        <row r="347">
          <cell r="A347">
            <v>3131100007</v>
          </cell>
          <cell r="C347" t="str">
            <v>US26P01007</v>
          </cell>
          <cell r="E347">
            <v>30</v>
          </cell>
        </row>
        <row r="348">
          <cell r="A348">
            <v>3131100031</v>
          </cell>
          <cell r="C348" t="str">
            <v>US26P01007</v>
          </cell>
          <cell r="E348">
            <v>0</v>
          </cell>
        </row>
        <row r="349">
          <cell r="A349">
            <v>3201300002</v>
          </cell>
          <cell r="C349" t="str">
            <v>US26P01007</v>
          </cell>
          <cell r="E349">
            <v>168.1</v>
          </cell>
        </row>
        <row r="350">
          <cell r="A350">
            <v>3201400002</v>
          </cell>
          <cell r="C350" t="str">
            <v>US26P01007</v>
          </cell>
          <cell r="E350">
            <v>189.47</v>
          </cell>
        </row>
        <row r="351">
          <cell r="A351">
            <v>3201400004</v>
          </cell>
          <cell r="C351" t="str">
            <v>US26P01007</v>
          </cell>
          <cell r="E351">
            <v>1007.69</v>
          </cell>
        </row>
        <row r="352">
          <cell r="A352">
            <v>3201400029</v>
          </cell>
          <cell r="C352" t="str">
            <v>US26P01007</v>
          </cell>
          <cell r="E352">
            <v>0</v>
          </cell>
        </row>
        <row r="353">
          <cell r="A353">
            <v>3201400054</v>
          </cell>
          <cell r="C353" t="str">
            <v>US26P01007</v>
          </cell>
          <cell r="E353">
            <v>0</v>
          </cell>
        </row>
        <row r="354">
          <cell r="A354">
            <v>3201400055</v>
          </cell>
          <cell r="C354" t="str">
            <v>US26P01007</v>
          </cell>
          <cell r="E354">
            <v>0</v>
          </cell>
        </row>
        <row r="355">
          <cell r="A355">
            <v>3201400056</v>
          </cell>
          <cell r="C355" t="str">
            <v>US26P01007</v>
          </cell>
          <cell r="E355">
            <v>857</v>
          </cell>
        </row>
        <row r="356">
          <cell r="A356">
            <v>3201400057</v>
          </cell>
          <cell r="C356" t="str">
            <v>US26P01007</v>
          </cell>
          <cell r="E356">
            <v>0</v>
          </cell>
        </row>
        <row r="357">
          <cell r="A357">
            <v>3311400099</v>
          </cell>
          <cell r="C357" t="str">
            <v>US26P01007</v>
          </cell>
          <cell r="E357">
            <v>0</v>
          </cell>
        </row>
        <row r="358">
          <cell r="A358">
            <v>3911100010</v>
          </cell>
          <cell r="C358" t="str">
            <v>US26P01007</v>
          </cell>
          <cell r="E358">
            <v>583.52</v>
          </cell>
        </row>
        <row r="359">
          <cell r="A359">
            <v>3911100012</v>
          </cell>
          <cell r="C359" t="str">
            <v>US26P01007</v>
          </cell>
          <cell r="E359">
            <v>1383.97</v>
          </cell>
        </row>
        <row r="360">
          <cell r="A360">
            <v>3911100015</v>
          </cell>
          <cell r="C360" t="str">
            <v>US26P01007</v>
          </cell>
          <cell r="E360">
            <v>175.12</v>
          </cell>
        </row>
        <row r="361">
          <cell r="A361">
            <v>3911100022</v>
          </cell>
          <cell r="C361" t="str">
            <v>US26P01007</v>
          </cell>
          <cell r="E361">
            <v>3477.14</v>
          </cell>
        </row>
        <row r="362">
          <cell r="A362">
            <v>3911100041</v>
          </cell>
          <cell r="C362" t="str">
            <v>US26P01007</v>
          </cell>
          <cell r="E362">
            <v>120.67</v>
          </cell>
        </row>
        <row r="363">
          <cell r="A363">
            <v>3911200001</v>
          </cell>
          <cell r="C363" t="str">
            <v>US26P01007</v>
          </cell>
          <cell r="E363">
            <v>0</v>
          </cell>
        </row>
        <row r="364">
          <cell r="A364">
            <v>3921200003</v>
          </cell>
          <cell r="C364" t="str">
            <v>US26P01007</v>
          </cell>
          <cell r="E364">
            <v>2512.09</v>
          </cell>
        </row>
        <row r="365">
          <cell r="A365">
            <v>3921200006</v>
          </cell>
          <cell r="C365" t="str">
            <v>US26P01007</v>
          </cell>
          <cell r="E365">
            <v>1224.31</v>
          </cell>
        </row>
        <row r="366">
          <cell r="A366">
            <v>3921200010</v>
          </cell>
          <cell r="C366" t="str">
            <v>US26P01007</v>
          </cell>
          <cell r="E366">
            <v>794.54</v>
          </cell>
        </row>
        <row r="367">
          <cell r="A367">
            <v>3921200037</v>
          </cell>
          <cell r="C367" t="str">
            <v>US26P01007</v>
          </cell>
          <cell r="E367">
            <v>0</v>
          </cell>
        </row>
        <row r="368">
          <cell r="A368">
            <v>3921200050</v>
          </cell>
          <cell r="C368" t="str">
            <v>US26P01007</v>
          </cell>
          <cell r="E368">
            <v>193.64</v>
          </cell>
        </row>
        <row r="369">
          <cell r="A369">
            <v>3921200100</v>
          </cell>
          <cell r="C369" t="str">
            <v>US26P01007</v>
          </cell>
          <cell r="E369">
            <v>105.16</v>
          </cell>
        </row>
        <row r="370">
          <cell r="A370">
            <v>3951100002</v>
          </cell>
          <cell r="C370" t="str">
            <v>US26P01007</v>
          </cell>
          <cell r="E370">
            <v>0</v>
          </cell>
        </row>
        <row r="371">
          <cell r="A371">
            <v>3951100005</v>
          </cell>
          <cell r="C371" t="str">
            <v>US26P01007</v>
          </cell>
          <cell r="E371">
            <v>0</v>
          </cell>
        </row>
        <row r="372">
          <cell r="A372">
            <v>3951200002</v>
          </cell>
          <cell r="C372" t="str">
            <v>US26P01007</v>
          </cell>
          <cell r="E372">
            <v>9708.17</v>
          </cell>
        </row>
        <row r="373">
          <cell r="A373">
            <v>3951200008</v>
          </cell>
          <cell r="C373" t="str">
            <v>US26P01007</v>
          </cell>
          <cell r="E373">
            <v>468.81</v>
          </cell>
        </row>
        <row r="374">
          <cell r="A374">
            <v>3991200001</v>
          </cell>
          <cell r="C374" t="str">
            <v>US26P01007</v>
          </cell>
          <cell r="E374">
            <v>1.52</v>
          </cell>
        </row>
        <row r="375">
          <cell r="A375">
            <v>3991200015</v>
          </cell>
          <cell r="C375" t="str">
            <v>US26P01007</v>
          </cell>
          <cell r="E375">
            <v>28.56</v>
          </cell>
        </row>
        <row r="376">
          <cell r="A376">
            <v>3991200018</v>
          </cell>
          <cell r="C376" t="str">
            <v>US26P01007</v>
          </cell>
          <cell r="E376">
            <v>0</v>
          </cell>
        </row>
        <row r="377">
          <cell r="A377">
            <v>3991200099</v>
          </cell>
          <cell r="C377" t="str">
            <v>US26P01007</v>
          </cell>
          <cell r="E377">
            <v>621</v>
          </cell>
        </row>
        <row r="378">
          <cell r="A378">
            <v>9420000008</v>
          </cell>
          <cell r="C378" t="str">
            <v>US26P01007</v>
          </cell>
          <cell r="E378">
            <v>-35690.33</v>
          </cell>
        </row>
        <row r="379">
          <cell r="A379">
            <v>9420000025</v>
          </cell>
          <cell r="C379" t="str">
            <v>US26P01007</v>
          </cell>
          <cell r="E379">
            <v>2431.35</v>
          </cell>
        </row>
        <row r="380">
          <cell r="A380">
            <v>3111100000</v>
          </cell>
          <cell r="C380" t="str">
            <v>US26P01008</v>
          </cell>
          <cell r="E380">
            <v>4430.76</v>
          </cell>
        </row>
        <row r="381">
          <cell r="A381">
            <v>3111100020</v>
          </cell>
          <cell r="C381" t="str">
            <v>US26P01008</v>
          </cell>
          <cell r="E381">
            <v>11696</v>
          </cell>
        </row>
        <row r="382">
          <cell r="A382">
            <v>3111100900</v>
          </cell>
          <cell r="C382" t="str">
            <v>US26P01008</v>
          </cell>
          <cell r="E382">
            <v>559.44000000000005</v>
          </cell>
        </row>
        <row r="383">
          <cell r="A383">
            <v>3131100007</v>
          </cell>
          <cell r="C383" t="str">
            <v>US26P01008</v>
          </cell>
          <cell r="E383">
            <v>280</v>
          </cell>
        </row>
        <row r="384">
          <cell r="A384">
            <v>3131100031</v>
          </cell>
          <cell r="C384" t="str">
            <v>US26P01008</v>
          </cell>
          <cell r="E384">
            <v>0</v>
          </cell>
        </row>
        <row r="385">
          <cell r="A385">
            <v>3201300001</v>
          </cell>
          <cell r="C385" t="str">
            <v>US26P01008</v>
          </cell>
          <cell r="E385">
            <v>13941.67</v>
          </cell>
        </row>
        <row r="386">
          <cell r="A386">
            <v>3201300002</v>
          </cell>
          <cell r="C386" t="str">
            <v>US26P01008</v>
          </cell>
          <cell r="E386">
            <v>2017</v>
          </cell>
        </row>
        <row r="387">
          <cell r="A387">
            <v>3201400002</v>
          </cell>
          <cell r="C387" t="str">
            <v>US26P01008</v>
          </cell>
          <cell r="E387">
            <v>1058.98</v>
          </cell>
        </row>
        <row r="388">
          <cell r="A388">
            <v>3201400004</v>
          </cell>
          <cell r="C388" t="str">
            <v>US26P01008</v>
          </cell>
          <cell r="E388">
            <v>6062.68</v>
          </cell>
        </row>
        <row r="389">
          <cell r="A389">
            <v>3201400029</v>
          </cell>
          <cell r="C389" t="str">
            <v>US26P01008</v>
          </cell>
          <cell r="E389">
            <v>369.32</v>
          </cell>
        </row>
        <row r="390">
          <cell r="A390">
            <v>3201400054</v>
          </cell>
          <cell r="C390" t="str">
            <v>US26P01008</v>
          </cell>
          <cell r="E390">
            <v>0</v>
          </cell>
        </row>
        <row r="391">
          <cell r="A391">
            <v>3201400055</v>
          </cell>
          <cell r="C391" t="str">
            <v>US26P01008</v>
          </cell>
          <cell r="E391">
            <v>1372.25</v>
          </cell>
        </row>
        <row r="392">
          <cell r="A392">
            <v>3201400056</v>
          </cell>
          <cell r="C392" t="str">
            <v>US26P01008</v>
          </cell>
          <cell r="E392">
            <v>-2808</v>
          </cell>
        </row>
        <row r="393">
          <cell r="A393">
            <v>3201400057</v>
          </cell>
          <cell r="C393" t="str">
            <v>US26P01008</v>
          </cell>
          <cell r="E393">
            <v>0</v>
          </cell>
        </row>
        <row r="394">
          <cell r="A394">
            <v>3311400099</v>
          </cell>
          <cell r="C394" t="str">
            <v>US26P01008</v>
          </cell>
          <cell r="E394">
            <v>0</v>
          </cell>
        </row>
        <row r="395">
          <cell r="A395">
            <v>3911100010</v>
          </cell>
          <cell r="C395" t="str">
            <v>US26P01008</v>
          </cell>
          <cell r="E395">
            <v>1166.19</v>
          </cell>
        </row>
        <row r="396">
          <cell r="A396">
            <v>3911100012</v>
          </cell>
          <cell r="C396" t="str">
            <v>US26P01008</v>
          </cell>
          <cell r="E396">
            <v>3574.9</v>
          </cell>
        </row>
        <row r="397">
          <cell r="A397">
            <v>3911100015</v>
          </cell>
          <cell r="C397" t="str">
            <v>US26P01008</v>
          </cell>
          <cell r="E397">
            <v>520.49</v>
          </cell>
        </row>
        <row r="398">
          <cell r="A398">
            <v>3911100022</v>
          </cell>
          <cell r="C398" t="str">
            <v>US26P01008</v>
          </cell>
          <cell r="E398">
            <v>2247.23</v>
          </cell>
        </row>
        <row r="399">
          <cell r="A399">
            <v>3911100041</v>
          </cell>
          <cell r="C399" t="str">
            <v>US26P01008</v>
          </cell>
          <cell r="E399">
            <v>981.53</v>
          </cell>
        </row>
        <row r="400">
          <cell r="A400">
            <v>3911200001</v>
          </cell>
          <cell r="C400" t="str">
            <v>US26P01008</v>
          </cell>
          <cell r="E400">
            <v>0</v>
          </cell>
        </row>
        <row r="401">
          <cell r="A401">
            <v>3921100000</v>
          </cell>
          <cell r="C401" t="str">
            <v>US26P01008</v>
          </cell>
          <cell r="E401">
            <v>1250.4000000000001</v>
          </cell>
        </row>
        <row r="402">
          <cell r="A402">
            <v>3921200003</v>
          </cell>
          <cell r="C402" t="str">
            <v>US26P01008</v>
          </cell>
          <cell r="E402">
            <v>1027.94</v>
          </cell>
        </row>
        <row r="403">
          <cell r="A403">
            <v>3921200006</v>
          </cell>
          <cell r="C403" t="str">
            <v>US26P01008</v>
          </cell>
          <cell r="E403">
            <v>396.53</v>
          </cell>
        </row>
        <row r="404">
          <cell r="A404">
            <v>3921200010</v>
          </cell>
          <cell r="C404" t="str">
            <v>US26P01008</v>
          </cell>
          <cell r="E404">
            <v>769.85</v>
          </cell>
        </row>
        <row r="405">
          <cell r="A405">
            <v>3921200037</v>
          </cell>
          <cell r="C405" t="str">
            <v>US26P01008</v>
          </cell>
          <cell r="E405">
            <v>-308.01</v>
          </cell>
        </row>
        <row r="406">
          <cell r="A406">
            <v>3921200050</v>
          </cell>
          <cell r="C406" t="str">
            <v>US26P01008</v>
          </cell>
          <cell r="E406">
            <v>78.739999999999995</v>
          </cell>
        </row>
        <row r="407">
          <cell r="A407">
            <v>3921200100</v>
          </cell>
          <cell r="C407" t="str">
            <v>US26P01008</v>
          </cell>
          <cell r="E407">
            <v>106.33</v>
          </cell>
        </row>
        <row r="408">
          <cell r="A408">
            <v>3951100002</v>
          </cell>
          <cell r="C408" t="str">
            <v>US26P01008</v>
          </cell>
          <cell r="E408">
            <v>0</v>
          </cell>
        </row>
        <row r="409">
          <cell r="A409">
            <v>3951100005</v>
          </cell>
          <cell r="C409" t="str">
            <v>US26P01008</v>
          </cell>
          <cell r="E409">
            <v>0</v>
          </cell>
        </row>
        <row r="410">
          <cell r="A410">
            <v>3951200002</v>
          </cell>
          <cell r="C410" t="str">
            <v>US26P01008</v>
          </cell>
          <cell r="E410">
            <v>261</v>
          </cell>
        </row>
        <row r="411">
          <cell r="A411">
            <v>3951200008</v>
          </cell>
          <cell r="C411" t="str">
            <v>US26P01008</v>
          </cell>
          <cell r="E411">
            <v>612.64</v>
          </cell>
        </row>
        <row r="412">
          <cell r="A412">
            <v>3991200001</v>
          </cell>
          <cell r="C412" t="str">
            <v>US26P01008</v>
          </cell>
          <cell r="E412">
            <v>0</v>
          </cell>
        </row>
        <row r="413">
          <cell r="A413">
            <v>3991200012</v>
          </cell>
          <cell r="C413" t="str">
            <v>US26P01008</v>
          </cell>
          <cell r="E413">
            <v>170.84</v>
          </cell>
        </row>
        <row r="414">
          <cell r="A414">
            <v>3991200015</v>
          </cell>
          <cell r="C414" t="str">
            <v>US26P01008</v>
          </cell>
          <cell r="E414">
            <v>377.58</v>
          </cell>
        </row>
        <row r="415">
          <cell r="A415">
            <v>3991200018</v>
          </cell>
          <cell r="C415" t="str">
            <v>US26P01008</v>
          </cell>
          <cell r="E415">
            <v>358</v>
          </cell>
        </row>
        <row r="416">
          <cell r="A416">
            <v>3991200023</v>
          </cell>
          <cell r="C416" t="str">
            <v>US26P01008</v>
          </cell>
          <cell r="E416">
            <v>0</v>
          </cell>
        </row>
        <row r="417">
          <cell r="A417">
            <v>3991200099</v>
          </cell>
          <cell r="C417" t="str">
            <v>US26P01008</v>
          </cell>
          <cell r="E417">
            <v>1214.3900000000001</v>
          </cell>
        </row>
        <row r="418">
          <cell r="A418">
            <v>3991200101</v>
          </cell>
          <cell r="C418" t="str">
            <v>US26P01008</v>
          </cell>
          <cell r="E418">
            <v>-390.93</v>
          </cell>
        </row>
        <row r="419">
          <cell r="A419">
            <v>9420000008</v>
          </cell>
          <cell r="C419" t="str">
            <v>US26P01008</v>
          </cell>
          <cell r="E419">
            <v>-55564.41</v>
          </cell>
        </row>
        <row r="420">
          <cell r="A420">
            <v>9420000025</v>
          </cell>
          <cell r="C420" t="str">
            <v>US26P01008</v>
          </cell>
          <cell r="E420">
            <v>2168.67</v>
          </cell>
        </row>
        <row r="421">
          <cell r="A421">
            <v>3111100000</v>
          </cell>
          <cell r="C421" t="str">
            <v>US81P01001</v>
          </cell>
          <cell r="E421">
            <v>16738.96</v>
          </cell>
        </row>
        <row r="422">
          <cell r="A422">
            <v>3111100020</v>
          </cell>
          <cell r="C422" t="str">
            <v>US81P01001</v>
          </cell>
          <cell r="E422">
            <v>13973</v>
          </cell>
        </row>
        <row r="423">
          <cell r="A423">
            <v>3131100005</v>
          </cell>
          <cell r="C423" t="str">
            <v>US81P01001</v>
          </cell>
          <cell r="E423">
            <v>0</v>
          </cell>
        </row>
        <row r="424">
          <cell r="A424">
            <v>3201300007</v>
          </cell>
          <cell r="C424" t="str">
            <v>US81P01001</v>
          </cell>
          <cell r="E424">
            <v>346.55</v>
          </cell>
        </row>
        <row r="425">
          <cell r="A425">
            <v>3201400002</v>
          </cell>
          <cell r="C425" t="str">
            <v>US81P01001</v>
          </cell>
          <cell r="E425">
            <v>682.41</v>
          </cell>
        </row>
        <row r="426">
          <cell r="A426">
            <v>3911100010</v>
          </cell>
          <cell r="C426" t="str">
            <v>US81P01001</v>
          </cell>
          <cell r="E426">
            <v>1252.0899999999999</v>
          </cell>
        </row>
        <row r="427">
          <cell r="A427">
            <v>3911100012</v>
          </cell>
          <cell r="C427" t="str">
            <v>US81P01001</v>
          </cell>
          <cell r="E427">
            <v>4167.95</v>
          </cell>
        </row>
        <row r="428">
          <cell r="A428">
            <v>3911100015</v>
          </cell>
          <cell r="C428" t="str">
            <v>US81P01001</v>
          </cell>
          <cell r="E428">
            <v>4963.87</v>
          </cell>
        </row>
        <row r="429">
          <cell r="A429">
            <v>3911100022</v>
          </cell>
          <cell r="C429" t="str">
            <v>US81P01001</v>
          </cell>
          <cell r="E429">
            <v>3333.57</v>
          </cell>
        </row>
        <row r="430">
          <cell r="A430">
            <v>3911100041</v>
          </cell>
          <cell r="C430" t="str">
            <v>US81P01001</v>
          </cell>
          <cell r="E430">
            <v>82.73</v>
          </cell>
        </row>
        <row r="431">
          <cell r="A431">
            <v>3911200001</v>
          </cell>
          <cell r="C431" t="str">
            <v>US81P01001</v>
          </cell>
          <cell r="E431">
            <v>34</v>
          </cell>
        </row>
        <row r="432">
          <cell r="A432">
            <v>3911200002</v>
          </cell>
          <cell r="C432" t="str">
            <v>US81P01001</v>
          </cell>
          <cell r="E432">
            <v>250</v>
          </cell>
        </row>
        <row r="433">
          <cell r="A433">
            <v>3921200003</v>
          </cell>
          <cell r="C433" t="str">
            <v>US81P01001</v>
          </cell>
          <cell r="E433">
            <v>1859.42</v>
          </cell>
        </row>
        <row r="434">
          <cell r="A434">
            <v>3921200006</v>
          </cell>
          <cell r="C434" t="str">
            <v>US81P01001</v>
          </cell>
          <cell r="E434">
            <v>102.44</v>
          </cell>
        </row>
        <row r="435">
          <cell r="A435">
            <v>3921200010</v>
          </cell>
          <cell r="C435" t="str">
            <v>US81P01001</v>
          </cell>
          <cell r="E435">
            <v>46.42</v>
          </cell>
        </row>
        <row r="436">
          <cell r="A436">
            <v>3951100002</v>
          </cell>
          <cell r="C436" t="str">
            <v>US81P01001</v>
          </cell>
          <cell r="E436">
            <v>1402.94</v>
          </cell>
        </row>
        <row r="437">
          <cell r="A437">
            <v>3951200008</v>
          </cell>
          <cell r="C437" t="str">
            <v>US81P01001</v>
          </cell>
          <cell r="E437">
            <v>251.54</v>
          </cell>
        </row>
        <row r="438">
          <cell r="A438">
            <v>3991200001</v>
          </cell>
          <cell r="C438" t="str">
            <v>US81P01001</v>
          </cell>
          <cell r="E438">
            <v>122.53</v>
          </cell>
        </row>
        <row r="439">
          <cell r="A439">
            <v>3991200012</v>
          </cell>
          <cell r="C439" t="str">
            <v>US81P01001</v>
          </cell>
          <cell r="E439">
            <v>80.36</v>
          </cell>
        </row>
        <row r="440">
          <cell r="A440">
            <v>3991200015</v>
          </cell>
          <cell r="C440" t="str">
            <v>US81P01001</v>
          </cell>
          <cell r="E440">
            <v>770.28</v>
          </cell>
        </row>
        <row r="441">
          <cell r="A441">
            <v>3991200099</v>
          </cell>
          <cell r="C441" t="str">
            <v>US81P01001</v>
          </cell>
          <cell r="E441">
            <v>-2342.7800000000002</v>
          </cell>
        </row>
        <row r="442">
          <cell r="A442">
            <v>9420000002</v>
          </cell>
          <cell r="C442" t="str">
            <v>US81P01001</v>
          </cell>
          <cell r="E442">
            <v>49012.34</v>
          </cell>
        </row>
        <row r="443">
          <cell r="A443">
            <v>9420000008</v>
          </cell>
          <cell r="C443" t="str">
            <v>US81P01001</v>
          </cell>
          <cell r="E443">
            <v>-101717.36</v>
          </cell>
        </row>
        <row r="444">
          <cell r="A444">
            <v>9420000025</v>
          </cell>
          <cell r="C444" t="str">
            <v>US81P01001</v>
          </cell>
          <cell r="E444">
            <v>4586.74</v>
          </cell>
        </row>
        <row r="445">
          <cell r="A445">
            <v>9420000002</v>
          </cell>
          <cell r="C445" t="str">
            <v>US81P01100</v>
          </cell>
          <cell r="E445">
            <v>219249.77</v>
          </cell>
        </row>
        <row r="446">
          <cell r="A446">
            <v>9420000008</v>
          </cell>
          <cell r="C446" t="str">
            <v>US81P01100</v>
          </cell>
          <cell r="E446">
            <v>-219249.77</v>
          </cell>
        </row>
        <row r="447">
          <cell r="A447">
            <v>3111100000</v>
          </cell>
          <cell r="C447" t="str">
            <v>US81P01110</v>
          </cell>
          <cell r="E447">
            <v>20472.82</v>
          </cell>
        </row>
        <row r="448">
          <cell r="A448">
            <v>3111100020</v>
          </cell>
          <cell r="C448" t="str">
            <v>US81P01110</v>
          </cell>
          <cell r="E448">
            <v>12935</v>
          </cell>
        </row>
        <row r="449">
          <cell r="A449">
            <v>3131100007</v>
          </cell>
          <cell r="C449" t="str">
            <v>US81P01110</v>
          </cell>
          <cell r="E449">
            <v>-4.13</v>
          </cell>
        </row>
        <row r="450">
          <cell r="A450">
            <v>3201300002</v>
          </cell>
          <cell r="C450" t="str">
            <v>US81P01110</v>
          </cell>
          <cell r="E450">
            <v>64</v>
          </cell>
        </row>
        <row r="451">
          <cell r="A451">
            <v>3201300006</v>
          </cell>
          <cell r="C451" t="str">
            <v>US81P01110</v>
          </cell>
          <cell r="E451">
            <v>250</v>
          </cell>
        </row>
        <row r="452">
          <cell r="A452">
            <v>3911100010</v>
          </cell>
          <cell r="C452" t="str">
            <v>US81P01110</v>
          </cell>
          <cell r="E452">
            <v>4.13</v>
          </cell>
        </row>
        <row r="453">
          <cell r="A453">
            <v>3911100015</v>
          </cell>
          <cell r="C453" t="str">
            <v>US81P01110</v>
          </cell>
          <cell r="E453">
            <v>75.66</v>
          </cell>
        </row>
        <row r="454">
          <cell r="A454">
            <v>3911100041</v>
          </cell>
          <cell r="C454" t="str">
            <v>US81P01110</v>
          </cell>
          <cell r="E454">
            <v>49.85</v>
          </cell>
        </row>
        <row r="455">
          <cell r="A455">
            <v>3911200001</v>
          </cell>
          <cell r="C455" t="str">
            <v>US81P01110</v>
          </cell>
          <cell r="E455">
            <v>76.48</v>
          </cell>
        </row>
        <row r="456">
          <cell r="A456">
            <v>3921200010</v>
          </cell>
          <cell r="C456" t="str">
            <v>US81P01110</v>
          </cell>
          <cell r="E456">
            <v>251.76</v>
          </cell>
        </row>
        <row r="457">
          <cell r="A457">
            <v>3921200100</v>
          </cell>
          <cell r="C457" t="str">
            <v>US81P01110</v>
          </cell>
          <cell r="E457">
            <v>21.38</v>
          </cell>
        </row>
        <row r="458">
          <cell r="A458">
            <v>3951200002</v>
          </cell>
          <cell r="C458" t="str">
            <v>US81P01110</v>
          </cell>
          <cell r="E458">
            <v>129.87</v>
          </cell>
        </row>
        <row r="459">
          <cell r="A459">
            <v>3951200008</v>
          </cell>
          <cell r="C459" t="str">
            <v>US81P01110</v>
          </cell>
          <cell r="E459">
            <v>677.03</v>
          </cell>
        </row>
        <row r="460">
          <cell r="A460">
            <v>3991200012</v>
          </cell>
          <cell r="C460" t="str">
            <v>US81P01110</v>
          </cell>
          <cell r="E460">
            <v>42.57</v>
          </cell>
        </row>
        <row r="461">
          <cell r="A461">
            <v>3991200015</v>
          </cell>
          <cell r="C461" t="str">
            <v>US81P01110</v>
          </cell>
          <cell r="E461">
            <v>23.53</v>
          </cell>
        </row>
        <row r="462">
          <cell r="A462">
            <v>9420000008</v>
          </cell>
          <cell r="C462" t="str">
            <v>US81P01110</v>
          </cell>
          <cell r="E462">
            <v>-38531.29</v>
          </cell>
        </row>
        <row r="463">
          <cell r="A463">
            <v>9420000025</v>
          </cell>
          <cell r="C463" t="str">
            <v>US81P01110</v>
          </cell>
          <cell r="E463">
            <v>3461.34</v>
          </cell>
        </row>
        <row r="464">
          <cell r="A464">
            <v>3111100000</v>
          </cell>
          <cell r="C464" t="str">
            <v>US81P01130</v>
          </cell>
          <cell r="E464">
            <v>30947.74</v>
          </cell>
        </row>
        <row r="465">
          <cell r="A465">
            <v>3111100020</v>
          </cell>
          <cell r="C465" t="str">
            <v>US81P01130</v>
          </cell>
          <cell r="E465">
            <v>6802</v>
          </cell>
        </row>
        <row r="466">
          <cell r="A466">
            <v>3911100010</v>
          </cell>
          <cell r="C466" t="str">
            <v>US81P01130</v>
          </cell>
          <cell r="E466">
            <v>139.27000000000001</v>
          </cell>
        </row>
        <row r="467">
          <cell r="A467">
            <v>3911100012</v>
          </cell>
          <cell r="C467" t="str">
            <v>US81P01130</v>
          </cell>
          <cell r="E467">
            <v>719.83</v>
          </cell>
        </row>
        <row r="468">
          <cell r="A468">
            <v>3911100015</v>
          </cell>
          <cell r="C468" t="str">
            <v>US81P01130</v>
          </cell>
          <cell r="E468">
            <v>182.24</v>
          </cell>
        </row>
        <row r="469">
          <cell r="A469">
            <v>3911100041</v>
          </cell>
          <cell r="C469" t="str">
            <v>US81P01130</v>
          </cell>
          <cell r="E469">
            <v>44.46</v>
          </cell>
        </row>
        <row r="470">
          <cell r="A470">
            <v>3921200003</v>
          </cell>
          <cell r="C470" t="str">
            <v>US81P01130</v>
          </cell>
          <cell r="E470">
            <v>280.39999999999998</v>
          </cell>
        </row>
        <row r="471">
          <cell r="A471">
            <v>3921200050</v>
          </cell>
          <cell r="C471" t="str">
            <v>US81P01130</v>
          </cell>
          <cell r="E471">
            <v>45.86</v>
          </cell>
        </row>
        <row r="472">
          <cell r="A472">
            <v>3951200008</v>
          </cell>
          <cell r="C472" t="str">
            <v>US81P01130</v>
          </cell>
          <cell r="E472">
            <v>129.37</v>
          </cell>
        </row>
        <row r="473">
          <cell r="A473">
            <v>9420000008</v>
          </cell>
          <cell r="C473" t="str">
            <v>US81P01130</v>
          </cell>
          <cell r="E473">
            <v>-47388.22</v>
          </cell>
        </row>
        <row r="474">
          <cell r="A474">
            <v>9420000025</v>
          </cell>
          <cell r="C474" t="str">
            <v>US81P01130</v>
          </cell>
          <cell r="E474">
            <v>8097.05</v>
          </cell>
        </row>
        <row r="475">
          <cell r="A475">
            <v>3921200010</v>
          </cell>
          <cell r="C475" t="str">
            <v>US81P01550</v>
          </cell>
          <cell r="E475">
            <v>22.19</v>
          </cell>
        </row>
        <row r="476">
          <cell r="A476">
            <v>3991200012</v>
          </cell>
          <cell r="C476" t="str">
            <v>US81P01550</v>
          </cell>
          <cell r="E476">
            <v>14.81</v>
          </cell>
        </row>
        <row r="477">
          <cell r="A477">
            <v>9420000008</v>
          </cell>
          <cell r="C477" t="str">
            <v>US81P01550</v>
          </cell>
          <cell r="E477">
            <v>-37</v>
          </cell>
        </row>
        <row r="478">
          <cell r="A478">
            <v>3311400099</v>
          </cell>
          <cell r="C478" t="str">
            <v>US81P01560</v>
          </cell>
          <cell r="E478">
            <v>0</v>
          </cell>
        </row>
        <row r="479">
          <cell r="A479">
            <v>9420000008</v>
          </cell>
          <cell r="C479" t="str">
            <v>US81P01560</v>
          </cell>
          <cell r="E479">
            <v>0</v>
          </cell>
        </row>
        <row r="480">
          <cell r="A480">
            <v>3111100020</v>
          </cell>
          <cell r="C480" t="str">
            <v>US81P01589</v>
          </cell>
          <cell r="E480">
            <v>2685</v>
          </cell>
        </row>
        <row r="481">
          <cell r="A481">
            <v>3921200010</v>
          </cell>
          <cell r="C481" t="str">
            <v>US81P01589</v>
          </cell>
          <cell r="E481">
            <v>18.3</v>
          </cell>
        </row>
        <row r="482">
          <cell r="A482">
            <v>3991200099</v>
          </cell>
          <cell r="C482" t="str">
            <v>US81P01589</v>
          </cell>
          <cell r="E482">
            <v>-1838.28</v>
          </cell>
        </row>
        <row r="483">
          <cell r="A483">
            <v>9420000002</v>
          </cell>
          <cell r="C483" t="str">
            <v>US81P01589</v>
          </cell>
          <cell r="E483">
            <v>106619.9</v>
          </cell>
        </row>
        <row r="484">
          <cell r="A484">
            <v>9420000008</v>
          </cell>
          <cell r="C484" t="str">
            <v>US81P01589</v>
          </cell>
          <cell r="E484">
            <v>-107641.47</v>
          </cell>
        </row>
        <row r="485">
          <cell r="A485">
            <v>9420000025</v>
          </cell>
          <cell r="C485" t="str">
            <v>US81P01589</v>
          </cell>
          <cell r="E485">
            <v>156.55000000000001</v>
          </cell>
        </row>
        <row r="486">
          <cell r="A486">
            <v>3111100000</v>
          </cell>
          <cell r="C486" t="str">
            <v>US81P3C001</v>
          </cell>
          <cell r="E486">
            <v>17920.25</v>
          </cell>
        </row>
        <row r="487">
          <cell r="A487">
            <v>3111100020</v>
          </cell>
          <cell r="C487" t="str">
            <v>US81P3C001</v>
          </cell>
          <cell r="E487">
            <v>22195</v>
          </cell>
        </row>
        <row r="488">
          <cell r="A488">
            <v>3131100005</v>
          </cell>
          <cell r="C488" t="str">
            <v>US81P3C001</v>
          </cell>
          <cell r="E488">
            <v>0</v>
          </cell>
        </row>
        <row r="489">
          <cell r="A489">
            <v>3201400003</v>
          </cell>
          <cell r="C489" t="str">
            <v>US81P3C001</v>
          </cell>
          <cell r="E489">
            <v>37.65</v>
          </cell>
        </row>
        <row r="490">
          <cell r="A490">
            <v>3201400059</v>
          </cell>
          <cell r="C490" t="str">
            <v>US81P3C001</v>
          </cell>
          <cell r="E490">
            <v>424.79</v>
          </cell>
        </row>
        <row r="491">
          <cell r="A491">
            <v>3311400099</v>
          </cell>
          <cell r="C491" t="str">
            <v>US81P3C001</v>
          </cell>
          <cell r="E491">
            <v>1810.32</v>
          </cell>
        </row>
        <row r="492">
          <cell r="A492">
            <v>3911100010</v>
          </cell>
          <cell r="C492" t="str">
            <v>US81P3C001</v>
          </cell>
          <cell r="E492">
            <v>26.96</v>
          </cell>
        </row>
        <row r="493">
          <cell r="A493">
            <v>3911100012</v>
          </cell>
          <cell r="C493" t="str">
            <v>US81P3C001</v>
          </cell>
          <cell r="E493">
            <v>359.17</v>
          </cell>
        </row>
        <row r="494">
          <cell r="A494">
            <v>3911100015</v>
          </cell>
          <cell r="C494" t="str">
            <v>US81P3C001</v>
          </cell>
          <cell r="E494">
            <v>243.81</v>
          </cell>
        </row>
        <row r="495">
          <cell r="A495">
            <v>3911200001</v>
          </cell>
          <cell r="C495" t="str">
            <v>US81P3C001</v>
          </cell>
          <cell r="E495">
            <v>6113.44</v>
          </cell>
        </row>
        <row r="496">
          <cell r="A496">
            <v>3921200003</v>
          </cell>
          <cell r="C496" t="str">
            <v>US81P3C001</v>
          </cell>
          <cell r="E496">
            <v>93.27</v>
          </cell>
        </row>
        <row r="497">
          <cell r="A497">
            <v>3921200010</v>
          </cell>
          <cell r="C497" t="str">
            <v>US81P3C001</v>
          </cell>
          <cell r="E497">
            <v>280.26</v>
          </cell>
        </row>
        <row r="498">
          <cell r="A498">
            <v>3921200100</v>
          </cell>
          <cell r="C498" t="str">
            <v>US81P3C001</v>
          </cell>
          <cell r="E498">
            <v>58.82</v>
          </cell>
        </row>
        <row r="499">
          <cell r="A499">
            <v>3951200008</v>
          </cell>
          <cell r="C499" t="str">
            <v>US81P3C001</v>
          </cell>
          <cell r="E499">
            <v>526.78</v>
          </cell>
        </row>
        <row r="500">
          <cell r="A500">
            <v>3991200012</v>
          </cell>
          <cell r="C500" t="str">
            <v>US81P3C001</v>
          </cell>
          <cell r="E500">
            <v>263.45</v>
          </cell>
        </row>
        <row r="501">
          <cell r="A501">
            <v>9420000002</v>
          </cell>
          <cell r="C501" t="str">
            <v>US81P3C001</v>
          </cell>
          <cell r="E501">
            <v>33448.410000000003</v>
          </cell>
        </row>
        <row r="502">
          <cell r="A502">
            <v>9420000008</v>
          </cell>
          <cell r="C502" t="str">
            <v>US81P3C001</v>
          </cell>
          <cell r="E502">
            <v>-89372.74</v>
          </cell>
        </row>
        <row r="503">
          <cell r="A503">
            <v>9420000025</v>
          </cell>
          <cell r="C503" t="str">
            <v>US81P3C001</v>
          </cell>
          <cell r="E503">
            <v>5570.36</v>
          </cell>
        </row>
        <row r="504">
          <cell r="A504">
            <v>3991200012</v>
          </cell>
          <cell r="C504" t="str">
            <v>US81P3C100</v>
          </cell>
          <cell r="E504">
            <v>10.77</v>
          </cell>
        </row>
        <row r="505">
          <cell r="A505">
            <v>9420000002</v>
          </cell>
          <cell r="C505" t="str">
            <v>US81P3C100</v>
          </cell>
          <cell r="E505">
            <v>218258.02</v>
          </cell>
        </row>
        <row r="506">
          <cell r="A506">
            <v>9420000008</v>
          </cell>
          <cell r="C506" t="str">
            <v>US81P3C100</v>
          </cell>
          <cell r="E506">
            <v>-218268.79</v>
          </cell>
        </row>
        <row r="507">
          <cell r="A507">
            <v>3111100000</v>
          </cell>
          <cell r="C507" t="str">
            <v>US81P3C110</v>
          </cell>
          <cell r="E507">
            <v>33464.089999999997</v>
          </cell>
        </row>
        <row r="508">
          <cell r="A508">
            <v>3111100020</v>
          </cell>
          <cell r="C508" t="str">
            <v>US81P3C110</v>
          </cell>
          <cell r="E508">
            <v>7020</v>
          </cell>
        </row>
        <row r="509">
          <cell r="A509">
            <v>3131100005</v>
          </cell>
          <cell r="C509" t="str">
            <v>US81P3C110</v>
          </cell>
          <cell r="E509">
            <v>3877.33</v>
          </cell>
        </row>
        <row r="510">
          <cell r="A510">
            <v>3911100010</v>
          </cell>
          <cell r="C510" t="str">
            <v>US81P3C110</v>
          </cell>
          <cell r="E510">
            <v>64.569999999999993</v>
          </cell>
        </row>
        <row r="511">
          <cell r="A511">
            <v>3911100012</v>
          </cell>
          <cell r="C511" t="str">
            <v>US81P3C110</v>
          </cell>
          <cell r="E511">
            <v>1659.84</v>
          </cell>
        </row>
        <row r="512">
          <cell r="A512">
            <v>3911100015</v>
          </cell>
          <cell r="C512" t="str">
            <v>US81P3C110</v>
          </cell>
          <cell r="E512">
            <v>87.77</v>
          </cell>
        </row>
        <row r="513">
          <cell r="A513">
            <v>3911100022</v>
          </cell>
          <cell r="C513" t="str">
            <v>US81P3C110</v>
          </cell>
          <cell r="E513">
            <v>634.9</v>
          </cell>
        </row>
        <row r="514">
          <cell r="A514">
            <v>3911100041</v>
          </cell>
          <cell r="C514" t="str">
            <v>US81P3C110</v>
          </cell>
          <cell r="E514">
            <v>85.22</v>
          </cell>
        </row>
        <row r="515">
          <cell r="A515">
            <v>3911200001</v>
          </cell>
          <cell r="C515" t="str">
            <v>US81P3C110</v>
          </cell>
          <cell r="E515">
            <v>550</v>
          </cell>
        </row>
        <row r="516">
          <cell r="A516">
            <v>3921200003</v>
          </cell>
          <cell r="C516" t="str">
            <v>US81P3C110</v>
          </cell>
          <cell r="E516">
            <v>508.65</v>
          </cell>
        </row>
        <row r="517">
          <cell r="A517">
            <v>3921200010</v>
          </cell>
          <cell r="C517" t="str">
            <v>US81P3C110</v>
          </cell>
          <cell r="E517">
            <v>23.35</v>
          </cell>
        </row>
        <row r="518">
          <cell r="A518">
            <v>3951200002</v>
          </cell>
          <cell r="C518" t="str">
            <v>US81P3C110</v>
          </cell>
          <cell r="E518">
            <v>29</v>
          </cell>
        </row>
        <row r="519">
          <cell r="A519">
            <v>3951200008</v>
          </cell>
          <cell r="C519" t="str">
            <v>US81P3C110</v>
          </cell>
          <cell r="E519">
            <v>230.82</v>
          </cell>
        </row>
        <row r="520">
          <cell r="A520">
            <v>3991200012</v>
          </cell>
          <cell r="C520" t="str">
            <v>US81P3C110</v>
          </cell>
          <cell r="E520">
            <v>17.059999999999999</v>
          </cell>
        </row>
        <row r="521">
          <cell r="A521">
            <v>3991200015</v>
          </cell>
          <cell r="C521" t="str">
            <v>US81P3C110</v>
          </cell>
          <cell r="E521">
            <v>880.79</v>
          </cell>
        </row>
        <row r="522">
          <cell r="A522">
            <v>3991200099</v>
          </cell>
          <cell r="C522" t="str">
            <v>US81P3C110</v>
          </cell>
          <cell r="E522">
            <v>93.04</v>
          </cell>
        </row>
        <row r="523">
          <cell r="A523">
            <v>9420000008</v>
          </cell>
          <cell r="C523" t="str">
            <v>US81P3C110</v>
          </cell>
          <cell r="E523">
            <v>-57206.05</v>
          </cell>
        </row>
        <row r="524">
          <cell r="A524">
            <v>9420000025</v>
          </cell>
          <cell r="C524" t="str">
            <v>US81P3C110</v>
          </cell>
          <cell r="E524">
            <v>7979.62</v>
          </cell>
        </row>
        <row r="525">
          <cell r="A525">
            <v>3111100000</v>
          </cell>
          <cell r="C525" t="str">
            <v>US81P3C130</v>
          </cell>
          <cell r="E525">
            <v>60772.480000000003</v>
          </cell>
        </row>
        <row r="526">
          <cell r="A526">
            <v>3111100020</v>
          </cell>
          <cell r="C526" t="str">
            <v>US81P3C130</v>
          </cell>
          <cell r="E526">
            <v>8170</v>
          </cell>
        </row>
        <row r="527">
          <cell r="A527">
            <v>3131100005</v>
          </cell>
          <cell r="C527" t="str">
            <v>US81P3C130</v>
          </cell>
          <cell r="E527">
            <v>7013.95</v>
          </cell>
        </row>
        <row r="528">
          <cell r="A528">
            <v>3201300002</v>
          </cell>
          <cell r="C528" t="str">
            <v>US81P3C130</v>
          </cell>
          <cell r="E528">
            <v>480.5</v>
          </cell>
        </row>
        <row r="529">
          <cell r="A529">
            <v>3911100010</v>
          </cell>
          <cell r="C529" t="str">
            <v>US81P3C130</v>
          </cell>
          <cell r="E529">
            <v>45</v>
          </cell>
        </row>
        <row r="530">
          <cell r="A530">
            <v>3911100012</v>
          </cell>
          <cell r="C530" t="str">
            <v>US81P3C130</v>
          </cell>
          <cell r="E530">
            <v>273.42</v>
          </cell>
        </row>
        <row r="531">
          <cell r="A531">
            <v>3911100015</v>
          </cell>
          <cell r="C531" t="str">
            <v>US81P3C130</v>
          </cell>
          <cell r="E531">
            <v>299.14999999999998</v>
          </cell>
        </row>
        <row r="532">
          <cell r="A532">
            <v>3911100041</v>
          </cell>
          <cell r="C532" t="str">
            <v>US81P3C130</v>
          </cell>
          <cell r="E532">
            <v>213.18</v>
          </cell>
        </row>
        <row r="533">
          <cell r="A533">
            <v>3921200003</v>
          </cell>
          <cell r="C533" t="str">
            <v>US81P3C130</v>
          </cell>
          <cell r="E533">
            <v>201.37</v>
          </cell>
        </row>
        <row r="534">
          <cell r="A534">
            <v>3921200010</v>
          </cell>
          <cell r="C534" t="str">
            <v>US81P3C130</v>
          </cell>
          <cell r="E534">
            <v>90.85</v>
          </cell>
        </row>
        <row r="535">
          <cell r="A535">
            <v>3921200050</v>
          </cell>
          <cell r="C535" t="str">
            <v>US81P3C130</v>
          </cell>
          <cell r="E535">
            <v>47.21</v>
          </cell>
        </row>
        <row r="536">
          <cell r="A536">
            <v>3951200008</v>
          </cell>
          <cell r="C536" t="str">
            <v>US81P3C130</v>
          </cell>
          <cell r="E536">
            <v>300.18</v>
          </cell>
        </row>
        <row r="537">
          <cell r="A537">
            <v>3991200015</v>
          </cell>
          <cell r="C537" t="str">
            <v>US81P3C130</v>
          </cell>
          <cell r="E537">
            <v>551.16</v>
          </cell>
        </row>
        <row r="538">
          <cell r="A538">
            <v>9420000008</v>
          </cell>
          <cell r="C538" t="str">
            <v>US81P3C130</v>
          </cell>
          <cell r="E538">
            <v>-93558.91</v>
          </cell>
        </row>
        <row r="539">
          <cell r="A539">
            <v>9420000025</v>
          </cell>
          <cell r="C539" t="str">
            <v>US81P3C130</v>
          </cell>
          <cell r="E539">
            <v>15100.46</v>
          </cell>
        </row>
        <row r="540">
          <cell r="A540">
            <v>3201400029</v>
          </cell>
          <cell r="C540" t="str">
            <v>US81P3C560</v>
          </cell>
          <cell r="E540">
            <v>375876.5</v>
          </cell>
        </row>
        <row r="541">
          <cell r="A541">
            <v>3201400051</v>
          </cell>
          <cell r="C541" t="str">
            <v>US81P3C560</v>
          </cell>
          <cell r="E541">
            <v>335.09</v>
          </cell>
        </row>
        <row r="542">
          <cell r="A542">
            <v>3921200100</v>
          </cell>
          <cell r="C542" t="str">
            <v>US81P3C560</v>
          </cell>
          <cell r="E542">
            <v>923.78</v>
          </cell>
        </row>
        <row r="543">
          <cell r="A543">
            <v>9420000008</v>
          </cell>
          <cell r="C543" t="str">
            <v>US81P3C560</v>
          </cell>
          <cell r="E543">
            <v>-377135.37</v>
          </cell>
        </row>
        <row r="544">
          <cell r="A544">
            <v>3111100020</v>
          </cell>
          <cell r="C544" t="str">
            <v>US81P3C589</v>
          </cell>
          <cell r="E544">
            <v>7032</v>
          </cell>
        </row>
        <row r="545">
          <cell r="A545">
            <v>3991200099</v>
          </cell>
          <cell r="C545" t="str">
            <v>US81P3C589</v>
          </cell>
          <cell r="E545">
            <v>-612.76</v>
          </cell>
        </row>
        <row r="546">
          <cell r="A546">
            <v>9420000002</v>
          </cell>
          <cell r="C546" t="str">
            <v>US81P3C589</v>
          </cell>
          <cell r="E546">
            <v>36359.730000000003</v>
          </cell>
        </row>
        <row r="547">
          <cell r="A547">
            <v>9420000008</v>
          </cell>
          <cell r="C547" t="str">
            <v>US81P3C589</v>
          </cell>
          <cell r="E547">
            <v>-43188.97</v>
          </cell>
        </row>
        <row r="548">
          <cell r="A548">
            <v>9420000025</v>
          </cell>
          <cell r="C548" t="str">
            <v>US81P3C589</v>
          </cell>
          <cell r="E548">
            <v>410</v>
          </cell>
        </row>
        <row r="549">
          <cell r="A549">
            <v>3111100020</v>
          </cell>
          <cell r="C549" t="str">
            <v>US81PZA001</v>
          </cell>
          <cell r="E549">
            <v>28323</v>
          </cell>
        </row>
        <row r="550">
          <cell r="A550">
            <v>3201300002</v>
          </cell>
          <cell r="C550" t="str">
            <v>US81PZA001</v>
          </cell>
          <cell r="E550">
            <v>589.35</v>
          </cell>
        </row>
        <row r="551">
          <cell r="A551">
            <v>3201400002</v>
          </cell>
          <cell r="C551" t="str">
            <v>US81PZA001</v>
          </cell>
          <cell r="E551">
            <v>609.98</v>
          </cell>
        </row>
        <row r="552">
          <cell r="A552">
            <v>3201400036</v>
          </cell>
          <cell r="C552" t="str">
            <v>US81PZA001</v>
          </cell>
          <cell r="E552">
            <v>755.61</v>
          </cell>
        </row>
        <row r="553">
          <cell r="A553">
            <v>3311400099</v>
          </cell>
          <cell r="C553" t="str">
            <v>US81PZA001</v>
          </cell>
          <cell r="E553">
            <v>6031.83</v>
          </cell>
        </row>
        <row r="554">
          <cell r="A554">
            <v>3911100010</v>
          </cell>
          <cell r="C554" t="str">
            <v>US81PZA001</v>
          </cell>
          <cell r="E554">
            <v>52.63</v>
          </cell>
        </row>
        <row r="555">
          <cell r="A555">
            <v>3911200001</v>
          </cell>
          <cell r="C555" t="str">
            <v>US81PZA001</v>
          </cell>
          <cell r="E555">
            <v>642.41</v>
          </cell>
        </row>
        <row r="556">
          <cell r="A556">
            <v>3921100001</v>
          </cell>
          <cell r="C556" t="str">
            <v>US81PZA001</v>
          </cell>
          <cell r="E556">
            <v>591.29</v>
          </cell>
        </row>
        <row r="557">
          <cell r="A557">
            <v>3921200003</v>
          </cell>
          <cell r="C557" t="str">
            <v>US81PZA001</v>
          </cell>
          <cell r="E557">
            <v>1021.52</v>
          </cell>
        </row>
        <row r="558">
          <cell r="A558">
            <v>3921200010</v>
          </cell>
          <cell r="C558" t="str">
            <v>US81PZA001</v>
          </cell>
          <cell r="E558">
            <v>1467.6</v>
          </cell>
        </row>
        <row r="559">
          <cell r="A559">
            <v>3921200100</v>
          </cell>
          <cell r="C559" t="str">
            <v>US81PZA001</v>
          </cell>
          <cell r="E559">
            <v>662.06</v>
          </cell>
        </row>
        <row r="560">
          <cell r="A560">
            <v>3951100002</v>
          </cell>
          <cell r="C560" t="str">
            <v>US81PZA001</v>
          </cell>
          <cell r="E560">
            <v>17335</v>
          </cell>
        </row>
        <row r="561">
          <cell r="A561">
            <v>3951200002</v>
          </cell>
          <cell r="C561" t="str">
            <v>US81PZA001</v>
          </cell>
          <cell r="E561">
            <v>710.21</v>
          </cell>
        </row>
        <row r="562">
          <cell r="A562">
            <v>3951200008</v>
          </cell>
          <cell r="C562" t="str">
            <v>US81PZA001</v>
          </cell>
          <cell r="E562">
            <v>1144.22</v>
          </cell>
        </row>
        <row r="563">
          <cell r="A563">
            <v>3981100067</v>
          </cell>
          <cell r="C563" t="str">
            <v>US81PZA001</v>
          </cell>
          <cell r="E563">
            <v>0</v>
          </cell>
        </row>
        <row r="564">
          <cell r="A564">
            <v>3981100078</v>
          </cell>
          <cell r="C564" t="str">
            <v>US81PZA001</v>
          </cell>
          <cell r="E564">
            <v>0</v>
          </cell>
        </row>
        <row r="565">
          <cell r="A565">
            <v>3991200012</v>
          </cell>
          <cell r="C565" t="str">
            <v>US81PZA001</v>
          </cell>
          <cell r="E565">
            <v>24.7</v>
          </cell>
        </row>
        <row r="566">
          <cell r="A566">
            <v>3991200015</v>
          </cell>
          <cell r="C566" t="str">
            <v>US81PZA001</v>
          </cell>
          <cell r="E566">
            <v>14025.02</v>
          </cell>
        </row>
        <row r="567">
          <cell r="A567">
            <v>9420000002</v>
          </cell>
          <cell r="C567" t="str">
            <v>US81PZA001</v>
          </cell>
          <cell r="E567">
            <v>-75637.8</v>
          </cell>
        </row>
        <row r="568">
          <cell r="A568">
            <v>9420000025</v>
          </cell>
          <cell r="C568" t="str">
            <v>US81PZA001</v>
          </cell>
          <cell r="E568">
            <v>1651.37</v>
          </cell>
        </row>
        <row r="569">
          <cell r="A569">
            <v>3111100000</v>
          </cell>
          <cell r="C569" t="str">
            <v>US81PZA002</v>
          </cell>
          <cell r="E569">
            <v>39623.85</v>
          </cell>
        </row>
        <row r="570">
          <cell r="A570">
            <v>3111100012</v>
          </cell>
          <cell r="C570" t="str">
            <v>US81PZA002</v>
          </cell>
          <cell r="E570">
            <v>581.26</v>
          </cell>
        </row>
        <row r="571">
          <cell r="A571">
            <v>3111100020</v>
          </cell>
          <cell r="C571" t="str">
            <v>US81PZA002</v>
          </cell>
          <cell r="E571">
            <v>5239</v>
          </cell>
        </row>
        <row r="572">
          <cell r="A572">
            <v>3131100007</v>
          </cell>
          <cell r="C572" t="str">
            <v>US81PZA002</v>
          </cell>
          <cell r="E572">
            <v>175</v>
          </cell>
        </row>
        <row r="573">
          <cell r="A573">
            <v>3141100000</v>
          </cell>
          <cell r="C573" t="str">
            <v>US81PZA002</v>
          </cell>
          <cell r="E573">
            <v>0</v>
          </cell>
        </row>
        <row r="574">
          <cell r="A574">
            <v>3201300001</v>
          </cell>
          <cell r="C574" t="str">
            <v>US81PZA002</v>
          </cell>
          <cell r="E574">
            <v>355.75</v>
          </cell>
        </row>
        <row r="575">
          <cell r="A575">
            <v>3201300002</v>
          </cell>
          <cell r="C575" t="str">
            <v>US81PZA002</v>
          </cell>
          <cell r="E575">
            <v>150</v>
          </cell>
        </row>
        <row r="576">
          <cell r="A576">
            <v>3201300006</v>
          </cell>
          <cell r="C576" t="str">
            <v>US81PZA002</v>
          </cell>
          <cell r="E576">
            <v>12</v>
          </cell>
        </row>
        <row r="577">
          <cell r="A577">
            <v>3201400000</v>
          </cell>
          <cell r="C577" t="str">
            <v>US81PZA002</v>
          </cell>
          <cell r="E577">
            <v>4302.8599999999997</v>
          </cell>
        </row>
        <row r="578">
          <cell r="A578">
            <v>3201400002</v>
          </cell>
          <cell r="C578" t="str">
            <v>US81PZA002</v>
          </cell>
          <cell r="E578">
            <v>1867.21</v>
          </cell>
        </row>
        <row r="579">
          <cell r="A579">
            <v>3201400003</v>
          </cell>
          <cell r="C579" t="str">
            <v>US81PZA002</v>
          </cell>
          <cell r="E579">
            <v>1292.6099999999999</v>
          </cell>
        </row>
        <row r="580">
          <cell r="A580">
            <v>3201400004</v>
          </cell>
          <cell r="C580" t="str">
            <v>US81PZA002</v>
          </cell>
          <cell r="E580">
            <v>4814.8100000000004</v>
          </cell>
        </row>
        <row r="581">
          <cell r="A581">
            <v>3201400006</v>
          </cell>
          <cell r="C581" t="str">
            <v>US81PZA002</v>
          </cell>
          <cell r="E581">
            <v>4709.2700000000004</v>
          </cell>
        </row>
        <row r="582">
          <cell r="A582">
            <v>3201400025</v>
          </cell>
          <cell r="C582" t="str">
            <v>US81PZA002</v>
          </cell>
          <cell r="E582">
            <v>11775.52</v>
          </cell>
        </row>
        <row r="583">
          <cell r="A583">
            <v>3201400029</v>
          </cell>
          <cell r="C583" t="str">
            <v>US81PZA002</v>
          </cell>
          <cell r="E583">
            <v>11514.22</v>
          </cell>
        </row>
        <row r="584">
          <cell r="A584">
            <v>3201400036</v>
          </cell>
          <cell r="C584" t="str">
            <v>US81PZA002</v>
          </cell>
          <cell r="E584">
            <v>8532.82</v>
          </cell>
        </row>
        <row r="585">
          <cell r="A585">
            <v>3201400050</v>
          </cell>
          <cell r="C585" t="str">
            <v>US81PZA002</v>
          </cell>
          <cell r="E585">
            <v>224.53</v>
          </cell>
        </row>
        <row r="586">
          <cell r="A586">
            <v>3201400051</v>
          </cell>
          <cell r="C586" t="str">
            <v>US81PZA002</v>
          </cell>
          <cell r="E586">
            <v>21217.81</v>
          </cell>
        </row>
        <row r="587">
          <cell r="A587">
            <v>3201400054</v>
          </cell>
          <cell r="C587" t="str">
            <v>US81PZA002</v>
          </cell>
          <cell r="E587">
            <v>45.16</v>
          </cell>
        </row>
        <row r="588">
          <cell r="A588">
            <v>3311400099</v>
          </cell>
          <cell r="C588" t="str">
            <v>US81PZA002</v>
          </cell>
          <cell r="E588">
            <v>19.23</v>
          </cell>
        </row>
        <row r="589">
          <cell r="A589">
            <v>3911100041</v>
          </cell>
          <cell r="C589" t="str">
            <v>US81PZA002</v>
          </cell>
          <cell r="E589">
            <v>50</v>
          </cell>
        </row>
        <row r="590">
          <cell r="A590">
            <v>3911200000</v>
          </cell>
          <cell r="C590" t="str">
            <v>US81PZA002</v>
          </cell>
          <cell r="E590">
            <v>760.43</v>
          </cell>
        </row>
        <row r="591">
          <cell r="A591">
            <v>3911200001</v>
          </cell>
          <cell r="C591" t="str">
            <v>US81PZA002</v>
          </cell>
          <cell r="E591">
            <v>287.52</v>
          </cell>
        </row>
        <row r="592">
          <cell r="A592">
            <v>3911200006</v>
          </cell>
          <cell r="C592" t="str">
            <v>US81PZA002</v>
          </cell>
          <cell r="E592">
            <v>48.69</v>
          </cell>
        </row>
        <row r="593">
          <cell r="A593">
            <v>3921100000</v>
          </cell>
          <cell r="C593" t="str">
            <v>US81PZA002</v>
          </cell>
          <cell r="E593">
            <v>6321.23</v>
          </cell>
        </row>
        <row r="594">
          <cell r="A594">
            <v>3921100001</v>
          </cell>
          <cell r="C594" t="str">
            <v>US81PZA002</v>
          </cell>
          <cell r="E594">
            <v>54651</v>
          </cell>
        </row>
        <row r="595">
          <cell r="A595">
            <v>3921200001</v>
          </cell>
          <cell r="C595" t="str">
            <v>US81PZA002</v>
          </cell>
          <cell r="E595">
            <v>21902.81</v>
          </cell>
        </row>
        <row r="596">
          <cell r="A596">
            <v>3921200003</v>
          </cell>
          <cell r="C596" t="str">
            <v>US81PZA002</v>
          </cell>
          <cell r="E596">
            <v>6230.89</v>
          </cell>
        </row>
        <row r="597">
          <cell r="A597">
            <v>3921200006</v>
          </cell>
          <cell r="C597" t="str">
            <v>US81PZA002</v>
          </cell>
          <cell r="E597">
            <v>28845.3</v>
          </cell>
        </row>
        <row r="598">
          <cell r="A598">
            <v>3921200010</v>
          </cell>
          <cell r="C598" t="str">
            <v>US81PZA002</v>
          </cell>
          <cell r="E598">
            <v>4247.7</v>
          </cell>
        </row>
        <row r="599">
          <cell r="A599">
            <v>3921200022</v>
          </cell>
          <cell r="C599" t="str">
            <v>US81PZA002</v>
          </cell>
          <cell r="E599">
            <v>1303.92</v>
          </cell>
        </row>
        <row r="600">
          <cell r="A600">
            <v>3921200023</v>
          </cell>
          <cell r="C600" t="str">
            <v>US81PZA002</v>
          </cell>
          <cell r="E600">
            <v>1559.84</v>
          </cell>
        </row>
        <row r="601">
          <cell r="A601">
            <v>3921200050</v>
          </cell>
          <cell r="C601" t="str">
            <v>US81PZA002</v>
          </cell>
          <cell r="E601">
            <v>1426.57</v>
          </cell>
        </row>
        <row r="602">
          <cell r="A602">
            <v>3921200100</v>
          </cell>
          <cell r="C602" t="str">
            <v>US81PZA002</v>
          </cell>
          <cell r="E602">
            <v>288.06</v>
          </cell>
        </row>
        <row r="603">
          <cell r="A603">
            <v>3951100005</v>
          </cell>
          <cell r="C603" t="str">
            <v>US81PZA002</v>
          </cell>
          <cell r="E603">
            <v>881.83</v>
          </cell>
        </row>
        <row r="604">
          <cell r="A604">
            <v>3951200008</v>
          </cell>
          <cell r="C604" t="str">
            <v>US81PZA002</v>
          </cell>
          <cell r="E604">
            <v>23.28</v>
          </cell>
        </row>
        <row r="605">
          <cell r="A605">
            <v>3991200001</v>
          </cell>
          <cell r="C605" t="str">
            <v>US81PZA002</v>
          </cell>
          <cell r="E605">
            <v>6195.07</v>
          </cell>
        </row>
        <row r="606">
          <cell r="A606">
            <v>3991200012</v>
          </cell>
          <cell r="C606" t="str">
            <v>US81PZA002</v>
          </cell>
          <cell r="E606">
            <v>721.53</v>
          </cell>
        </row>
        <row r="607">
          <cell r="A607">
            <v>3991200015</v>
          </cell>
          <cell r="C607" t="str">
            <v>US81PZA002</v>
          </cell>
          <cell r="E607">
            <v>11510.97</v>
          </cell>
        </row>
        <row r="608">
          <cell r="A608">
            <v>3991200099</v>
          </cell>
          <cell r="C608" t="str">
            <v>US81PZA002</v>
          </cell>
          <cell r="E608">
            <v>186.7</v>
          </cell>
        </row>
        <row r="609">
          <cell r="A609">
            <v>3991200213</v>
          </cell>
          <cell r="C609" t="str">
            <v>US81PZA002</v>
          </cell>
          <cell r="E609">
            <v>-273205.21000000002</v>
          </cell>
        </row>
        <row r="610">
          <cell r="A610">
            <v>9420000025</v>
          </cell>
          <cell r="C610" t="str">
            <v>US81PZA002</v>
          </cell>
          <cell r="E610">
            <v>9308.9599999999991</v>
          </cell>
        </row>
        <row r="611">
          <cell r="A611">
            <v>3201300002</v>
          </cell>
          <cell r="C611" t="str">
            <v>US81PZA003</v>
          </cell>
          <cell r="E611">
            <v>428.55</v>
          </cell>
        </row>
        <row r="612">
          <cell r="A612">
            <v>3201300006</v>
          </cell>
          <cell r="C612" t="str">
            <v>US81PZA003</v>
          </cell>
          <cell r="E612">
            <v>7</v>
          </cell>
        </row>
        <row r="613">
          <cell r="A613">
            <v>3201400002</v>
          </cell>
          <cell r="C613" t="str">
            <v>US81PZA003</v>
          </cell>
          <cell r="E613">
            <v>544.26</v>
          </cell>
        </row>
        <row r="614">
          <cell r="A614">
            <v>3201400004</v>
          </cell>
          <cell r="C614" t="str">
            <v>US81PZA003</v>
          </cell>
          <cell r="E614">
            <v>592.79999999999995</v>
          </cell>
        </row>
        <row r="615">
          <cell r="A615">
            <v>3201400006</v>
          </cell>
          <cell r="C615" t="str">
            <v>US81PZA003</v>
          </cell>
          <cell r="E615">
            <v>1601.1</v>
          </cell>
        </row>
        <row r="616">
          <cell r="A616">
            <v>3201400025</v>
          </cell>
          <cell r="C616" t="str">
            <v>US81PZA003</v>
          </cell>
          <cell r="E616">
            <v>1926</v>
          </cell>
        </row>
        <row r="617">
          <cell r="A617">
            <v>3201400029</v>
          </cell>
          <cell r="C617" t="str">
            <v>US81PZA003</v>
          </cell>
          <cell r="E617">
            <v>633.96</v>
          </cell>
        </row>
        <row r="618">
          <cell r="A618">
            <v>3201400036</v>
          </cell>
          <cell r="C618" t="str">
            <v>US81PZA003</v>
          </cell>
          <cell r="E618">
            <v>2601.59</v>
          </cell>
        </row>
        <row r="619">
          <cell r="A619">
            <v>3921100000</v>
          </cell>
          <cell r="C619" t="str">
            <v>US81PZA003</v>
          </cell>
          <cell r="E619">
            <v>343.83</v>
          </cell>
        </row>
        <row r="620">
          <cell r="A620">
            <v>3921100001</v>
          </cell>
          <cell r="C620" t="str">
            <v>US81PZA003</v>
          </cell>
          <cell r="E620">
            <v>2598.63</v>
          </cell>
        </row>
        <row r="621">
          <cell r="A621">
            <v>3921200001</v>
          </cell>
          <cell r="C621" t="str">
            <v>US81PZA003</v>
          </cell>
          <cell r="E621">
            <v>432.15</v>
          </cell>
        </row>
        <row r="622">
          <cell r="A622">
            <v>3921200003</v>
          </cell>
          <cell r="C622" t="str">
            <v>US81PZA003</v>
          </cell>
          <cell r="E622">
            <v>252.36</v>
          </cell>
        </row>
        <row r="623">
          <cell r="A623">
            <v>3921200006</v>
          </cell>
          <cell r="C623" t="str">
            <v>US81PZA003</v>
          </cell>
          <cell r="E623">
            <v>169.47</v>
          </cell>
        </row>
        <row r="624">
          <cell r="A624">
            <v>3921200010</v>
          </cell>
          <cell r="C624" t="str">
            <v>US81PZA003</v>
          </cell>
          <cell r="E624">
            <v>1119.76</v>
          </cell>
        </row>
        <row r="625">
          <cell r="A625">
            <v>3951100005</v>
          </cell>
          <cell r="C625" t="str">
            <v>US81PZA003</v>
          </cell>
          <cell r="E625">
            <v>120</v>
          </cell>
        </row>
        <row r="626">
          <cell r="A626">
            <v>3951200008</v>
          </cell>
          <cell r="C626" t="str">
            <v>US81PZA003</v>
          </cell>
          <cell r="E626">
            <v>675.08</v>
          </cell>
        </row>
        <row r="627">
          <cell r="A627">
            <v>3991200001</v>
          </cell>
          <cell r="C627" t="str">
            <v>US81PZA003</v>
          </cell>
          <cell r="E627">
            <v>539.9</v>
          </cell>
        </row>
        <row r="628">
          <cell r="A628">
            <v>3991200015</v>
          </cell>
          <cell r="C628" t="str">
            <v>US81PZA003</v>
          </cell>
          <cell r="E628">
            <v>5247.68</v>
          </cell>
        </row>
        <row r="629">
          <cell r="A629">
            <v>9420000002</v>
          </cell>
          <cell r="C629" t="str">
            <v>US81PZA003</v>
          </cell>
          <cell r="E629">
            <v>-19834.12</v>
          </cell>
        </row>
        <row r="630">
          <cell r="A630">
            <v>3111100000</v>
          </cell>
          <cell r="C630" t="str">
            <v>US81PZA100</v>
          </cell>
          <cell r="E630">
            <v>121120.82</v>
          </cell>
        </row>
        <row r="631">
          <cell r="A631">
            <v>3111100012</v>
          </cell>
          <cell r="C631" t="str">
            <v>US81PZA100</v>
          </cell>
          <cell r="E631">
            <v>273.85000000000002</v>
          </cell>
        </row>
        <row r="632">
          <cell r="A632">
            <v>3111100020</v>
          </cell>
          <cell r="C632" t="str">
            <v>US81PZA100</v>
          </cell>
          <cell r="E632">
            <v>20283</v>
          </cell>
        </row>
        <row r="633">
          <cell r="A633">
            <v>3131100005</v>
          </cell>
          <cell r="C633" t="str">
            <v>US81PZA100</v>
          </cell>
          <cell r="E633">
            <v>0</v>
          </cell>
        </row>
        <row r="634">
          <cell r="A634">
            <v>3131100006</v>
          </cell>
          <cell r="C634" t="str">
            <v>US81PZA100</v>
          </cell>
          <cell r="E634">
            <v>13780</v>
          </cell>
        </row>
        <row r="635">
          <cell r="A635">
            <v>3131100007</v>
          </cell>
          <cell r="C635" t="str">
            <v>US81PZA100</v>
          </cell>
          <cell r="E635">
            <v>1646</v>
          </cell>
        </row>
        <row r="636">
          <cell r="A636">
            <v>3131100025</v>
          </cell>
          <cell r="C636" t="str">
            <v>US81PZA100</v>
          </cell>
          <cell r="E636">
            <v>69.09</v>
          </cell>
        </row>
        <row r="637">
          <cell r="A637">
            <v>3201300002</v>
          </cell>
          <cell r="C637" t="str">
            <v>US81PZA100</v>
          </cell>
          <cell r="E637">
            <v>808.29</v>
          </cell>
        </row>
        <row r="638">
          <cell r="A638">
            <v>3201300006</v>
          </cell>
          <cell r="C638" t="str">
            <v>US81PZA100</v>
          </cell>
          <cell r="E638">
            <v>48525.58</v>
          </cell>
        </row>
        <row r="639">
          <cell r="A639">
            <v>3201400002</v>
          </cell>
          <cell r="C639" t="str">
            <v>US81PZA100</v>
          </cell>
          <cell r="E639">
            <v>50</v>
          </cell>
        </row>
        <row r="640">
          <cell r="A640">
            <v>3911100010</v>
          </cell>
          <cell r="C640" t="str">
            <v>US81PZA100</v>
          </cell>
          <cell r="E640">
            <v>482.27</v>
          </cell>
        </row>
        <row r="641">
          <cell r="A641">
            <v>3911100012</v>
          </cell>
          <cell r="C641" t="str">
            <v>US81PZA100</v>
          </cell>
          <cell r="E641">
            <v>1440.57</v>
          </cell>
        </row>
        <row r="642">
          <cell r="A642">
            <v>3911100015</v>
          </cell>
          <cell r="C642" t="str">
            <v>US81PZA100</v>
          </cell>
          <cell r="E642">
            <v>606.99</v>
          </cell>
        </row>
        <row r="643">
          <cell r="A643">
            <v>3911100022</v>
          </cell>
          <cell r="C643" t="str">
            <v>US81PZA100</v>
          </cell>
          <cell r="E643">
            <v>1673.61</v>
          </cell>
        </row>
        <row r="644">
          <cell r="A644">
            <v>3911100041</v>
          </cell>
          <cell r="C644" t="str">
            <v>US81PZA100</v>
          </cell>
          <cell r="E644">
            <v>333.28</v>
          </cell>
        </row>
        <row r="645">
          <cell r="A645">
            <v>3911200001</v>
          </cell>
          <cell r="C645" t="str">
            <v>US81PZA100</v>
          </cell>
          <cell r="E645">
            <v>5391.09</v>
          </cell>
        </row>
        <row r="646">
          <cell r="A646">
            <v>3921100001</v>
          </cell>
          <cell r="C646" t="str">
            <v>US81PZA100</v>
          </cell>
          <cell r="E646">
            <v>591.29</v>
          </cell>
        </row>
        <row r="647">
          <cell r="A647">
            <v>3921200003</v>
          </cell>
          <cell r="C647" t="str">
            <v>US81PZA100</v>
          </cell>
          <cell r="E647">
            <v>603.54999999999995</v>
          </cell>
        </row>
        <row r="648">
          <cell r="A648">
            <v>3921200010</v>
          </cell>
          <cell r="C648" t="str">
            <v>US81PZA100</v>
          </cell>
          <cell r="E648">
            <v>5410.45</v>
          </cell>
        </row>
        <row r="649">
          <cell r="A649">
            <v>3951100002</v>
          </cell>
          <cell r="C649" t="str">
            <v>US81PZA100</v>
          </cell>
          <cell r="E649">
            <v>20802</v>
          </cell>
        </row>
        <row r="650">
          <cell r="A650">
            <v>3951200008</v>
          </cell>
          <cell r="C650" t="str">
            <v>US81PZA100</v>
          </cell>
          <cell r="E650">
            <v>2877.03</v>
          </cell>
        </row>
        <row r="651">
          <cell r="A651">
            <v>3991200012</v>
          </cell>
          <cell r="C651" t="str">
            <v>US81PZA100</v>
          </cell>
          <cell r="E651">
            <v>228.2</v>
          </cell>
        </row>
        <row r="652">
          <cell r="A652">
            <v>3991200015</v>
          </cell>
          <cell r="C652" t="str">
            <v>US81PZA100</v>
          </cell>
          <cell r="E652">
            <v>2826.17</v>
          </cell>
        </row>
        <row r="653">
          <cell r="A653">
            <v>3991200099</v>
          </cell>
          <cell r="C653" t="str">
            <v>US81PZA100</v>
          </cell>
          <cell r="E653">
            <v>306.37</v>
          </cell>
        </row>
        <row r="654">
          <cell r="A654">
            <v>9420000002</v>
          </cell>
          <cell r="C654" t="str">
            <v>US81PZA100</v>
          </cell>
          <cell r="E654">
            <v>-279630.24</v>
          </cell>
        </row>
        <row r="655">
          <cell r="A655">
            <v>9420000025</v>
          </cell>
          <cell r="C655" t="str">
            <v>US81PZA100</v>
          </cell>
          <cell r="E655">
            <v>29500.74</v>
          </cell>
        </row>
        <row r="656">
          <cell r="A656">
            <v>3111100000</v>
          </cell>
          <cell r="C656" t="str">
            <v>US81PZA120</v>
          </cell>
          <cell r="E656">
            <v>79603.87</v>
          </cell>
        </row>
        <row r="657">
          <cell r="A657">
            <v>3111100020</v>
          </cell>
          <cell r="C657" t="str">
            <v>US81PZA120</v>
          </cell>
          <cell r="E657">
            <v>28363</v>
          </cell>
        </row>
        <row r="658">
          <cell r="A658">
            <v>3131100005</v>
          </cell>
          <cell r="C658" t="str">
            <v>US81PZA120</v>
          </cell>
          <cell r="E658">
            <v>0</v>
          </cell>
        </row>
        <row r="659">
          <cell r="A659">
            <v>3911100010</v>
          </cell>
          <cell r="C659" t="str">
            <v>US81PZA120</v>
          </cell>
          <cell r="E659">
            <v>1392.72</v>
          </cell>
        </row>
        <row r="660">
          <cell r="A660">
            <v>3911100012</v>
          </cell>
          <cell r="C660" t="str">
            <v>US81PZA120</v>
          </cell>
          <cell r="E660">
            <v>4124.46</v>
          </cell>
        </row>
        <row r="661">
          <cell r="A661">
            <v>3911100015</v>
          </cell>
          <cell r="C661" t="str">
            <v>US81PZA120</v>
          </cell>
          <cell r="E661">
            <v>5825.97</v>
          </cell>
        </row>
        <row r="662">
          <cell r="A662">
            <v>3911100041</v>
          </cell>
          <cell r="C662" t="str">
            <v>US81PZA120</v>
          </cell>
          <cell r="E662">
            <v>507.23</v>
          </cell>
        </row>
        <row r="663">
          <cell r="A663">
            <v>3911200001</v>
          </cell>
          <cell r="C663" t="str">
            <v>US81PZA120</v>
          </cell>
          <cell r="E663">
            <v>1241.58</v>
          </cell>
        </row>
        <row r="664">
          <cell r="A664">
            <v>3921200003</v>
          </cell>
          <cell r="C664" t="str">
            <v>US81PZA120</v>
          </cell>
          <cell r="E664">
            <v>516.66999999999996</v>
          </cell>
        </row>
        <row r="665">
          <cell r="A665">
            <v>3921200010</v>
          </cell>
          <cell r="C665" t="str">
            <v>US81PZA120</v>
          </cell>
          <cell r="E665">
            <v>744.42</v>
          </cell>
        </row>
        <row r="666">
          <cell r="A666">
            <v>3921200100</v>
          </cell>
          <cell r="C666" t="str">
            <v>US81PZA120</v>
          </cell>
          <cell r="E666">
            <v>117.66</v>
          </cell>
        </row>
        <row r="667">
          <cell r="A667">
            <v>3951100002</v>
          </cell>
          <cell r="C667" t="str">
            <v>US81PZA120</v>
          </cell>
          <cell r="E667">
            <v>1200</v>
          </cell>
        </row>
        <row r="668">
          <cell r="A668">
            <v>3951200002</v>
          </cell>
          <cell r="C668" t="str">
            <v>US81PZA120</v>
          </cell>
          <cell r="E668">
            <v>14.5</v>
          </cell>
        </row>
        <row r="669">
          <cell r="A669">
            <v>3951200008</v>
          </cell>
          <cell r="C669" t="str">
            <v>US81PZA120</v>
          </cell>
          <cell r="E669">
            <v>1381.1</v>
          </cell>
        </row>
        <row r="670">
          <cell r="A670">
            <v>3991200012</v>
          </cell>
          <cell r="C670" t="str">
            <v>US81PZA120</v>
          </cell>
          <cell r="E670">
            <v>7.68</v>
          </cell>
        </row>
        <row r="671">
          <cell r="A671">
            <v>3991200015</v>
          </cell>
          <cell r="C671" t="str">
            <v>US81PZA120</v>
          </cell>
          <cell r="E671">
            <v>1079.1500000000001</v>
          </cell>
        </row>
        <row r="672">
          <cell r="A672">
            <v>3991200023</v>
          </cell>
          <cell r="C672" t="str">
            <v>US81PZA120</v>
          </cell>
          <cell r="E672">
            <v>1026.6099999999999</v>
          </cell>
        </row>
        <row r="673">
          <cell r="A673">
            <v>3991200099</v>
          </cell>
          <cell r="C673" t="str">
            <v>US81PZA120</v>
          </cell>
          <cell r="E673">
            <v>1522.52</v>
          </cell>
        </row>
        <row r="674">
          <cell r="A674">
            <v>9420000002</v>
          </cell>
          <cell r="C674" t="str">
            <v>US81PZA120</v>
          </cell>
          <cell r="E674">
            <v>-147960.47</v>
          </cell>
        </row>
        <row r="675">
          <cell r="A675">
            <v>9420000025</v>
          </cell>
          <cell r="C675" t="str">
            <v>US81PZA120</v>
          </cell>
          <cell r="E675">
            <v>19291.330000000002</v>
          </cell>
        </row>
        <row r="676">
          <cell r="A676">
            <v>3111100000</v>
          </cell>
          <cell r="C676" t="str">
            <v>US81PZA589</v>
          </cell>
          <cell r="E676">
            <v>53328.94</v>
          </cell>
        </row>
        <row r="677">
          <cell r="A677">
            <v>3111100020</v>
          </cell>
          <cell r="C677" t="str">
            <v>US81PZA589</v>
          </cell>
          <cell r="E677">
            <v>12482</v>
          </cell>
        </row>
        <row r="678">
          <cell r="A678">
            <v>3111100900</v>
          </cell>
          <cell r="C678" t="str">
            <v>US81PZA589</v>
          </cell>
          <cell r="E678">
            <v>2384.35</v>
          </cell>
        </row>
        <row r="679">
          <cell r="A679">
            <v>3131100005</v>
          </cell>
          <cell r="C679" t="str">
            <v>US81PZA589</v>
          </cell>
          <cell r="E679">
            <v>0</v>
          </cell>
        </row>
        <row r="680">
          <cell r="A680">
            <v>3131100007</v>
          </cell>
          <cell r="C680" t="str">
            <v>US81PZA589</v>
          </cell>
          <cell r="E680">
            <v>251.52</v>
          </cell>
        </row>
        <row r="681">
          <cell r="A681">
            <v>3201300002</v>
          </cell>
          <cell r="C681" t="str">
            <v>US81PZA589</v>
          </cell>
          <cell r="E681">
            <v>10285.75</v>
          </cell>
        </row>
        <row r="682">
          <cell r="A682">
            <v>3201400002</v>
          </cell>
          <cell r="C682" t="str">
            <v>US81PZA589</v>
          </cell>
          <cell r="E682">
            <v>97.86</v>
          </cell>
        </row>
        <row r="683">
          <cell r="A683">
            <v>3201400029</v>
          </cell>
          <cell r="C683" t="str">
            <v>US81PZA589</v>
          </cell>
          <cell r="E683">
            <v>1686.78</v>
          </cell>
        </row>
        <row r="684">
          <cell r="A684">
            <v>3311400099</v>
          </cell>
          <cell r="C684" t="str">
            <v>US81PZA589</v>
          </cell>
          <cell r="E684">
            <v>0</v>
          </cell>
        </row>
        <row r="685">
          <cell r="A685">
            <v>3911100010</v>
          </cell>
          <cell r="C685" t="str">
            <v>US81PZA589</v>
          </cell>
          <cell r="E685">
            <v>2521.0100000000002</v>
          </cell>
        </row>
        <row r="686">
          <cell r="A686">
            <v>3911100012</v>
          </cell>
          <cell r="C686" t="str">
            <v>US81PZA589</v>
          </cell>
          <cell r="E686">
            <v>15393.34</v>
          </cell>
        </row>
        <row r="687">
          <cell r="A687">
            <v>3911100015</v>
          </cell>
          <cell r="C687" t="str">
            <v>US81PZA589</v>
          </cell>
          <cell r="E687">
            <v>10353.530000000001</v>
          </cell>
        </row>
        <row r="688">
          <cell r="A688">
            <v>3911100022</v>
          </cell>
          <cell r="C688" t="str">
            <v>US81PZA589</v>
          </cell>
          <cell r="E688">
            <v>1120.3800000000001</v>
          </cell>
        </row>
        <row r="689">
          <cell r="A689">
            <v>3911100041</v>
          </cell>
          <cell r="C689" t="str">
            <v>US81PZA589</v>
          </cell>
          <cell r="E689">
            <v>1452.69</v>
          </cell>
        </row>
        <row r="690">
          <cell r="A690">
            <v>3911200001</v>
          </cell>
          <cell r="C690" t="str">
            <v>US81PZA589</v>
          </cell>
          <cell r="E690">
            <v>1616.31</v>
          </cell>
        </row>
        <row r="691">
          <cell r="A691">
            <v>3921200001</v>
          </cell>
          <cell r="C691" t="str">
            <v>US81PZA589</v>
          </cell>
          <cell r="E691">
            <v>136.16</v>
          </cell>
        </row>
        <row r="692">
          <cell r="A692">
            <v>3921200003</v>
          </cell>
          <cell r="C692" t="str">
            <v>US81PZA589</v>
          </cell>
          <cell r="E692">
            <v>2975.02</v>
          </cell>
        </row>
        <row r="693">
          <cell r="A693">
            <v>3921200006</v>
          </cell>
          <cell r="C693" t="str">
            <v>US81PZA589</v>
          </cell>
          <cell r="E693">
            <v>2560.17</v>
          </cell>
        </row>
        <row r="694">
          <cell r="A694">
            <v>3921200010</v>
          </cell>
          <cell r="C694" t="str">
            <v>US81PZA589</v>
          </cell>
          <cell r="E694">
            <v>120.45</v>
          </cell>
        </row>
        <row r="695">
          <cell r="A695">
            <v>3921200023</v>
          </cell>
          <cell r="C695" t="str">
            <v>US81PZA589</v>
          </cell>
          <cell r="E695">
            <v>3122.11</v>
          </cell>
        </row>
        <row r="696">
          <cell r="A696">
            <v>3921200050</v>
          </cell>
          <cell r="C696" t="str">
            <v>US81PZA589</v>
          </cell>
          <cell r="E696">
            <v>1215.74</v>
          </cell>
        </row>
        <row r="697">
          <cell r="A697">
            <v>3921200100</v>
          </cell>
          <cell r="C697" t="str">
            <v>US81PZA589</v>
          </cell>
          <cell r="E697">
            <v>116.15</v>
          </cell>
        </row>
        <row r="698">
          <cell r="A698">
            <v>3951200008</v>
          </cell>
          <cell r="C698" t="str">
            <v>US81PZA589</v>
          </cell>
          <cell r="E698">
            <v>659.04</v>
          </cell>
        </row>
        <row r="699">
          <cell r="A699">
            <v>3991200001</v>
          </cell>
          <cell r="C699" t="str">
            <v>US81PZA589</v>
          </cell>
          <cell r="E699">
            <v>3.16</v>
          </cell>
        </row>
        <row r="700">
          <cell r="A700">
            <v>3991200012</v>
          </cell>
          <cell r="C700" t="str">
            <v>US81PZA589</v>
          </cell>
          <cell r="E700">
            <v>524.41</v>
          </cell>
        </row>
        <row r="701">
          <cell r="A701">
            <v>3991200015</v>
          </cell>
          <cell r="C701" t="str">
            <v>US81PZA589</v>
          </cell>
          <cell r="E701">
            <v>1247.81</v>
          </cell>
        </row>
        <row r="702">
          <cell r="A702">
            <v>3991200069</v>
          </cell>
          <cell r="C702" t="str">
            <v>US81PZA589</v>
          </cell>
          <cell r="E702">
            <v>449</v>
          </cell>
        </row>
        <row r="703">
          <cell r="A703">
            <v>3991200099</v>
          </cell>
          <cell r="C703" t="str">
            <v>US81PZA589</v>
          </cell>
          <cell r="E703">
            <v>473.7</v>
          </cell>
        </row>
        <row r="704">
          <cell r="A704">
            <v>9420000002</v>
          </cell>
          <cell r="C704" t="str">
            <v>US81PZA589</v>
          </cell>
          <cell r="E704">
            <v>-139885.54</v>
          </cell>
        </row>
        <row r="705">
          <cell r="A705">
            <v>9420000025</v>
          </cell>
          <cell r="C705" t="str">
            <v>US81PZA589</v>
          </cell>
          <cell r="E705">
            <v>13308.16</v>
          </cell>
        </row>
        <row r="706">
          <cell r="A706">
            <v>3111100000</v>
          </cell>
          <cell r="C706" t="str">
            <v>USCLP01005</v>
          </cell>
          <cell r="E706">
            <v>40108.269999999997</v>
          </cell>
        </row>
        <row r="707">
          <cell r="A707">
            <v>3111100020</v>
          </cell>
          <cell r="C707" t="str">
            <v>USCLP01005</v>
          </cell>
          <cell r="E707">
            <v>6134</v>
          </cell>
        </row>
        <row r="708">
          <cell r="A708">
            <v>3201300001</v>
          </cell>
          <cell r="C708" t="str">
            <v>USCLP01005</v>
          </cell>
          <cell r="E708">
            <v>16061.42</v>
          </cell>
        </row>
        <row r="709">
          <cell r="A709">
            <v>3201300002</v>
          </cell>
          <cell r="C709" t="str">
            <v>USCLP01005</v>
          </cell>
          <cell r="E709">
            <v>-1683.2</v>
          </cell>
        </row>
        <row r="710">
          <cell r="A710">
            <v>3201400002</v>
          </cell>
          <cell r="C710" t="str">
            <v>USCLP01005</v>
          </cell>
          <cell r="E710">
            <v>1135.6300000000001</v>
          </cell>
        </row>
        <row r="711">
          <cell r="A711">
            <v>3201400004</v>
          </cell>
          <cell r="C711" t="str">
            <v>USCLP01005</v>
          </cell>
          <cell r="E711">
            <v>411</v>
          </cell>
        </row>
        <row r="712">
          <cell r="A712">
            <v>3201400051</v>
          </cell>
          <cell r="C712" t="str">
            <v>USCLP01005</v>
          </cell>
          <cell r="E712">
            <v>968.98</v>
          </cell>
        </row>
        <row r="713">
          <cell r="A713">
            <v>3911100010</v>
          </cell>
          <cell r="C713" t="str">
            <v>USCLP01005</v>
          </cell>
          <cell r="E713">
            <v>124.25</v>
          </cell>
        </row>
        <row r="714">
          <cell r="A714">
            <v>3911100012</v>
          </cell>
          <cell r="C714" t="str">
            <v>USCLP01005</v>
          </cell>
          <cell r="E714">
            <v>658.91</v>
          </cell>
        </row>
        <row r="715">
          <cell r="A715">
            <v>3911100015</v>
          </cell>
          <cell r="C715" t="str">
            <v>USCLP01005</v>
          </cell>
          <cell r="E715">
            <v>519.14</v>
          </cell>
        </row>
        <row r="716">
          <cell r="A716">
            <v>3921200003</v>
          </cell>
          <cell r="C716" t="str">
            <v>USCLP01005</v>
          </cell>
          <cell r="E716">
            <v>793.49</v>
          </cell>
        </row>
        <row r="717">
          <cell r="A717">
            <v>3921200010</v>
          </cell>
          <cell r="C717" t="str">
            <v>USCLP01005</v>
          </cell>
          <cell r="E717">
            <v>2152.5700000000002</v>
          </cell>
        </row>
        <row r="718">
          <cell r="A718">
            <v>3921200026</v>
          </cell>
          <cell r="C718" t="str">
            <v>USCLP01005</v>
          </cell>
          <cell r="E718">
            <v>76.319999999999993</v>
          </cell>
        </row>
        <row r="719">
          <cell r="A719">
            <v>3921200100</v>
          </cell>
          <cell r="C719" t="str">
            <v>USCLP01005</v>
          </cell>
          <cell r="E719">
            <v>159.47</v>
          </cell>
        </row>
        <row r="720">
          <cell r="A720">
            <v>3951200002</v>
          </cell>
          <cell r="C720" t="str">
            <v>USCLP01005</v>
          </cell>
          <cell r="E720">
            <v>174</v>
          </cell>
        </row>
        <row r="721">
          <cell r="A721">
            <v>3951200008</v>
          </cell>
          <cell r="C721" t="str">
            <v>USCLP01005</v>
          </cell>
          <cell r="E721">
            <v>120.43</v>
          </cell>
        </row>
        <row r="722">
          <cell r="A722">
            <v>3991200015</v>
          </cell>
          <cell r="C722" t="str">
            <v>USCLP01005</v>
          </cell>
          <cell r="E722">
            <v>317.13</v>
          </cell>
        </row>
        <row r="723">
          <cell r="A723">
            <v>3991200099</v>
          </cell>
          <cell r="C723" t="str">
            <v>USCLP01005</v>
          </cell>
          <cell r="E723">
            <v>47845.47</v>
          </cell>
        </row>
        <row r="724">
          <cell r="A724">
            <v>9420000008</v>
          </cell>
          <cell r="C724" t="str">
            <v>USCLP01005</v>
          </cell>
          <cell r="E724">
            <v>-125473.15</v>
          </cell>
        </row>
        <row r="725">
          <cell r="A725">
            <v>9420000025</v>
          </cell>
          <cell r="C725" t="str">
            <v>USCLP01005</v>
          </cell>
          <cell r="E725">
            <v>9395.8700000000008</v>
          </cell>
        </row>
        <row r="726">
          <cell r="A726">
            <v>3911100010</v>
          </cell>
          <cell r="C726" t="str">
            <v>USMWP3C501</v>
          </cell>
          <cell r="E726">
            <v>206.94</v>
          </cell>
        </row>
        <row r="727">
          <cell r="A727">
            <v>3911100012</v>
          </cell>
          <cell r="C727" t="str">
            <v>USMWP3C501</v>
          </cell>
          <cell r="E727">
            <v>2566.2399999999998</v>
          </cell>
        </row>
        <row r="728">
          <cell r="A728">
            <v>3911100015</v>
          </cell>
          <cell r="C728" t="str">
            <v>USMWP3C501</v>
          </cell>
          <cell r="E728">
            <v>24.7</v>
          </cell>
        </row>
        <row r="729">
          <cell r="A729">
            <v>3911100022</v>
          </cell>
          <cell r="C729" t="str">
            <v>USMWP3C501</v>
          </cell>
          <cell r="E729">
            <v>317.81</v>
          </cell>
        </row>
        <row r="730">
          <cell r="A730">
            <v>3911100041</v>
          </cell>
          <cell r="C730" t="str">
            <v>USMWP3C501</v>
          </cell>
          <cell r="E730">
            <v>236.52</v>
          </cell>
        </row>
        <row r="731">
          <cell r="A731">
            <v>3921200010</v>
          </cell>
          <cell r="C731" t="str">
            <v>USMWP3C501</v>
          </cell>
          <cell r="E731">
            <v>7.43</v>
          </cell>
        </row>
        <row r="732">
          <cell r="A732">
            <v>3991200012</v>
          </cell>
          <cell r="C732" t="str">
            <v>USMWP3C501</v>
          </cell>
          <cell r="E732">
            <v>47.69</v>
          </cell>
        </row>
        <row r="733">
          <cell r="A733">
            <v>3991200099</v>
          </cell>
          <cell r="C733" t="str">
            <v>USMWP3C501</v>
          </cell>
          <cell r="E733">
            <v>1158.69</v>
          </cell>
        </row>
        <row r="734">
          <cell r="A734">
            <v>9420000008</v>
          </cell>
          <cell r="C734" t="str">
            <v>USMWP3C501</v>
          </cell>
          <cell r="E734">
            <v>162002.28</v>
          </cell>
        </row>
        <row r="735">
          <cell r="A735">
            <v>9430000207</v>
          </cell>
          <cell r="C735" t="str">
            <v>USMWP3C501</v>
          </cell>
          <cell r="E735">
            <v>-166568.29999999999</v>
          </cell>
        </row>
        <row r="736">
          <cell r="A736">
            <v>3991200099</v>
          </cell>
          <cell r="C736" t="str">
            <v>USMWP3C515</v>
          </cell>
          <cell r="E736">
            <v>-1209349.5</v>
          </cell>
        </row>
        <row r="737">
          <cell r="A737">
            <v>9420000008</v>
          </cell>
          <cell r="C737" t="str">
            <v>USMWP3C515</v>
          </cell>
          <cell r="E737">
            <v>668156.52</v>
          </cell>
        </row>
        <row r="738">
          <cell r="A738">
            <v>9430000250</v>
          </cell>
          <cell r="C738" t="str">
            <v>USMWP3C515</v>
          </cell>
          <cell r="E738">
            <v>541192.98</v>
          </cell>
        </row>
        <row r="739">
          <cell r="A739">
            <v>9420000008</v>
          </cell>
          <cell r="C739" t="str">
            <v>USMWP3C550</v>
          </cell>
          <cell r="E739">
            <v>258.24</v>
          </cell>
        </row>
        <row r="740">
          <cell r="A740">
            <v>9430000041</v>
          </cell>
          <cell r="C740" t="str">
            <v>USMWP3C550</v>
          </cell>
          <cell r="E740">
            <v>-23.44</v>
          </cell>
        </row>
        <row r="741">
          <cell r="A741">
            <v>9430000206</v>
          </cell>
          <cell r="C741" t="str">
            <v>USMWP3C550</v>
          </cell>
          <cell r="E741">
            <v>-234.8</v>
          </cell>
        </row>
        <row r="742">
          <cell r="A742">
            <v>3201400056</v>
          </cell>
          <cell r="C742" t="str">
            <v>USMWP3C560</v>
          </cell>
          <cell r="E742">
            <v>5930.25</v>
          </cell>
        </row>
        <row r="743">
          <cell r="A743">
            <v>3921200100</v>
          </cell>
          <cell r="C743" t="str">
            <v>USMWP3C560</v>
          </cell>
          <cell r="E743">
            <v>13569.03</v>
          </cell>
        </row>
        <row r="744">
          <cell r="A744">
            <v>3941100013</v>
          </cell>
          <cell r="C744" t="str">
            <v>USMWP3C560</v>
          </cell>
          <cell r="E744">
            <v>7657.13</v>
          </cell>
        </row>
        <row r="745">
          <cell r="A745">
            <v>9420000008</v>
          </cell>
          <cell r="C745" t="str">
            <v>USMWP3C560</v>
          </cell>
          <cell r="E745">
            <v>-27156.41</v>
          </cell>
        </row>
        <row r="746">
          <cell r="A746">
            <v>9430000202</v>
          </cell>
          <cell r="C746" t="str">
            <v>USMWP3C560</v>
          </cell>
          <cell r="E746">
            <v>0</v>
          </cell>
        </row>
        <row r="747">
          <cell r="A747">
            <v>3111100000</v>
          </cell>
          <cell r="C747" t="str">
            <v>USWOP01005</v>
          </cell>
          <cell r="E747">
            <v>16149.07</v>
          </cell>
        </row>
        <row r="748">
          <cell r="A748">
            <v>3111100020</v>
          </cell>
          <cell r="C748" t="str">
            <v>USWOP01005</v>
          </cell>
          <cell r="E748">
            <v>2978</v>
          </cell>
        </row>
        <row r="749">
          <cell r="A749">
            <v>3131100005</v>
          </cell>
          <cell r="C749" t="str">
            <v>USWOP01005</v>
          </cell>
          <cell r="E749">
            <v>0</v>
          </cell>
        </row>
        <row r="750">
          <cell r="A750">
            <v>3131100031</v>
          </cell>
          <cell r="C750" t="str">
            <v>USWOP01005</v>
          </cell>
          <cell r="E750">
            <v>1076.98</v>
          </cell>
        </row>
        <row r="751">
          <cell r="A751">
            <v>3201300001</v>
          </cell>
          <cell r="C751" t="str">
            <v>USWOP01005</v>
          </cell>
          <cell r="E751">
            <v>6713.74</v>
          </cell>
        </row>
        <row r="752">
          <cell r="A752">
            <v>3201400002</v>
          </cell>
          <cell r="C752" t="str">
            <v>USWOP01005</v>
          </cell>
          <cell r="E752">
            <v>294.3</v>
          </cell>
        </row>
        <row r="753">
          <cell r="A753">
            <v>3201400004</v>
          </cell>
          <cell r="C753" t="str">
            <v>USWOP01005</v>
          </cell>
          <cell r="E753">
            <v>2801.9</v>
          </cell>
        </row>
        <row r="754">
          <cell r="A754">
            <v>3201400051</v>
          </cell>
          <cell r="C754" t="str">
            <v>USWOP01005</v>
          </cell>
          <cell r="E754">
            <v>722.68</v>
          </cell>
        </row>
        <row r="755">
          <cell r="A755">
            <v>3201400056</v>
          </cell>
          <cell r="C755" t="str">
            <v>USWOP01005</v>
          </cell>
          <cell r="E755">
            <v>3740</v>
          </cell>
        </row>
        <row r="756">
          <cell r="A756">
            <v>3311400099</v>
          </cell>
          <cell r="C756" t="str">
            <v>USWOP01005</v>
          </cell>
          <cell r="E756">
            <v>403.33</v>
          </cell>
        </row>
        <row r="757">
          <cell r="A757">
            <v>3911100010</v>
          </cell>
          <cell r="C757" t="str">
            <v>USWOP01005</v>
          </cell>
          <cell r="E757">
            <v>63.96</v>
          </cell>
        </row>
        <row r="758">
          <cell r="A758">
            <v>3911100012</v>
          </cell>
          <cell r="C758" t="str">
            <v>USWOP01005</v>
          </cell>
          <cell r="E758">
            <v>385.24</v>
          </cell>
        </row>
        <row r="759">
          <cell r="A759">
            <v>3911100015</v>
          </cell>
          <cell r="C759" t="str">
            <v>USWOP01005</v>
          </cell>
          <cell r="E759">
            <v>58.86</v>
          </cell>
        </row>
        <row r="760">
          <cell r="A760">
            <v>3911100022</v>
          </cell>
          <cell r="C760" t="str">
            <v>USWOP01005</v>
          </cell>
          <cell r="E760">
            <v>718.07</v>
          </cell>
        </row>
        <row r="761">
          <cell r="A761">
            <v>3921200001</v>
          </cell>
          <cell r="C761" t="str">
            <v>USWOP01005</v>
          </cell>
          <cell r="E761">
            <v>5338.5</v>
          </cell>
        </row>
        <row r="762">
          <cell r="A762">
            <v>3921200003</v>
          </cell>
          <cell r="C762" t="str">
            <v>USWOP01005</v>
          </cell>
          <cell r="E762">
            <v>1201.69</v>
          </cell>
        </row>
        <row r="763">
          <cell r="A763">
            <v>3921200006</v>
          </cell>
          <cell r="C763" t="str">
            <v>USWOP01005</v>
          </cell>
          <cell r="E763">
            <v>85.97</v>
          </cell>
        </row>
        <row r="764">
          <cell r="A764">
            <v>3921200010</v>
          </cell>
          <cell r="C764" t="str">
            <v>USWOP01005</v>
          </cell>
          <cell r="E764">
            <v>220.81</v>
          </cell>
        </row>
        <row r="765">
          <cell r="A765">
            <v>3921200100</v>
          </cell>
          <cell r="C765" t="str">
            <v>USWOP01005</v>
          </cell>
          <cell r="E765">
            <v>250.49</v>
          </cell>
        </row>
        <row r="766">
          <cell r="A766">
            <v>3951100002</v>
          </cell>
          <cell r="C766" t="str">
            <v>USWOP01005</v>
          </cell>
          <cell r="E766">
            <v>8866.1</v>
          </cell>
        </row>
        <row r="767">
          <cell r="A767">
            <v>3951200002</v>
          </cell>
          <cell r="C767" t="str">
            <v>USWOP01005</v>
          </cell>
          <cell r="E767">
            <v>174</v>
          </cell>
        </row>
        <row r="768">
          <cell r="A768">
            <v>3951200008</v>
          </cell>
          <cell r="C768" t="str">
            <v>USWOP01005</v>
          </cell>
          <cell r="E768">
            <v>24.24</v>
          </cell>
        </row>
        <row r="769">
          <cell r="A769">
            <v>3991200001</v>
          </cell>
          <cell r="C769" t="str">
            <v>USWOP01005</v>
          </cell>
          <cell r="E769">
            <v>15.45</v>
          </cell>
        </row>
        <row r="770">
          <cell r="A770">
            <v>3991200015</v>
          </cell>
          <cell r="C770" t="str">
            <v>USWOP01005</v>
          </cell>
          <cell r="E770">
            <v>7.59</v>
          </cell>
        </row>
        <row r="771">
          <cell r="A771">
            <v>3991200099</v>
          </cell>
          <cell r="C771" t="str">
            <v>USWOP01005</v>
          </cell>
          <cell r="E771">
            <v>4451</v>
          </cell>
        </row>
        <row r="772">
          <cell r="A772">
            <v>3991200101</v>
          </cell>
          <cell r="C772" t="str">
            <v>USWOP01005</v>
          </cell>
          <cell r="E772">
            <v>-12340.77</v>
          </cell>
        </row>
        <row r="773">
          <cell r="A773">
            <v>9420000008</v>
          </cell>
          <cell r="C773" t="str">
            <v>USWOP01005</v>
          </cell>
          <cell r="E773">
            <v>-48213.95</v>
          </cell>
        </row>
        <row r="774">
          <cell r="A774">
            <v>9420000025</v>
          </cell>
          <cell r="C774" t="str">
            <v>USWOP01005</v>
          </cell>
          <cell r="E774">
            <v>3812.75</v>
          </cell>
        </row>
        <row r="775">
          <cell r="A775">
            <v>3201400054</v>
          </cell>
          <cell r="C775" t="str">
            <v>US29P7H590</v>
          </cell>
          <cell r="E775">
            <v>0</v>
          </cell>
        </row>
        <row r="776">
          <cell r="A776">
            <v>3201400055</v>
          </cell>
          <cell r="C776" t="str">
            <v>US29P7H590</v>
          </cell>
          <cell r="E776">
            <v>0</v>
          </cell>
        </row>
        <row r="777">
          <cell r="A777">
            <v>3991200027</v>
          </cell>
          <cell r="C777" t="str">
            <v>US29P7H590</v>
          </cell>
          <cell r="E777">
            <v>0</v>
          </cell>
        </row>
        <row r="778">
          <cell r="A778">
            <v>3111100000</v>
          </cell>
          <cell r="C778" t="str">
            <v>US29PZA590</v>
          </cell>
          <cell r="E778">
            <v>0</v>
          </cell>
        </row>
        <row r="779">
          <cell r="A779">
            <v>3121300013</v>
          </cell>
          <cell r="C779" t="str">
            <v>US29PZA590</v>
          </cell>
          <cell r="E779">
            <v>0</v>
          </cell>
        </row>
        <row r="780">
          <cell r="A780">
            <v>3201400002</v>
          </cell>
          <cell r="C780" t="str">
            <v>US29PZA590</v>
          </cell>
          <cell r="E780">
            <v>0</v>
          </cell>
        </row>
        <row r="781">
          <cell r="A781">
            <v>3201400029</v>
          </cell>
          <cell r="C781" t="str">
            <v>US29PZA590</v>
          </cell>
          <cell r="E781">
            <v>0</v>
          </cell>
        </row>
        <row r="782">
          <cell r="A782">
            <v>3311400099</v>
          </cell>
          <cell r="C782" t="str">
            <v>US29PZA590</v>
          </cell>
          <cell r="E782">
            <v>0</v>
          </cell>
        </row>
        <row r="783">
          <cell r="A783">
            <v>3911100010</v>
          </cell>
          <cell r="C783" t="str">
            <v>US29PZA590</v>
          </cell>
          <cell r="E783">
            <v>0</v>
          </cell>
        </row>
        <row r="784">
          <cell r="A784">
            <v>3911100012</v>
          </cell>
          <cell r="C784" t="str">
            <v>US29PZA590</v>
          </cell>
          <cell r="E784">
            <v>0</v>
          </cell>
        </row>
        <row r="785">
          <cell r="A785">
            <v>3911100015</v>
          </cell>
          <cell r="C785" t="str">
            <v>US29PZA590</v>
          </cell>
          <cell r="E785">
            <v>0</v>
          </cell>
        </row>
        <row r="786">
          <cell r="A786">
            <v>3911100022</v>
          </cell>
          <cell r="C786" t="str">
            <v>US29PZA590</v>
          </cell>
          <cell r="E786">
            <v>0</v>
          </cell>
        </row>
        <row r="787">
          <cell r="A787">
            <v>3911100041</v>
          </cell>
          <cell r="C787" t="str">
            <v>US29PZA590</v>
          </cell>
          <cell r="E787">
            <v>0</v>
          </cell>
        </row>
        <row r="788">
          <cell r="A788">
            <v>3921200003</v>
          </cell>
          <cell r="C788" t="str">
            <v>US29PZA590</v>
          </cell>
          <cell r="E788">
            <v>0</v>
          </cell>
        </row>
        <row r="789">
          <cell r="A789">
            <v>3921200010</v>
          </cell>
          <cell r="C789" t="str">
            <v>US29PZA590</v>
          </cell>
          <cell r="E789">
            <v>0</v>
          </cell>
        </row>
        <row r="790">
          <cell r="A790">
            <v>3921200050</v>
          </cell>
          <cell r="C790" t="str">
            <v>US29PZA590</v>
          </cell>
          <cell r="E790">
            <v>0</v>
          </cell>
        </row>
        <row r="791">
          <cell r="A791">
            <v>3991200015</v>
          </cell>
          <cell r="C791" t="str">
            <v>US29PZA590</v>
          </cell>
          <cell r="E791">
            <v>0</v>
          </cell>
        </row>
        <row r="792">
          <cell r="A792">
            <v>3991200018</v>
          </cell>
          <cell r="C792" t="str">
            <v>US29PZA590</v>
          </cell>
          <cell r="E792">
            <v>0</v>
          </cell>
        </row>
        <row r="793">
          <cell r="A793">
            <v>3111100020</v>
          </cell>
          <cell r="C793" t="str">
            <v>USCRP01590</v>
          </cell>
          <cell r="E793">
            <v>1992</v>
          </cell>
        </row>
        <row r="794">
          <cell r="A794">
            <v>3201300001</v>
          </cell>
          <cell r="C794" t="str">
            <v>USCRP01590</v>
          </cell>
          <cell r="E794">
            <v>9699.09</v>
          </cell>
        </row>
        <row r="795">
          <cell r="A795">
            <v>3201400036</v>
          </cell>
          <cell r="C795" t="str">
            <v>USCRP01590</v>
          </cell>
          <cell r="E795">
            <v>597.58000000000004</v>
          </cell>
        </row>
        <row r="796">
          <cell r="A796">
            <v>3201400051</v>
          </cell>
          <cell r="C796" t="str">
            <v>USCRP01590</v>
          </cell>
          <cell r="E796">
            <v>21.2</v>
          </cell>
        </row>
        <row r="797">
          <cell r="A797">
            <v>3201400055</v>
          </cell>
          <cell r="C797" t="str">
            <v>USCRP01590</v>
          </cell>
          <cell r="E797">
            <v>240</v>
          </cell>
        </row>
        <row r="798">
          <cell r="A798">
            <v>3921200003</v>
          </cell>
          <cell r="C798" t="str">
            <v>USCRP01590</v>
          </cell>
          <cell r="E798">
            <v>9.4</v>
          </cell>
        </row>
        <row r="799">
          <cell r="A799">
            <v>3921200006</v>
          </cell>
          <cell r="C799" t="str">
            <v>USCRP01590</v>
          </cell>
          <cell r="E799">
            <v>43.89</v>
          </cell>
        </row>
        <row r="800">
          <cell r="A800">
            <v>3921200037</v>
          </cell>
          <cell r="C800" t="str">
            <v>USCRP01590</v>
          </cell>
          <cell r="E800">
            <v>4277.26</v>
          </cell>
        </row>
        <row r="801">
          <cell r="A801">
            <v>3921200100</v>
          </cell>
          <cell r="C801" t="str">
            <v>USCRP01590</v>
          </cell>
          <cell r="E801">
            <v>1878.74</v>
          </cell>
        </row>
        <row r="802">
          <cell r="A802">
            <v>3991200012</v>
          </cell>
          <cell r="C802" t="str">
            <v>USCRP01590</v>
          </cell>
          <cell r="E802">
            <v>39.03</v>
          </cell>
        </row>
        <row r="803">
          <cell r="A803">
            <v>9420000025</v>
          </cell>
          <cell r="C803" t="str">
            <v>USCRP01590</v>
          </cell>
          <cell r="E803">
            <v>116.14</v>
          </cell>
        </row>
        <row r="804">
          <cell r="A804">
            <v>3111100020</v>
          </cell>
          <cell r="C804" t="str">
            <v>USCRP3C590</v>
          </cell>
          <cell r="E804">
            <v>1953</v>
          </cell>
        </row>
        <row r="805">
          <cell r="A805">
            <v>3201300001</v>
          </cell>
          <cell r="C805" t="str">
            <v>USCRP3C590</v>
          </cell>
          <cell r="E805">
            <v>327.12</v>
          </cell>
        </row>
        <row r="806">
          <cell r="A806">
            <v>3911100010</v>
          </cell>
          <cell r="C806" t="str">
            <v>USCRP3C590</v>
          </cell>
          <cell r="E806">
            <v>15</v>
          </cell>
        </row>
        <row r="807">
          <cell r="A807">
            <v>3911100012</v>
          </cell>
          <cell r="C807" t="str">
            <v>USCRP3C590</v>
          </cell>
          <cell r="E807">
            <v>67.28</v>
          </cell>
        </row>
        <row r="808">
          <cell r="A808">
            <v>3921200003</v>
          </cell>
          <cell r="C808" t="str">
            <v>USCRP3C590</v>
          </cell>
          <cell r="E808">
            <v>25.46</v>
          </cell>
        </row>
        <row r="809">
          <cell r="A809">
            <v>3921200023</v>
          </cell>
          <cell r="C809" t="str">
            <v>USCRP3C590</v>
          </cell>
          <cell r="E809">
            <v>87.8</v>
          </cell>
        </row>
        <row r="810">
          <cell r="A810">
            <v>3921200037</v>
          </cell>
          <cell r="C810" t="str">
            <v>USCRP3C590</v>
          </cell>
          <cell r="E810">
            <v>4103.45</v>
          </cell>
        </row>
        <row r="811">
          <cell r="A811">
            <v>3921200100</v>
          </cell>
          <cell r="C811" t="str">
            <v>USCRP3C590</v>
          </cell>
          <cell r="E811">
            <v>5429.88</v>
          </cell>
        </row>
        <row r="812">
          <cell r="A812">
            <v>9420000025</v>
          </cell>
          <cell r="C812" t="str">
            <v>USCRP3C590</v>
          </cell>
          <cell r="E812">
            <v>113.87</v>
          </cell>
        </row>
        <row r="813">
          <cell r="A813">
            <v>3111100020</v>
          </cell>
          <cell r="C813" t="str">
            <v>USCRPZA590</v>
          </cell>
          <cell r="E813">
            <v>4720</v>
          </cell>
        </row>
        <row r="814">
          <cell r="A814">
            <v>3131100025</v>
          </cell>
          <cell r="C814" t="str">
            <v>USCRPZA590</v>
          </cell>
          <cell r="E814">
            <v>253.67</v>
          </cell>
        </row>
        <row r="815">
          <cell r="A815">
            <v>3201300001</v>
          </cell>
          <cell r="C815" t="str">
            <v>USCRPZA590</v>
          </cell>
          <cell r="E815">
            <v>69064.61</v>
          </cell>
        </row>
        <row r="816">
          <cell r="A816">
            <v>3201400004</v>
          </cell>
          <cell r="C816" t="str">
            <v>USCRPZA590</v>
          </cell>
          <cell r="E816">
            <v>606.04</v>
          </cell>
        </row>
        <row r="817">
          <cell r="A817">
            <v>3201400025</v>
          </cell>
          <cell r="C817" t="str">
            <v>USCRPZA590</v>
          </cell>
          <cell r="E817">
            <v>3432.9</v>
          </cell>
        </row>
        <row r="818">
          <cell r="A818">
            <v>3201400029</v>
          </cell>
          <cell r="C818" t="str">
            <v>USCRPZA590</v>
          </cell>
          <cell r="E818">
            <v>1162.8599999999999</v>
          </cell>
        </row>
        <row r="819">
          <cell r="A819">
            <v>3201400055</v>
          </cell>
          <cell r="C819" t="str">
            <v>USCRPZA590</v>
          </cell>
          <cell r="E819">
            <v>9978</v>
          </cell>
        </row>
        <row r="820">
          <cell r="A820">
            <v>3311400099</v>
          </cell>
          <cell r="C820" t="str">
            <v>USCRPZA590</v>
          </cell>
          <cell r="E820">
            <v>6183.44</v>
          </cell>
        </row>
        <row r="821">
          <cell r="A821">
            <v>3911100041</v>
          </cell>
          <cell r="C821" t="str">
            <v>USCRPZA590</v>
          </cell>
          <cell r="E821">
            <v>32.380000000000003</v>
          </cell>
        </row>
        <row r="822">
          <cell r="A822">
            <v>3921100000</v>
          </cell>
          <cell r="C822" t="str">
            <v>USCRPZA590</v>
          </cell>
          <cell r="E822">
            <v>65.97</v>
          </cell>
        </row>
        <row r="823">
          <cell r="A823">
            <v>3921100001</v>
          </cell>
          <cell r="C823" t="str">
            <v>USCRPZA590</v>
          </cell>
          <cell r="E823">
            <v>6437.97</v>
          </cell>
        </row>
        <row r="824">
          <cell r="A824">
            <v>3921200001</v>
          </cell>
          <cell r="C824" t="str">
            <v>USCRPZA590</v>
          </cell>
          <cell r="E824">
            <v>974.95</v>
          </cell>
        </row>
        <row r="825">
          <cell r="A825">
            <v>3921200003</v>
          </cell>
          <cell r="C825" t="str">
            <v>USCRPZA590</v>
          </cell>
          <cell r="E825">
            <v>0</v>
          </cell>
        </row>
        <row r="826">
          <cell r="A826">
            <v>3921200006</v>
          </cell>
          <cell r="C826" t="str">
            <v>USCRPZA590</v>
          </cell>
          <cell r="E826">
            <v>486.75</v>
          </cell>
        </row>
        <row r="827">
          <cell r="A827">
            <v>3921200010</v>
          </cell>
          <cell r="C827" t="str">
            <v>USCRPZA590</v>
          </cell>
          <cell r="E827">
            <v>396.56</v>
          </cell>
        </row>
        <row r="828">
          <cell r="A828">
            <v>3921200037</v>
          </cell>
          <cell r="C828" t="str">
            <v>USCRPZA590</v>
          </cell>
          <cell r="E828">
            <v>7893.36</v>
          </cell>
        </row>
        <row r="829">
          <cell r="A829">
            <v>3921200050</v>
          </cell>
          <cell r="C829" t="str">
            <v>USCRPZA590</v>
          </cell>
          <cell r="E829">
            <v>188.43</v>
          </cell>
        </row>
        <row r="830">
          <cell r="A830">
            <v>3921200100</v>
          </cell>
          <cell r="C830" t="str">
            <v>USCRPZA590</v>
          </cell>
          <cell r="E830">
            <v>734.23</v>
          </cell>
        </row>
        <row r="831">
          <cell r="A831">
            <v>9420000025</v>
          </cell>
          <cell r="C831" t="str">
            <v>USCRPZA590</v>
          </cell>
          <cell r="E831">
            <v>275.2</v>
          </cell>
        </row>
        <row r="832">
          <cell r="A832">
            <v>3001500152</v>
          </cell>
          <cell r="C832" t="str">
            <v>US92P01590</v>
          </cell>
          <cell r="E832">
            <v>81.99</v>
          </cell>
        </row>
        <row r="833">
          <cell r="A833">
            <v>3111100000</v>
          </cell>
          <cell r="C833" t="str">
            <v>US92P01590</v>
          </cell>
          <cell r="E833">
            <v>61219.53</v>
          </cell>
        </row>
        <row r="834">
          <cell r="A834">
            <v>3111100012</v>
          </cell>
          <cell r="C834" t="str">
            <v>US92P01590</v>
          </cell>
          <cell r="E834">
            <v>3013.86</v>
          </cell>
        </row>
        <row r="835">
          <cell r="A835">
            <v>3111100020</v>
          </cell>
          <cell r="C835" t="str">
            <v>US92P01590</v>
          </cell>
          <cell r="E835">
            <v>0</v>
          </cell>
        </row>
        <row r="836">
          <cell r="A836">
            <v>3111100900</v>
          </cell>
          <cell r="C836" t="str">
            <v>US92P01590</v>
          </cell>
          <cell r="E836">
            <v>160637.01999999999</v>
          </cell>
        </row>
        <row r="837">
          <cell r="A837">
            <v>3121300013</v>
          </cell>
          <cell r="C837" t="str">
            <v>US92P01590</v>
          </cell>
          <cell r="E837">
            <v>0</v>
          </cell>
        </row>
        <row r="838">
          <cell r="A838">
            <v>3201300001</v>
          </cell>
          <cell r="C838" t="str">
            <v>US92P01590</v>
          </cell>
          <cell r="E838">
            <v>0</v>
          </cell>
        </row>
        <row r="839">
          <cell r="A839">
            <v>3201300002</v>
          </cell>
          <cell r="C839" t="str">
            <v>US92P01590</v>
          </cell>
          <cell r="E839">
            <v>0</v>
          </cell>
        </row>
        <row r="840">
          <cell r="A840">
            <v>3201400004</v>
          </cell>
          <cell r="C840" t="str">
            <v>US92P01590</v>
          </cell>
          <cell r="E840">
            <v>0</v>
          </cell>
        </row>
        <row r="841">
          <cell r="A841">
            <v>3201400029</v>
          </cell>
          <cell r="C841" t="str">
            <v>US92P01590</v>
          </cell>
          <cell r="E841">
            <v>807.5</v>
          </cell>
        </row>
        <row r="842">
          <cell r="A842">
            <v>3201400054</v>
          </cell>
          <cell r="C842" t="str">
            <v>US92P01590</v>
          </cell>
          <cell r="E842">
            <v>808.38</v>
          </cell>
        </row>
        <row r="843">
          <cell r="A843">
            <v>3201400055</v>
          </cell>
          <cell r="C843" t="str">
            <v>US92P01590</v>
          </cell>
          <cell r="E843">
            <v>1475</v>
          </cell>
        </row>
        <row r="844">
          <cell r="A844">
            <v>3911100027</v>
          </cell>
          <cell r="C844" t="str">
            <v>US92P01590</v>
          </cell>
          <cell r="E844">
            <v>0</v>
          </cell>
        </row>
        <row r="845">
          <cell r="A845">
            <v>3911100095</v>
          </cell>
          <cell r="C845" t="str">
            <v>US92P01590</v>
          </cell>
          <cell r="E845">
            <v>0</v>
          </cell>
        </row>
        <row r="846">
          <cell r="A846">
            <v>3921200006</v>
          </cell>
          <cell r="C846" t="str">
            <v>US92P01590</v>
          </cell>
          <cell r="E846">
            <v>0</v>
          </cell>
        </row>
        <row r="847">
          <cell r="A847">
            <v>3921200010</v>
          </cell>
          <cell r="C847" t="str">
            <v>US92P01590</v>
          </cell>
          <cell r="E847">
            <v>3450.39</v>
          </cell>
        </row>
        <row r="848">
          <cell r="A848">
            <v>3921200037</v>
          </cell>
          <cell r="C848" t="str">
            <v>US92P01590</v>
          </cell>
          <cell r="E848">
            <v>0</v>
          </cell>
        </row>
        <row r="849">
          <cell r="A849">
            <v>3991200001</v>
          </cell>
          <cell r="C849" t="str">
            <v>US92P01590</v>
          </cell>
          <cell r="E849">
            <v>276.35000000000002</v>
          </cell>
        </row>
        <row r="850">
          <cell r="A850">
            <v>3991200012</v>
          </cell>
          <cell r="C850" t="str">
            <v>US92P01590</v>
          </cell>
          <cell r="E850">
            <v>475.31</v>
          </cell>
        </row>
        <row r="851">
          <cell r="A851">
            <v>3991200018</v>
          </cell>
          <cell r="C851" t="str">
            <v>US92P01590</v>
          </cell>
          <cell r="E851">
            <v>0</v>
          </cell>
        </row>
        <row r="852">
          <cell r="A852">
            <v>3991200099</v>
          </cell>
          <cell r="C852" t="str">
            <v>US92P01590</v>
          </cell>
          <cell r="E852">
            <v>252.66</v>
          </cell>
        </row>
        <row r="853">
          <cell r="A853">
            <v>3991200101</v>
          </cell>
          <cell r="C853" t="str">
            <v>US92P01590</v>
          </cell>
          <cell r="E853">
            <v>0</v>
          </cell>
        </row>
        <row r="854">
          <cell r="A854">
            <v>3991200210</v>
          </cell>
          <cell r="C854" t="str">
            <v>US92P01590</v>
          </cell>
          <cell r="E854">
            <v>61600</v>
          </cell>
        </row>
        <row r="855">
          <cell r="A855">
            <v>9420000025</v>
          </cell>
          <cell r="C855" t="str">
            <v>US92P01590</v>
          </cell>
          <cell r="E855">
            <v>59863.4</v>
          </cell>
        </row>
        <row r="856">
          <cell r="A856">
            <v>3201400004</v>
          </cell>
          <cell r="C856" t="str">
            <v>US92P3C590</v>
          </cell>
          <cell r="E856">
            <v>0</v>
          </cell>
        </row>
        <row r="857">
          <cell r="A857">
            <v>3201400029</v>
          </cell>
          <cell r="C857" t="str">
            <v>US92P3C590</v>
          </cell>
          <cell r="E857">
            <v>0</v>
          </cell>
        </row>
        <row r="858">
          <cell r="A858">
            <v>3201400054</v>
          </cell>
          <cell r="C858" t="str">
            <v>US92P3C590</v>
          </cell>
          <cell r="E858">
            <v>0</v>
          </cell>
        </row>
        <row r="859">
          <cell r="A859">
            <v>3201400055</v>
          </cell>
          <cell r="C859" t="str">
            <v>US92P3C590</v>
          </cell>
          <cell r="E859">
            <v>4285.05</v>
          </cell>
        </row>
        <row r="860">
          <cell r="A860">
            <v>3911100041</v>
          </cell>
          <cell r="C860" t="str">
            <v>US92P3C590</v>
          </cell>
          <cell r="E860">
            <v>0</v>
          </cell>
        </row>
        <row r="861">
          <cell r="A861">
            <v>3921200006</v>
          </cell>
          <cell r="C861" t="str">
            <v>US92P3C590</v>
          </cell>
          <cell r="E861">
            <v>0</v>
          </cell>
        </row>
        <row r="862">
          <cell r="A862">
            <v>3921200037</v>
          </cell>
          <cell r="C862" t="str">
            <v>US92P3C590</v>
          </cell>
          <cell r="E862">
            <v>0</v>
          </cell>
        </row>
        <row r="863">
          <cell r="A863">
            <v>3001500152</v>
          </cell>
          <cell r="C863" t="str">
            <v>US92PZA590</v>
          </cell>
          <cell r="E863">
            <v>0</v>
          </cell>
        </row>
        <row r="864">
          <cell r="A864">
            <v>3111100000</v>
          </cell>
          <cell r="C864" t="str">
            <v>US92PZA590</v>
          </cell>
          <cell r="E864">
            <v>97762.3</v>
          </cell>
        </row>
        <row r="865">
          <cell r="A865">
            <v>3111100012</v>
          </cell>
          <cell r="C865" t="str">
            <v>US92PZA590</v>
          </cell>
          <cell r="E865">
            <v>0</v>
          </cell>
        </row>
        <row r="866">
          <cell r="A866">
            <v>3111100020</v>
          </cell>
          <cell r="C866" t="str">
            <v>US92PZA590</v>
          </cell>
          <cell r="E866">
            <v>9425</v>
          </cell>
        </row>
        <row r="867">
          <cell r="A867">
            <v>3121300013</v>
          </cell>
          <cell r="C867" t="str">
            <v>US92PZA590</v>
          </cell>
          <cell r="E867">
            <v>0</v>
          </cell>
        </row>
        <row r="868">
          <cell r="A868">
            <v>3131100006</v>
          </cell>
          <cell r="C868" t="str">
            <v>US92PZA590</v>
          </cell>
          <cell r="E868">
            <v>7.5</v>
          </cell>
        </row>
        <row r="869">
          <cell r="A869">
            <v>3131100007</v>
          </cell>
          <cell r="C869" t="str">
            <v>US92PZA590</v>
          </cell>
          <cell r="E869">
            <v>1216</v>
          </cell>
        </row>
        <row r="870">
          <cell r="A870">
            <v>3131100025</v>
          </cell>
          <cell r="C870" t="str">
            <v>US92PZA590</v>
          </cell>
          <cell r="E870">
            <v>1173.18</v>
          </cell>
        </row>
        <row r="871">
          <cell r="A871">
            <v>3201300001</v>
          </cell>
          <cell r="C871" t="str">
            <v>US92PZA590</v>
          </cell>
          <cell r="E871">
            <v>14723.13</v>
          </cell>
        </row>
        <row r="872">
          <cell r="A872">
            <v>3201300002</v>
          </cell>
          <cell r="C872" t="str">
            <v>US92PZA590</v>
          </cell>
          <cell r="E872">
            <v>471.94</v>
          </cell>
        </row>
        <row r="873">
          <cell r="A873">
            <v>3201400000</v>
          </cell>
          <cell r="C873" t="str">
            <v>US92PZA590</v>
          </cell>
          <cell r="E873">
            <v>146.13</v>
          </cell>
        </row>
        <row r="874">
          <cell r="A874">
            <v>3201400002</v>
          </cell>
          <cell r="C874" t="str">
            <v>US92PZA590</v>
          </cell>
          <cell r="E874">
            <v>0</v>
          </cell>
        </row>
        <row r="875">
          <cell r="A875">
            <v>3201400004</v>
          </cell>
          <cell r="C875" t="str">
            <v>US92PZA590</v>
          </cell>
          <cell r="E875">
            <v>609.98</v>
          </cell>
        </row>
        <row r="876">
          <cell r="A876">
            <v>3201400025</v>
          </cell>
          <cell r="C876" t="str">
            <v>US92PZA590</v>
          </cell>
          <cell r="E876">
            <v>658.92</v>
          </cell>
        </row>
        <row r="877">
          <cell r="A877">
            <v>3201400029</v>
          </cell>
          <cell r="C877" t="str">
            <v>US92PZA590</v>
          </cell>
          <cell r="E877">
            <v>2061.83</v>
          </cell>
        </row>
        <row r="878">
          <cell r="A878">
            <v>3201400036</v>
          </cell>
          <cell r="C878" t="str">
            <v>US92PZA590</v>
          </cell>
          <cell r="E878">
            <v>31.99</v>
          </cell>
        </row>
        <row r="879">
          <cell r="A879">
            <v>3201400054</v>
          </cell>
          <cell r="C879" t="str">
            <v>US92PZA590</v>
          </cell>
          <cell r="E879">
            <v>263.04000000000002</v>
          </cell>
        </row>
        <row r="880">
          <cell r="A880">
            <v>3201400055</v>
          </cell>
          <cell r="C880" t="str">
            <v>US92PZA590</v>
          </cell>
          <cell r="E880">
            <v>922</v>
          </cell>
        </row>
        <row r="881">
          <cell r="A881">
            <v>3311400099</v>
          </cell>
          <cell r="C881" t="str">
            <v>US92PZA590</v>
          </cell>
          <cell r="E881">
            <v>5324.53</v>
          </cell>
        </row>
        <row r="882">
          <cell r="A882">
            <v>3911100010</v>
          </cell>
          <cell r="C882" t="str">
            <v>US92PZA590</v>
          </cell>
          <cell r="E882">
            <v>579.79</v>
          </cell>
        </row>
        <row r="883">
          <cell r="A883">
            <v>3911100012</v>
          </cell>
          <cell r="C883" t="str">
            <v>US92PZA590</v>
          </cell>
          <cell r="E883">
            <v>1461.1</v>
          </cell>
        </row>
        <row r="884">
          <cell r="A884">
            <v>3911100015</v>
          </cell>
          <cell r="C884" t="str">
            <v>US92PZA590</v>
          </cell>
          <cell r="E884">
            <v>768.8</v>
          </cell>
        </row>
        <row r="885">
          <cell r="A885">
            <v>3911100022</v>
          </cell>
          <cell r="C885" t="str">
            <v>US92PZA590</v>
          </cell>
          <cell r="E885">
            <v>3261.18</v>
          </cell>
        </row>
        <row r="886">
          <cell r="A886">
            <v>3911100027</v>
          </cell>
          <cell r="C886" t="str">
            <v>US92PZA590</v>
          </cell>
          <cell r="E886">
            <v>0</v>
          </cell>
        </row>
        <row r="887">
          <cell r="A887">
            <v>3911100041</v>
          </cell>
          <cell r="C887" t="str">
            <v>US92PZA590</v>
          </cell>
          <cell r="E887">
            <v>161.84</v>
          </cell>
        </row>
        <row r="888">
          <cell r="A888">
            <v>3911100095</v>
          </cell>
          <cell r="C888" t="str">
            <v>US92PZA590</v>
          </cell>
          <cell r="E888">
            <v>0</v>
          </cell>
        </row>
        <row r="889">
          <cell r="A889">
            <v>3911200000</v>
          </cell>
          <cell r="C889" t="str">
            <v>US92PZA590</v>
          </cell>
          <cell r="E889">
            <v>0</v>
          </cell>
        </row>
        <row r="890">
          <cell r="A890">
            <v>3911200001</v>
          </cell>
          <cell r="C890" t="str">
            <v>US92PZA590</v>
          </cell>
          <cell r="E890">
            <v>0</v>
          </cell>
        </row>
        <row r="891">
          <cell r="A891">
            <v>3921100001</v>
          </cell>
          <cell r="C891" t="str">
            <v>US92PZA590</v>
          </cell>
          <cell r="E891">
            <v>556.47</v>
          </cell>
        </row>
        <row r="892">
          <cell r="A892">
            <v>3921200001</v>
          </cell>
          <cell r="C892" t="str">
            <v>US92PZA590</v>
          </cell>
          <cell r="E892">
            <v>1065.52</v>
          </cell>
        </row>
        <row r="893">
          <cell r="A893">
            <v>3921200003</v>
          </cell>
          <cell r="C893" t="str">
            <v>US92PZA590</v>
          </cell>
          <cell r="E893">
            <v>508.63</v>
          </cell>
        </row>
        <row r="894">
          <cell r="A894">
            <v>3921200006</v>
          </cell>
          <cell r="C894" t="str">
            <v>US92PZA590</v>
          </cell>
          <cell r="E894">
            <v>370.27</v>
          </cell>
        </row>
        <row r="895">
          <cell r="A895">
            <v>3921200010</v>
          </cell>
          <cell r="C895" t="str">
            <v>US92PZA590</v>
          </cell>
          <cell r="E895">
            <v>40723.71</v>
          </cell>
        </row>
        <row r="896">
          <cell r="A896">
            <v>3921200014</v>
          </cell>
          <cell r="C896" t="str">
            <v>US92PZA590</v>
          </cell>
          <cell r="E896">
            <v>483.22</v>
          </cell>
        </row>
        <row r="897">
          <cell r="A897">
            <v>3921200023</v>
          </cell>
          <cell r="C897" t="str">
            <v>US92PZA590</v>
          </cell>
          <cell r="E897">
            <v>0</v>
          </cell>
        </row>
        <row r="898">
          <cell r="A898">
            <v>3921200037</v>
          </cell>
          <cell r="C898" t="str">
            <v>US92PZA590</v>
          </cell>
          <cell r="E898">
            <v>3612.4</v>
          </cell>
        </row>
        <row r="899">
          <cell r="A899">
            <v>3921200050</v>
          </cell>
          <cell r="C899" t="str">
            <v>US92PZA590</v>
          </cell>
          <cell r="E899">
            <v>1081.03</v>
          </cell>
        </row>
        <row r="900">
          <cell r="A900">
            <v>3921200100</v>
          </cell>
          <cell r="C900" t="str">
            <v>US92PZA590</v>
          </cell>
          <cell r="E900">
            <v>51445.79</v>
          </cell>
        </row>
        <row r="901">
          <cell r="A901">
            <v>3941100002</v>
          </cell>
          <cell r="C901" t="str">
            <v>US92PZA590</v>
          </cell>
          <cell r="E901">
            <v>275</v>
          </cell>
        </row>
        <row r="902">
          <cell r="A902">
            <v>3951100005</v>
          </cell>
          <cell r="C902" t="str">
            <v>US92PZA590</v>
          </cell>
          <cell r="E902">
            <v>40</v>
          </cell>
        </row>
        <row r="903">
          <cell r="A903">
            <v>3951200002</v>
          </cell>
          <cell r="C903" t="str">
            <v>US92PZA590</v>
          </cell>
          <cell r="E903">
            <v>0</v>
          </cell>
        </row>
        <row r="904">
          <cell r="A904">
            <v>3951200008</v>
          </cell>
          <cell r="C904" t="str">
            <v>US92PZA590</v>
          </cell>
          <cell r="E904">
            <v>804.32</v>
          </cell>
        </row>
        <row r="905">
          <cell r="A905">
            <v>3991200001</v>
          </cell>
          <cell r="C905" t="str">
            <v>US92PZA590</v>
          </cell>
          <cell r="E905">
            <v>758.39</v>
          </cell>
        </row>
        <row r="906">
          <cell r="A906">
            <v>3991200012</v>
          </cell>
          <cell r="C906" t="str">
            <v>US92PZA590</v>
          </cell>
          <cell r="E906">
            <v>240.21</v>
          </cell>
        </row>
        <row r="907">
          <cell r="A907">
            <v>3991200013</v>
          </cell>
          <cell r="C907" t="str">
            <v>US92PZA590</v>
          </cell>
          <cell r="E907">
            <v>90</v>
          </cell>
        </row>
        <row r="908">
          <cell r="A908">
            <v>3991200015</v>
          </cell>
          <cell r="C908" t="str">
            <v>US92PZA590</v>
          </cell>
          <cell r="E908">
            <v>319.77</v>
          </cell>
        </row>
        <row r="909">
          <cell r="A909">
            <v>3991200018</v>
          </cell>
          <cell r="C909" t="str">
            <v>US92PZA590</v>
          </cell>
          <cell r="E909">
            <v>1441.74</v>
          </cell>
        </row>
        <row r="910">
          <cell r="A910">
            <v>3991200027</v>
          </cell>
          <cell r="C910" t="str">
            <v>US92PZA590</v>
          </cell>
          <cell r="E910">
            <v>0</v>
          </cell>
        </row>
        <row r="911">
          <cell r="A911">
            <v>3991200099</v>
          </cell>
          <cell r="C911" t="str">
            <v>US92PZA590</v>
          </cell>
          <cell r="E911">
            <v>787.64</v>
          </cell>
        </row>
        <row r="912">
          <cell r="A912">
            <v>3991200210</v>
          </cell>
          <cell r="C912" t="str">
            <v>US92PZA590</v>
          </cell>
          <cell r="E912">
            <v>0</v>
          </cell>
        </row>
        <row r="913">
          <cell r="A913">
            <v>9420000025</v>
          </cell>
          <cell r="C913" t="str">
            <v>US92PZA590</v>
          </cell>
          <cell r="E913">
            <v>27091.22</v>
          </cell>
        </row>
        <row r="914">
          <cell r="A914">
            <v>3111100000</v>
          </cell>
          <cell r="C914" t="str">
            <v>US72P01590</v>
          </cell>
          <cell r="E914">
            <v>0</v>
          </cell>
        </row>
        <row r="915">
          <cell r="A915">
            <v>3111100012</v>
          </cell>
          <cell r="C915" t="str">
            <v>US72P01590</v>
          </cell>
          <cell r="E915">
            <v>0</v>
          </cell>
        </row>
        <row r="916">
          <cell r="A916">
            <v>3111100900</v>
          </cell>
          <cell r="C916" t="str">
            <v>US72P01590</v>
          </cell>
          <cell r="E916">
            <v>0</v>
          </cell>
        </row>
        <row r="917">
          <cell r="A917">
            <v>3121300013</v>
          </cell>
          <cell r="C917" t="str">
            <v>US72P01590</v>
          </cell>
          <cell r="E917">
            <v>0</v>
          </cell>
        </row>
        <row r="918">
          <cell r="A918">
            <v>3131100005</v>
          </cell>
          <cell r="C918" t="str">
            <v>US72P01590</v>
          </cell>
          <cell r="E918">
            <v>0</v>
          </cell>
        </row>
        <row r="919">
          <cell r="A919">
            <v>3131100025</v>
          </cell>
          <cell r="C919" t="str">
            <v>US72P01590</v>
          </cell>
          <cell r="E919">
            <v>0</v>
          </cell>
        </row>
        <row r="920">
          <cell r="A920">
            <v>3201400004</v>
          </cell>
          <cell r="C920" t="str">
            <v>US72P01590</v>
          </cell>
          <cell r="E920">
            <v>0</v>
          </cell>
        </row>
        <row r="921">
          <cell r="A921">
            <v>3311400099</v>
          </cell>
          <cell r="C921" t="str">
            <v>US72P01590</v>
          </cell>
          <cell r="E921">
            <v>948.28</v>
          </cell>
        </row>
        <row r="922">
          <cell r="A922">
            <v>3921200014</v>
          </cell>
          <cell r="C922" t="str">
            <v>US72P01590</v>
          </cell>
          <cell r="E922">
            <v>3735.46</v>
          </cell>
        </row>
        <row r="923">
          <cell r="A923">
            <v>3921200037</v>
          </cell>
          <cell r="C923" t="str">
            <v>US72P01590</v>
          </cell>
          <cell r="E923">
            <v>0</v>
          </cell>
        </row>
        <row r="924">
          <cell r="A924">
            <v>3991200027</v>
          </cell>
          <cell r="C924" t="str">
            <v>US72P01590</v>
          </cell>
          <cell r="E924">
            <v>0</v>
          </cell>
        </row>
        <row r="925">
          <cell r="A925">
            <v>3111100000</v>
          </cell>
          <cell r="C925" t="str">
            <v>US72P01591</v>
          </cell>
          <cell r="E925">
            <v>56406.27</v>
          </cell>
        </row>
        <row r="926">
          <cell r="A926">
            <v>3111100012</v>
          </cell>
          <cell r="C926" t="str">
            <v>US72P01591</v>
          </cell>
          <cell r="E926">
            <v>1940.12</v>
          </cell>
        </row>
        <row r="927">
          <cell r="A927">
            <v>3111100020</v>
          </cell>
          <cell r="C927" t="str">
            <v>US72P01591</v>
          </cell>
          <cell r="E927">
            <v>10926</v>
          </cell>
        </row>
        <row r="928">
          <cell r="A928">
            <v>3111100900</v>
          </cell>
          <cell r="C928" t="str">
            <v>US72P01591</v>
          </cell>
          <cell r="E928">
            <v>80179.06</v>
          </cell>
        </row>
        <row r="929">
          <cell r="A929">
            <v>3121300013</v>
          </cell>
          <cell r="C929" t="str">
            <v>US72P01591</v>
          </cell>
          <cell r="E929">
            <v>0</v>
          </cell>
        </row>
        <row r="930">
          <cell r="A930">
            <v>3131100007</v>
          </cell>
          <cell r="C930" t="str">
            <v>US72P01591</v>
          </cell>
          <cell r="E930">
            <v>90</v>
          </cell>
        </row>
        <row r="931">
          <cell r="A931">
            <v>3131100025</v>
          </cell>
          <cell r="C931" t="str">
            <v>US72P01591</v>
          </cell>
          <cell r="E931">
            <v>108.89</v>
          </cell>
        </row>
        <row r="932">
          <cell r="A932">
            <v>3201300002</v>
          </cell>
          <cell r="C932" t="str">
            <v>US72P01591</v>
          </cell>
          <cell r="E932">
            <v>417</v>
          </cell>
        </row>
        <row r="933">
          <cell r="A933">
            <v>3201400004</v>
          </cell>
          <cell r="C933" t="str">
            <v>US72P01591</v>
          </cell>
          <cell r="E933">
            <v>2941.02</v>
          </cell>
        </row>
        <row r="934">
          <cell r="A934">
            <v>3201400029</v>
          </cell>
          <cell r="C934" t="str">
            <v>US72P01591</v>
          </cell>
          <cell r="E934">
            <v>0</v>
          </cell>
        </row>
        <row r="935">
          <cell r="A935">
            <v>3201400054</v>
          </cell>
          <cell r="C935" t="str">
            <v>US72P01591</v>
          </cell>
          <cell r="E935">
            <v>264</v>
          </cell>
        </row>
        <row r="936">
          <cell r="A936">
            <v>3201400055</v>
          </cell>
          <cell r="C936" t="str">
            <v>US72P01591</v>
          </cell>
          <cell r="E936">
            <v>136557.97</v>
          </cell>
        </row>
        <row r="937">
          <cell r="A937">
            <v>3311400099</v>
          </cell>
          <cell r="C937" t="str">
            <v>US72P01591</v>
          </cell>
          <cell r="E937">
            <v>1188.5999999999999</v>
          </cell>
        </row>
        <row r="938">
          <cell r="A938">
            <v>3911100010</v>
          </cell>
          <cell r="C938" t="str">
            <v>US72P01591</v>
          </cell>
          <cell r="E938">
            <v>62.22</v>
          </cell>
        </row>
        <row r="939">
          <cell r="A939">
            <v>3911100012</v>
          </cell>
          <cell r="C939" t="str">
            <v>US72P01591</v>
          </cell>
          <cell r="E939">
            <v>946.76</v>
          </cell>
        </row>
        <row r="940">
          <cell r="A940">
            <v>3911100015</v>
          </cell>
          <cell r="C940" t="str">
            <v>US72P01591</v>
          </cell>
          <cell r="E940">
            <v>15</v>
          </cell>
        </row>
        <row r="941">
          <cell r="A941">
            <v>3911100022</v>
          </cell>
          <cell r="C941" t="str">
            <v>US72P01591</v>
          </cell>
          <cell r="E941">
            <v>596.44000000000005</v>
          </cell>
        </row>
        <row r="942">
          <cell r="A942">
            <v>3911100041</v>
          </cell>
          <cell r="C942" t="str">
            <v>US72P01591</v>
          </cell>
          <cell r="E942">
            <v>0</v>
          </cell>
        </row>
        <row r="943">
          <cell r="A943">
            <v>3911100095</v>
          </cell>
          <cell r="C943" t="str">
            <v>US72P01591</v>
          </cell>
          <cell r="E943">
            <v>0</v>
          </cell>
        </row>
        <row r="944">
          <cell r="A944">
            <v>3911200001</v>
          </cell>
          <cell r="C944" t="str">
            <v>US72P01591</v>
          </cell>
          <cell r="E944">
            <v>297.83999999999997</v>
          </cell>
        </row>
        <row r="945">
          <cell r="A945">
            <v>3921200003</v>
          </cell>
          <cell r="C945" t="str">
            <v>US72P01591</v>
          </cell>
          <cell r="E945">
            <v>59.1</v>
          </cell>
        </row>
        <row r="946">
          <cell r="A946">
            <v>3921200006</v>
          </cell>
          <cell r="C946" t="str">
            <v>US72P01591</v>
          </cell>
          <cell r="E946">
            <v>3063.64</v>
          </cell>
        </row>
        <row r="947">
          <cell r="A947">
            <v>3921200010</v>
          </cell>
          <cell r="C947" t="str">
            <v>US72P01591</v>
          </cell>
          <cell r="E947">
            <v>5518.05</v>
          </cell>
        </row>
        <row r="948">
          <cell r="A948">
            <v>3921200014</v>
          </cell>
          <cell r="C948" t="str">
            <v>US72P01591</v>
          </cell>
          <cell r="E948">
            <v>319739.03999999998</v>
          </cell>
        </row>
        <row r="949">
          <cell r="A949">
            <v>3921200037</v>
          </cell>
          <cell r="C949" t="str">
            <v>US72P01591</v>
          </cell>
          <cell r="E949">
            <v>10350</v>
          </cell>
        </row>
        <row r="950">
          <cell r="A950">
            <v>3921200050</v>
          </cell>
          <cell r="C950" t="str">
            <v>US72P01591</v>
          </cell>
          <cell r="E950">
            <v>126.45</v>
          </cell>
        </row>
        <row r="951">
          <cell r="A951">
            <v>3921200100</v>
          </cell>
          <cell r="C951" t="str">
            <v>US72P01591</v>
          </cell>
          <cell r="E951">
            <v>0</v>
          </cell>
        </row>
        <row r="952">
          <cell r="A952">
            <v>3951100004</v>
          </cell>
          <cell r="C952" t="str">
            <v>US72P01591</v>
          </cell>
          <cell r="E952">
            <v>0</v>
          </cell>
        </row>
        <row r="953">
          <cell r="A953">
            <v>3951200008</v>
          </cell>
          <cell r="C953" t="str">
            <v>US72P01591</v>
          </cell>
          <cell r="E953">
            <v>489.27</v>
          </cell>
        </row>
        <row r="954">
          <cell r="A954">
            <v>3991200001</v>
          </cell>
          <cell r="C954" t="str">
            <v>US72P01591</v>
          </cell>
          <cell r="E954">
            <v>0</v>
          </cell>
        </row>
        <row r="955">
          <cell r="A955">
            <v>3991200015</v>
          </cell>
          <cell r="C955" t="str">
            <v>US72P01591</v>
          </cell>
          <cell r="E955">
            <v>29.19</v>
          </cell>
        </row>
        <row r="956">
          <cell r="A956">
            <v>3991200027</v>
          </cell>
          <cell r="C956" t="str">
            <v>US72P01591</v>
          </cell>
          <cell r="E956">
            <v>0</v>
          </cell>
        </row>
        <row r="957">
          <cell r="A957">
            <v>3991200099</v>
          </cell>
          <cell r="C957" t="str">
            <v>US72P01591</v>
          </cell>
          <cell r="E957">
            <v>5128.3999999999996</v>
          </cell>
        </row>
        <row r="958">
          <cell r="A958">
            <v>3991200101</v>
          </cell>
          <cell r="C958" t="str">
            <v>US72P01591</v>
          </cell>
          <cell r="E958">
            <v>0</v>
          </cell>
        </row>
        <row r="959">
          <cell r="A959">
            <v>3991200210</v>
          </cell>
          <cell r="C959" t="str">
            <v>US72P01591</v>
          </cell>
          <cell r="E959">
            <v>124900</v>
          </cell>
        </row>
        <row r="960">
          <cell r="A960">
            <v>3991200211</v>
          </cell>
          <cell r="C960" t="str">
            <v>US72P01591</v>
          </cell>
          <cell r="E960">
            <v>20400</v>
          </cell>
        </row>
        <row r="961">
          <cell r="A961">
            <v>3991200213</v>
          </cell>
          <cell r="C961" t="str">
            <v>US72P01591</v>
          </cell>
          <cell r="E961">
            <v>0</v>
          </cell>
        </row>
        <row r="962">
          <cell r="A962">
            <v>9420000025</v>
          </cell>
          <cell r="C962" t="str">
            <v>US72P01591</v>
          </cell>
          <cell r="E962">
            <v>38894.519999999997</v>
          </cell>
        </row>
        <row r="963">
          <cell r="A963">
            <v>3201400055</v>
          </cell>
          <cell r="C963" t="str">
            <v>US72P3C590</v>
          </cell>
          <cell r="E963">
            <v>0</v>
          </cell>
        </row>
        <row r="964">
          <cell r="A964">
            <v>3991200027</v>
          </cell>
          <cell r="C964" t="str">
            <v>US72P3C590</v>
          </cell>
          <cell r="E964">
            <v>0</v>
          </cell>
        </row>
        <row r="965">
          <cell r="A965">
            <v>3201400054</v>
          </cell>
          <cell r="C965" t="str">
            <v>US72P3C591</v>
          </cell>
          <cell r="E965">
            <v>0</v>
          </cell>
        </row>
        <row r="966">
          <cell r="A966">
            <v>3201400055</v>
          </cell>
          <cell r="C966" t="str">
            <v>US72P3C591</v>
          </cell>
          <cell r="E966">
            <v>0</v>
          </cell>
        </row>
        <row r="967">
          <cell r="A967">
            <v>3131100025</v>
          </cell>
          <cell r="C967" t="str">
            <v>US72PZA590</v>
          </cell>
          <cell r="E967">
            <v>0</v>
          </cell>
        </row>
        <row r="968">
          <cell r="A968">
            <v>3201300002</v>
          </cell>
          <cell r="C968" t="str">
            <v>US72PZA590</v>
          </cell>
          <cell r="E968">
            <v>0</v>
          </cell>
        </row>
        <row r="969">
          <cell r="A969">
            <v>3921200010</v>
          </cell>
          <cell r="C969" t="str">
            <v>US72PZA590</v>
          </cell>
          <cell r="E969">
            <v>2973.57</v>
          </cell>
        </row>
        <row r="970">
          <cell r="A970">
            <v>3921200023</v>
          </cell>
          <cell r="C970" t="str">
            <v>US72PZA590</v>
          </cell>
          <cell r="E970">
            <v>0</v>
          </cell>
        </row>
        <row r="971">
          <cell r="A971">
            <v>3921200037</v>
          </cell>
          <cell r="C971" t="str">
            <v>US72PZA590</v>
          </cell>
          <cell r="E971">
            <v>0</v>
          </cell>
        </row>
        <row r="972">
          <cell r="A972">
            <v>3921200050</v>
          </cell>
          <cell r="C972" t="str">
            <v>US72PZA590</v>
          </cell>
          <cell r="E972">
            <v>0</v>
          </cell>
        </row>
        <row r="973">
          <cell r="A973">
            <v>3991200012</v>
          </cell>
          <cell r="C973" t="str">
            <v>US72PZA590</v>
          </cell>
          <cell r="E973">
            <v>32.619999999999997</v>
          </cell>
        </row>
        <row r="974">
          <cell r="A974">
            <v>3111100000</v>
          </cell>
          <cell r="C974" t="str">
            <v>US72PZA591</v>
          </cell>
          <cell r="E974">
            <v>144744.78</v>
          </cell>
        </row>
        <row r="975">
          <cell r="A975">
            <v>3111100020</v>
          </cell>
          <cell r="C975" t="str">
            <v>US72PZA591</v>
          </cell>
          <cell r="E975">
            <v>0</v>
          </cell>
        </row>
        <row r="976">
          <cell r="A976">
            <v>3111100900</v>
          </cell>
          <cell r="C976" t="str">
            <v>US72PZA591</v>
          </cell>
          <cell r="E976">
            <v>0</v>
          </cell>
        </row>
        <row r="977">
          <cell r="A977">
            <v>3121300013</v>
          </cell>
          <cell r="C977" t="str">
            <v>US72PZA591</v>
          </cell>
          <cell r="E977">
            <v>0</v>
          </cell>
        </row>
        <row r="978">
          <cell r="A978">
            <v>3131100007</v>
          </cell>
          <cell r="C978" t="str">
            <v>US72PZA591</v>
          </cell>
          <cell r="E978">
            <v>2390</v>
          </cell>
        </row>
        <row r="979">
          <cell r="A979">
            <v>3131100025</v>
          </cell>
          <cell r="C979" t="str">
            <v>US72PZA591</v>
          </cell>
          <cell r="E979">
            <v>1668.34</v>
          </cell>
        </row>
        <row r="980">
          <cell r="A980">
            <v>3131100031</v>
          </cell>
          <cell r="C980" t="str">
            <v>US72PZA591</v>
          </cell>
          <cell r="E980">
            <v>0</v>
          </cell>
        </row>
        <row r="981">
          <cell r="A981">
            <v>3131100032</v>
          </cell>
          <cell r="C981" t="str">
            <v>US72PZA591</v>
          </cell>
          <cell r="E981">
            <v>0</v>
          </cell>
        </row>
        <row r="982">
          <cell r="A982">
            <v>3201300002</v>
          </cell>
          <cell r="C982" t="str">
            <v>US72PZA591</v>
          </cell>
          <cell r="E982">
            <v>0</v>
          </cell>
        </row>
        <row r="983">
          <cell r="A983">
            <v>3201400002</v>
          </cell>
          <cell r="C983" t="str">
            <v>US72PZA591</v>
          </cell>
          <cell r="E983">
            <v>10</v>
          </cell>
        </row>
        <row r="984">
          <cell r="A984">
            <v>3201400029</v>
          </cell>
          <cell r="C984" t="str">
            <v>US72PZA591</v>
          </cell>
          <cell r="E984">
            <v>510</v>
          </cell>
        </row>
        <row r="985">
          <cell r="A985">
            <v>3201400055</v>
          </cell>
          <cell r="C985" t="str">
            <v>US72PZA591</v>
          </cell>
          <cell r="E985">
            <v>171</v>
          </cell>
        </row>
        <row r="986">
          <cell r="A986">
            <v>3311400099</v>
          </cell>
          <cell r="C986" t="str">
            <v>US72PZA591</v>
          </cell>
          <cell r="E986">
            <v>2532.62</v>
          </cell>
        </row>
        <row r="987">
          <cell r="A987">
            <v>3911100010</v>
          </cell>
          <cell r="C987" t="str">
            <v>US72PZA591</v>
          </cell>
          <cell r="E987">
            <v>1073.43</v>
          </cell>
        </row>
        <row r="988">
          <cell r="A988">
            <v>3911100012</v>
          </cell>
          <cell r="C988" t="str">
            <v>US72PZA591</v>
          </cell>
          <cell r="E988">
            <v>2191.0700000000002</v>
          </cell>
        </row>
        <row r="989">
          <cell r="A989">
            <v>3911100015</v>
          </cell>
          <cell r="C989" t="str">
            <v>US72PZA591</v>
          </cell>
          <cell r="E989">
            <v>1299.55</v>
          </cell>
        </row>
        <row r="990">
          <cell r="A990">
            <v>3911100022</v>
          </cell>
          <cell r="C990" t="str">
            <v>US72PZA591</v>
          </cell>
          <cell r="E990">
            <v>3030.53</v>
          </cell>
        </row>
        <row r="991">
          <cell r="A991">
            <v>3911100027</v>
          </cell>
          <cell r="C991" t="str">
            <v>US72PZA591</v>
          </cell>
          <cell r="E991">
            <v>0</v>
          </cell>
        </row>
        <row r="992">
          <cell r="A992">
            <v>3911100041</v>
          </cell>
          <cell r="C992" t="str">
            <v>US72PZA591</v>
          </cell>
          <cell r="E992">
            <v>124.84</v>
          </cell>
        </row>
        <row r="993">
          <cell r="A993">
            <v>3911200000</v>
          </cell>
          <cell r="C993" t="str">
            <v>US72PZA591</v>
          </cell>
          <cell r="E993">
            <v>0</v>
          </cell>
        </row>
        <row r="994">
          <cell r="A994">
            <v>3911200001</v>
          </cell>
          <cell r="C994" t="str">
            <v>US72PZA591</v>
          </cell>
          <cell r="E994">
            <v>347</v>
          </cell>
        </row>
        <row r="995">
          <cell r="A995">
            <v>3921200003</v>
          </cell>
          <cell r="C995" t="str">
            <v>US72PZA591</v>
          </cell>
          <cell r="E995">
            <v>182.26</v>
          </cell>
        </row>
        <row r="996">
          <cell r="A996">
            <v>3921200004</v>
          </cell>
          <cell r="C996" t="str">
            <v>US72PZA591</v>
          </cell>
          <cell r="E996">
            <v>424.3</v>
          </cell>
        </row>
        <row r="997">
          <cell r="A997">
            <v>3921200006</v>
          </cell>
          <cell r="C997" t="str">
            <v>US72PZA591</v>
          </cell>
          <cell r="E997">
            <v>83.03</v>
          </cell>
        </row>
        <row r="998">
          <cell r="A998">
            <v>3921200010</v>
          </cell>
          <cell r="C998" t="str">
            <v>US72PZA591</v>
          </cell>
          <cell r="E998">
            <v>1053.24</v>
          </cell>
        </row>
        <row r="999">
          <cell r="A999">
            <v>3921200014</v>
          </cell>
          <cell r="C999" t="str">
            <v>US72PZA591</v>
          </cell>
          <cell r="E999">
            <v>9664.52</v>
          </cell>
        </row>
        <row r="1000">
          <cell r="A1000">
            <v>3921200023</v>
          </cell>
          <cell r="C1000" t="str">
            <v>US72PZA591</v>
          </cell>
          <cell r="E1000">
            <v>167.48</v>
          </cell>
        </row>
        <row r="1001">
          <cell r="A1001">
            <v>3921200037</v>
          </cell>
          <cell r="C1001" t="str">
            <v>US72PZA591</v>
          </cell>
          <cell r="E1001">
            <v>0</v>
          </cell>
        </row>
        <row r="1002">
          <cell r="A1002">
            <v>3921200050</v>
          </cell>
          <cell r="C1002" t="str">
            <v>US72PZA591</v>
          </cell>
          <cell r="E1002">
            <v>1790.05</v>
          </cell>
        </row>
        <row r="1003">
          <cell r="A1003">
            <v>3921200100</v>
          </cell>
          <cell r="C1003" t="str">
            <v>US72PZA591</v>
          </cell>
          <cell r="E1003">
            <v>130.41</v>
          </cell>
        </row>
        <row r="1004">
          <cell r="A1004">
            <v>3951200002</v>
          </cell>
          <cell r="C1004" t="str">
            <v>US72PZA591</v>
          </cell>
          <cell r="E1004">
            <v>0</v>
          </cell>
        </row>
        <row r="1005">
          <cell r="A1005">
            <v>3951200008</v>
          </cell>
          <cell r="C1005" t="str">
            <v>US72PZA591</v>
          </cell>
          <cell r="E1005">
            <v>451.49</v>
          </cell>
        </row>
        <row r="1006">
          <cell r="A1006">
            <v>3991200001</v>
          </cell>
          <cell r="C1006" t="str">
            <v>US72PZA591</v>
          </cell>
          <cell r="E1006">
            <v>146</v>
          </cell>
        </row>
        <row r="1007">
          <cell r="A1007">
            <v>3991200015</v>
          </cell>
          <cell r="C1007" t="str">
            <v>US72PZA591</v>
          </cell>
          <cell r="E1007">
            <v>296.63</v>
          </cell>
        </row>
        <row r="1008">
          <cell r="A1008">
            <v>3991200018</v>
          </cell>
          <cell r="C1008" t="str">
            <v>US72PZA591</v>
          </cell>
          <cell r="E1008">
            <v>0</v>
          </cell>
        </row>
        <row r="1009">
          <cell r="A1009">
            <v>3991200027</v>
          </cell>
          <cell r="C1009" t="str">
            <v>US72PZA591</v>
          </cell>
          <cell r="E1009">
            <v>0</v>
          </cell>
        </row>
        <row r="1010">
          <cell r="A1010">
            <v>3991200099</v>
          </cell>
          <cell r="C1010" t="str">
            <v>US72PZA591</v>
          </cell>
          <cell r="E1010">
            <v>201.13</v>
          </cell>
        </row>
        <row r="1011">
          <cell r="A1011">
            <v>3991200210</v>
          </cell>
          <cell r="C1011" t="str">
            <v>US72PZA591</v>
          </cell>
          <cell r="E1011">
            <v>0</v>
          </cell>
        </row>
        <row r="1012">
          <cell r="A1012">
            <v>9420000025</v>
          </cell>
          <cell r="C1012" t="str">
            <v>US72PZA591</v>
          </cell>
          <cell r="E1012">
            <v>41124.86</v>
          </cell>
        </row>
      </sheetData>
      <sheetData sheetId="1" refreshError="1">
        <row r="2">
          <cell r="A2">
            <v>3311400099</v>
          </cell>
          <cell r="C2" t="str">
            <v>US20P01001</v>
          </cell>
          <cell r="E2">
            <v>1501.73</v>
          </cell>
          <cell r="F2">
            <v>0</v>
          </cell>
        </row>
        <row r="3">
          <cell r="A3">
            <v>3911100010</v>
          </cell>
          <cell r="C3" t="str">
            <v>US20P01001</v>
          </cell>
          <cell r="E3">
            <v>42.59</v>
          </cell>
          <cell r="F3">
            <v>0</v>
          </cell>
        </row>
        <row r="4">
          <cell r="A4">
            <v>3911100012</v>
          </cell>
          <cell r="C4" t="str">
            <v>US20P01001</v>
          </cell>
          <cell r="E4">
            <v>787.25</v>
          </cell>
          <cell r="F4">
            <v>0</v>
          </cell>
        </row>
        <row r="5">
          <cell r="A5">
            <v>3911100015</v>
          </cell>
          <cell r="C5" t="str">
            <v>US20P01001</v>
          </cell>
          <cell r="E5">
            <v>4546.28</v>
          </cell>
          <cell r="F5">
            <v>0</v>
          </cell>
        </row>
        <row r="6">
          <cell r="A6">
            <v>3911100041</v>
          </cell>
          <cell r="C6" t="str">
            <v>US20P01001</v>
          </cell>
          <cell r="E6">
            <v>875.15</v>
          </cell>
          <cell r="F6">
            <v>0</v>
          </cell>
        </row>
        <row r="7">
          <cell r="A7">
            <v>3911200001</v>
          </cell>
          <cell r="C7" t="str">
            <v>US20P01001</v>
          </cell>
          <cell r="E7">
            <v>480.73</v>
          </cell>
          <cell r="F7">
            <v>0</v>
          </cell>
        </row>
        <row r="8">
          <cell r="A8">
            <v>3921200003</v>
          </cell>
          <cell r="C8" t="str">
            <v>US20P01001</v>
          </cell>
          <cell r="E8">
            <v>18.28</v>
          </cell>
          <cell r="F8">
            <v>0</v>
          </cell>
        </row>
        <row r="9">
          <cell r="A9">
            <v>3921200010</v>
          </cell>
          <cell r="C9" t="str">
            <v>US20P01001</v>
          </cell>
          <cell r="E9">
            <v>275.72000000000003</v>
          </cell>
          <cell r="F9">
            <v>0</v>
          </cell>
        </row>
        <row r="10">
          <cell r="A10">
            <v>3951100002</v>
          </cell>
          <cell r="C10" t="str">
            <v>US20P01001</v>
          </cell>
          <cell r="E10">
            <v>3000</v>
          </cell>
          <cell r="F10">
            <v>0</v>
          </cell>
        </row>
        <row r="11">
          <cell r="A11">
            <v>3951100005</v>
          </cell>
          <cell r="C11" t="str">
            <v>US20P01001</v>
          </cell>
          <cell r="E11">
            <v>142.72999999999999</v>
          </cell>
          <cell r="F11">
            <v>0</v>
          </cell>
        </row>
        <row r="12">
          <cell r="A12">
            <v>3951200008</v>
          </cell>
          <cell r="C12" t="str">
            <v>US20P01001</v>
          </cell>
          <cell r="E12">
            <v>514.67999999999995</v>
          </cell>
          <cell r="F12">
            <v>0</v>
          </cell>
        </row>
        <row r="13">
          <cell r="A13">
            <v>3991200015</v>
          </cell>
          <cell r="C13" t="str">
            <v>US20P01001</v>
          </cell>
          <cell r="E13">
            <v>1779.91</v>
          </cell>
          <cell r="F13">
            <v>0</v>
          </cell>
        </row>
        <row r="14">
          <cell r="A14">
            <v>3991200099</v>
          </cell>
          <cell r="C14" t="str">
            <v>US20P01001</v>
          </cell>
          <cell r="E14">
            <v>48.16</v>
          </cell>
          <cell r="F14">
            <v>0</v>
          </cell>
        </row>
        <row r="15">
          <cell r="A15">
            <v>3111100000</v>
          </cell>
          <cell r="C15" t="str">
            <v>US20P01002</v>
          </cell>
          <cell r="E15">
            <v>348439.89</v>
          </cell>
          <cell r="F15">
            <v>651768</v>
          </cell>
        </row>
        <row r="16">
          <cell r="A16">
            <v>3111100020</v>
          </cell>
          <cell r="C16" t="str">
            <v>US20P01002</v>
          </cell>
          <cell r="E16">
            <v>75000</v>
          </cell>
          <cell r="F16">
            <v>150000</v>
          </cell>
        </row>
        <row r="17">
          <cell r="A17">
            <v>3121300013</v>
          </cell>
          <cell r="C17" t="str">
            <v>US20P01002</v>
          </cell>
          <cell r="E17">
            <v>0</v>
          </cell>
          <cell r="F17">
            <v>287832</v>
          </cell>
        </row>
        <row r="18">
          <cell r="A18">
            <v>3131100007</v>
          </cell>
          <cell r="C18" t="str">
            <v>US20P01002</v>
          </cell>
          <cell r="E18">
            <v>0</v>
          </cell>
          <cell r="F18">
            <v>2496</v>
          </cell>
        </row>
        <row r="19">
          <cell r="A19">
            <v>3201300002</v>
          </cell>
          <cell r="C19" t="str">
            <v>US20P01002</v>
          </cell>
          <cell r="E19">
            <v>4985.2700000000004</v>
          </cell>
          <cell r="F19">
            <v>5004</v>
          </cell>
        </row>
        <row r="20">
          <cell r="A20">
            <v>3201300006</v>
          </cell>
          <cell r="C20" t="str">
            <v>US20P01002</v>
          </cell>
          <cell r="E20">
            <v>36500</v>
          </cell>
          <cell r="F20">
            <v>0</v>
          </cell>
        </row>
        <row r="21">
          <cell r="A21">
            <v>3201400002</v>
          </cell>
          <cell r="C21" t="str">
            <v>US20P01002</v>
          </cell>
          <cell r="E21">
            <v>308.08999999999997</v>
          </cell>
          <cell r="F21">
            <v>996</v>
          </cell>
        </row>
        <row r="22">
          <cell r="A22">
            <v>3201400055</v>
          </cell>
          <cell r="C22" t="str">
            <v>US20P01002</v>
          </cell>
          <cell r="E22">
            <v>1145.0899999999999</v>
          </cell>
          <cell r="F22">
            <v>0</v>
          </cell>
        </row>
        <row r="23">
          <cell r="A23">
            <v>3911100010</v>
          </cell>
          <cell r="C23" t="str">
            <v>US20P01002</v>
          </cell>
          <cell r="E23">
            <v>409.33</v>
          </cell>
          <cell r="F23">
            <v>2004</v>
          </cell>
        </row>
        <row r="24">
          <cell r="A24">
            <v>3911100012</v>
          </cell>
          <cell r="C24" t="str">
            <v>US20P01002</v>
          </cell>
          <cell r="E24">
            <v>2513.0500000000002</v>
          </cell>
          <cell r="F24">
            <v>9996</v>
          </cell>
        </row>
        <row r="25">
          <cell r="A25">
            <v>3911100015</v>
          </cell>
          <cell r="C25" t="str">
            <v>US20P01002</v>
          </cell>
          <cell r="E25">
            <v>4388.3999999999996</v>
          </cell>
          <cell r="F25">
            <v>8004</v>
          </cell>
        </row>
        <row r="26">
          <cell r="A26">
            <v>3911100022</v>
          </cell>
          <cell r="C26" t="str">
            <v>US20P01002</v>
          </cell>
          <cell r="E26">
            <v>1210.82</v>
          </cell>
          <cell r="F26">
            <v>30000</v>
          </cell>
        </row>
        <row r="27">
          <cell r="A27">
            <v>3911100041</v>
          </cell>
          <cell r="C27" t="str">
            <v>US20P01002</v>
          </cell>
          <cell r="E27">
            <v>189.67</v>
          </cell>
          <cell r="F27">
            <v>6000</v>
          </cell>
        </row>
        <row r="28">
          <cell r="A28">
            <v>3911200001</v>
          </cell>
          <cell r="C28" t="str">
            <v>US20P01002</v>
          </cell>
          <cell r="E28">
            <v>1419.14</v>
          </cell>
          <cell r="F28">
            <v>9996</v>
          </cell>
        </row>
        <row r="29">
          <cell r="A29">
            <v>3911200014</v>
          </cell>
          <cell r="C29" t="str">
            <v>US20P01002</v>
          </cell>
          <cell r="E29">
            <v>253.34</v>
          </cell>
          <cell r="F29">
            <v>0</v>
          </cell>
        </row>
        <row r="30">
          <cell r="A30">
            <v>3921200003</v>
          </cell>
          <cell r="C30" t="str">
            <v>US20P01002</v>
          </cell>
          <cell r="E30">
            <v>2900.8</v>
          </cell>
          <cell r="F30">
            <v>2796</v>
          </cell>
        </row>
        <row r="31">
          <cell r="A31">
            <v>3921200010</v>
          </cell>
          <cell r="C31" t="str">
            <v>US20P01002</v>
          </cell>
          <cell r="E31">
            <v>674.26</v>
          </cell>
          <cell r="F31">
            <v>2496</v>
          </cell>
        </row>
        <row r="32">
          <cell r="A32">
            <v>3941100001</v>
          </cell>
          <cell r="C32" t="str">
            <v>US20P01002</v>
          </cell>
          <cell r="E32">
            <v>88.8</v>
          </cell>
          <cell r="F32">
            <v>0</v>
          </cell>
        </row>
        <row r="33">
          <cell r="A33">
            <v>3941100002</v>
          </cell>
          <cell r="C33" t="str">
            <v>US20P01002</v>
          </cell>
          <cell r="E33">
            <v>-624.03</v>
          </cell>
          <cell r="F33">
            <v>0</v>
          </cell>
        </row>
        <row r="34">
          <cell r="A34">
            <v>3951100005</v>
          </cell>
          <cell r="C34" t="str">
            <v>US20P01002</v>
          </cell>
          <cell r="E34">
            <v>67.5</v>
          </cell>
          <cell r="F34">
            <v>0</v>
          </cell>
        </row>
        <row r="35">
          <cell r="A35">
            <v>3951200002</v>
          </cell>
          <cell r="C35" t="str">
            <v>US20P01002</v>
          </cell>
          <cell r="E35">
            <v>-357</v>
          </cell>
          <cell r="F35">
            <v>3600</v>
          </cell>
        </row>
        <row r="36">
          <cell r="A36">
            <v>3951200008</v>
          </cell>
          <cell r="C36" t="str">
            <v>US20P01002</v>
          </cell>
          <cell r="E36">
            <v>1288.4000000000001</v>
          </cell>
          <cell r="F36">
            <v>0</v>
          </cell>
        </row>
        <row r="37">
          <cell r="A37">
            <v>3991200001</v>
          </cell>
          <cell r="C37" t="str">
            <v>US20P01002</v>
          </cell>
          <cell r="E37">
            <v>372.05</v>
          </cell>
          <cell r="F37">
            <v>0</v>
          </cell>
        </row>
        <row r="38">
          <cell r="A38">
            <v>3991200012</v>
          </cell>
          <cell r="C38" t="str">
            <v>US20P01002</v>
          </cell>
          <cell r="E38">
            <v>1960.47</v>
          </cell>
          <cell r="F38">
            <v>0</v>
          </cell>
        </row>
        <row r="39">
          <cell r="A39">
            <v>3991200015</v>
          </cell>
          <cell r="C39" t="str">
            <v>US20P01002</v>
          </cell>
          <cell r="E39">
            <v>3101.32</v>
          </cell>
          <cell r="F39">
            <v>8496</v>
          </cell>
        </row>
        <row r="40">
          <cell r="A40">
            <v>3991200018</v>
          </cell>
          <cell r="C40" t="str">
            <v>US20P01002</v>
          </cell>
          <cell r="E40">
            <v>0</v>
          </cell>
          <cell r="F40">
            <v>0</v>
          </cell>
        </row>
        <row r="41">
          <cell r="A41">
            <v>3991200101</v>
          </cell>
          <cell r="C41" t="str">
            <v>US20P01002</v>
          </cell>
          <cell r="E41">
            <v>0</v>
          </cell>
          <cell r="F41">
            <v>0</v>
          </cell>
        </row>
        <row r="42">
          <cell r="A42">
            <v>9420000025</v>
          </cell>
          <cell r="C42" t="str">
            <v>US20P01002</v>
          </cell>
          <cell r="E42">
            <v>128589.6</v>
          </cell>
          <cell r="F42">
            <v>0</v>
          </cell>
        </row>
        <row r="43">
          <cell r="A43">
            <v>3201400002</v>
          </cell>
          <cell r="C43" t="str">
            <v>US20P01004</v>
          </cell>
          <cell r="E43">
            <v>45.6</v>
          </cell>
          <cell r="F43">
            <v>0</v>
          </cell>
        </row>
        <row r="44">
          <cell r="A44">
            <v>3201400029</v>
          </cell>
          <cell r="C44" t="str">
            <v>US20P01004</v>
          </cell>
          <cell r="E44">
            <v>204.3</v>
          </cell>
          <cell r="F44">
            <v>0</v>
          </cell>
        </row>
        <row r="45">
          <cell r="A45">
            <v>3911100010</v>
          </cell>
          <cell r="C45" t="str">
            <v>US20P01004</v>
          </cell>
          <cell r="E45">
            <v>2501.92</v>
          </cell>
          <cell r="F45">
            <v>0</v>
          </cell>
        </row>
        <row r="46">
          <cell r="A46">
            <v>3911100012</v>
          </cell>
          <cell r="C46" t="str">
            <v>US20P01004</v>
          </cell>
          <cell r="E46">
            <v>7921.81</v>
          </cell>
          <cell r="F46">
            <v>0</v>
          </cell>
        </row>
        <row r="47">
          <cell r="A47">
            <v>3911100015</v>
          </cell>
          <cell r="C47" t="str">
            <v>US20P01004</v>
          </cell>
          <cell r="E47">
            <v>8042.22</v>
          </cell>
          <cell r="F47">
            <v>0</v>
          </cell>
        </row>
        <row r="48">
          <cell r="A48">
            <v>3911100022</v>
          </cell>
          <cell r="C48" t="str">
            <v>US20P01004</v>
          </cell>
          <cell r="E48">
            <v>5589.23</v>
          </cell>
          <cell r="F48">
            <v>0</v>
          </cell>
        </row>
        <row r="49">
          <cell r="A49">
            <v>3911100041</v>
          </cell>
          <cell r="C49" t="str">
            <v>US20P01004</v>
          </cell>
          <cell r="E49">
            <v>2980.69</v>
          </cell>
          <cell r="F49">
            <v>0</v>
          </cell>
        </row>
        <row r="50">
          <cell r="A50">
            <v>3911200001</v>
          </cell>
          <cell r="C50" t="str">
            <v>US20P01004</v>
          </cell>
          <cell r="E50">
            <v>4853.33</v>
          </cell>
          <cell r="F50">
            <v>0</v>
          </cell>
        </row>
        <row r="51">
          <cell r="A51">
            <v>3921200003</v>
          </cell>
          <cell r="C51" t="str">
            <v>US20P01004</v>
          </cell>
          <cell r="E51">
            <v>1705.29</v>
          </cell>
          <cell r="F51">
            <v>0</v>
          </cell>
        </row>
        <row r="52">
          <cell r="A52">
            <v>3921200006</v>
          </cell>
          <cell r="C52" t="str">
            <v>US20P01004</v>
          </cell>
          <cell r="E52">
            <v>7.2</v>
          </cell>
          <cell r="F52">
            <v>0</v>
          </cell>
        </row>
        <row r="53">
          <cell r="A53">
            <v>3921200010</v>
          </cell>
          <cell r="C53" t="str">
            <v>US20P01004</v>
          </cell>
          <cell r="E53">
            <v>1217.17</v>
          </cell>
          <cell r="F53">
            <v>0</v>
          </cell>
        </row>
        <row r="54">
          <cell r="A54">
            <v>3921200100</v>
          </cell>
          <cell r="C54" t="str">
            <v>US20P01004</v>
          </cell>
          <cell r="E54">
            <v>2060.16</v>
          </cell>
          <cell r="F54">
            <v>0</v>
          </cell>
        </row>
        <row r="55">
          <cell r="A55">
            <v>3991200001</v>
          </cell>
          <cell r="C55" t="str">
            <v>US20P01004</v>
          </cell>
          <cell r="E55">
            <v>31.27</v>
          </cell>
          <cell r="F55">
            <v>0</v>
          </cell>
        </row>
        <row r="56">
          <cell r="A56">
            <v>3991200015</v>
          </cell>
          <cell r="C56" t="str">
            <v>US20P01004</v>
          </cell>
          <cell r="E56">
            <v>1008.51</v>
          </cell>
          <cell r="F56">
            <v>0</v>
          </cell>
        </row>
        <row r="57">
          <cell r="A57">
            <v>3991200023</v>
          </cell>
          <cell r="C57" t="str">
            <v>US20P01004</v>
          </cell>
          <cell r="E57">
            <v>15.53</v>
          </cell>
          <cell r="F57">
            <v>0</v>
          </cell>
        </row>
        <row r="58">
          <cell r="A58">
            <v>3991200099</v>
          </cell>
          <cell r="C58" t="str">
            <v>US20P01004</v>
          </cell>
          <cell r="E58">
            <v>62.58</v>
          </cell>
          <cell r="F58">
            <v>0</v>
          </cell>
        </row>
        <row r="59">
          <cell r="A59">
            <v>3991200099</v>
          </cell>
          <cell r="C59" t="str">
            <v>US20P01515</v>
          </cell>
          <cell r="E59">
            <v>-78545.58</v>
          </cell>
          <cell r="F59">
            <v>0</v>
          </cell>
        </row>
        <row r="60">
          <cell r="A60">
            <v>3201300005</v>
          </cell>
          <cell r="C60" t="str">
            <v>US20P01550</v>
          </cell>
          <cell r="E60">
            <v>21195</v>
          </cell>
          <cell r="F60">
            <v>0</v>
          </cell>
        </row>
        <row r="61">
          <cell r="A61">
            <v>3921200050</v>
          </cell>
          <cell r="C61" t="str">
            <v>US20P01550</v>
          </cell>
          <cell r="E61">
            <v>42.34</v>
          </cell>
          <cell r="F61">
            <v>0</v>
          </cell>
        </row>
        <row r="62">
          <cell r="A62">
            <v>3961100000</v>
          </cell>
          <cell r="C62" t="str">
            <v>US20P01550</v>
          </cell>
          <cell r="E62">
            <v>0</v>
          </cell>
          <cell r="F62">
            <v>450000</v>
          </cell>
        </row>
        <row r="63">
          <cell r="A63">
            <v>3991200099</v>
          </cell>
          <cell r="C63" t="str">
            <v>US20P01550</v>
          </cell>
          <cell r="E63">
            <v>-4777.8</v>
          </cell>
          <cell r="F63">
            <v>0</v>
          </cell>
        </row>
        <row r="64">
          <cell r="A64">
            <v>3001500128</v>
          </cell>
          <cell r="C64" t="str">
            <v>US20P01560</v>
          </cell>
          <cell r="E64">
            <v>0</v>
          </cell>
          <cell r="F64">
            <v>0</v>
          </cell>
        </row>
        <row r="65">
          <cell r="A65">
            <v>3001500151</v>
          </cell>
          <cell r="C65" t="str">
            <v>US20P01560</v>
          </cell>
          <cell r="E65">
            <v>36680.97</v>
          </cell>
          <cell r="F65">
            <v>0</v>
          </cell>
        </row>
        <row r="66">
          <cell r="A66">
            <v>3001500152</v>
          </cell>
          <cell r="C66" t="str">
            <v>US20P01560</v>
          </cell>
          <cell r="E66">
            <v>889.47</v>
          </cell>
          <cell r="F66">
            <v>0</v>
          </cell>
        </row>
        <row r="67">
          <cell r="A67">
            <v>3001504002</v>
          </cell>
          <cell r="C67" t="str">
            <v>US20P01560</v>
          </cell>
          <cell r="E67">
            <v>-17947.25</v>
          </cell>
          <cell r="F67">
            <v>0</v>
          </cell>
        </row>
        <row r="68">
          <cell r="A68">
            <v>3001504004</v>
          </cell>
          <cell r="C68" t="str">
            <v>US20P01560</v>
          </cell>
          <cell r="E68">
            <v>0</v>
          </cell>
          <cell r="F68">
            <v>0</v>
          </cell>
        </row>
        <row r="69">
          <cell r="A69">
            <v>3311400099</v>
          </cell>
          <cell r="C69" t="str">
            <v>US20P01560</v>
          </cell>
          <cell r="E69">
            <v>45028.74</v>
          </cell>
          <cell r="F69">
            <v>249996</v>
          </cell>
        </row>
        <row r="70">
          <cell r="A70">
            <v>3921200100</v>
          </cell>
          <cell r="C70" t="str">
            <v>US20P01560</v>
          </cell>
          <cell r="E70">
            <v>53519.21</v>
          </cell>
          <cell r="F70">
            <v>400000</v>
          </cell>
        </row>
        <row r="71">
          <cell r="A71">
            <v>3201300001</v>
          </cell>
          <cell r="C71" t="str">
            <v>US20P3C001</v>
          </cell>
          <cell r="E71">
            <v>14635.18</v>
          </cell>
          <cell r="F71">
            <v>0</v>
          </cell>
        </row>
        <row r="72">
          <cell r="A72">
            <v>3911100010</v>
          </cell>
          <cell r="C72" t="str">
            <v>US20P3C001</v>
          </cell>
          <cell r="E72">
            <v>150.5</v>
          </cell>
          <cell r="F72">
            <v>0</v>
          </cell>
        </row>
        <row r="73">
          <cell r="A73">
            <v>3911100012</v>
          </cell>
          <cell r="C73" t="str">
            <v>US20P3C001</v>
          </cell>
          <cell r="E73">
            <v>1949.24</v>
          </cell>
          <cell r="F73">
            <v>0</v>
          </cell>
        </row>
        <row r="74">
          <cell r="A74">
            <v>3911100015</v>
          </cell>
          <cell r="C74" t="str">
            <v>US20P3C001</v>
          </cell>
          <cell r="E74">
            <v>441.5</v>
          </cell>
          <cell r="F74">
            <v>0</v>
          </cell>
        </row>
        <row r="75">
          <cell r="A75">
            <v>3911100022</v>
          </cell>
          <cell r="C75" t="str">
            <v>US20P3C001</v>
          </cell>
          <cell r="E75">
            <v>1582.97</v>
          </cell>
          <cell r="F75">
            <v>0</v>
          </cell>
        </row>
        <row r="76">
          <cell r="A76">
            <v>3911100041</v>
          </cell>
          <cell r="C76" t="str">
            <v>US20P3C001</v>
          </cell>
          <cell r="E76">
            <v>627.88</v>
          </cell>
          <cell r="F76">
            <v>0</v>
          </cell>
        </row>
        <row r="77">
          <cell r="A77">
            <v>3911200001</v>
          </cell>
          <cell r="C77" t="str">
            <v>US20P3C001</v>
          </cell>
          <cell r="E77">
            <v>92.5</v>
          </cell>
          <cell r="F77">
            <v>0</v>
          </cell>
        </row>
        <row r="78">
          <cell r="A78">
            <v>3921200003</v>
          </cell>
          <cell r="C78" t="str">
            <v>US20P3C001</v>
          </cell>
          <cell r="E78">
            <v>282.45</v>
          </cell>
          <cell r="F78">
            <v>0</v>
          </cell>
        </row>
        <row r="79">
          <cell r="A79">
            <v>3921200010</v>
          </cell>
          <cell r="C79" t="str">
            <v>US20P3C001</v>
          </cell>
          <cell r="E79">
            <v>35.159999999999997</v>
          </cell>
          <cell r="F79">
            <v>0</v>
          </cell>
        </row>
        <row r="80">
          <cell r="A80">
            <v>3991200012</v>
          </cell>
          <cell r="C80" t="str">
            <v>US20P3C001</v>
          </cell>
          <cell r="E80">
            <v>25.52</v>
          </cell>
          <cell r="F80">
            <v>0</v>
          </cell>
        </row>
        <row r="81">
          <cell r="A81">
            <v>3991200015</v>
          </cell>
          <cell r="C81" t="str">
            <v>US20P3C001</v>
          </cell>
          <cell r="E81">
            <v>976.43</v>
          </cell>
          <cell r="F81">
            <v>0</v>
          </cell>
        </row>
        <row r="82">
          <cell r="A82">
            <v>3991200099</v>
          </cell>
          <cell r="C82" t="str">
            <v>US20P3C001</v>
          </cell>
          <cell r="E82">
            <v>21.5</v>
          </cell>
          <cell r="F82">
            <v>0</v>
          </cell>
        </row>
        <row r="83">
          <cell r="A83">
            <v>3991200099</v>
          </cell>
          <cell r="C83" t="str">
            <v>US20P3C513</v>
          </cell>
          <cell r="E83">
            <v>4749949.2</v>
          </cell>
          <cell r="F83">
            <v>0</v>
          </cell>
        </row>
        <row r="84">
          <cell r="A84">
            <v>3991200099</v>
          </cell>
          <cell r="C84" t="str">
            <v>US20P3C550</v>
          </cell>
          <cell r="E84">
            <v>16356.07</v>
          </cell>
          <cell r="F84">
            <v>0</v>
          </cell>
        </row>
        <row r="85">
          <cell r="A85">
            <v>3991200101</v>
          </cell>
          <cell r="C85" t="str">
            <v>US20P3C550</v>
          </cell>
          <cell r="E85">
            <v>-600</v>
          </cell>
          <cell r="F85">
            <v>0</v>
          </cell>
        </row>
        <row r="86">
          <cell r="A86">
            <v>3311400099</v>
          </cell>
          <cell r="C86" t="str">
            <v>US20P3C560</v>
          </cell>
          <cell r="E86">
            <v>411369.82</v>
          </cell>
          <cell r="F86">
            <v>249996</v>
          </cell>
        </row>
        <row r="87">
          <cell r="A87">
            <v>3921200014</v>
          </cell>
          <cell r="C87" t="str">
            <v>US20P3C560</v>
          </cell>
          <cell r="E87">
            <v>93241.88</v>
          </cell>
          <cell r="F87">
            <v>0</v>
          </cell>
        </row>
        <row r="88">
          <cell r="A88">
            <v>3921200100</v>
          </cell>
          <cell r="C88" t="str">
            <v>US20P3C560</v>
          </cell>
          <cell r="E88">
            <v>873973.42</v>
          </cell>
          <cell r="F88">
            <v>1000000</v>
          </cell>
        </row>
        <row r="89">
          <cell r="A89">
            <v>3941100013</v>
          </cell>
          <cell r="C89" t="str">
            <v>US20P3C560</v>
          </cell>
          <cell r="E89">
            <v>17381.95</v>
          </cell>
          <cell r="F89">
            <v>0</v>
          </cell>
        </row>
        <row r="90">
          <cell r="A90">
            <v>3981100067</v>
          </cell>
          <cell r="C90" t="str">
            <v>US20P3C560</v>
          </cell>
          <cell r="E90">
            <v>0</v>
          </cell>
          <cell r="F90">
            <v>0</v>
          </cell>
        </row>
        <row r="91">
          <cell r="A91">
            <v>3981100078</v>
          </cell>
          <cell r="C91" t="str">
            <v>US20P3C560</v>
          </cell>
          <cell r="E91">
            <v>0</v>
          </cell>
          <cell r="F91">
            <v>0</v>
          </cell>
        </row>
        <row r="92">
          <cell r="A92">
            <v>3991200012</v>
          </cell>
          <cell r="C92" t="str">
            <v>US20P3C560</v>
          </cell>
          <cell r="E92">
            <v>43.64</v>
          </cell>
          <cell r="F92">
            <v>0</v>
          </cell>
        </row>
        <row r="93">
          <cell r="A93">
            <v>3111100000</v>
          </cell>
          <cell r="C93" t="str">
            <v>US20PZA001</v>
          </cell>
          <cell r="E93">
            <v>191954.1</v>
          </cell>
          <cell r="F93">
            <v>51852</v>
          </cell>
        </row>
        <row r="94">
          <cell r="A94">
            <v>3111100012</v>
          </cell>
          <cell r="C94" t="str">
            <v>US20PZA001</v>
          </cell>
          <cell r="E94">
            <v>2836.05</v>
          </cell>
          <cell r="F94">
            <v>0</v>
          </cell>
        </row>
        <row r="95">
          <cell r="A95">
            <v>3111100020</v>
          </cell>
          <cell r="C95" t="str">
            <v>US20PZA001</v>
          </cell>
          <cell r="E95">
            <v>-35062.74</v>
          </cell>
          <cell r="F95">
            <v>999999.96</v>
          </cell>
        </row>
        <row r="96">
          <cell r="A96">
            <v>3111100900</v>
          </cell>
          <cell r="C96" t="str">
            <v>US20PZA001</v>
          </cell>
          <cell r="E96">
            <v>407.5</v>
          </cell>
          <cell r="F96">
            <v>0</v>
          </cell>
        </row>
        <row r="97">
          <cell r="A97">
            <v>3111101000</v>
          </cell>
          <cell r="C97" t="str">
            <v>US20PZA001</v>
          </cell>
          <cell r="E97">
            <v>96934.87</v>
          </cell>
          <cell r="F97">
            <v>0</v>
          </cell>
        </row>
        <row r="98">
          <cell r="A98">
            <v>3121300013</v>
          </cell>
          <cell r="C98" t="str">
            <v>US20PZA001</v>
          </cell>
          <cell r="E98">
            <v>0</v>
          </cell>
          <cell r="F98">
            <v>18612</v>
          </cell>
        </row>
        <row r="99">
          <cell r="A99">
            <v>3121300031</v>
          </cell>
          <cell r="C99" t="str">
            <v>US20PZA001</v>
          </cell>
          <cell r="E99">
            <v>99</v>
          </cell>
          <cell r="F99">
            <v>0</v>
          </cell>
        </row>
        <row r="100">
          <cell r="A100">
            <v>3131100005</v>
          </cell>
          <cell r="C100" t="str">
            <v>US20PZA001</v>
          </cell>
          <cell r="E100">
            <v>17490.849999999999</v>
          </cell>
          <cell r="F100">
            <v>0</v>
          </cell>
        </row>
        <row r="101">
          <cell r="A101">
            <v>3131100006</v>
          </cell>
          <cell r="C101" t="str">
            <v>US20PZA001</v>
          </cell>
          <cell r="E101">
            <v>8312.84</v>
          </cell>
          <cell r="F101">
            <v>0</v>
          </cell>
        </row>
        <row r="102">
          <cell r="A102">
            <v>3131100007</v>
          </cell>
          <cell r="C102" t="str">
            <v>US20PZA001</v>
          </cell>
          <cell r="E102">
            <v>400</v>
          </cell>
          <cell r="F102">
            <v>0</v>
          </cell>
        </row>
        <row r="103">
          <cell r="A103">
            <v>3131100025</v>
          </cell>
          <cell r="C103" t="str">
            <v>US20PZA001</v>
          </cell>
          <cell r="E103">
            <v>7216.36</v>
          </cell>
          <cell r="F103">
            <v>5004</v>
          </cell>
        </row>
        <row r="104">
          <cell r="A104">
            <v>3141100000</v>
          </cell>
          <cell r="C104" t="str">
            <v>US20PZA001</v>
          </cell>
          <cell r="E104">
            <v>0</v>
          </cell>
          <cell r="F104">
            <v>0</v>
          </cell>
        </row>
        <row r="105">
          <cell r="A105">
            <v>3201300001</v>
          </cell>
          <cell r="C105" t="str">
            <v>US20PZA001</v>
          </cell>
          <cell r="E105">
            <v>0</v>
          </cell>
          <cell r="F105">
            <v>350004</v>
          </cell>
        </row>
        <row r="106">
          <cell r="A106">
            <v>3201300002</v>
          </cell>
          <cell r="C106" t="str">
            <v>US20PZA001</v>
          </cell>
          <cell r="E106">
            <v>4108.91</v>
          </cell>
          <cell r="F106">
            <v>45000</v>
          </cell>
        </row>
        <row r="107">
          <cell r="A107">
            <v>3201300003</v>
          </cell>
          <cell r="C107" t="str">
            <v>US20PZA001</v>
          </cell>
          <cell r="E107">
            <v>831.6</v>
          </cell>
          <cell r="F107">
            <v>0</v>
          </cell>
        </row>
        <row r="108">
          <cell r="A108">
            <v>3201400002</v>
          </cell>
          <cell r="C108" t="str">
            <v>US20PZA001</v>
          </cell>
          <cell r="E108">
            <v>272.51</v>
          </cell>
          <cell r="F108">
            <v>0</v>
          </cell>
        </row>
        <row r="109">
          <cell r="A109">
            <v>3201400029</v>
          </cell>
          <cell r="C109" t="str">
            <v>US20PZA001</v>
          </cell>
          <cell r="E109">
            <v>1456.46</v>
          </cell>
          <cell r="F109">
            <v>0</v>
          </cell>
        </row>
        <row r="110">
          <cell r="A110">
            <v>3201400051</v>
          </cell>
          <cell r="C110" t="str">
            <v>US20PZA001</v>
          </cell>
          <cell r="E110">
            <v>95</v>
          </cell>
          <cell r="F110">
            <v>0</v>
          </cell>
        </row>
        <row r="111">
          <cell r="A111">
            <v>3311400099</v>
          </cell>
          <cell r="C111" t="str">
            <v>US20PZA001</v>
          </cell>
          <cell r="E111">
            <v>48793.66</v>
          </cell>
          <cell r="F111">
            <v>97866.6</v>
          </cell>
        </row>
        <row r="112">
          <cell r="A112">
            <v>3911100010</v>
          </cell>
          <cell r="C112" t="str">
            <v>US20PZA001</v>
          </cell>
          <cell r="E112">
            <v>1180.08</v>
          </cell>
          <cell r="F112">
            <v>0</v>
          </cell>
        </row>
        <row r="113">
          <cell r="A113">
            <v>3911100012</v>
          </cell>
          <cell r="C113" t="str">
            <v>US20PZA001</v>
          </cell>
          <cell r="E113">
            <v>7266.4</v>
          </cell>
          <cell r="F113">
            <v>0</v>
          </cell>
        </row>
        <row r="114">
          <cell r="A114">
            <v>3911100015</v>
          </cell>
          <cell r="C114" t="str">
            <v>US20PZA001</v>
          </cell>
          <cell r="E114">
            <v>9106.2099999999991</v>
          </cell>
          <cell r="F114">
            <v>0</v>
          </cell>
        </row>
        <row r="115">
          <cell r="A115">
            <v>3911100022</v>
          </cell>
          <cell r="C115" t="str">
            <v>US20PZA001</v>
          </cell>
          <cell r="E115">
            <v>43752.2</v>
          </cell>
          <cell r="F115">
            <v>0</v>
          </cell>
        </row>
        <row r="116">
          <cell r="A116">
            <v>3911100041</v>
          </cell>
          <cell r="C116" t="str">
            <v>US20PZA001</v>
          </cell>
          <cell r="E116">
            <v>3718.01</v>
          </cell>
          <cell r="F116">
            <v>75000</v>
          </cell>
        </row>
        <row r="117">
          <cell r="A117">
            <v>3911200001</v>
          </cell>
          <cell r="C117" t="str">
            <v>US20PZA001</v>
          </cell>
          <cell r="E117">
            <v>17315.2</v>
          </cell>
          <cell r="F117">
            <v>0</v>
          </cell>
        </row>
        <row r="118">
          <cell r="A118">
            <v>3911200014</v>
          </cell>
          <cell r="C118" t="str">
            <v>US20PZA001</v>
          </cell>
          <cell r="E118">
            <v>5500</v>
          </cell>
          <cell r="F118">
            <v>0</v>
          </cell>
        </row>
        <row r="119">
          <cell r="A119">
            <v>3921200003</v>
          </cell>
          <cell r="C119" t="str">
            <v>US20PZA001</v>
          </cell>
          <cell r="E119">
            <v>1987.77</v>
          </cell>
          <cell r="F119">
            <v>0</v>
          </cell>
        </row>
        <row r="120">
          <cell r="A120">
            <v>3921200006</v>
          </cell>
          <cell r="C120" t="str">
            <v>US20PZA001</v>
          </cell>
          <cell r="E120">
            <v>0</v>
          </cell>
          <cell r="F120">
            <v>0</v>
          </cell>
        </row>
        <row r="121">
          <cell r="A121">
            <v>3921200010</v>
          </cell>
          <cell r="C121" t="str">
            <v>US20PZA001</v>
          </cell>
          <cell r="E121">
            <v>5404.54</v>
          </cell>
          <cell r="F121">
            <v>17004</v>
          </cell>
        </row>
        <row r="122">
          <cell r="A122">
            <v>3921200050</v>
          </cell>
          <cell r="C122" t="str">
            <v>US20PZA001</v>
          </cell>
          <cell r="E122">
            <v>69.989999999999995</v>
          </cell>
          <cell r="F122">
            <v>0</v>
          </cell>
        </row>
        <row r="123">
          <cell r="A123">
            <v>3951100002</v>
          </cell>
          <cell r="C123" t="str">
            <v>US20PZA001</v>
          </cell>
          <cell r="E123">
            <v>2325</v>
          </cell>
          <cell r="F123">
            <v>0</v>
          </cell>
        </row>
        <row r="124">
          <cell r="A124">
            <v>3951100005</v>
          </cell>
          <cell r="C124" t="str">
            <v>US20PZA001</v>
          </cell>
          <cell r="E124">
            <v>209.64</v>
          </cell>
          <cell r="F124">
            <v>0</v>
          </cell>
        </row>
        <row r="125">
          <cell r="A125">
            <v>3951200002</v>
          </cell>
          <cell r="C125" t="str">
            <v>US20PZA001</v>
          </cell>
          <cell r="E125">
            <v>6114.74</v>
          </cell>
          <cell r="F125">
            <v>2004</v>
          </cell>
        </row>
        <row r="126">
          <cell r="A126">
            <v>3951200008</v>
          </cell>
          <cell r="C126" t="str">
            <v>US20PZA001</v>
          </cell>
          <cell r="E126">
            <v>1247.71</v>
          </cell>
          <cell r="F126">
            <v>0</v>
          </cell>
        </row>
        <row r="127">
          <cell r="A127">
            <v>3961100000</v>
          </cell>
          <cell r="C127" t="str">
            <v>US20PZA001</v>
          </cell>
          <cell r="E127">
            <v>0</v>
          </cell>
          <cell r="F127">
            <v>681588</v>
          </cell>
        </row>
        <row r="128">
          <cell r="A128">
            <v>3991200012</v>
          </cell>
          <cell r="C128" t="str">
            <v>US20PZA001</v>
          </cell>
          <cell r="E128">
            <v>376.99</v>
          </cell>
          <cell r="F128">
            <v>0</v>
          </cell>
        </row>
        <row r="129">
          <cell r="A129">
            <v>3991200015</v>
          </cell>
          <cell r="C129" t="str">
            <v>US20PZA001</v>
          </cell>
          <cell r="E129">
            <v>12604.78</v>
          </cell>
          <cell r="F129">
            <v>0</v>
          </cell>
        </row>
        <row r="130">
          <cell r="A130">
            <v>3991200099</v>
          </cell>
          <cell r="C130" t="str">
            <v>US20PZA001</v>
          </cell>
          <cell r="E130">
            <v>36027.17</v>
          </cell>
          <cell r="F130">
            <v>14004</v>
          </cell>
        </row>
        <row r="131">
          <cell r="A131">
            <v>3991200101</v>
          </cell>
          <cell r="C131" t="str">
            <v>US20PZA001</v>
          </cell>
          <cell r="E131">
            <v>3616.33</v>
          </cell>
          <cell r="F131">
            <v>0</v>
          </cell>
        </row>
        <row r="132">
          <cell r="A132">
            <v>3991200301</v>
          </cell>
          <cell r="C132" t="str">
            <v>US20PZA001</v>
          </cell>
          <cell r="E132">
            <v>0</v>
          </cell>
          <cell r="F132">
            <v>3268596</v>
          </cell>
        </row>
        <row r="133">
          <cell r="A133">
            <v>9420000025</v>
          </cell>
          <cell r="C133" t="str">
            <v>US20PZA001</v>
          </cell>
          <cell r="E133">
            <v>50141.51</v>
          </cell>
          <cell r="F133">
            <v>0</v>
          </cell>
        </row>
        <row r="134">
          <cell r="A134">
            <v>3111100000</v>
          </cell>
          <cell r="C134" t="str">
            <v>US20PZA145</v>
          </cell>
          <cell r="E134">
            <v>161988.4</v>
          </cell>
          <cell r="F134">
            <v>370476</v>
          </cell>
        </row>
        <row r="135">
          <cell r="A135">
            <v>3111100020</v>
          </cell>
          <cell r="C135" t="str">
            <v>US20PZA145</v>
          </cell>
          <cell r="E135">
            <v>9264</v>
          </cell>
          <cell r="F135">
            <v>18528</v>
          </cell>
        </row>
        <row r="136">
          <cell r="A136">
            <v>3111100007</v>
          </cell>
          <cell r="C136" t="str">
            <v>US20PZA145</v>
          </cell>
        </row>
        <row r="137">
          <cell r="A137">
            <v>3111100900</v>
          </cell>
          <cell r="C137" t="str">
            <v>US20PZA145</v>
          </cell>
          <cell r="E137">
            <v>0</v>
          </cell>
          <cell r="F137">
            <v>69996</v>
          </cell>
        </row>
        <row r="138">
          <cell r="A138">
            <v>3121300013</v>
          </cell>
          <cell r="C138" t="str">
            <v>US20PZA145</v>
          </cell>
          <cell r="E138">
            <v>0</v>
          </cell>
          <cell r="F138">
            <v>139656</v>
          </cell>
        </row>
        <row r="139">
          <cell r="A139">
            <v>3131100006</v>
          </cell>
          <cell r="C139" t="str">
            <v>US20PZA145</v>
          </cell>
          <cell r="E139">
            <v>11925</v>
          </cell>
          <cell r="F139">
            <v>0</v>
          </cell>
        </row>
        <row r="140">
          <cell r="A140">
            <v>3131100007</v>
          </cell>
          <cell r="C140" t="str">
            <v>US20PZA145</v>
          </cell>
          <cell r="E140">
            <v>5093</v>
          </cell>
          <cell r="F140">
            <v>0</v>
          </cell>
        </row>
        <row r="141">
          <cell r="A141">
            <v>3201300001</v>
          </cell>
          <cell r="C141" t="str">
            <v>US20PZA145</v>
          </cell>
          <cell r="E141">
            <v>114258.6</v>
          </cell>
          <cell r="F141">
            <v>30000</v>
          </cell>
        </row>
        <row r="142">
          <cell r="A142">
            <v>3201300002</v>
          </cell>
          <cell r="C142" t="str">
            <v>US20PZA145</v>
          </cell>
          <cell r="E142">
            <v>0</v>
          </cell>
          <cell r="F142">
            <v>0</v>
          </cell>
        </row>
        <row r="143">
          <cell r="A143">
            <v>3911100010</v>
          </cell>
          <cell r="C143" t="str">
            <v>US20PZA145</v>
          </cell>
          <cell r="E143">
            <v>1261.1600000000001</v>
          </cell>
          <cell r="F143">
            <v>0</v>
          </cell>
        </row>
        <row r="144">
          <cell r="A144">
            <v>3911100012</v>
          </cell>
          <cell r="C144" t="str">
            <v>US20PZA145</v>
          </cell>
          <cell r="E144">
            <v>4772.92</v>
          </cell>
          <cell r="F144">
            <v>0</v>
          </cell>
        </row>
        <row r="145">
          <cell r="A145">
            <v>3911100015</v>
          </cell>
          <cell r="C145" t="str">
            <v>US20PZA145</v>
          </cell>
          <cell r="E145">
            <v>181.86</v>
          </cell>
          <cell r="F145">
            <v>0</v>
          </cell>
        </row>
        <row r="146">
          <cell r="A146">
            <v>3911100022</v>
          </cell>
          <cell r="C146" t="str">
            <v>US20PZA145</v>
          </cell>
          <cell r="E146">
            <v>3973.78</v>
          </cell>
          <cell r="F146">
            <v>0</v>
          </cell>
        </row>
        <row r="147">
          <cell r="A147">
            <v>3911100041</v>
          </cell>
          <cell r="C147" t="str">
            <v>US20PZA145</v>
          </cell>
          <cell r="E147">
            <v>9.74</v>
          </cell>
          <cell r="F147">
            <v>39000</v>
          </cell>
        </row>
        <row r="148">
          <cell r="A148">
            <v>3911200001</v>
          </cell>
          <cell r="C148" t="str">
            <v>US20PZA145</v>
          </cell>
          <cell r="E148">
            <v>201.82</v>
          </cell>
          <cell r="F148">
            <v>0</v>
          </cell>
        </row>
        <row r="149">
          <cell r="A149">
            <v>3921200003</v>
          </cell>
          <cell r="C149" t="str">
            <v>US20PZA145</v>
          </cell>
          <cell r="E149">
            <v>90.9</v>
          </cell>
          <cell r="F149">
            <v>0</v>
          </cell>
        </row>
        <row r="150">
          <cell r="A150">
            <v>3921200010</v>
          </cell>
          <cell r="C150" t="str">
            <v>US20PZA145</v>
          </cell>
          <cell r="E150">
            <v>414.32</v>
          </cell>
          <cell r="F150">
            <v>0</v>
          </cell>
        </row>
        <row r="151">
          <cell r="A151">
            <v>3921200014</v>
          </cell>
          <cell r="C151" t="str">
            <v>US20PZA145</v>
          </cell>
          <cell r="E151">
            <v>0</v>
          </cell>
          <cell r="F151">
            <v>0</v>
          </cell>
        </row>
        <row r="152">
          <cell r="A152">
            <v>3951200008</v>
          </cell>
          <cell r="C152" t="str">
            <v>US20PZA145</v>
          </cell>
          <cell r="E152">
            <v>2276.61</v>
          </cell>
          <cell r="F152">
            <v>2004</v>
          </cell>
        </row>
        <row r="153">
          <cell r="A153">
            <v>3991200012</v>
          </cell>
          <cell r="C153" t="str">
            <v>US20PZA145</v>
          </cell>
          <cell r="E153">
            <v>686.5</v>
          </cell>
          <cell r="F153">
            <v>0</v>
          </cell>
        </row>
        <row r="154">
          <cell r="A154">
            <v>3991200015</v>
          </cell>
          <cell r="C154" t="str">
            <v>US20PZA145</v>
          </cell>
          <cell r="E154">
            <v>436.11</v>
          </cell>
          <cell r="F154">
            <v>3000</v>
          </cell>
        </row>
        <row r="155">
          <cell r="A155">
            <v>3991200018</v>
          </cell>
          <cell r="C155" t="str">
            <v>US20PZA145</v>
          </cell>
          <cell r="E155">
            <v>185</v>
          </cell>
          <cell r="F155">
            <v>0</v>
          </cell>
        </row>
        <row r="156">
          <cell r="A156">
            <v>3991200099</v>
          </cell>
          <cell r="C156" t="str">
            <v>US20PZA145</v>
          </cell>
          <cell r="E156">
            <v>475.09</v>
          </cell>
          <cell r="F156">
            <v>2496</v>
          </cell>
        </row>
        <row r="157">
          <cell r="A157">
            <v>9420000025</v>
          </cell>
          <cell r="C157" t="str">
            <v>US20PZA145</v>
          </cell>
          <cell r="E157">
            <v>51913.66</v>
          </cell>
          <cell r="F157">
            <v>0</v>
          </cell>
        </row>
        <row r="158">
          <cell r="A158">
            <v>3001500152</v>
          </cell>
          <cell r="C158" t="str">
            <v>US26P01005</v>
          </cell>
          <cell r="E158">
            <v>1754.68</v>
          </cell>
          <cell r="F158">
            <v>0</v>
          </cell>
        </row>
        <row r="159">
          <cell r="A159">
            <v>3111100000</v>
          </cell>
          <cell r="C159" t="str">
            <v>US26P01005</v>
          </cell>
          <cell r="E159">
            <v>224732.53</v>
          </cell>
          <cell r="F159">
            <v>427427.58</v>
          </cell>
        </row>
        <row r="160">
          <cell r="A160">
            <v>3111100020</v>
          </cell>
          <cell r="C160" t="str">
            <v>US26P01005</v>
          </cell>
          <cell r="E160">
            <v>523.94000000000005</v>
          </cell>
          <cell r="F160">
            <v>0</v>
          </cell>
        </row>
        <row r="161">
          <cell r="A161">
            <v>3121300013</v>
          </cell>
          <cell r="C161" t="str">
            <v>US26P01005</v>
          </cell>
          <cell r="E161">
            <v>0</v>
          </cell>
          <cell r="F161">
            <v>155900.64000000001</v>
          </cell>
        </row>
        <row r="162">
          <cell r="A162">
            <v>3131100005</v>
          </cell>
          <cell r="C162" t="str">
            <v>US26P01005</v>
          </cell>
          <cell r="E162">
            <v>13038.4</v>
          </cell>
          <cell r="F162">
            <v>0</v>
          </cell>
        </row>
        <row r="163">
          <cell r="A163">
            <v>3131100007</v>
          </cell>
          <cell r="C163" t="str">
            <v>US26P01005</v>
          </cell>
          <cell r="E163">
            <v>0</v>
          </cell>
          <cell r="F163">
            <v>300</v>
          </cell>
        </row>
        <row r="164">
          <cell r="A164">
            <v>3131100025</v>
          </cell>
          <cell r="C164" t="str">
            <v>US26P01005</v>
          </cell>
          <cell r="E164">
            <v>775.06</v>
          </cell>
          <cell r="F164">
            <v>0</v>
          </cell>
        </row>
        <row r="165">
          <cell r="A165">
            <v>3131100031</v>
          </cell>
          <cell r="C165" t="str">
            <v>US26P01005</v>
          </cell>
          <cell r="E165">
            <v>0</v>
          </cell>
          <cell r="F165">
            <v>0</v>
          </cell>
        </row>
        <row r="166">
          <cell r="A166">
            <v>3201300002</v>
          </cell>
          <cell r="C166" t="str">
            <v>US26P01005</v>
          </cell>
          <cell r="E166">
            <v>784</v>
          </cell>
          <cell r="F166">
            <v>0</v>
          </cell>
        </row>
        <row r="167">
          <cell r="A167">
            <v>3201300005</v>
          </cell>
          <cell r="C167" t="str">
            <v>US26P01005</v>
          </cell>
          <cell r="E167">
            <v>5631.25</v>
          </cell>
          <cell r="F167">
            <v>4000</v>
          </cell>
        </row>
        <row r="168">
          <cell r="A168">
            <v>3201400002</v>
          </cell>
          <cell r="C168" t="str">
            <v>US26P01005</v>
          </cell>
          <cell r="E168">
            <v>808.36</v>
          </cell>
          <cell r="F168">
            <v>960</v>
          </cell>
        </row>
        <row r="169">
          <cell r="A169">
            <v>3201400054</v>
          </cell>
          <cell r="C169" t="str">
            <v>US26P01005</v>
          </cell>
          <cell r="E169">
            <v>0</v>
          </cell>
          <cell r="F169">
            <v>15000</v>
          </cell>
        </row>
        <row r="170">
          <cell r="A170">
            <v>3201400055</v>
          </cell>
          <cell r="C170" t="str">
            <v>US26P01005</v>
          </cell>
          <cell r="E170">
            <v>0</v>
          </cell>
          <cell r="F170">
            <v>0</v>
          </cell>
        </row>
        <row r="171">
          <cell r="A171">
            <v>3311400099</v>
          </cell>
          <cell r="C171" t="str">
            <v>US26P01005</v>
          </cell>
          <cell r="E171">
            <v>768.45</v>
          </cell>
          <cell r="F171">
            <v>730.2</v>
          </cell>
        </row>
        <row r="172">
          <cell r="A172">
            <v>3911100010</v>
          </cell>
          <cell r="C172" t="str">
            <v>US26P01005</v>
          </cell>
          <cell r="E172">
            <v>946.66</v>
          </cell>
          <cell r="F172">
            <v>1800</v>
          </cell>
        </row>
        <row r="173">
          <cell r="A173">
            <v>3911100012</v>
          </cell>
          <cell r="C173" t="str">
            <v>US26P01005</v>
          </cell>
          <cell r="E173">
            <v>2471.37</v>
          </cell>
          <cell r="F173">
            <v>4320</v>
          </cell>
        </row>
        <row r="174">
          <cell r="A174">
            <v>3911100015</v>
          </cell>
          <cell r="C174" t="str">
            <v>US26P01005</v>
          </cell>
          <cell r="E174">
            <v>1599.68</v>
          </cell>
          <cell r="F174">
            <v>1500</v>
          </cell>
        </row>
        <row r="175">
          <cell r="A175">
            <v>3911100022</v>
          </cell>
          <cell r="C175" t="str">
            <v>US26P01005</v>
          </cell>
          <cell r="E175">
            <v>686.27</v>
          </cell>
          <cell r="F175">
            <v>2000</v>
          </cell>
        </row>
        <row r="176">
          <cell r="A176">
            <v>3911100041</v>
          </cell>
          <cell r="C176" t="str">
            <v>US26P01005</v>
          </cell>
          <cell r="E176">
            <v>564.77</v>
          </cell>
          <cell r="F176">
            <v>600</v>
          </cell>
        </row>
        <row r="177">
          <cell r="A177">
            <v>3911200001</v>
          </cell>
          <cell r="C177" t="str">
            <v>US26P01005</v>
          </cell>
          <cell r="E177">
            <v>0</v>
          </cell>
          <cell r="F177">
            <v>1000</v>
          </cell>
        </row>
        <row r="178">
          <cell r="A178">
            <v>3911200007</v>
          </cell>
          <cell r="C178" t="str">
            <v>US26P01005</v>
          </cell>
          <cell r="E178">
            <v>0</v>
          </cell>
          <cell r="F178">
            <v>0</v>
          </cell>
        </row>
        <row r="179">
          <cell r="A179">
            <v>3921200003</v>
          </cell>
          <cell r="C179" t="str">
            <v>US26P01005</v>
          </cell>
          <cell r="E179">
            <v>1607.25</v>
          </cell>
          <cell r="F179">
            <v>2400</v>
          </cell>
        </row>
        <row r="180">
          <cell r="A180">
            <v>3921200006</v>
          </cell>
          <cell r="C180" t="str">
            <v>US26P01005</v>
          </cell>
          <cell r="E180">
            <v>41.59</v>
          </cell>
          <cell r="F180">
            <v>0</v>
          </cell>
        </row>
        <row r="181">
          <cell r="A181">
            <v>3921200010</v>
          </cell>
          <cell r="C181" t="str">
            <v>US26P01005</v>
          </cell>
          <cell r="E181">
            <v>39.54</v>
          </cell>
          <cell r="F181">
            <v>240</v>
          </cell>
        </row>
        <row r="182">
          <cell r="A182">
            <v>3921200014</v>
          </cell>
          <cell r="C182" t="str">
            <v>US26P01005</v>
          </cell>
          <cell r="E182">
            <v>2965.5</v>
          </cell>
          <cell r="F182">
            <v>0</v>
          </cell>
        </row>
        <row r="183">
          <cell r="A183">
            <v>3921200026</v>
          </cell>
          <cell r="C183" t="str">
            <v>US26P01005</v>
          </cell>
          <cell r="E183">
            <v>565.85</v>
          </cell>
          <cell r="F183">
            <v>0</v>
          </cell>
        </row>
        <row r="184">
          <cell r="A184">
            <v>3951200002</v>
          </cell>
          <cell r="C184" t="str">
            <v>US26P01005</v>
          </cell>
          <cell r="E184">
            <v>2499.52</v>
          </cell>
          <cell r="F184">
            <v>8400</v>
          </cell>
        </row>
        <row r="185">
          <cell r="A185">
            <v>3951200008</v>
          </cell>
          <cell r="C185" t="str">
            <v>US26P01005</v>
          </cell>
          <cell r="E185">
            <v>1561.52</v>
          </cell>
          <cell r="F185">
            <v>960</v>
          </cell>
        </row>
        <row r="186">
          <cell r="A186">
            <v>3991200001</v>
          </cell>
          <cell r="C186" t="str">
            <v>US26P01005</v>
          </cell>
          <cell r="E186">
            <v>0</v>
          </cell>
          <cell r="F186">
            <v>240</v>
          </cell>
        </row>
        <row r="187">
          <cell r="A187">
            <v>3991200012</v>
          </cell>
          <cell r="C187" t="str">
            <v>US26P01005</v>
          </cell>
          <cell r="E187">
            <v>9.24</v>
          </cell>
          <cell r="F187">
            <v>0</v>
          </cell>
        </row>
        <row r="188">
          <cell r="A188">
            <v>3991200015</v>
          </cell>
          <cell r="C188" t="str">
            <v>US26P01005</v>
          </cell>
          <cell r="E188">
            <v>1132.33</v>
          </cell>
          <cell r="F188">
            <v>600</v>
          </cell>
        </row>
        <row r="189">
          <cell r="A189">
            <v>3991200018</v>
          </cell>
          <cell r="C189" t="str">
            <v>US26P01005</v>
          </cell>
          <cell r="E189">
            <v>0</v>
          </cell>
          <cell r="F189">
            <v>300</v>
          </cell>
        </row>
        <row r="190">
          <cell r="A190">
            <v>3991200069</v>
          </cell>
          <cell r="C190" t="str">
            <v>US26P01005</v>
          </cell>
          <cell r="E190">
            <v>0</v>
          </cell>
          <cell r="F190">
            <v>300</v>
          </cell>
        </row>
        <row r="191">
          <cell r="A191">
            <v>3991200210</v>
          </cell>
          <cell r="C191" t="str">
            <v>US26P01005</v>
          </cell>
          <cell r="E191">
            <v>0</v>
          </cell>
          <cell r="F191">
            <v>26000</v>
          </cell>
        </row>
        <row r="192">
          <cell r="A192">
            <v>3991200211</v>
          </cell>
          <cell r="C192" t="str">
            <v>US26P01005</v>
          </cell>
          <cell r="E192">
            <v>64602</v>
          </cell>
          <cell r="F192">
            <v>0</v>
          </cell>
        </row>
        <row r="193">
          <cell r="A193">
            <v>9420000025</v>
          </cell>
          <cell r="C193" t="str">
            <v>US26P01005</v>
          </cell>
          <cell r="E193">
            <v>67501.95</v>
          </cell>
          <cell r="F193">
            <v>0</v>
          </cell>
        </row>
        <row r="194">
          <cell r="A194">
            <v>3201400002</v>
          </cell>
          <cell r="C194" t="str">
            <v>US26P01006</v>
          </cell>
          <cell r="E194">
            <v>2</v>
          </cell>
          <cell r="F194">
            <v>0</v>
          </cell>
        </row>
        <row r="195">
          <cell r="A195">
            <v>3921200003</v>
          </cell>
          <cell r="C195" t="str">
            <v>US26P01006</v>
          </cell>
          <cell r="E195">
            <v>49.2</v>
          </cell>
          <cell r="F195">
            <v>0</v>
          </cell>
        </row>
        <row r="196">
          <cell r="A196">
            <v>3921200010</v>
          </cell>
          <cell r="C196" t="str">
            <v>US26P01006</v>
          </cell>
          <cell r="E196">
            <v>6.42</v>
          </cell>
          <cell r="F196">
            <v>0</v>
          </cell>
        </row>
        <row r="197">
          <cell r="A197">
            <v>3951200002</v>
          </cell>
          <cell r="C197" t="str">
            <v>US26P01006</v>
          </cell>
          <cell r="E197">
            <v>80.5</v>
          </cell>
          <cell r="F197">
            <v>0</v>
          </cell>
        </row>
        <row r="198">
          <cell r="A198">
            <v>3991200012</v>
          </cell>
          <cell r="C198" t="str">
            <v>US26P01006</v>
          </cell>
          <cell r="E198">
            <v>15.62</v>
          </cell>
          <cell r="F198">
            <v>0</v>
          </cell>
        </row>
        <row r="199">
          <cell r="A199">
            <v>3111100000</v>
          </cell>
          <cell r="C199" t="str">
            <v>US26P01007</v>
          </cell>
          <cell r="E199">
            <v>0</v>
          </cell>
          <cell r="F199">
            <v>0</v>
          </cell>
        </row>
        <row r="200">
          <cell r="A200">
            <v>3111100900</v>
          </cell>
          <cell r="C200" t="str">
            <v>US26P01007</v>
          </cell>
          <cell r="E200">
            <v>0</v>
          </cell>
          <cell r="F200">
            <v>0</v>
          </cell>
        </row>
        <row r="201">
          <cell r="A201">
            <v>3131100007</v>
          </cell>
          <cell r="C201" t="str">
            <v>US26P01007</v>
          </cell>
          <cell r="E201">
            <v>0</v>
          </cell>
          <cell r="F201">
            <v>100</v>
          </cell>
        </row>
        <row r="202">
          <cell r="A202">
            <v>3201300001</v>
          </cell>
          <cell r="C202" t="str">
            <v>US26P01007</v>
          </cell>
          <cell r="E202">
            <v>2398.75</v>
          </cell>
          <cell r="F202">
            <v>27200</v>
          </cell>
        </row>
        <row r="203">
          <cell r="A203">
            <v>3201400002</v>
          </cell>
          <cell r="C203" t="str">
            <v>US26P01007</v>
          </cell>
          <cell r="E203">
            <v>543.08000000000004</v>
          </cell>
          <cell r="F203">
            <v>1000</v>
          </cell>
        </row>
        <row r="204">
          <cell r="A204">
            <v>3201400051</v>
          </cell>
          <cell r="C204" t="str">
            <v>US26P01007</v>
          </cell>
          <cell r="E204">
            <v>0</v>
          </cell>
          <cell r="F204">
            <v>4000</v>
          </cell>
        </row>
        <row r="205">
          <cell r="A205">
            <v>3201400056</v>
          </cell>
          <cell r="C205" t="str">
            <v>US26P01007</v>
          </cell>
          <cell r="E205">
            <v>0</v>
          </cell>
          <cell r="F205">
            <v>4000</v>
          </cell>
        </row>
        <row r="206">
          <cell r="A206">
            <v>3911100010</v>
          </cell>
          <cell r="C206" t="str">
            <v>US26P01007</v>
          </cell>
          <cell r="E206">
            <v>81.59</v>
          </cell>
          <cell r="F206">
            <v>360</v>
          </cell>
        </row>
        <row r="207">
          <cell r="A207">
            <v>3911100012</v>
          </cell>
          <cell r="C207" t="str">
            <v>US26P01007</v>
          </cell>
          <cell r="E207">
            <v>609.88</v>
          </cell>
          <cell r="F207">
            <v>750</v>
          </cell>
        </row>
        <row r="208">
          <cell r="A208">
            <v>3911100015</v>
          </cell>
          <cell r="C208" t="str">
            <v>US26P01007</v>
          </cell>
          <cell r="E208">
            <v>0</v>
          </cell>
          <cell r="F208">
            <v>200</v>
          </cell>
        </row>
        <row r="209">
          <cell r="A209">
            <v>3911100022</v>
          </cell>
          <cell r="C209" t="str">
            <v>US26P01007</v>
          </cell>
          <cell r="E209">
            <v>0</v>
          </cell>
          <cell r="F209">
            <v>0</v>
          </cell>
        </row>
        <row r="210">
          <cell r="A210">
            <v>3911100041</v>
          </cell>
          <cell r="C210" t="str">
            <v>US26P01007</v>
          </cell>
          <cell r="E210">
            <v>33.46</v>
          </cell>
          <cell r="F210">
            <v>0</v>
          </cell>
        </row>
        <row r="211">
          <cell r="A211">
            <v>3911200000</v>
          </cell>
          <cell r="C211" t="str">
            <v>US26P01007</v>
          </cell>
          <cell r="E211">
            <v>24.25</v>
          </cell>
          <cell r="F211">
            <v>0</v>
          </cell>
        </row>
        <row r="212">
          <cell r="A212">
            <v>3911200001</v>
          </cell>
          <cell r="C212" t="str">
            <v>US26P01007</v>
          </cell>
          <cell r="E212">
            <v>0</v>
          </cell>
          <cell r="F212">
            <v>150</v>
          </cell>
        </row>
        <row r="213">
          <cell r="A213">
            <v>3911200007</v>
          </cell>
          <cell r="C213" t="str">
            <v>US26P01007</v>
          </cell>
          <cell r="E213">
            <v>0</v>
          </cell>
          <cell r="F213">
            <v>400</v>
          </cell>
        </row>
        <row r="214">
          <cell r="A214">
            <v>3921200001</v>
          </cell>
          <cell r="C214" t="str">
            <v>US26P01007</v>
          </cell>
          <cell r="E214">
            <v>0</v>
          </cell>
          <cell r="F214">
            <v>800</v>
          </cell>
        </row>
        <row r="215">
          <cell r="A215">
            <v>3921200003</v>
          </cell>
          <cell r="C215" t="str">
            <v>US26P01007</v>
          </cell>
          <cell r="E215">
            <v>668.13</v>
          </cell>
          <cell r="F215">
            <v>2400</v>
          </cell>
        </row>
        <row r="216">
          <cell r="A216">
            <v>3921200006</v>
          </cell>
          <cell r="C216" t="str">
            <v>US26P01007</v>
          </cell>
          <cell r="E216">
            <v>856.99</v>
          </cell>
          <cell r="F216">
            <v>0</v>
          </cell>
        </row>
        <row r="217">
          <cell r="A217">
            <v>3921200010</v>
          </cell>
          <cell r="C217" t="str">
            <v>US26P01007</v>
          </cell>
          <cell r="E217">
            <v>67.790000000000006</v>
          </cell>
          <cell r="F217">
            <v>0</v>
          </cell>
        </row>
        <row r="218">
          <cell r="A218">
            <v>3921200050</v>
          </cell>
          <cell r="C218" t="str">
            <v>US26P01007</v>
          </cell>
          <cell r="E218">
            <v>19.559999999999999</v>
          </cell>
          <cell r="F218">
            <v>500</v>
          </cell>
        </row>
        <row r="219">
          <cell r="A219">
            <v>3921200100</v>
          </cell>
          <cell r="C219" t="str">
            <v>US26P01007</v>
          </cell>
          <cell r="E219">
            <v>9.9600000000000009</v>
          </cell>
          <cell r="F219">
            <v>3000</v>
          </cell>
        </row>
        <row r="220">
          <cell r="A220">
            <v>3951100002</v>
          </cell>
          <cell r="C220" t="str">
            <v>US26P01007</v>
          </cell>
          <cell r="E220">
            <v>3000</v>
          </cell>
          <cell r="F220">
            <v>4000</v>
          </cell>
        </row>
        <row r="221">
          <cell r="A221">
            <v>3951200002</v>
          </cell>
          <cell r="C221" t="str">
            <v>US26P01007</v>
          </cell>
          <cell r="E221">
            <v>4688.67</v>
          </cell>
          <cell r="F221">
            <v>8400</v>
          </cell>
        </row>
        <row r="222">
          <cell r="A222">
            <v>3951200008</v>
          </cell>
          <cell r="C222" t="str">
            <v>US26P01007</v>
          </cell>
          <cell r="E222">
            <v>281.98</v>
          </cell>
          <cell r="F222">
            <v>960</v>
          </cell>
        </row>
        <row r="223">
          <cell r="A223">
            <v>3991200012</v>
          </cell>
          <cell r="C223" t="str">
            <v>US26P01007</v>
          </cell>
          <cell r="E223">
            <v>0</v>
          </cell>
          <cell r="F223">
            <v>500</v>
          </cell>
        </row>
        <row r="224">
          <cell r="A224">
            <v>3991200015</v>
          </cell>
          <cell r="C224" t="str">
            <v>US26P01007</v>
          </cell>
          <cell r="E224">
            <v>0</v>
          </cell>
          <cell r="F224">
            <v>480</v>
          </cell>
        </row>
        <row r="225">
          <cell r="A225">
            <v>3991200018</v>
          </cell>
          <cell r="C225" t="str">
            <v>US26P01007</v>
          </cell>
          <cell r="E225">
            <v>0</v>
          </cell>
          <cell r="F225">
            <v>0</v>
          </cell>
        </row>
        <row r="226">
          <cell r="A226">
            <v>3991200099</v>
          </cell>
          <cell r="C226" t="str">
            <v>US26P01007</v>
          </cell>
          <cell r="E226">
            <v>65</v>
          </cell>
          <cell r="F226">
            <v>0</v>
          </cell>
        </row>
        <row r="227">
          <cell r="A227">
            <v>3991200101</v>
          </cell>
          <cell r="C227" t="str">
            <v>US26P01007</v>
          </cell>
          <cell r="E227">
            <v>0</v>
          </cell>
          <cell r="F227">
            <v>0</v>
          </cell>
        </row>
        <row r="228">
          <cell r="A228">
            <v>3991200211</v>
          </cell>
          <cell r="C228" t="str">
            <v>US26P01007</v>
          </cell>
          <cell r="E228">
            <v>0</v>
          </cell>
          <cell r="F228">
            <v>20000</v>
          </cell>
        </row>
        <row r="229">
          <cell r="A229">
            <v>9420000025</v>
          </cell>
          <cell r="C229" t="str">
            <v>US26P01007</v>
          </cell>
          <cell r="E229">
            <v>169.94</v>
          </cell>
          <cell r="F229">
            <v>0</v>
          </cell>
        </row>
        <row r="230">
          <cell r="A230">
            <v>3111100000</v>
          </cell>
          <cell r="C230" t="str">
            <v>US26P01008</v>
          </cell>
          <cell r="E230">
            <v>0.01</v>
          </cell>
          <cell r="F230">
            <v>0</v>
          </cell>
        </row>
        <row r="231">
          <cell r="A231">
            <v>3111100900</v>
          </cell>
          <cell r="C231" t="str">
            <v>US26P01008</v>
          </cell>
          <cell r="E231">
            <v>0</v>
          </cell>
          <cell r="F231">
            <v>0</v>
          </cell>
        </row>
        <row r="232">
          <cell r="A232">
            <v>3131100007</v>
          </cell>
          <cell r="C232" t="str">
            <v>US26P01008</v>
          </cell>
          <cell r="E232">
            <v>0</v>
          </cell>
          <cell r="F232">
            <v>250</v>
          </cell>
        </row>
        <row r="233">
          <cell r="A233">
            <v>3131100025</v>
          </cell>
          <cell r="C233" t="str">
            <v>US26P01008</v>
          </cell>
          <cell r="E233">
            <v>154.28</v>
          </cell>
          <cell r="F233">
            <v>0</v>
          </cell>
        </row>
        <row r="234">
          <cell r="A234">
            <v>3201300001</v>
          </cell>
          <cell r="C234" t="str">
            <v>US26P01008</v>
          </cell>
          <cell r="E234">
            <v>13333.71</v>
          </cell>
          <cell r="F234">
            <v>41679</v>
          </cell>
        </row>
        <row r="235">
          <cell r="A235">
            <v>3201300002</v>
          </cell>
          <cell r="C235" t="str">
            <v>US26P01008</v>
          </cell>
          <cell r="E235">
            <v>72</v>
          </cell>
          <cell r="F235">
            <v>0</v>
          </cell>
        </row>
        <row r="236">
          <cell r="A236">
            <v>3201400002</v>
          </cell>
          <cell r="C236" t="str">
            <v>US26P01008</v>
          </cell>
          <cell r="E236">
            <v>171.18</v>
          </cell>
          <cell r="F236">
            <v>3000</v>
          </cell>
        </row>
        <row r="237">
          <cell r="A237">
            <v>3201400051</v>
          </cell>
          <cell r="C237" t="str">
            <v>US26P01008</v>
          </cell>
          <cell r="E237">
            <v>4032.66</v>
          </cell>
          <cell r="F237">
            <v>5000</v>
          </cell>
        </row>
        <row r="238">
          <cell r="A238">
            <v>3201400056</v>
          </cell>
          <cell r="C238" t="str">
            <v>US26P01008</v>
          </cell>
          <cell r="E238">
            <v>2532.79</v>
          </cell>
          <cell r="F238">
            <v>7000</v>
          </cell>
        </row>
        <row r="239">
          <cell r="A239">
            <v>3201400057</v>
          </cell>
          <cell r="C239" t="str">
            <v>US26P01008</v>
          </cell>
          <cell r="E239">
            <v>0</v>
          </cell>
          <cell r="F239">
            <v>0</v>
          </cell>
        </row>
        <row r="240">
          <cell r="A240">
            <v>3311400099</v>
          </cell>
          <cell r="C240" t="str">
            <v>US26P01008</v>
          </cell>
          <cell r="E240">
            <v>0</v>
          </cell>
          <cell r="F240">
            <v>0</v>
          </cell>
        </row>
        <row r="241">
          <cell r="A241">
            <v>3911100010</v>
          </cell>
          <cell r="C241" t="str">
            <v>US26P01008</v>
          </cell>
          <cell r="E241">
            <v>30.52</v>
          </cell>
          <cell r="F241">
            <v>1200</v>
          </cell>
        </row>
        <row r="242">
          <cell r="A242">
            <v>3911100012</v>
          </cell>
          <cell r="C242" t="str">
            <v>US26P01008</v>
          </cell>
          <cell r="E242">
            <v>318.07</v>
          </cell>
          <cell r="F242">
            <v>2550</v>
          </cell>
        </row>
        <row r="243">
          <cell r="A243">
            <v>3911100015</v>
          </cell>
          <cell r="C243" t="str">
            <v>US26P01008</v>
          </cell>
          <cell r="E243">
            <v>0</v>
          </cell>
          <cell r="F243">
            <v>500</v>
          </cell>
        </row>
        <row r="244">
          <cell r="A244">
            <v>3911100022</v>
          </cell>
          <cell r="C244" t="str">
            <v>US26P01008</v>
          </cell>
          <cell r="E244">
            <v>0</v>
          </cell>
          <cell r="F244">
            <v>2000</v>
          </cell>
        </row>
        <row r="245">
          <cell r="A245">
            <v>3911100041</v>
          </cell>
          <cell r="C245" t="str">
            <v>US26P01008</v>
          </cell>
          <cell r="E245">
            <v>220.52</v>
          </cell>
          <cell r="F245">
            <v>0</v>
          </cell>
        </row>
        <row r="246">
          <cell r="A246">
            <v>3911200001</v>
          </cell>
          <cell r="C246" t="str">
            <v>US26P01008</v>
          </cell>
          <cell r="E246">
            <v>153.75</v>
          </cell>
          <cell r="F246">
            <v>500</v>
          </cell>
        </row>
        <row r="247">
          <cell r="A247">
            <v>3911200007</v>
          </cell>
          <cell r="C247" t="str">
            <v>US26P01008</v>
          </cell>
          <cell r="E247">
            <v>5.99</v>
          </cell>
          <cell r="F247">
            <v>500</v>
          </cell>
        </row>
        <row r="248">
          <cell r="A248">
            <v>3921200001</v>
          </cell>
          <cell r="C248" t="str">
            <v>US26P01008</v>
          </cell>
          <cell r="E248">
            <v>0</v>
          </cell>
          <cell r="F248">
            <v>400</v>
          </cell>
        </row>
        <row r="249">
          <cell r="A249">
            <v>3921200003</v>
          </cell>
          <cell r="C249" t="str">
            <v>US26P01008</v>
          </cell>
          <cell r="E249">
            <v>1121.58</v>
          </cell>
          <cell r="F249">
            <v>3600</v>
          </cell>
        </row>
        <row r="250">
          <cell r="A250">
            <v>3921200006</v>
          </cell>
          <cell r="C250" t="str">
            <v>US26P01008</v>
          </cell>
          <cell r="E250">
            <v>155.79</v>
          </cell>
          <cell r="F250">
            <v>0</v>
          </cell>
        </row>
        <row r="251">
          <cell r="A251">
            <v>3921200010</v>
          </cell>
          <cell r="C251" t="str">
            <v>US26P01008</v>
          </cell>
          <cell r="E251">
            <v>669.66</v>
          </cell>
          <cell r="F251">
            <v>0</v>
          </cell>
        </row>
        <row r="252">
          <cell r="A252">
            <v>3921200050</v>
          </cell>
          <cell r="C252" t="str">
            <v>US26P01008</v>
          </cell>
          <cell r="E252">
            <v>193.58</v>
          </cell>
          <cell r="F252">
            <v>700</v>
          </cell>
        </row>
        <row r="253">
          <cell r="A253">
            <v>3921200100</v>
          </cell>
          <cell r="C253" t="str">
            <v>US26P01008</v>
          </cell>
          <cell r="E253">
            <v>2229.31</v>
          </cell>
          <cell r="F253">
            <v>5000</v>
          </cell>
        </row>
        <row r="254">
          <cell r="A254">
            <v>3941100002</v>
          </cell>
          <cell r="C254" t="str">
            <v>US26P01008</v>
          </cell>
          <cell r="E254">
            <v>116</v>
          </cell>
          <cell r="F254">
            <v>0</v>
          </cell>
        </row>
        <row r="255">
          <cell r="A255">
            <v>3951100002</v>
          </cell>
          <cell r="C255" t="str">
            <v>US26P01008</v>
          </cell>
          <cell r="E255">
            <v>0</v>
          </cell>
          <cell r="F255">
            <v>4000</v>
          </cell>
        </row>
        <row r="256">
          <cell r="A256">
            <v>3951200002</v>
          </cell>
          <cell r="C256" t="str">
            <v>US26P01008</v>
          </cell>
          <cell r="E256">
            <v>4719.42</v>
          </cell>
          <cell r="F256">
            <v>16800</v>
          </cell>
        </row>
        <row r="257">
          <cell r="A257">
            <v>3951200008</v>
          </cell>
          <cell r="C257" t="str">
            <v>US26P01008</v>
          </cell>
          <cell r="E257">
            <v>281.98</v>
          </cell>
          <cell r="F257">
            <v>2004</v>
          </cell>
        </row>
        <row r="258">
          <cell r="A258">
            <v>3981100067</v>
          </cell>
          <cell r="C258" t="str">
            <v>US26P01008</v>
          </cell>
          <cell r="E258">
            <v>0</v>
          </cell>
          <cell r="F258">
            <v>0</v>
          </cell>
        </row>
        <row r="259">
          <cell r="A259">
            <v>3991200012</v>
          </cell>
          <cell r="C259" t="str">
            <v>US26P01008</v>
          </cell>
          <cell r="E259">
            <v>527</v>
          </cell>
          <cell r="F259">
            <v>1500</v>
          </cell>
        </row>
        <row r="260">
          <cell r="A260">
            <v>3991200015</v>
          </cell>
          <cell r="C260" t="str">
            <v>US26P01008</v>
          </cell>
          <cell r="E260">
            <v>162.56</v>
          </cell>
          <cell r="F260">
            <v>960</v>
          </cell>
        </row>
        <row r="261">
          <cell r="A261">
            <v>3991200018</v>
          </cell>
          <cell r="C261" t="str">
            <v>US26P01008</v>
          </cell>
          <cell r="E261">
            <v>0</v>
          </cell>
          <cell r="F261">
            <v>300</v>
          </cell>
        </row>
        <row r="262">
          <cell r="A262">
            <v>3991200023</v>
          </cell>
          <cell r="C262" t="str">
            <v>US26P01008</v>
          </cell>
          <cell r="E262">
            <v>10</v>
          </cell>
          <cell r="F262">
            <v>0</v>
          </cell>
        </row>
        <row r="263">
          <cell r="A263">
            <v>3991200099</v>
          </cell>
          <cell r="C263" t="str">
            <v>US26P01008</v>
          </cell>
          <cell r="E263">
            <v>80.739999999999995</v>
          </cell>
          <cell r="F263">
            <v>0</v>
          </cell>
        </row>
        <row r="264">
          <cell r="A264">
            <v>3991200101</v>
          </cell>
          <cell r="C264" t="str">
            <v>US26P01008</v>
          </cell>
          <cell r="E264">
            <v>0</v>
          </cell>
          <cell r="F264">
            <v>-2000</v>
          </cell>
        </row>
        <row r="265">
          <cell r="A265">
            <v>3991200211</v>
          </cell>
          <cell r="C265" t="str">
            <v>US26P01008</v>
          </cell>
          <cell r="E265">
            <v>0</v>
          </cell>
          <cell r="F265">
            <v>38400</v>
          </cell>
        </row>
        <row r="266">
          <cell r="A266">
            <v>9420000025</v>
          </cell>
          <cell r="C266" t="str">
            <v>US26P01008</v>
          </cell>
          <cell r="E266">
            <v>217.94</v>
          </cell>
          <cell r="F266">
            <v>0</v>
          </cell>
        </row>
        <row r="267">
          <cell r="A267">
            <v>3111100000</v>
          </cell>
          <cell r="C267" t="str">
            <v>US81P01001</v>
          </cell>
          <cell r="E267">
            <v>103249.11</v>
          </cell>
          <cell r="F267">
            <v>192060</v>
          </cell>
        </row>
        <row r="268">
          <cell r="A268">
            <v>3111100020</v>
          </cell>
          <cell r="C268" t="str">
            <v>US81P01001</v>
          </cell>
          <cell r="E268">
            <v>0</v>
          </cell>
          <cell r="F268">
            <v>0</v>
          </cell>
        </row>
        <row r="269">
          <cell r="A269">
            <v>3121300013</v>
          </cell>
          <cell r="C269" t="str">
            <v>US81P01001</v>
          </cell>
          <cell r="E269">
            <v>0</v>
          </cell>
          <cell r="F269">
            <v>73980</v>
          </cell>
        </row>
        <row r="270">
          <cell r="A270">
            <v>3131100031</v>
          </cell>
          <cell r="C270" t="str">
            <v>US81P01001</v>
          </cell>
          <cell r="E270">
            <v>0</v>
          </cell>
          <cell r="F270">
            <v>3000</v>
          </cell>
        </row>
        <row r="271">
          <cell r="A271">
            <v>3201300007</v>
          </cell>
          <cell r="C271" t="str">
            <v>US81P01001</v>
          </cell>
          <cell r="E271">
            <v>813</v>
          </cell>
          <cell r="F271">
            <v>0</v>
          </cell>
        </row>
        <row r="272">
          <cell r="A272">
            <v>3201400002</v>
          </cell>
          <cell r="C272" t="str">
            <v>US81P01001</v>
          </cell>
          <cell r="E272">
            <v>543.33000000000004</v>
          </cell>
          <cell r="F272">
            <v>0</v>
          </cell>
        </row>
        <row r="273">
          <cell r="A273">
            <v>3911100010</v>
          </cell>
          <cell r="C273" t="str">
            <v>US81P01001</v>
          </cell>
          <cell r="E273">
            <v>1493.5</v>
          </cell>
          <cell r="F273">
            <v>0</v>
          </cell>
        </row>
        <row r="274">
          <cell r="A274">
            <v>3911100012</v>
          </cell>
          <cell r="C274" t="str">
            <v>US81P01001</v>
          </cell>
          <cell r="E274">
            <v>4240.7299999999996</v>
          </cell>
          <cell r="F274">
            <v>0</v>
          </cell>
        </row>
        <row r="275">
          <cell r="A275">
            <v>3911100015</v>
          </cell>
          <cell r="C275" t="str">
            <v>US81P01001</v>
          </cell>
          <cell r="E275">
            <v>3593.51</v>
          </cell>
          <cell r="F275">
            <v>24996</v>
          </cell>
        </row>
        <row r="276">
          <cell r="A276">
            <v>3911100022</v>
          </cell>
          <cell r="C276" t="str">
            <v>US81P01001</v>
          </cell>
          <cell r="E276">
            <v>1883.39</v>
          </cell>
          <cell r="F276">
            <v>0</v>
          </cell>
        </row>
        <row r="277">
          <cell r="A277">
            <v>3911100041</v>
          </cell>
          <cell r="C277" t="str">
            <v>US81P01001</v>
          </cell>
          <cell r="E277">
            <v>256.44</v>
          </cell>
          <cell r="F277">
            <v>0</v>
          </cell>
        </row>
        <row r="278">
          <cell r="A278">
            <v>3921200003</v>
          </cell>
          <cell r="C278" t="str">
            <v>US81P01001</v>
          </cell>
          <cell r="E278">
            <v>2934.28</v>
          </cell>
          <cell r="F278">
            <v>0</v>
          </cell>
        </row>
        <row r="279">
          <cell r="A279">
            <v>3921200006</v>
          </cell>
          <cell r="C279" t="str">
            <v>US81P01001</v>
          </cell>
          <cell r="E279">
            <v>206.9</v>
          </cell>
          <cell r="F279">
            <v>0</v>
          </cell>
        </row>
        <row r="280">
          <cell r="A280">
            <v>3921200010</v>
          </cell>
          <cell r="C280" t="str">
            <v>US81P01001</v>
          </cell>
          <cell r="E280">
            <v>121.41</v>
          </cell>
          <cell r="F280">
            <v>0</v>
          </cell>
        </row>
        <row r="281">
          <cell r="A281">
            <v>3921200050</v>
          </cell>
          <cell r="C281" t="str">
            <v>US81P01001</v>
          </cell>
          <cell r="E281">
            <v>110.58</v>
          </cell>
          <cell r="F281">
            <v>0</v>
          </cell>
        </row>
        <row r="282">
          <cell r="A282">
            <v>3921200100</v>
          </cell>
          <cell r="C282" t="str">
            <v>US81P01001</v>
          </cell>
          <cell r="E282">
            <v>6592.49</v>
          </cell>
          <cell r="F282">
            <v>0</v>
          </cell>
        </row>
        <row r="283">
          <cell r="A283">
            <v>3951100002</v>
          </cell>
          <cell r="C283" t="str">
            <v>US81P01001</v>
          </cell>
          <cell r="E283">
            <v>1178.9100000000001</v>
          </cell>
          <cell r="F283">
            <v>0</v>
          </cell>
        </row>
        <row r="284">
          <cell r="A284">
            <v>3951200008</v>
          </cell>
          <cell r="C284" t="str">
            <v>US81P01001</v>
          </cell>
          <cell r="E284">
            <v>1232.22</v>
          </cell>
          <cell r="F284">
            <v>0</v>
          </cell>
        </row>
        <row r="285">
          <cell r="A285">
            <v>3991200001</v>
          </cell>
          <cell r="C285" t="str">
            <v>US81P01001</v>
          </cell>
          <cell r="E285">
            <v>58.08</v>
          </cell>
          <cell r="F285">
            <v>0</v>
          </cell>
        </row>
        <row r="286">
          <cell r="A286">
            <v>3991200012</v>
          </cell>
          <cell r="C286" t="str">
            <v>US81P01001</v>
          </cell>
          <cell r="E286">
            <v>132.69999999999999</v>
          </cell>
          <cell r="F286">
            <v>0</v>
          </cell>
        </row>
        <row r="287">
          <cell r="A287">
            <v>3991200015</v>
          </cell>
          <cell r="C287" t="str">
            <v>US81P01001</v>
          </cell>
          <cell r="E287">
            <v>1538.84</v>
          </cell>
          <cell r="F287">
            <v>0</v>
          </cell>
        </row>
        <row r="288">
          <cell r="A288">
            <v>3991200099</v>
          </cell>
          <cell r="C288" t="str">
            <v>US81P01001</v>
          </cell>
          <cell r="E288">
            <v>0</v>
          </cell>
          <cell r="F288">
            <v>-32004</v>
          </cell>
        </row>
        <row r="289">
          <cell r="A289">
            <v>9420000025</v>
          </cell>
          <cell r="C289" t="str">
            <v>US81P01001</v>
          </cell>
          <cell r="E289">
            <v>31458.04</v>
          </cell>
          <cell r="F289">
            <v>0</v>
          </cell>
        </row>
        <row r="290">
          <cell r="A290">
            <v>3201300007</v>
          </cell>
          <cell r="C290" t="str">
            <v>US81P01100</v>
          </cell>
          <cell r="E290">
            <v>1665.3</v>
          </cell>
          <cell r="F290">
            <v>0</v>
          </cell>
        </row>
        <row r="291">
          <cell r="A291">
            <v>3911200001</v>
          </cell>
          <cell r="C291" t="str">
            <v>US81P01100</v>
          </cell>
          <cell r="E291">
            <v>960.26</v>
          </cell>
          <cell r="F291">
            <v>0</v>
          </cell>
        </row>
        <row r="292">
          <cell r="A292">
            <v>3991200012</v>
          </cell>
          <cell r="C292" t="str">
            <v>US81P01100</v>
          </cell>
          <cell r="E292">
            <v>38.26</v>
          </cell>
          <cell r="F292">
            <v>0</v>
          </cell>
        </row>
        <row r="293">
          <cell r="A293">
            <v>3111100000</v>
          </cell>
          <cell r="C293" t="str">
            <v>US81P01110</v>
          </cell>
          <cell r="E293">
            <v>128457</v>
          </cell>
          <cell r="F293">
            <v>230132.28</v>
          </cell>
        </row>
        <row r="294">
          <cell r="A294">
            <v>3111100020</v>
          </cell>
          <cell r="C294" t="str">
            <v>US81P01110</v>
          </cell>
          <cell r="E294">
            <v>0</v>
          </cell>
          <cell r="F294">
            <v>0</v>
          </cell>
        </row>
        <row r="295">
          <cell r="A295">
            <v>3121300013</v>
          </cell>
          <cell r="C295" t="str">
            <v>US81P01110</v>
          </cell>
          <cell r="E295">
            <v>0</v>
          </cell>
          <cell r="F295">
            <v>104989.44</v>
          </cell>
        </row>
        <row r="296">
          <cell r="A296">
            <v>3131100005</v>
          </cell>
          <cell r="C296" t="str">
            <v>US81P01110</v>
          </cell>
          <cell r="E296">
            <v>0</v>
          </cell>
          <cell r="F296">
            <v>0</v>
          </cell>
        </row>
        <row r="297">
          <cell r="A297">
            <v>3131100006</v>
          </cell>
          <cell r="C297" t="str">
            <v>US81P01110</v>
          </cell>
          <cell r="E297">
            <v>39012.449999999997</v>
          </cell>
          <cell r="F297">
            <v>0</v>
          </cell>
        </row>
        <row r="298">
          <cell r="A298">
            <v>3131100007</v>
          </cell>
          <cell r="C298" t="str">
            <v>US81P01110</v>
          </cell>
          <cell r="E298">
            <v>0</v>
          </cell>
          <cell r="F298">
            <v>3999.96</v>
          </cell>
        </row>
        <row r="299">
          <cell r="A299">
            <v>3131100031</v>
          </cell>
          <cell r="C299" t="str">
            <v>US81P01110</v>
          </cell>
          <cell r="E299">
            <v>3062.14</v>
          </cell>
          <cell r="F299">
            <v>0</v>
          </cell>
        </row>
        <row r="300">
          <cell r="A300">
            <v>3201300002</v>
          </cell>
          <cell r="C300" t="str">
            <v>US81P01110</v>
          </cell>
          <cell r="E300">
            <v>1233.5</v>
          </cell>
          <cell r="F300">
            <v>0</v>
          </cell>
        </row>
        <row r="301">
          <cell r="A301">
            <v>3911100010</v>
          </cell>
          <cell r="C301" t="str">
            <v>US81P01110</v>
          </cell>
          <cell r="E301">
            <v>87.46</v>
          </cell>
          <cell r="F301">
            <v>0</v>
          </cell>
        </row>
        <row r="302">
          <cell r="A302">
            <v>3911100012</v>
          </cell>
          <cell r="C302" t="str">
            <v>US81P01110</v>
          </cell>
          <cell r="E302">
            <v>662.64</v>
          </cell>
          <cell r="F302">
            <v>0</v>
          </cell>
        </row>
        <row r="303">
          <cell r="A303">
            <v>3911100015</v>
          </cell>
          <cell r="C303" t="str">
            <v>US81P01110</v>
          </cell>
          <cell r="E303">
            <v>6</v>
          </cell>
          <cell r="F303">
            <v>0</v>
          </cell>
        </row>
        <row r="304">
          <cell r="A304">
            <v>3911100041</v>
          </cell>
          <cell r="C304" t="str">
            <v>US81P01110</v>
          </cell>
          <cell r="E304">
            <v>1033.3</v>
          </cell>
          <cell r="F304">
            <v>9999.9599999999991</v>
          </cell>
        </row>
        <row r="305">
          <cell r="A305">
            <v>3911200001</v>
          </cell>
          <cell r="C305" t="str">
            <v>US81P01110</v>
          </cell>
          <cell r="E305">
            <v>187.79</v>
          </cell>
          <cell r="F305">
            <v>0</v>
          </cell>
        </row>
        <row r="306">
          <cell r="A306">
            <v>3921200003</v>
          </cell>
          <cell r="C306" t="str">
            <v>US81P01110</v>
          </cell>
          <cell r="E306">
            <v>38.64</v>
          </cell>
          <cell r="F306">
            <v>0</v>
          </cell>
        </row>
        <row r="307">
          <cell r="A307">
            <v>3921200010</v>
          </cell>
          <cell r="C307" t="str">
            <v>US81P01110</v>
          </cell>
          <cell r="E307">
            <v>616.95000000000005</v>
          </cell>
          <cell r="F307">
            <v>0</v>
          </cell>
        </row>
        <row r="308">
          <cell r="A308">
            <v>3951200008</v>
          </cell>
          <cell r="C308" t="str">
            <v>US81P01110</v>
          </cell>
          <cell r="E308">
            <v>935.53</v>
          </cell>
          <cell r="F308">
            <v>0</v>
          </cell>
        </row>
        <row r="309">
          <cell r="A309">
            <v>3991200012</v>
          </cell>
          <cell r="C309" t="str">
            <v>US81P01110</v>
          </cell>
          <cell r="E309">
            <v>17.71</v>
          </cell>
          <cell r="F309">
            <v>0</v>
          </cell>
        </row>
        <row r="310">
          <cell r="A310">
            <v>3991200015</v>
          </cell>
          <cell r="C310" t="str">
            <v>US81P01110</v>
          </cell>
          <cell r="E310">
            <v>217.37</v>
          </cell>
          <cell r="F310">
            <v>6000</v>
          </cell>
        </row>
        <row r="311">
          <cell r="A311">
            <v>3991200099</v>
          </cell>
          <cell r="C311" t="str">
            <v>US81P01110</v>
          </cell>
          <cell r="E311">
            <v>27.94</v>
          </cell>
          <cell r="F311">
            <v>0</v>
          </cell>
        </row>
        <row r="312">
          <cell r="A312">
            <v>9420000025</v>
          </cell>
          <cell r="C312" t="str">
            <v>US81P01110</v>
          </cell>
          <cell r="E312">
            <v>38563.32</v>
          </cell>
          <cell r="F312">
            <v>0</v>
          </cell>
        </row>
        <row r="313">
          <cell r="A313">
            <v>3111100000</v>
          </cell>
          <cell r="C313" t="str">
            <v>US81P01130</v>
          </cell>
          <cell r="E313">
            <v>67676.98</v>
          </cell>
          <cell r="F313">
            <v>72464.52</v>
          </cell>
        </row>
        <row r="314">
          <cell r="A314">
            <v>3121300013</v>
          </cell>
          <cell r="C314" t="str">
            <v>US81P01130</v>
          </cell>
          <cell r="E314">
            <v>0</v>
          </cell>
          <cell r="F314">
            <v>104989.44</v>
          </cell>
        </row>
        <row r="315">
          <cell r="A315">
            <v>3131100007</v>
          </cell>
          <cell r="C315" t="str">
            <v>US81P01130</v>
          </cell>
          <cell r="E315">
            <v>0</v>
          </cell>
          <cell r="F315">
            <v>2000.04</v>
          </cell>
        </row>
        <row r="316">
          <cell r="A316">
            <v>3201300001</v>
          </cell>
          <cell r="C316" t="str">
            <v>US81P01130</v>
          </cell>
          <cell r="E316">
            <v>18412.740000000002</v>
          </cell>
          <cell r="F316">
            <v>0</v>
          </cell>
        </row>
        <row r="317">
          <cell r="A317">
            <v>3911100010</v>
          </cell>
          <cell r="C317" t="str">
            <v>US81P01130</v>
          </cell>
          <cell r="E317">
            <v>153.91</v>
          </cell>
          <cell r="F317">
            <v>0</v>
          </cell>
        </row>
        <row r="318">
          <cell r="A318">
            <v>3911100012</v>
          </cell>
          <cell r="C318" t="str">
            <v>US81P01130</v>
          </cell>
          <cell r="E318">
            <v>544.67999999999995</v>
          </cell>
          <cell r="F318">
            <v>0</v>
          </cell>
        </row>
        <row r="319">
          <cell r="A319">
            <v>3911100015</v>
          </cell>
          <cell r="C319" t="str">
            <v>US81P01130</v>
          </cell>
          <cell r="E319">
            <v>578.72</v>
          </cell>
          <cell r="F319">
            <v>0</v>
          </cell>
        </row>
        <row r="320">
          <cell r="A320">
            <v>3911100041</v>
          </cell>
          <cell r="C320" t="str">
            <v>US81P01130</v>
          </cell>
          <cell r="E320">
            <v>674.63</v>
          </cell>
          <cell r="F320">
            <v>5000.04</v>
          </cell>
        </row>
        <row r="321">
          <cell r="A321">
            <v>3911200001</v>
          </cell>
          <cell r="C321" t="str">
            <v>US81P01130</v>
          </cell>
          <cell r="E321">
            <v>305.18</v>
          </cell>
          <cell r="F321">
            <v>0</v>
          </cell>
        </row>
        <row r="322">
          <cell r="A322">
            <v>3921200010</v>
          </cell>
          <cell r="C322" t="str">
            <v>US81P01130</v>
          </cell>
          <cell r="E322">
            <v>119.07</v>
          </cell>
          <cell r="F322">
            <v>0</v>
          </cell>
        </row>
        <row r="323">
          <cell r="A323">
            <v>3951200008</v>
          </cell>
          <cell r="C323" t="str">
            <v>US81P01130</v>
          </cell>
          <cell r="E323">
            <v>682.06</v>
          </cell>
          <cell r="F323">
            <v>0</v>
          </cell>
        </row>
        <row r="324">
          <cell r="A324">
            <v>3991200015</v>
          </cell>
          <cell r="C324" t="str">
            <v>US81P01130</v>
          </cell>
          <cell r="E324">
            <v>204.66</v>
          </cell>
          <cell r="F324">
            <v>6000</v>
          </cell>
        </row>
        <row r="325">
          <cell r="A325">
            <v>9420000025</v>
          </cell>
          <cell r="C325" t="str">
            <v>US81P01130</v>
          </cell>
          <cell r="E325">
            <v>20584.830000000002</v>
          </cell>
          <cell r="F325">
            <v>0</v>
          </cell>
        </row>
        <row r="326">
          <cell r="A326">
            <v>3201300002</v>
          </cell>
          <cell r="C326" t="str">
            <v>US81P01550</v>
          </cell>
          <cell r="E326">
            <v>27</v>
          </cell>
          <cell r="F326">
            <v>0</v>
          </cell>
        </row>
        <row r="327">
          <cell r="A327">
            <v>3311400099</v>
          </cell>
          <cell r="C327" t="str">
            <v>US81P01560</v>
          </cell>
          <cell r="E327">
            <v>0</v>
          </cell>
          <cell r="F327">
            <v>0</v>
          </cell>
        </row>
        <row r="328">
          <cell r="A328">
            <v>3111100000</v>
          </cell>
          <cell r="C328" t="str">
            <v>US81P3C001</v>
          </cell>
          <cell r="E328">
            <v>90401.11</v>
          </cell>
          <cell r="F328">
            <v>114708</v>
          </cell>
        </row>
        <row r="329">
          <cell r="A329">
            <v>3111100012</v>
          </cell>
          <cell r="C329" t="str">
            <v>US81P3C001</v>
          </cell>
          <cell r="E329">
            <v>702</v>
          </cell>
          <cell r="F329">
            <v>0</v>
          </cell>
        </row>
        <row r="330">
          <cell r="A330">
            <v>3111100020</v>
          </cell>
          <cell r="C330" t="str">
            <v>US81P3C001</v>
          </cell>
          <cell r="E330">
            <v>0</v>
          </cell>
          <cell r="F330">
            <v>0</v>
          </cell>
        </row>
        <row r="331">
          <cell r="A331">
            <v>3121300013</v>
          </cell>
          <cell r="C331" t="str">
            <v>US81P3C001</v>
          </cell>
          <cell r="E331">
            <v>0</v>
          </cell>
          <cell r="F331">
            <v>49080</v>
          </cell>
        </row>
        <row r="332">
          <cell r="A332">
            <v>3131100005</v>
          </cell>
          <cell r="C332" t="str">
            <v>US81P3C001</v>
          </cell>
          <cell r="E332">
            <v>0</v>
          </cell>
          <cell r="F332">
            <v>0</v>
          </cell>
        </row>
        <row r="333">
          <cell r="A333">
            <v>3131100031</v>
          </cell>
          <cell r="C333" t="str">
            <v>US81P3C001</v>
          </cell>
          <cell r="E333">
            <v>1230.32</v>
          </cell>
          <cell r="F333">
            <v>2004</v>
          </cell>
        </row>
        <row r="334">
          <cell r="A334">
            <v>3201300002</v>
          </cell>
          <cell r="C334" t="str">
            <v>US81P3C001</v>
          </cell>
          <cell r="E334">
            <v>1183.5</v>
          </cell>
          <cell r="F334">
            <v>0</v>
          </cell>
        </row>
        <row r="335">
          <cell r="A335">
            <v>3311400099</v>
          </cell>
          <cell r="C335" t="str">
            <v>US81P3C001</v>
          </cell>
          <cell r="E335">
            <v>2715.48</v>
          </cell>
          <cell r="F335">
            <v>0</v>
          </cell>
        </row>
        <row r="336">
          <cell r="A336">
            <v>3911100012</v>
          </cell>
          <cell r="C336" t="str">
            <v>US81P3C001</v>
          </cell>
          <cell r="E336">
            <v>283.8</v>
          </cell>
          <cell r="F336">
            <v>0</v>
          </cell>
        </row>
        <row r="337">
          <cell r="A337">
            <v>3911100015</v>
          </cell>
          <cell r="C337" t="str">
            <v>US81P3C001</v>
          </cell>
          <cell r="E337">
            <v>0</v>
          </cell>
          <cell r="F337">
            <v>20004</v>
          </cell>
        </row>
        <row r="338">
          <cell r="A338">
            <v>3911200001</v>
          </cell>
          <cell r="C338" t="str">
            <v>US81P3C001</v>
          </cell>
          <cell r="E338">
            <v>457.79</v>
          </cell>
          <cell r="F338">
            <v>0</v>
          </cell>
        </row>
        <row r="339">
          <cell r="A339">
            <v>3911200014</v>
          </cell>
          <cell r="C339" t="str">
            <v>US81P3C001</v>
          </cell>
          <cell r="E339">
            <v>270</v>
          </cell>
          <cell r="F339">
            <v>0</v>
          </cell>
        </row>
        <row r="340">
          <cell r="A340">
            <v>3921200010</v>
          </cell>
          <cell r="C340" t="str">
            <v>US81P3C001</v>
          </cell>
          <cell r="E340">
            <v>137.41999999999999</v>
          </cell>
          <cell r="F340">
            <v>0</v>
          </cell>
        </row>
        <row r="341">
          <cell r="A341">
            <v>3951200008</v>
          </cell>
          <cell r="C341" t="str">
            <v>US81P3C001</v>
          </cell>
          <cell r="E341">
            <v>596.91999999999996</v>
          </cell>
          <cell r="F341">
            <v>0</v>
          </cell>
        </row>
        <row r="342">
          <cell r="A342">
            <v>3991200012</v>
          </cell>
          <cell r="C342" t="str">
            <v>US81P3C001</v>
          </cell>
          <cell r="E342">
            <v>286.2</v>
          </cell>
          <cell r="F342">
            <v>0</v>
          </cell>
        </row>
        <row r="343">
          <cell r="A343">
            <v>3991200015</v>
          </cell>
          <cell r="C343" t="str">
            <v>US81P3C001</v>
          </cell>
          <cell r="E343">
            <v>1110.3599999999999</v>
          </cell>
          <cell r="F343">
            <v>0</v>
          </cell>
        </row>
        <row r="344">
          <cell r="A344">
            <v>9420000025</v>
          </cell>
          <cell r="C344" t="str">
            <v>US81P3C001</v>
          </cell>
          <cell r="E344">
            <v>27895.19</v>
          </cell>
          <cell r="F344">
            <v>0</v>
          </cell>
        </row>
        <row r="345">
          <cell r="A345">
            <v>3111100000</v>
          </cell>
          <cell r="C345" t="str">
            <v>US81P3C110</v>
          </cell>
          <cell r="E345">
            <v>70161.39</v>
          </cell>
          <cell r="F345">
            <v>110816.4</v>
          </cell>
        </row>
        <row r="346">
          <cell r="A346">
            <v>3121300013</v>
          </cell>
          <cell r="C346" t="str">
            <v>US81P3C110</v>
          </cell>
          <cell r="E346">
            <v>0</v>
          </cell>
          <cell r="F346">
            <v>104989.44</v>
          </cell>
        </row>
        <row r="347">
          <cell r="A347">
            <v>3131100005</v>
          </cell>
          <cell r="C347" t="str">
            <v>US81P3C110</v>
          </cell>
          <cell r="E347">
            <v>85</v>
          </cell>
          <cell r="F347">
            <v>0</v>
          </cell>
        </row>
        <row r="348">
          <cell r="A348">
            <v>3131100007</v>
          </cell>
          <cell r="C348" t="str">
            <v>US81P3C110</v>
          </cell>
          <cell r="E348">
            <v>0</v>
          </cell>
          <cell r="F348">
            <v>2000.04</v>
          </cell>
        </row>
        <row r="349">
          <cell r="A349">
            <v>3201300001</v>
          </cell>
          <cell r="C349" t="str">
            <v>US81P3C110</v>
          </cell>
          <cell r="E349">
            <v>18125.009999999998</v>
          </cell>
          <cell r="F349">
            <v>0</v>
          </cell>
        </row>
        <row r="350">
          <cell r="A350">
            <v>3911100010</v>
          </cell>
          <cell r="C350" t="str">
            <v>US81P3C110</v>
          </cell>
          <cell r="E350">
            <v>10.55</v>
          </cell>
          <cell r="F350">
            <v>0</v>
          </cell>
        </row>
        <row r="351">
          <cell r="A351">
            <v>3911100012</v>
          </cell>
          <cell r="C351" t="str">
            <v>US81P3C110</v>
          </cell>
          <cell r="E351">
            <v>1066.9100000000001</v>
          </cell>
          <cell r="F351">
            <v>0</v>
          </cell>
        </row>
        <row r="352">
          <cell r="A352">
            <v>3911100015</v>
          </cell>
          <cell r="C352" t="str">
            <v>US81P3C110</v>
          </cell>
          <cell r="E352">
            <v>353.34</v>
          </cell>
          <cell r="F352">
            <v>0</v>
          </cell>
        </row>
        <row r="353">
          <cell r="A353">
            <v>3911100041</v>
          </cell>
          <cell r="C353" t="str">
            <v>US81P3C110</v>
          </cell>
          <cell r="E353">
            <v>1003.19</v>
          </cell>
          <cell r="F353">
            <v>9999.9599999999991</v>
          </cell>
        </row>
        <row r="354">
          <cell r="A354">
            <v>3911200001</v>
          </cell>
          <cell r="C354" t="str">
            <v>US81P3C110</v>
          </cell>
          <cell r="E354">
            <v>180</v>
          </cell>
          <cell r="F354">
            <v>0</v>
          </cell>
        </row>
        <row r="355">
          <cell r="A355">
            <v>3921200006</v>
          </cell>
          <cell r="C355" t="str">
            <v>US81P3C110</v>
          </cell>
          <cell r="E355">
            <v>265.91000000000003</v>
          </cell>
          <cell r="F355">
            <v>0</v>
          </cell>
        </row>
        <row r="356">
          <cell r="A356">
            <v>3921200010</v>
          </cell>
          <cell r="C356" t="str">
            <v>US81P3C110</v>
          </cell>
          <cell r="E356">
            <v>307.2</v>
          </cell>
          <cell r="F356">
            <v>0</v>
          </cell>
        </row>
        <row r="357">
          <cell r="A357">
            <v>3921200050</v>
          </cell>
          <cell r="C357" t="str">
            <v>US81P3C110</v>
          </cell>
          <cell r="E357">
            <v>18.850000000000001</v>
          </cell>
          <cell r="F357">
            <v>0</v>
          </cell>
        </row>
        <row r="358">
          <cell r="A358">
            <v>3951200002</v>
          </cell>
          <cell r="C358" t="str">
            <v>US81P3C110</v>
          </cell>
          <cell r="E358">
            <v>0</v>
          </cell>
          <cell r="F358">
            <v>0</v>
          </cell>
        </row>
        <row r="359">
          <cell r="A359">
            <v>3951200008</v>
          </cell>
          <cell r="C359" t="str">
            <v>US81P3C110</v>
          </cell>
          <cell r="E359">
            <v>486.09</v>
          </cell>
          <cell r="F359">
            <v>0</v>
          </cell>
        </row>
        <row r="360">
          <cell r="A360">
            <v>3991200012</v>
          </cell>
          <cell r="C360" t="str">
            <v>US81P3C110</v>
          </cell>
          <cell r="E360">
            <v>86.71</v>
          </cell>
          <cell r="F360">
            <v>0</v>
          </cell>
        </row>
        <row r="361">
          <cell r="A361">
            <v>3991200015</v>
          </cell>
          <cell r="C361" t="str">
            <v>US81P3C110</v>
          </cell>
          <cell r="E361">
            <v>571.22</v>
          </cell>
          <cell r="F361">
            <v>6000</v>
          </cell>
        </row>
        <row r="362">
          <cell r="A362">
            <v>3991200099</v>
          </cell>
          <cell r="C362" t="str">
            <v>US81P3C110</v>
          </cell>
          <cell r="E362">
            <v>100</v>
          </cell>
          <cell r="F362">
            <v>0</v>
          </cell>
        </row>
        <row r="363">
          <cell r="A363">
            <v>9420000025</v>
          </cell>
          <cell r="C363" t="str">
            <v>US81P3C110</v>
          </cell>
          <cell r="E363">
            <v>21318.639999999999</v>
          </cell>
          <cell r="F363">
            <v>0</v>
          </cell>
        </row>
        <row r="364">
          <cell r="A364">
            <v>3111100000</v>
          </cell>
          <cell r="C364" t="str">
            <v>US81P3C130</v>
          </cell>
          <cell r="E364">
            <v>84478.85</v>
          </cell>
          <cell r="F364">
            <v>107978.4</v>
          </cell>
        </row>
        <row r="365">
          <cell r="A365">
            <v>3111100020</v>
          </cell>
          <cell r="C365" t="str">
            <v>US81P3C130</v>
          </cell>
          <cell r="E365">
            <v>554.6</v>
          </cell>
          <cell r="F365">
            <v>0</v>
          </cell>
        </row>
        <row r="366">
          <cell r="A366">
            <v>3121300013</v>
          </cell>
          <cell r="C366" t="str">
            <v>US81P3C130</v>
          </cell>
          <cell r="E366">
            <v>0</v>
          </cell>
          <cell r="F366">
            <v>104989.44</v>
          </cell>
        </row>
        <row r="367">
          <cell r="A367">
            <v>3131100007</v>
          </cell>
          <cell r="C367" t="str">
            <v>US81P3C130</v>
          </cell>
          <cell r="E367">
            <v>0</v>
          </cell>
          <cell r="F367">
            <v>3000</v>
          </cell>
        </row>
        <row r="368">
          <cell r="A368">
            <v>3911100012</v>
          </cell>
          <cell r="C368" t="str">
            <v>US81P3C130</v>
          </cell>
          <cell r="E368">
            <v>146.77000000000001</v>
          </cell>
          <cell r="F368">
            <v>0</v>
          </cell>
        </row>
        <row r="369">
          <cell r="A369">
            <v>3911100015</v>
          </cell>
          <cell r="C369" t="str">
            <v>US81P3C130</v>
          </cell>
          <cell r="E369">
            <v>160.19999999999999</v>
          </cell>
          <cell r="F369">
            <v>0</v>
          </cell>
        </row>
        <row r="370">
          <cell r="A370">
            <v>3911100041</v>
          </cell>
          <cell r="C370" t="str">
            <v>US81P3C130</v>
          </cell>
          <cell r="E370">
            <v>144</v>
          </cell>
          <cell r="F370">
            <v>5000.04</v>
          </cell>
        </row>
        <row r="371">
          <cell r="A371">
            <v>3911200001</v>
          </cell>
          <cell r="C371" t="str">
            <v>US81P3C130</v>
          </cell>
          <cell r="E371">
            <v>18.18</v>
          </cell>
          <cell r="F371">
            <v>0</v>
          </cell>
        </row>
        <row r="372">
          <cell r="A372">
            <v>3921200010</v>
          </cell>
          <cell r="C372" t="str">
            <v>US81P3C130</v>
          </cell>
          <cell r="E372">
            <v>477.48</v>
          </cell>
          <cell r="F372">
            <v>0</v>
          </cell>
        </row>
        <row r="373">
          <cell r="A373">
            <v>3951200008</v>
          </cell>
          <cell r="C373" t="str">
            <v>US81P3C130</v>
          </cell>
          <cell r="E373">
            <v>821.16</v>
          </cell>
          <cell r="F373">
            <v>0</v>
          </cell>
        </row>
        <row r="374">
          <cell r="A374">
            <v>3991200015</v>
          </cell>
          <cell r="C374" t="str">
            <v>US81P3C130</v>
          </cell>
          <cell r="E374">
            <v>365.73</v>
          </cell>
          <cell r="F374">
            <v>6000</v>
          </cell>
        </row>
        <row r="375">
          <cell r="A375">
            <v>3991200099</v>
          </cell>
          <cell r="C375" t="str">
            <v>US81P3C130</v>
          </cell>
          <cell r="E375">
            <v>55.54</v>
          </cell>
          <cell r="F375">
            <v>0</v>
          </cell>
        </row>
        <row r="376">
          <cell r="A376">
            <v>9420000025</v>
          </cell>
          <cell r="C376" t="str">
            <v>US81P3C130</v>
          </cell>
          <cell r="E376">
            <v>25884.400000000001</v>
          </cell>
          <cell r="F376">
            <v>0</v>
          </cell>
        </row>
        <row r="377">
          <cell r="A377">
            <v>3941100013</v>
          </cell>
          <cell r="C377" t="str">
            <v>US81P3C550</v>
          </cell>
          <cell r="E377">
            <v>341.74</v>
          </cell>
          <cell r="F377">
            <v>0</v>
          </cell>
        </row>
        <row r="378">
          <cell r="A378">
            <v>3111100000</v>
          </cell>
          <cell r="C378" t="str">
            <v>US81P3C554</v>
          </cell>
          <cell r="E378">
            <v>0</v>
          </cell>
          <cell r="F378">
            <v>0</v>
          </cell>
        </row>
        <row r="379">
          <cell r="A379">
            <v>3111100012</v>
          </cell>
          <cell r="C379" t="str">
            <v>US81P3C554</v>
          </cell>
          <cell r="E379">
            <v>0</v>
          </cell>
          <cell r="F379">
            <v>0</v>
          </cell>
        </row>
        <row r="380">
          <cell r="A380">
            <v>9420000025</v>
          </cell>
          <cell r="C380" t="str">
            <v>US81P3C554</v>
          </cell>
          <cell r="E380">
            <v>0</v>
          </cell>
          <cell r="F380">
            <v>0</v>
          </cell>
        </row>
        <row r="381">
          <cell r="A381">
            <v>3201400029</v>
          </cell>
          <cell r="C381" t="str">
            <v>US81P3C560</v>
          </cell>
          <cell r="E381">
            <v>64373.8</v>
          </cell>
          <cell r="F381">
            <v>0</v>
          </cell>
        </row>
        <row r="382">
          <cell r="A382">
            <v>3111100000</v>
          </cell>
          <cell r="C382" t="str">
            <v>US81PZA001</v>
          </cell>
          <cell r="E382">
            <v>47756.18</v>
          </cell>
          <cell r="F382">
            <v>495120</v>
          </cell>
        </row>
        <row r="383">
          <cell r="A383">
            <v>3111100012</v>
          </cell>
          <cell r="C383" t="str">
            <v>US81PZA001</v>
          </cell>
          <cell r="E383">
            <v>2144.29</v>
          </cell>
          <cell r="F383">
            <v>2004</v>
          </cell>
        </row>
        <row r="384">
          <cell r="A384">
            <v>3111100020</v>
          </cell>
          <cell r="C384" t="str">
            <v>US81PZA001</v>
          </cell>
          <cell r="E384">
            <v>463.63</v>
          </cell>
          <cell r="F384">
            <v>0</v>
          </cell>
        </row>
        <row r="385">
          <cell r="A385">
            <v>3121300013</v>
          </cell>
          <cell r="C385" t="str">
            <v>US81PZA001</v>
          </cell>
          <cell r="E385">
            <v>0</v>
          </cell>
          <cell r="F385">
            <v>210060</v>
          </cell>
        </row>
        <row r="386">
          <cell r="A386">
            <v>3131100025</v>
          </cell>
          <cell r="C386" t="str">
            <v>US81PZA001</v>
          </cell>
          <cell r="E386">
            <v>11103.7</v>
          </cell>
          <cell r="F386">
            <v>0</v>
          </cell>
        </row>
        <row r="387">
          <cell r="A387">
            <v>3131100031</v>
          </cell>
          <cell r="C387" t="str">
            <v>US81PZA001</v>
          </cell>
          <cell r="E387">
            <v>0</v>
          </cell>
          <cell r="F387">
            <v>5004</v>
          </cell>
        </row>
        <row r="388">
          <cell r="A388">
            <v>3201300001</v>
          </cell>
          <cell r="C388" t="str">
            <v>US81PZA001</v>
          </cell>
          <cell r="E388">
            <v>15894.71</v>
          </cell>
          <cell r="F388">
            <v>30000</v>
          </cell>
        </row>
        <row r="389">
          <cell r="A389">
            <v>3201300002</v>
          </cell>
          <cell r="C389" t="str">
            <v>US81PZA001</v>
          </cell>
          <cell r="E389">
            <v>256.5</v>
          </cell>
          <cell r="F389">
            <v>12000</v>
          </cell>
        </row>
        <row r="390">
          <cell r="A390">
            <v>3201300005</v>
          </cell>
          <cell r="C390" t="str">
            <v>US81PZA001</v>
          </cell>
          <cell r="E390">
            <v>344.23</v>
          </cell>
          <cell r="F390">
            <v>0</v>
          </cell>
        </row>
        <row r="391">
          <cell r="A391">
            <v>3201400002</v>
          </cell>
          <cell r="C391" t="str">
            <v>US81PZA001</v>
          </cell>
          <cell r="E391">
            <v>5419.41</v>
          </cell>
          <cell r="F391">
            <v>0</v>
          </cell>
        </row>
        <row r="392">
          <cell r="A392">
            <v>3201400051</v>
          </cell>
          <cell r="C392" t="str">
            <v>US81PZA001</v>
          </cell>
          <cell r="E392">
            <v>746.89</v>
          </cell>
          <cell r="F392">
            <v>0</v>
          </cell>
        </row>
        <row r="393">
          <cell r="A393">
            <v>3311400099</v>
          </cell>
          <cell r="C393" t="str">
            <v>US81PZA001</v>
          </cell>
          <cell r="E393">
            <v>7918.38</v>
          </cell>
          <cell r="F393">
            <v>0</v>
          </cell>
        </row>
        <row r="394">
          <cell r="A394">
            <v>3911100010</v>
          </cell>
          <cell r="C394" t="str">
            <v>US81PZA001</v>
          </cell>
          <cell r="E394">
            <v>15.79</v>
          </cell>
          <cell r="F394">
            <v>0</v>
          </cell>
        </row>
        <row r="395">
          <cell r="A395">
            <v>3911100015</v>
          </cell>
          <cell r="C395" t="str">
            <v>US81PZA001</v>
          </cell>
          <cell r="E395">
            <v>34.130000000000003</v>
          </cell>
          <cell r="F395">
            <v>35004</v>
          </cell>
        </row>
        <row r="396">
          <cell r="A396">
            <v>3911200001</v>
          </cell>
          <cell r="C396" t="str">
            <v>US81PZA001</v>
          </cell>
          <cell r="E396">
            <v>1550.92</v>
          </cell>
          <cell r="F396">
            <v>35004</v>
          </cell>
        </row>
        <row r="397">
          <cell r="A397">
            <v>3911200007</v>
          </cell>
          <cell r="C397" t="str">
            <v>US81PZA001</v>
          </cell>
          <cell r="E397">
            <v>3602.95</v>
          </cell>
          <cell r="F397">
            <v>0</v>
          </cell>
        </row>
        <row r="398">
          <cell r="A398">
            <v>3911200014</v>
          </cell>
          <cell r="C398" t="str">
            <v>US81PZA001</v>
          </cell>
          <cell r="E398">
            <v>250</v>
          </cell>
          <cell r="F398">
            <v>0</v>
          </cell>
        </row>
        <row r="399">
          <cell r="A399">
            <v>3921100001</v>
          </cell>
          <cell r="C399" t="str">
            <v>US81PZA001</v>
          </cell>
          <cell r="E399">
            <v>0</v>
          </cell>
          <cell r="F399">
            <v>14400</v>
          </cell>
        </row>
        <row r="400">
          <cell r="A400">
            <v>3921200003</v>
          </cell>
          <cell r="C400" t="str">
            <v>US81PZA001</v>
          </cell>
          <cell r="E400">
            <v>769.82</v>
          </cell>
          <cell r="F400">
            <v>0</v>
          </cell>
        </row>
        <row r="401">
          <cell r="A401">
            <v>3921200010</v>
          </cell>
          <cell r="C401" t="str">
            <v>US81PZA001</v>
          </cell>
          <cell r="E401">
            <v>1756.58</v>
          </cell>
          <cell r="F401">
            <v>15000</v>
          </cell>
        </row>
        <row r="402">
          <cell r="A402">
            <v>3921200037</v>
          </cell>
          <cell r="C402" t="str">
            <v>US81PZA001</v>
          </cell>
          <cell r="E402">
            <v>332.5</v>
          </cell>
          <cell r="F402">
            <v>0</v>
          </cell>
        </row>
        <row r="403">
          <cell r="A403">
            <v>3921200100</v>
          </cell>
          <cell r="C403" t="str">
            <v>US81PZA001</v>
          </cell>
          <cell r="E403">
            <v>449.67</v>
          </cell>
          <cell r="F403">
            <v>0</v>
          </cell>
        </row>
        <row r="404">
          <cell r="A404">
            <v>3951100005</v>
          </cell>
          <cell r="C404" t="str">
            <v>US81PZA001</v>
          </cell>
          <cell r="E404">
            <v>95.14</v>
          </cell>
          <cell r="F404">
            <v>181080</v>
          </cell>
        </row>
        <row r="405">
          <cell r="A405">
            <v>3951200002</v>
          </cell>
          <cell r="C405" t="str">
            <v>US81PZA001</v>
          </cell>
          <cell r="E405">
            <v>-144.5</v>
          </cell>
          <cell r="F405">
            <v>36000</v>
          </cell>
        </row>
        <row r="406">
          <cell r="A406">
            <v>3951200008</v>
          </cell>
          <cell r="C406" t="str">
            <v>US81PZA001</v>
          </cell>
          <cell r="E406">
            <v>288.16000000000003</v>
          </cell>
          <cell r="F406">
            <v>29400</v>
          </cell>
        </row>
        <row r="407">
          <cell r="A407">
            <v>3981100067</v>
          </cell>
          <cell r="C407" t="str">
            <v>US81PZA001</v>
          </cell>
          <cell r="E407">
            <v>0</v>
          </cell>
          <cell r="F407">
            <v>0</v>
          </cell>
        </row>
        <row r="408">
          <cell r="A408">
            <v>3981100078</v>
          </cell>
          <cell r="C408" t="str">
            <v>US81PZA001</v>
          </cell>
          <cell r="E408">
            <v>0</v>
          </cell>
          <cell r="F408">
            <v>0</v>
          </cell>
        </row>
        <row r="409">
          <cell r="A409">
            <v>3991200012</v>
          </cell>
          <cell r="C409" t="str">
            <v>US81PZA001</v>
          </cell>
          <cell r="E409">
            <v>56.15</v>
          </cell>
          <cell r="F409">
            <v>0</v>
          </cell>
        </row>
        <row r="410">
          <cell r="A410">
            <v>3991200015</v>
          </cell>
          <cell r="C410" t="str">
            <v>US81PZA001</v>
          </cell>
          <cell r="E410">
            <v>18976.91</v>
          </cell>
          <cell r="F410">
            <v>26400</v>
          </cell>
        </row>
        <row r="411">
          <cell r="A411">
            <v>3991200069</v>
          </cell>
          <cell r="C411" t="str">
            <v>US81PZA001</v>
          </cell>
          <cell r="E411">
            <v>650</v>
          </cell>
          <cell r="F411">
            <v>0</v>
          </cell>
        </row>
        <row r="412">
          <cell r="A412">
            <v>9420000025</v>
          </cell>
          <cell r="C412" t="str">
            <v>US81PZA001</v>
          </cell>
          <cell r="E412">
            <v>15916.24</v>
          </cell>
          <cell r="F412">
            <v>0</v>
          </cell>
        </row>
        <row r="413">
          <cell r="A413">
            <v>3111100000</v>
          </cell>
          <cell r="C413" t="str">
            <v>US81PZA002</v>
          </cell>
          <cell r="E413">
            <v>103170.32</v>
          </cell>
          <cell r="F413">
            <v>0</v>
          </cell>
        </row>
        <row r="414">
          <cell r="A414">
            <v>3111100012</v>
          </cell>
          <cell r="C414" t="str">
            <v>US81PZA002</v>
          </cell>
          <cell r="E414">
            <v>2869.54</v>
          </cell>
          <cell r="F414">
            <v>0</v>
          </cell>
        </row>
        <row r="415">
          <cell r="A415">
            <v>3111100020</v>
          </cell>
          <cell r="C415" t="str">
            <v>US81PZA002</v>
          </cell>
          <cell r="E415">
            <v>284.74</v>
          </cell>
          <cell r="F415">
            <v>0</v>
          </cell>
        </row>
        <row r="416">
          <cell r="A416">
            <v>3131100007</v>
          </cell>
          <cell r="C416" t="str">
            <v>US81PZA002</v>
          </cell>
          <cell r="E416">
            <v>119.2</v>
          </cell>
          <cell r="F416">
            <v>0</v>
          </cell>
        </row>
        <row r="417">
          <cell r="A417">
            <v>3201300001</v>
          </cell>
          <cell r="C417" t="str">
            <v>US81PZA002</v>
          </cell>
          <cell r="E417">
            <v>7202.57</v>
          </cell>
          <cell r="F417">
            <v>0</v>
          </cell>
        </row>
        <row r="418">
          <cell r="A418">
            <v>3201300002</v>
          </cell>
          <cell r="C418" t="str">
            <v>US81PZA002</v>
          </cell>
          <cell r="E418">
            <v>1818.5</v>
          </cell>
          <cell r="F418">
            <v>0</v>
          </cell>
        </row>
        <row r="419">
          <cell r="A419">
            <v>3201400002</v>
          </cell>
          <cell r="C419" t="str">
            <v>US81PZA002</v>
          </cell>
          <cell r="E419">
            <v>2921.08</v>
          </cell>
          <cell r="F419">
            <v>0</v>
          </cell>
        </row>
        <row r="420">
          <cell r="A420">
            <v>3201400003</v>
          </cell>
          <cell r="C420" t="str">
            <v>US81PZA002</v>
          </cell>
          <cell r="E420">
            <v>1614.45</v>
          </cell>
          <cell r="F420">
            <v>0</v>
          </cell>
        </row>
        <row r="421">
          <cell r="A421">
            <v>3201400004</v>
          </cell>
          <cell r="C421" t="str">
            <v>US81PZA002</v>
          </cell>
          <cell r="E421">
            <v>4438.1899999999996</v>
          </cell>
          <cell r="F421">
            <v>0</v>
          </cell>
        </row>
        <row r="422">
          <cell r="A422">
            <v>3201400006</v>
          </cell>
          <cell r="C422" t="str">
            <v>US81PZA002</v>
          </cell>
          <cell r="E422">
            <v>3972.21</v>
          </cell>
          <cell r="F422">
            <v>0</v>
          </cell>
        </row>
        <row r="423">
          <cell r="A423">
            <v>3201400025</v>
          </cell>
          <cell r="C423" t="str">
            <v>US81PZA002</v>
          </cell>
          <cell r="E423">
            <v>20286.400000000001</v>
          </cell>
          <cell r="F423">
            <v>0</v>
          </cell>
        </row>
        <row r="424">
          <cell r="A424">
            <v>3201400029</v>
          </cell>
          <cell r="C424" t="str">
            <v>US81PZA002</v>
          </cell>
          <cell r="E424">
            <v>9945.17</v>
          </cell>
          <cell r="F424">
            <v>0</v>
          </cell>
        </row>
        <row r="425">
          <cell r="A425">
            <v>3201400036</v>
          </cell>
          <cell r="C425" t="str">
            <v>US81PZA002</v>
          </cell>
          <cell r="E425">
            <v>13743.57</v>
          </cell>
          <cell r="F425">
            <v>0</v>
          </cell>
        </row>
        <row r="426">
          <cell r="A426">
            <v>3201400050</v>
          </cell>
          <cell r="C426" t="str">
            <v>US81PZA002</v>
          </cell>
          <cell r="E426">
            <v>119.71</v>
          </cell>
          <cell r="F426">
            <v>0</v>
          </cell>
        </row>
        <row r="427">
          <cell r="A427">
            <v>3201400051</v>
          </cell>
          <cell r="C427" t="str">
            <v>US81PZA002</v>
          </cell>
          <cell r="E427">
            <v>35694.639999999999</v>
          </cell>
          <cell r="F427">
            <v>0</v>
          </cell>
        </row>
        <row r="428">
          <cell r="A428">
            <v>3311400099</v>
          </cell>
          <cell r="C428" t="str">
            <v>US81PZA002</v>
          </cell>
          <cell r="E428">
            <v>29.2</v>
          </cell>
          <cell r="F428">
            <v>0</v>
          </cell>
        </row>
        <row r="429">
          <cell r="A429">
            <v>3501500031</v>
          </cell>
          <cell r="C429" t="str">
            <v>US81PZA002</v>
          </cell>
          <cell r="E429">
            <v>797.5</v>
          </cell>
          <cell r="F429">
            <v>0</v>
          </cell>
        </row>
        <row r="430">
          <cell r="A430">
            <v>3501500034</v>
          </cell>
          <cell r="C430" t="str">
            <v>US81PZA002</v>
          </cell>
          <cell r="E430">
            <v>82680</v>
          </cell>
          <cell r="F430">
            <v>0</v>
          </cell>
        </row>
        <row r="431">
          <cell r="A431">
            <v>3911100015</v>
          </cell>
          <cell r="C431" t="str">
            <v>US81PZA002</v>
          </cell>
          <cell r="E431">
            <v>7</v>
          </cell>
          <cell r="F431">
            <v>0</v>
          </cell>
        </row>
        <row r="432">
          <cell r="A432">
            <v>3911200000</v>
          </cell>
          <cell r="C432" t="str">
            <v>US81PZA002</v>
          </cell>
          <cell r="E432">
            <v>44.3</v>
          </cell>
          <cell r="F432">
            <v>0</v>
          </cell>
        </row>
        <row r="433">
          <cell r="A433">
            <v>3911200001</v>
          </cell>
          <cell r="C433" t="str">
            <v>US81PZA002</v>
          </cell>
          <cell r="E433">
            <v>93.65</v>
          </cell>
          <cell r="F433">
            <v>0</v>
          </cell>
        </row>
        <row r="434">
          <cell r="A434">
            <v>3921100000</v>
          </cell>
          <cell r="C434" t="str">
            <v>US81PZA002</v>
          </cell>
          <cell r="E434">
            <v>4938.95</v>
          </cell>
          <cell r="F434">
            <v>0</v>
          </cell>
        </row>
        <row r="435">
          <cell r="A435">
            <v>3921100001</v>
          </cell>
          <cell r="C435" t="str">
            <v>US81PZA002</v>
          </cell>
          <cell r="E435">
            <v>125558.22</v>
          </cell>
          <cell r="F435">
            <v>0</v>
          </cell>
        </row>
        <row r="436">
          <cell r="A436">
            <v>3921200001</v>
          </cell>
          <cell r="C436" t="str">
            <v>US81PZA002</v>
          </cell>
          <cell r="E436">
            <v>106715.81</v>
          </cell>
          <cell r="F436">
            <v>0</v>
          </cell>
        </row>
        <row r="437">
          <cell r="A437">
            <v>3921200003</v>
          </cell>
          <cell r="C437" t="str">
            <v>US81PZA002</v>
          </cell>
          <cell r="E437">
            <v>17881.919999999998</v>
          </cell>
          <cell r="F437">
            <v>0</v>
          </cell>
        </row>
        <row r="438">
          <cell r="A438">
            <v>3921200006</v>
          </cell>
          <cell r="C438" t="str">
            <v>US81PZA002</v>
          </cell>
          <cell r="E438">
            <v>45726.9</v>
          </cell>
          <cell r="F438">
            <v>0</v>
          </cell>
        </row>
        <row r="439">
          <cell r="A439">
            <v>3921200010</v>
          </cell>
          <cell r="C439" t="str">
            <v>US81PZA002</v>
          </cell>
          <cell r="E439">
            <v>14094.06</v>
          </cell>
          <cell r="F439">
            <v>0</v>
          </cell>
        </row>
        <row r="440">
          <cell r="A440">
            <v>3921200022</v>
          </cell>
          <cell r="C440" t="str">
            <v>US81PZA002</v>
          </cell>
          <cell r="E440">
            <v>8314.31</v>
          </cell>
          <cell r="F440">
            <v>0</v>
          </cell>
        </row>
        <row r="441">
          <cell r="A441">
            <v>3921200023</v>
          </cell>
          <cell r="C441" t="str">
            <v>US81PZA002</v>
          </cell>
          <cell r="E441">
            <v>269.64</v>
          </cell>
          <cell r="F441">
            <v>0</v>
          </cell>
        </row>
        <row r="442">
          <cell r="A442">
            <v>3921200037</v>
          </cell>
          <cell r="C442" t="str">
            <v>US81PZA002</v>
          </cell>
          <cell r="E442">
            <v>391.11</v>
          </cell>
          <cell r="F442">
            <v>0</v>
          </cell>
        </row>
        <row r="443">
          <cell r="A443">
            <v>3921200050</v>
          </cell>
          <cell r="C443" t="str">
            <v>US81PZA002</v>
          </cell>
          <cell r="E443">
            <v>2548.44</v>
          </cell>
          <cell r="F443">
            <v>0</v>
          </cell>
        </row>
        <row r="444">
          <cell r="A444">
            <v>3921200100</v>
          </cell>
          <cell r="C444" t="str">
            <v>US81PZA002</v>
          </cell>
          <cell r="E444">
            <v>814.01</v>
          </cell>
          <cell r="F444">
            <v>0</v>
          </cell>
        </row>
        <row r="445">
          <cell r="A445">
            <v>3951100005</v>
          </cell>
          <cell r="C445" t="str">
            <v>US81PZA002</v>
          </cell>
          <cell r="E445">
            <v>240.78</v>
          </cell>
          <cell r="F445">
            <v>0</v>
          </cell>
        </row>
        <row r="446">
          <cell r="A446">
            <v>3951200002</v>
          </cell>
          <cell r="C446" t="str">
            <v>US81PZA002</v>
          </cell>
          <cell r="E446">
            <v>694.5</v>
          </cell>
          <cell r="F446">
            <v>0</v>
          </cell>
        </row>
        <row r="447">
          <cell r="A447">
            <v>3951200008</v>
          </cell>
          <cell r="C447" t="str">
            <v>US81PZA002</v>
          </cell>
          <cell r="E447">
            <v>773.66</v>
          </cell>
          <cell r="F447">
            <v>0</v>
          </cell>
        </row>
        <row r="448">
          <cell r="A448">
            <v>3991200001</v>
          </cell>
          <cell r="C448" t="str">
            <v>US81PZA002</v>
          </cell>
          <cell r="E448">
            <v>4178.18</v>
          </cell>
          <cell r="F448">
            <v>0</v>
          </cell>
        </row>
        <row r="449">
          <cell r="A449">
            <v>3991200012</v>
          </cell>
          <cell r="C449" t="str">
            <v>US81PZA002</v>
          </cell>
          <cell r="E449">
            <v>3938.99</v>
          </cell>
          <cell r="F449">
            <v>0</v>
          </cell>
        </row>
        <row r="450">
          <cell r="A450">
            <v>3991200015</v>
          </cell>
          <cell r="C450" t="str">
            <v>US81PZA002</v>
          </cell>
          <cell r="E450">
            <v>20474.13</v>
          </cell>
          <cell r="F450">
            <v>0</v>
          </cell>
        </row>
        <row r="451">
          <cell r="A451">
            <v>3991200018</v>
          </cell>
          <cell r="C451" t="str">
            <v>US81PZA002</v>
          </cell>
          <cell r="E451">
            <v>295.14999999999998</v>
          </cell>
          <cell r="F451">
            <v>0</v>
          </cell>
        </row>
        <row r="452">
          <cell r="A452">
            <v>3991200066</v>
          </cell>
          <cell r="C452" t="str">
            <v>US81PZA002</v>
          </cell>
          <cell r="E452">
            <v>1530.55</v>
          </cell>
          <cell r="F452">
            <v>0</v>
          </cell>
        </row>
        <row r="453">
          <cell r="A453">
            <v>3991200099</v>
          </cell>
          <cell r="C453" t="str">
            <v>US81PZA002</v>
          </cell>
          <cell r="E453">
            <v>2956.12</v>
          </cell>
          <cell r="F453">
            <v>0</v>
          </cell>
        </row>
        <row r="454">
          <cell r="A454">
            <v>3991200101</v>
          </cell>
          <cell r="C454" t="str">
            <v>US81PZA002</v>
          </cell>
          <cell r="E454">
            <v>1786</v>
          </cell>
          <cell r="F454">
            <v>0</v>
          </cell>
        </row>
        <row r="455">
          <cell r="A455">
            <v>9420000025</v>
          </cell>
          <cell r="C455" t="str">
            <v>US81PZA002</v>
          </cell>
          <cell r="E455">
            <v>31562.07</v>
          </cell>
          <cell r="F455">
            <v>0</v>
          </cell>
        </row>
        <row r="456">
          <cell r="A456">
            <v>3201300002</v>
          </cell>
          <cell r="C456" t="str">
            <v>US81PZA003</v>
          </cell>
          <cell r="E456">
            <v>22</v>
          </cell>
          <cell r="F456">
            <v>0</v>
          </cell>
        </row>
        <row r="457">
          <cell r="A457">
            <v>3201400002</v>
          </cell>
          <cell r="C457" t="str">
            <v>US81PZA003</v>
          </cell>
          <cell r="E457">
            <v>194.69</v>
          </cell>
          <cell r="F457">
            <v>0</v>
          </cell>
        </row>
        <row r="458">
          <cell r="A458">
            <v>3201400003</v>
          </cell>
          <cell r="C458" t="str">
            <v>US81PZA003</v>
          </cell>
          <cell r="E458">
            <v>501.76</v>
          </cell>
          <cell r="F458">
            <v>0</v>
          </cell>
        </row>
        <row r="459">
          <cell r="A459">
            <v>3201400004</v>
          </cell>
          <cell r="C459" t="str">
            <v>US81PZA003</v>
          </cell>
          <cell r="E459">
            <v>487</v>
          </cell>
          <cell r="F459">
            <v>0</v>
          </cell>
        </row>
        <row r="460">
          <cell r="A460">
            <v>3201400025</v>
          </cell>
          <cell r="C460" t="str">
            <v>US81PZA003</v>
          </cell>
          <cell r="E460">
            <v>4916.6499999999996</v>
          </cell>
          <cell r="F460">
            <v>0</v>
          </cell>
        </row>
        <row r="461">
          <cell r="A461">
            <v>3201400029</v>
          </cell>
          <cell r="C461" t="str">
            <v>US81PZA003</v>
          </cell>
          <cell r="E461">
            <v>2610.2199999999998</v>
          </cell>
          <cell r="F461">
            <v>0</v>
          </cell>
        </row>
        <row r="462">
          <cell r="A462">
            <v>3201400036</v>
          </cell>
          <cell r="C462" t="str">
            <v>US81PZA003</v>
          </cell>
          <cell r="E462">
            <v>0</v>
          </cell>
          <cell r="F462">
            <v>0</v>
          </cell>
        </row>
        <row r="463">
          <cell r="A463">
            <v>3201400051</v>
          </cell>
          <cell r="C463" t="str">
            <v>US81PZA003</v>
          </cell>
          <cell r="E463">
            <v>954.03</v>
          </cell>
          <cell r="F463">
            <v>0</v>
          </cell>
        </row>
        <row r="464">
          <cell r="A464">
            <v>3501500031</v>
          </cell>
          <cell r="C464" t="str">
            <v>US81PZA003</v>
          </cell>
          <cell r="E464">
            <v>276.5</v>
          </cell>
          <cell r="F464">
            <v>0</v>
          </cell>
        </row>
        <row r="465">
          <cell r="A465">
            <v>3911200001</v>
          </cell>
          <cell r="C465" t="str">
            <v>US81PZA003</v>
          </cell>
          <cell r="E465">
            <v>151</v>
          </cell>
          <cell r="F465">
            <v>0</v>
          </cell>
        </row>
        <row r="466">
          <cell r="A466">
            <v>3921100000</v>
          </cell>
          <cell r="C466" t="str">
            <v>US81PZA003</v>
          </cell>
          <cell r="E466">
            <v>368.07</v>
          </cell>
          <cell r="F466">
            <v>0</v>
          </cell>
        </row>
        <row r="467">
          <cell r="A467">
            <v>3921100001</v>
          </cell>
          <cell r="C467" t="str">
            <v>US81PZA003</v>
          </cell>
          <cell r="E467">
            <v>4816.7700000000004</v>
          </cell>
          <cell r="F467">
            <v>0</v>
          </cell>
        </row>
        <row r="468">
          <cell r="A468">
            <v>3921200001</v>
          </cell>
          <cell r="C468" t="str">
            <v>US81PZA003</v>
          </cell>
          <cell r="E468">
            <v>2950.36</v>
          </cell>
          <cell r="F468">
            <v>0</v>
          </cell>
        </row>
        <row r="469">
          <cell r="A469">
            <v>3921200003</v>
          </cell>
          <cell r="C469" t="str">
            <v>US81PZA003</v>
          </cell>
          <cell r="E469">
            <v>2240.85</v>
          </cell>
          <cell r="F469">
            <v>0</v>
          </cell>
        </row>
        <row r="470">
          <cell r="A470">
            <v>3921200006</v>
          </cell>
          <cell r="C470" t="str">
            <v>US81PZA003</v>
          </cell>
          <cell r="E470">
            <v>6358.3</v>
          </cell>
          <cell r="F470">
            <v>0</v>
          </cell>
        </row>
        <row r="471">
          <cell r="A471">
            <v>3921200010</v>
          </cell>
          <cell r="C471" t="str">
            <v>US81PZA003</v>
          </cell>
          <cell r="E471">
            <v>10617.68</v>
          </cell>
          <cell r="F471">
            <v>0</v>
          </cell>
        </row>
        <row r="472">
          <cell r="A472">
            <v>3921200022</v>
          </cell>
          <cell r="C472" t="str">
            <v>US81PZA003</v>
          </cell>
          <cell r="E472">
            <v>42.8</v>
          </cell>
          <cell r="F472">
            <v>0</v>
          </cell>
        </row>
        <row r="473">
          <cell r="A473">
            <v>3921200050</v>
          </cell>
          <cell r="C473" t="str">
            <v>US81PZA003</v>
          </cell>
          <cell r="E473">
            <v>306.66000000000003</v>
          </cell>
          <cell r="F473">
            <v>0</v>
          </cell>
        </row>
        <row r="474">
          <cell r="A474">
            <v>3921200100</v>
          </cell>
          <cell r="C474" t="str">
            <v>US81PZA003</v>
          </cell>
          <cell r="E474">
            <v>588.11</v>
          </cell>
          <cell r="F474">
            <v>0</v>
          </cell>
        </row>
        <row r="475">
          <cell r="A475">
            <v>3951100002</v>
          </cell>
          <cell r="C475" t="str">
            <v>US81PZA003</v>
          </cell>
          <cell r="E475">
            <v>70576.02</v>
          </cell>
          <cell r="F475">
            <v>0</v>
          </cell>
        </row>
        <row r="476">
          <cell r="A476">
            <v>3951100005</v>
          </cell>
          <cell r="C476" t="str">
            <v>US81PZA003</v>
          </cell>
          <cell r="E476">
            <v>6636.61</v>
          </cell>
          <cell r="F476">
            <v>0</v>
          </cell>
        </row>
        <row r="477">
          <cell r="A477">
            <v>3951200002</v>
          </cell>
          <cell r="C477" t="str">
            <v>US81PZA003</v>
          </cell>
          <cell r="E477">
            <v>13260.43</v>
          </cell>
          <cell r="F477">
            <v>0</v>
          </cell>
        </row>
        <row r="478">
          <cell r="A478">
            <v>3981100067</v>
          </cell>
          <cell r="C478" t="str">
            <v>US81PZA003</v>
          </cell>
          <cell r="E478">
            <v>0</v>
          </cell>
          <cell r="F478">
            <v>0</v>
          </cell>
        </row>
        <row r="479">
          <cell r="A479">
            <v>3991200001</v>
          </cell>
          <cell r="C479" t="str">
            <v>US81PZA003</v>
          </cell>
          <cell r="E479">
            <v>1980</v>
          </cell>
          <cell r="F479">
            <v>0</v>
          </cell>
        </row>
        <row r="480">
          <cell r="A480">
            <v>3991200012</v>
          </cell>
          <cell r="C480" t="str">
            <v>US81PZA003</v>
          </cell>
          <cell r="E480">
            <v>36.130000000000003</v>
          </cell>
          <cell r="F480">
            <v>0</v>
          </cell>
        </row>
        <row r="481">
          <cell r="A481">
            <v>3991200015</v>
          </cell>
          <cell r="C481" t="str">
            <v>US81PZA003</v>
          </cell>
          <cell r="E481">
            <v>5897.91</v>
          </cell>
          <cell r="F481">
            <v>0</v>
          </cell>
        </row>
        <row r="482">
          <cell r="A482">
            <v>3991200099</v>
          </cell>
          <cell r="C482" t="str">
            <v>US81PZA003</v>
          </cell>
          <cell r="E482">
            <v>198.8</v>
          </cell>
          <cell r="F482">
            <v>0</v>
          </cell>
        </row>
        <row r="483">
          <cell r="A483">
            <v>3111100000</v>
          </cell>
          <cell r="C483" t="str">
            <v>US81PZA100</v>
          </cell>
          <cell r="E483">
            <v>73880.56</v>
          </cell>
          <cell r="F483">
            <v>489978.6</v>
          </cell>
        </row>
        <row r="484">
          <cell r="A484">
            <v>3111100012</v>
          </cell>
          <cell r="C484" t="str">
            <v>US81PZA100</v>
          </cell>
          <cell r="E484">
            <v>262.32</v>
          </cell>
          <cell r="F484">
            <v>0</v>
          </cell>
        </row>
        <row r="485">
          <cell r="A485">
            <v>3111100020</v>
          </cell>
          <cell r="C485" t="str">
            <v>US81PZA100</v>
          </cell>
          <cell r="E485">
            <v>6000</v>
          </cell>
          <cell r="F485">
            <v>0</v>
          </cell>
        </row>
        <row r="486">
          <cell r="A486">
            <v>3121300013</v>
          </cell>
          <cell r="C486" t="str">
            <v>US81PZA100</v>
          </cell>
          <cell r="E486">
            <v>0</v>
          </cell>
          <cell r="F486">
            <v>175902.36</v>
          </cell>
        </row>
        <row r="487">
          <cell r="A487">
            <v>3131100005</v>
          </cell>
          <cell r="C487" t="str">
            <v>US81PZA100</v>
          </cell>
          <cell r="E487">
            <v>500</v>
          </cell>
          <cell r="F487">
            <v>0</v>
          </cell>
        </row>
        <row r="488">
          <cell r="A488">
            <v>3131100007</v>
          </cell>
          <cell r="C488" t="str">
            <v>US81PZA100</v>
          </cell>
          <cell r="E488">
            <v>756</v>
          </cell>
          <cell r="F488">
            <v>5000.04</v>
          </cell>
        </row>
        <row r="489">
          <cell r="A489">
            <v>3201300002</v>
          </cell>
          <cell r="C489" t="str">
            <v>US81PZA100</v>
          </cell>
          <cell r="E489">
            <v>51.36</v>
          </cell>
          <cell r="F489">
            <v>0</v>
          </cell>
        </row>
        <row r="490">
          <cell r="A490">
            <v>3201400002</v>
          </cell>
          <cell r="C490" t="str">
            <v>US81PZA100</v>
          </cell>
          <cell r="E490">
            <v>13.74</v>
          </cell>
          <cell r="F490">
            <v>0</v>
          </cell>
        </row>
        <row r="491">
          <cell r="A491">
            <v>3201400029</v>
          </cell>
          <cell r="C491" t="str">
            <v>US81PZA100</v>
          </cell>
          <cell r="E491">
            <v>109.95</v>
          </cell>
          <cell r="F491">
            <v>99999.96</v>
          </cell>
        </row>
        <row r="492">
          <cell r="A492">
            <v>3911100010</v>
          </cell>
          <cell r="C492" t="str">
            <v>US81PZA100</v>
          </cell>
          <cell r="E492">
            <v>511.45</v>
          </cell>
          <cell r="F492">
            <v>0</v>
          </cell>
        </row>
        <row r="493">
          <cell r="A493">
            <v>3911100012</v>
          </cell>
          <cell r="C493" t="str">
            <v>US81PZA100</v>
          </cell>
          <cell r="E493">
            <v>2926.41</v>
          </cell>
          <cell r="F493">
            <v>0</v>
          </cell>
        </row>
        <row r="494">
          <cell r="A494">
            <v>3911100015</v>
          </cell>
          <cell r="C494" t="str">
            <v>US81PZA100</v>
          </cell>
          <cell r="E494">
            <v>160.19999999999999</v>
          </cell>
          <cell r="F494">
            <v>0</v>
          </cell>
        </row>
        <row r="495">
          <cell r="A495">
            <v>3911100022</v>
          </cell>
          <cell r="C495" t="str">
            <v>US81PZA100</v>
          </cell>
          <cell r="E495">
            <v>2145.3200000000002</v>
          </cell>
          <cell r="F495">
            <v>0</v>
          </cell>
        </row>
        <row r="496">
          <cell r="A496">
            <v>3911100041</v>
          </cell>
          <cell r="C496" t="str">
            <v>US81PZA100</v>
          </cell>
          <cell r="E496">
            <v>5725.18</v>
          </cell>
          <cell r="F496">
            <v>20000.04</v>
          </cell>
        </row>
        <row r="497">
          <cell r="A497">
            <v>3911200001</v>
          </cell>
          <cell r="C497" t="str">
            <v>US81PZA100</v>
          </cell>
          <cell r="E497">
            <v>4014.77</v>
          </cell>
          <cell r="F497">
            <v>60000</v>
          </cell>
        </row>
        <row r="498">
          <cell r="A498">
            <v>3921200003</v>
          </cell>
          <cell r="C498" t="str">
            <v>US81PZA100</v>
          </cell>
          <cell r="E498">
            <v>1679.72</v>
          </cell>
          <cell r="F498">
            <v>0</v>
          </cell>
        </row>
        <row r="499">
          <cell r="A499">
            <v>3921200010</v>
          </cell>
          <cell r="C499" t="str">
            <v>US81PZA100</v>
          </cell>
          <cell r="E499">
            <v>1542.86</v>
          </cell>
          <cell r="F499">
            <v>24000</v>
          </cell>
        </row>
        <row r="500">
          <cell r="A500">
            <v>3951100005</v>
          </cell>
          <cell r="C500" t="str">
            <v>US81PZA100</v>
          </cell>
          <cell r="E500">
            <v>95.16</v>
          </cell>
          <cell r="F500">
            <v>24000</v>
          </cell>
        </row>
        <row r="501">
          <cell r="A501">
            <v>3951200002</v>
          </cell>
          <cell r="C501" t="str">
            <v>US81PZA100</v>
          </cell>
          <cell r="E501">
            <v>-480</v>
          </cell>
          <cell r="F501">
            <v>0</v>
          </cell>
        </row>
        <row r="502">
          <cell r="A502">
            <v>3951200008</v>
          </cell>
          <cell r="C502" t="str">
            <v>US81PZA100</v>
          </cell>
          <cell r="E502">
            <v>3161.86</v>
          </cell>
          <cell r="F502">
            <v>0</v>
          </cell>
        </row>
        <row r="503">
          <cell r="A503">
            <v>3991200012</v>
          </cell>
          <cell r="C503" t="str">
            <v>US81PZA100</v>
          </cell>
          <cell r="E503">
            <v>499.59</v>
          </cell>
          <cell r="F503">
            <v>24000</v>
          </cell>
        </row>
        <row r="504">
          <cell r="A504">
            <v>3991200015</v>
          </cell>
          <cell r="C504" t="str">
            <v>US81PZA100</v>
          </cell>
          <cell r="E504">
            <v>2806.38</v>
          </cell>
          <cell r="F504">
            <v>12000</v>
          </cell>
        </row>
        <row r="505">
          <cell r="A505">
            <v>3991200099</v>
          </cell>
          <cell r="C505" t="str">
            <v>US81PZA100</v>
          </cell>
          <cell r="E505">
            <v>74.45</v>
          </cell>
          <cell r="F505">
            <v>24999.96</v>
          </cell>
        </row>
        <row r="506">
          <cell r="A506">
            <v>9420000025</v>
          </cell>
          <cell r="C506" t="str">
            <v>US81PZA100</v>
          </cell>
          <cell r="E506">
            <v>24799.98</v>
          </cell>
          <cell r="F506">
            <v>0</v>
          </cell>
        </row>
        <row r="507">
          <cell r="A507">
            <v>3111100000</v>
          </cell>
          <cell r="C507" t="str">
            <v>US81PZA120</v>
          </cell>
          <cell r="E507">
            <v>231657.02</v>
          </cell>
          <cell r="F507">
            <v>391315.20000000001</v>
          </cell>
        </row>
        <row r="508">
          <cell r="A508">
            <v>3121300013</v>
          </cell>
          <cell r="C508" t="str">
            <v>US81PZA120</v>
          </cell>
          <cell r="E508">
            <v>0</v>
          </cell>
          <cell r="F508">
            <v>104989.44</v>
          </cell>
        </row>
        <row r="509">
          <cell r="A509">
            <v>3131100005</v>
          </cell>
          <cell r="C509" t="str">
            <v>US81PZA120</v>
          </cell>
          <cell r="E509">
            <v>0</v>
          </cell>
          <cell r="F509">
            <v>0</v>
          </cell>
        </row>
        <row r="510">
          <cell r="A510">
            <v>3131100007</v>
          </cell>
          <cell r="C510" t="str">
            <v>US81PZA120</v>
          </cell>
          <cell r="E510">
            <v>0</v>
          </cell>
          <cell r="F510">
            <v>9000</v>
          </cell>
        </row>
        <row r="511">
          <cell r="A511">
            <v>3131100031</v>
          </cell>
          <cell r="C511" t="str">
            <v>US81PZA120</v>
          </cell>
          <cell r="E511">
            <v>1900.75</v>
          </cell>
          <cell r="F511">
            <v>0</v>
          </cell>
        </row>
        <row r="512">
          <cell r="A512">
            <v>3201300001</v>
          </cell>
          <cell r="C512" t="str">
            <v>US81PZA120</v>
          </cell>
          <cell r="E512">
            <v>47978.98</v>
          </cell>
          <cell r="F512">
            <v>0</v>
          </cell>
        </row>
        <row r="513">
          <cell r="A513">
            <v>3201400002</v>
          </cell>
          <cell r="C513" t="str">
            <v>US81PZA120</v>
          </cell>
          <cell r="E513">
            <v>231.03</v>
          </cell>
          <cell r="F513">
            <v>0</v>
          </cell>
        </row>
        <row r="514">
          <cell r="A514">
            <v>3201400029</v>
          </cell>
          <cell r="C514" t="str">
            <v>US81PZA120</v>
          </cell>
          <cell r="E514">
            <v>142.47999999999999</v>
          </cell>
          <cell r="F514">
            <v>0</v>
          </cell>
        </row>
        <row r="515">
          <cell r="A515">
            <v>3911100010</v>
          </cell>
          <cell r="C515" t="str">
            <v>US81PZA120</v>
          </cell>
          <cell r="E515">
            <v>545.66</v>
          </cell>
          <cell r="F515">
            <v>0</v>
          </cell>
        </row>
        <row r="516">
          <cell r="A516">
            <v>3911100012</v>
          </cell>
          <cell r="C516" t="str">
            <v>US81PZA120</v>
          </cell>
          <cell r="E516">
            <v>3353.71</v>
          </cell>
          <cell r="F516">
            <v>0</v>
          </cell>
        </row>
        <row r="517">
          <cell r="A517">
            <v>3911100015</v>
          </cell>
          <cell r="C517" t="str">
            <v>US81PZA120</v>
          </cell>
          <cell r="E517">
            <v>3380.35</v>
          </cell>
          <cell r="F517">
            <v>0</v>
          </cell>
        </row>
        <row r="518">
          <cell r="A518">
            <v>3911100022</v>
          </cell>
          <cell r="C518" t="str">
            <v>US81PZA120</v>
          </cell>
          <cell r="E518">
            <v>463.69</v>
          </cell>
          <cell r="F518">
            <v>0</v>
          </cell>
        </row>
        <row r="519">
          <cell r="A519">
            <v>3911100041</v>
          </cell>
          <cell r="C519" t="str">
            <v>US81PZA120</v>
          </cell>
          <cell r="E519">
            <v>1506.55</v>
          </cell>
          <cell r="F519">
            <v>27999.96</v>
          </cell>
        </row>
        <row r="520">
          <cell r="A520">
            <v>3921100000</v>
          </cell>
          <cell r="C520" t="str">
            <v>US81PZA120</v>
          </cell>
          <cell r="E520">
            <v>514.75</v>
          </cell>
          <cell r="F520">
            <v>0</v>
          </cell>
        </row>
        <row r="521">
          <cell r="A521">
            <v>3921100001</v>
          </cell>
          <cell r="C521" t="str">
            <v>US81PZA120</v>
          </cell>
          <cell r="E521">
            <v>1255.3499999999999</v>
          </cell>
          <cell r="F521">
            <v>0</v>
          </cell>
        </row>
        <row r="522">
          <cell r="A522">
            <v>3921200003</v>
          </cell>
          <cell r="C522" t="str">
            <v>US81PZA120</v>
          </cell>
          <cell r="E522">
            <v>625.13</v>
          </cell>
          <cell r="F522">
            <v>0</v>
          </cell>
        </row>
        <row r="523">
          <cell r="A523">
            <v>3921200010</v>
          </cell>
          <cell r="C523" t="str">
            <v>US81PZA120</v>
          </cell>
          <cell r="E523">
            <v>7489.11</v>
          </cell>
          <cell r="F523">
            <v>0</v>
          </cell>
        </row>
        <row r="524">
          <cell r="A524">
            <v>3951100002</v>
          </cell>
          <cell r="C524" t="str">
            <v>US81PZA120</v>
          </cell>
          <cell r="E524">
            <v>2000</v>
          </cell>
          <cell r="F524">
            <v>0</v>
          </cell>
        </row>
        <row r="525">
          <cell r="A525">
            <v>3951200002</v>
          </cell>
          <cell r="C525" t="str">
            <v>US81PZA120</v>
          </cell>
          <cell r="E525">
            <v>-110</v>
          </cell>
          <cell r="F525">
            <v>0</v>
          </cell>
        </row>
        <row r="526">
          <cell r="A526">
            <v>3951200008</v>
          </cell>
          <cell r="C526" t="str">
            <v>US81PZA120</v>
          </cell>
          <cell r="E526">
            <v>1648.28</v>
          </cell>
          <cell r="F526">
            <v>0</v>
          </cell>
        </row>
        <row r="527">
          <cell r="A527">
            <v>3991200001</v>
          </cell>
          <cell r="C527" t="str">
            <v>US81PZA120</v>
          </cell>
          <cell r="E527">
            <v>1728</v>
          </cell>
          <cell r="F527">
            <v>0</v>
          </cell>
        </row>
        <row r="528">
          <cell r="A528">
            <v>3991200012</v>
          </cell>
          <cell r="C528" t="str">
            <v>US81PZA120</v>
          </cell>
          <cell r="E528">
            <v>208.13</v>
          </cell>
          <cell r="F528">
            <v>0</v>
          </cell>
        </row>
        <row r="529">
          <cell r="A529">
            <v>3991200015</v>
          </cell>
          <cell r="C529" t="str">
            <v>US81PZA120</v>
          </cell>
          <cell r="E529">
            <v>5806.31</v>
          </cell>
          <cell r="F529">
            <v>12000</v>
          </cell>
        </row>
        <row r="530">
          <cell r="A530">
            <v>3991200018</v>
          </cell>
          <cell r="C530" t="str">
            <v>US81PZA120</v>
          </cell>
          <cell r="E530">
            <v>11.94</v>
          </cell>
          <cell r="F530">
            <v>0</v>
          </cell>
        </row>
        <row r="531">
          <cell r="A531">
            <v>3991200023</v>
          </cell>
          <cell r="C531" t="str">
            <v>US81PZA120</v>
          </cell>
          <cell r="E531">
            <v>2152.56</v>
          </cell>
          <cell r="F531">
            <v>0</v>
          </cell>
        </row>
        <row r="532">
          <cell r="A532">
            <v>3991200099</v>
          </cell>
          <cell r="C532" t="str">
            <v>US81PZA120</v>
          </cell>
          <cell r="E532">
            <v>170.96</v>
          </cell>
          <cell r="F532">
            <v>0</v>
          </cell>
        </row>
        <row r="533">
          <cell r="A533">
            <v>9420000025</v>
          </cell>
          <cell r="C533" t="str">
            <v>US81PZA120</v>
          </cell>
          <cell r="E533">
            <v>70445.89</v>
          </cell>
          <cell r="F533">
            <v>0</v>
          </cell>
        </row>
        <row r="534">
          <cell r="A534">
            <v>3111100000</v>
          </cell>
          <cell r="C534" t="str">
            <v>US81PZA589</v>
          </cell>
          <cell r="E534">
            <v>184922.11</v>
          </cell>
          <cell r="F534">
            <v>262947.96000000002</v>
          </cell>
        </row>
        <row r="535">
          <cell r="A535">
            <v>3111100012</v>
          </cell>
          <cell r="C535" t="str">
            <v>US81PZA589</v>
          </cell>
          <cell r="E535">
            <v>0</v>
          </cell>
          <cell r="F535">
            <v>0</v>
          </cell>
        </row>
        <row r="536">
          <cell r="A536">
            <v>3111100020</v>
          </cell>
          <cell r="C536" t="str">
            <v>US81PZA589</v>
          </cell>
          <cell r="E536">
            <v>8424.5499999999993</v>
          </cell>
          <cell r="F536">
            <v>0</v>
          </cell>
        </row>
        <row r="537">
          <cell r="A537">
            <v>3111100900</v>
          </cell>
          <cell r="C537" t="str">
            <v>US81PZA589</v>
          </cell>
          <cell r="E537">
            <v>751.6</v>
          </cell>
          <cell r="F537">
            <v>0</v>
          </cell>
        </row>
        <row r="538">
          <cell r="A538">
            <v>3121300013</v>
          </cell>
          <cell r="C538" t="str">
            <v>US81PZA589</v>
          </cell>
          <cell r="E538">
            <v>0</v>
          </cell>
          <cell r="F538">
            <v>106968</v>
          </cell>
        </row>
        <row r="539">
          <cell r="A539">
            <v>3131100007</v>
          </cell>
          <cell r="C539" t="str">
            <v>US81PZA589</v>
          </cell>
          <cell r="E539">
            <v>45</v>
          </cell>
          <cell r="F539">
            <v>3900</v>
          </cell>
        </row>
        <row r="540">
          <cell r="A540">
            <v>3131100025</v>
          </cell>
          <cell r="C540" t="str">
            <v>US81PZA589</v>
          </cell>
          <cell r="E540">
            <v>259.75</v>
          </cell>
          <cell r="F540">
            <v>0</v>
          </cell>
        </row>
        <row r="541">
          <cell r="A541">
            <v>3131100031</v>
          </cell>
          <cell r="C541" t="str">
            <v>US81PZA589</v>
          </cell>
          <cell r="E541">
            <v>0</v>
          </cell>
          <cell r="F541">
            <v>3000</v>
          </cell>
        </row>
        <row r="542">
          <cell r="A542">
            <v>3201300001</v>
          </cell>
          <cell r="C542" t="str">
            <v>US81PZA589</v>
          </cell>
          <cell r="E542">
            <v>1800.92</v>
          </cell>
          <cell r="F542">
            <v>9358.2000000000007</v>
          </cell>
        </row>
        <row r="543">
          <cell r="A543">
            <v>3201300002</v>
          </cell>
          <cell r="C543" t="str">
            <v>US81PZA589</v>
          </cell>
          <cell r="E543">
            <v>360</v>
          </cell>
          <cell r="F543">
            <v>3000</v>
          </cell>
        </row>
        <row r="544">
          <cell r="A544">
            <v>3201300007</v>
          </cell>
          <cell r="C544" t="str">
            <v>US81PZA589</v>
          </cell>
          <cell r="E544">
            <v>5600</v>
          </cell>
          <cell r="F544">
            <v>0</v>
          </cell>
        </row>
        <row r="545">
          <cell r="A545">
            <v>3201400002</v>
          </cell>
          <cell r="C545" t="str">
            <v>US81PZA589</v>
          </cell>
          <cell r="E545">
            <v>11.49</v>
          </cell>
          <cell r="F545">
            <v>0</v>
          </cell>
        </row>
        <row r="546">
          <cell r="A546">
            <v>3201400004</v>
          </cell>
          <cell r="C546" t="str">
            <v>US81PZA589</v>
          </cell>
          <cell r="E546">
            <v>0</v>
          </cell>
          <cell r="F546">
            <v>2000</v>
          </cell>
        </row>
        <row r="547">
          <cell r="A547">
            <v>3201400029</v>
          </cell>
          <cell r="C547" t="str">
            <v>US81PZA589</v>
          </cell>
          <cell r="E547">
            <v>179</v>
          </cell>
          <cell r="F547">
            <v>0</v>
          </cell>
        </row>
        <row r="548">
          <cell r="A548">
            <v>3311400099</v>
          </cell>
          <cell r="C548" t="str">
            <v>US81PZA589</v>
          </cell>
          <cell r="E548">
            <v>0</v>
          </cell>
          <cell r="F548">
            <v>2000.04</v>
          </cell>
        </row>
        <row r="549">
          <cell r="A549">
            <v>3911100010</v>
          </cell>
          <cell r="C549" t="str">
            <v>US81PZA589</v>
          </cell>
          <cell r="E549">
            <v>1393.78</v>
          </cell>
          <cell r="F549">
            <v>10000</v>
          </cell>
        </row>
        <row r="550">
          <cell r="A550">
            <v>3911100012</v>
          </cell>
          <cell r="C550" t="str">
            <v>US81PZA589</v>
          </cell>
          <cell r="E550">
            <v>3311.37</v>
          </cell>
          <cell r="F550">
            <v>30080</v>
          </cell>
        </row>
        <row r="551">
          <cell r="A551">
            <v>3911100015</v>
          </cell>
          <cell r="C551" t="str">
            <v>US81PZA589</v>
          </cell>
          <cell r="E551">
            <v>5662.62</v>
          </cell>
          <cell r="F551">
            <v>6320</v>
          </cell>
        </row>
        <row r="552">
          <cell r="A552">
            <v>3911100022</v>
          </cell>
          <cell r="C552" t="str">
            <v>US81PZA589</v>
          </cell>
          <cell r="E552">
            <v>4138.25</v>
          </cell>
          <cell r="F552">
            <v>0</v>
          </cell>
        </row>
        <row r="553">
          <cell r="A553">
            <v>3911100041</v>
          </cell>
          <cell r="C553" t="str">
            <v>US81PZA589</v>
          </cell>
          <cell r="E553">
            <v>1961.07</v>
          </cell>
          <cell r="F553">
            <v>4600</v>
          </cell>
        </row>
        <row r="554">
          <cell r="A554">
            <v>3911200000</v>
          </cell>
          <cell r="C554" t="str">
            <v>US81PZA589</v>
          </cell>
          <cell r="E554">
            <v>0</v>
          </cell>
          <cell r="F554">
            <v>0</v>
          </cell>
        </row>
        <row r="555">
          <cell r="A555">
            <v>3911200001</v>
          </cell>
          <cell r="C555" t="str">
            <v>US81PZA589</v>
          </cell>
          <cell r="E555">
            <v>2003.23</v>
          </cell>
          <cell r="F555">
            <v>0</v>
          </cell>
        </row>
        <row r="556">
          <cell r="A556">
            <v>3921100001</v>
          </cell>
          <cell r="C556" t="str">
            <v>US81PZA589</v>
          </cell>
          <cell r="E556">
            <v>0</v>
          </cell>
          <cell r="F556">
            <v>0</v>
          </cell>
        </row>
        <row r="557">
          <cell r="A557">
            <v>3921200001</v>
          </cell>
          <cell r="C557" t="str">
            <v>US81PZA589</v>
          </cell>
          <cell r="E557">
            <v>0</v>
          </cell>
          <cell r="F557">
            <v>0</v>
          </cell>
        </row>
        <row r="558">
          <cell r="A558">
            <v>3921200003</v>
          </cell>
          <cell r="C558" t="str">
            <v>US81PZA589</v>
          </cell>
          <cell r="E558">
            <v>737.29</v>
          </cell>
          <cell r="F558">
            <v>1460</v>
          </cell>
        </row>
        <row r="559">
          <cell r="A559">
            <v>3921200004</v>
          </cell>
          <cell r="C559" t="str">
            <v>US81PZA589</v>
          </cell>
          <cell r="E559">
            <v>0</v>
          </cell>
          <cell r="F559">
            <v>0</v>
          </cell>
        </row>
        <row r="560">
          <cell r="A560">
            <v>3921200006</v>
          </cell>
          <cell r="C560" t="str">
            <v>US81PZA589</v>
          </cell>
          <cell r="E560">
            <v>221.93</v>
          </cell>
          <cell r="F560">
            <v>0</v>
          </cell>
        </row>
        <row r="561">
          <cell r="A561">
            <v>3921200010</v>
          </cell>
          <cell r="C561" t="str">
            <v>US81PZA589</v>
          </cell>
          <cell r="E561">
            <v>1200.74</v>
          </cell>
          <cell r="F561">
            <v>0</v>
          </cell>
        </row>
        <row r="562">
          <cell r="A562">
            <v>3921200023</v>
          </cell>
          <cell r="C562" t="str">
            <v>US81PZA589</v>
          </cell>
          <cell r="E562">
            <v>12797.78</v>
          </cell>
          <cell r="F562">
            <v>40000</v>
          </cell>
        </row>
        <row r="563">
          <cell r="A563">
            <v>3921200026</v>
          </cell>
          <cell r="C563" t="str">
            <v>US81PZA589</v>
          </cell>
          <cell r="E563">
            <v>0</v>
          </cell>
          <cell r="F563">
            <v>0</v>
          </cell>
        </row>
        <row r="564">
          <cell r="A564">
            <v>3921200037</v>
          </cell>
          <cell r="C564" t="str">
            <v>US81PZA589</v>
          </cell>
          <cell r="E564">
            <v>0</v>
          </cell>
          <cell r="F564">
            <v>0</v>
          </cell>
        </row>
        <row r="565">
          <cell r="A565">
            <v>3921200050</v>
          </cell>
          <cell r="C565" t="str">
            <v>US81PZA589</v>
          </cell>
          <cell r="E565">
            <v>1139.58</v>
          </cell>
          <cell r="F565">
            <v>1400</v>
          </cell>
        </row>
        <row r="566">
          <cell r="A566">
            <v>3921200051</v>
          </cell>
          <cell r="C566" t="str">
            <v>US81PZA589</v>
          </cell>
          <cell r="E566">
            <v>0</v>
          </cell>
          <cell r="F566">
            <v>0</v>
          </cell>
        </row>
        <row r="567">
          <cell r="A567">
            <v>3921200100</v>
          </cell>
          <cell r="C567" t="str">
            <v>US81PZA589</v>
          </cell>
          <cell r="E567">
            <v>434.81</v>
          </cell>
          <cell r="F567">
            <v>0</v>
          </cell>
        </row>
        <row r="568">
          <cell r="A568">
            <v>3941100001</v>
          </cell>
          <cell r="C568" t="str">
            <v>US81PZA589</v>
          </cell>
          <cell r="E568">
            <v>0</v>
          </cell>
          <cell r="F568">
            <v>0</v>
          </cell>
        </row>
        <row r="569">
          <cell r="A569">
            <v>3941100002</v>
          </cell>
          <cell r="C569" t="str">
            <v>US81PZA589</v>
          </cell>
          <cell r="E569">
            <v>395.88</v>
          </cell>
          <cell r="F569">
            <v>0</v>
          </cell>
        </row>
        <row r="570">
          <cell r="A570">
            <v>3941100013</v>
          </cell>
          <cell r="C570" t="str">
            <v>US81PZA589</v>
          </cell>
          <cell r="E570">
            <v>0</v>
          </cell>
          <cell r="F570">
            <v>0</v>
          </cell>
        </row>
        <row r="571">
          <cell r="A571">
            <v>3941100020</v>
          </cell>
          <cell r="C571" t="str">
            <v>US81PZA589</v>
          </cell>
          <cell r="E571">
            <v>0</v>
          </cell>
          <cell r="F571">
            <v>0</v>
          </cell>
        </row>
        <row r="572">
          <cell r="A572">
            <v>3951100002</v>
          </cell>
          <cell r="C572" t="str">
            <v>US81PZA589</v>
          </cell>
          <cell r="E572">
            <v>0</v>
          </cell>
          <cell r="F572">
            <v>0</v>
          </cell>
        </row>
        <row r="573">
          <cell r="A573">
            <v>3951100003</v>
          </cell>
          <cell r="C573" t="str">
            <v>US81PZA589</v>
          </cell>
          <cell r="E573">
            <v>0</v>
          </cell>
          <cell r="F573">
            <v>0</v>
          </cell>
        </row>
        <row r="574">
          <cell r="A574">
            <v>3951100005</v>
          </cell>
          <cell r="C574" t="str">
            <v>US81PZA589</v>
          </cell>
          <cell r="E574">
            <v>0</v>
          </cell>
          <cell r="F574">
            <v>0</v>
          </cell>
        </row>
        <row r="575">
          <cell r="A575">
            <v>3951200002</v>
          </cell>
          <cell r="C575" t="str">
            <v>US81PZA589</v>
          </cell>
          <cell r="E575">
            <v>0</v>
          </cell>
          <cell r="F575">
            <v>0</v>
          </cell>
        </row>
        <row r="576">
          <cell r="A576">
            <v>3951200008</v>
          </cell>
          <cell r="C576" t="str">
            <v>US81PZA589</v>
          </cell>
          <cell r="E576">
            <v>1094.6099999999999</v>
          </cell>
          <cell r="F576">
            <v>0</v>
          </cell>
        </row>
        <row r="577">
          <cell r="A577">
            <v>3991200001</v>
          </cell>
          <cell r="C577" t="str">
            <v>US81PZA589</v>
          </cell>
          <cell r="E577">
            <v>0</v>
          </cell>
          <cell r="F577">
            <v>0</v>
          </cell>
        </row>
        <row r="578">
          <cell r="A578">
            <v>3991200012</v>
          </cell>
          <cell r="C578" t="str">
            <v>US81PZA589</v>
          </cell>
          <cell r="E578">
            <v>2676.07</v>
          </cell>
          <cell r="F578">
            <v>1200</v>
          </cell>
        </row>
        <row r="579">
          <cell r="A579">
            <v>3991200015</v>
          </cell>
          <cell r="C579" t="str">
            <v>US81PZA589</v>
          </cell>
          <cell r="E579">
            <v>1296.56</v>
          </cell>
          <cell r="F579">
            <v>0</v>
          </cell>
        </row>
        <row r="580">
          <cell r="A580">
            <v>3991200018</v>
          </cell>
          <cell r="C580" t="str">
            <v>US81PZA589</v>
          </cell>
          <cell r="E580">
            <v>40</v>
          </cell>
          <cell r="F580">
            <v>0</v>
          </cell>
        </row>
        <row r="581">
          <cell r="A581">
            <v>3991200023</v>
          </cell>
          <cell r="C581" t="str">
            <v>US81PZA589</v>
          </cell>
          <cell r="E581">
            <v>307.5</v>
          </cell>
          <cell r="F581">
            <v>0</v>
          </cell>
        </row>
        <row r="582">
          <cell r="A582">
            <v>3991200069</v>
          </cell>
          <cell r="C582" t="str">
            <v>US81PZA589</v>
          </cell>
        </row>
        <row r="583">
          <cell r="A583">
            <v>3991200099</v>
          </cell>
          <cell r="C583" t="str">
            <v>US81PZA589</v>
          </cell>
          <cell r="E583">
            <v>2287.85</v>
          </cell>
          <cell r="F583">
            <v>30000</v>
          </cell>
        </row>
        <row r="584">
          <cell r="A584">
            <v>9420000025</v>
          </cell>
          <cell r="C584" t="str">
            <v>US81PZA589</v>
          </cell>
          <cell r="E584">
            <v>58314.7</v>
          </cell>
          <cell r="F584">
            <v>0</v>
          </cell>
        </row>
        <row r="585">
          <cell r="A585">
            <v>3111100000</v>
          </cell>
          <cell r="C585" t="str">
            <v>USCLP01005</v>
          </cell>
          <cell r="E585">
            <v>0</v>
          </cell>
          <cell r="F585">
            <v>0</v>
          </cell>
        </row>
        <row r="586">
          <cell r="A586">
            <v>3111100900</v>
          </cell>
          <cell r="C586" t="str">
            <v>USCLP01005</v>
          </cell>
          <cell r="E586">
            <v>0</v>
          </cell>
          <cell r="F586">
            <v>0</v>
          </cell>
        </row>
        <row r="587">
          <cell r="A587">
            <v>3131100007</v>
          </cell>
          <cell r="C587" t="str">
            <v>USCLP01005</v>
          </cell>
          <cell r="E587">
            <v>766.48</v>
          </cell>
          <cell r="F587">
            <v>250</v>
          </cell>
        </row>
        <row r="588">
          <cell r="A588">
            <v>3201300001</v>
          </cell>
          <cell r="C588" t="str">
            <v>USCLP01005</v>
          </cell>
          <cell r="E588">
            <v>0</v>
          </cell>
          <cell r="F588">
            <v>66100</v>
          </cell>
        </row>
        <row r="589">
          <cell r="A589">
            <v>3201400002</v>
          </cell>
          <cell r="C589" t="str">
            <v>USCLP01005</v>
          </cell>
          <cell r="E589">
            <v>199.93</v>
          </cell>
          <cell r="F589">
            <v>2820</v>
          </cell>
        </row>
        <row r="590">
          <cell r="A590">
            <v>3201400004</v>
          </cell>
          <cell r="C590" t="str">
            <v>USCLP01005</v>
          </cell>
          <cell r="E590">
            <v>157.93</v>
          </cell>
          <cell r="F590">
            <v>0</v>
          </cell>
        </row>
        <row r="591">
          <cell r="A591">
            <v>3201400051</v>
          </cell>
          <cell r="C591" t="str">
            <v>USCLP01005</v>
          </cell>
          <cell r="E591">
            <v>0</v>
          </cell>
          <cell r="F591">
            <v>5000</v>
          </cell>
        </row>
        <row r="592">
          <cell r="A592">
            <v>3201400056</v>
          </cell>
          <cell r="C592" t="str">
            <v>USCLP01005</v>
          </cell>
          <cell r="E592">
            <v>1621.07</v>
          </cell>
          <cell r="F592">
            <v>4000</v>
          </cell>
        </row>
        <row r="593">
          <cell r="A593">
            <v>3911100010</v>
          </cell>
          <cell r="C593" t="str">
            <v>USCLP01005</v>
          </cell>
          <cell r="E593">
            <v>197.49</v>
          </cell>
          <cell r="F593">
            <v>1020</v>
          </cell>
        </row>
        <row r="594">
          <cell r="A594">
            <v>3911100012</v>
          </cell>
          <cell r="C594" t="str">
            <v>USCLP01005</v>
          </cell>
          <cell r="E594">
            <v>1489.2</v>
          </cell>
          <cell r="F594">
            <v>2640</v>
          </cell>
        </row>
        <row r="595">
          <cell r="A595">
            <v>3911100015</v>
          </cell>
          <cell r="C595" t="str">
            <v>USCLP01005</v>
          </cell>
          <cell r="E595">
            <v>3707.01</v>
          </cell>
          <cell r="F595">
            <v>500</v>
          </cell>
        </row>
        <row r="596">
          <cell r="A596">
            <v>3911100022</v>
          </cell>
          <cell r="C596" t="str">
            <v>USCLP01005</v>
          </cell>
          <cell r="E596">
            <v>0</v>
          </cell>
          <cell r="F596">
            <v>2000</v>
          </cell>
        </row>
        <row r="597">
          <cell r="A597">
            <v>3911200001</v>
          </cell>
          <cell r="C597" t="str">
            <v>USCLP01005</v>
          </cell>
          <cell r="E597">
            <v>0</v>
          </cell>
          <cell r="F597">
            <v>730</v>
          </cell>
        </row>
        <row r="598">
          <cell r="A598">
            <v>3911200007</v>
          </cell>
          <cell r="C598" t="str">
            <v>USCLP01005</v>
          </cell>
          <cell r="E598">
            <v>0</v>
          </cell>
          <cell r="F598">
            <v>300</v>
          </cell>
        </row>
        <row r="599">
          <cell r="A599">
            <v>3921200001</v>
          </cell>
          <cell r="C599" t="str">
            <v>USCLP01005</v>
          </cell>
          <cell r="E599">
            <v>0</v>
          </cell>
          <cell r="F599">
            <v>710</v>
          </cell>
        </row>
        <row r="600">
          <cell r="A600">
            <v>3921200003</v>
          </cell>
          <cell r="C600" t="str">
            <v>USCLP01005</v>
          </cell>
          <cell r="E600">
            <v>1941.59</v>
          </cell>
          <cell r="F600">
            <v>3500</v>
          </cell>
        </row>
        <row r="601">
          <cell r="A601">
            <v>3921200006</v>
          </cell>
          <cell r="C601" t="str">
            <v>USCLP01005</v>
          </cell>
          <cell r="E601">
            <v>1536.43</v>
          </cell>
          <cell r="F601">
            <v>0</v>
          </cell>
        </row>
        <row r="602">
          <cell r="A602">
            <v>3921200010</v>
          </cell>
          <cell r="C602" t="str">
            <v>USCLP01005</v>
          </cell>
          <cell r="E602">
            <v>1457.18</v>
          </cell>
          <cell r="F602">
            <v>0</v>
          </cell>
        </row>
        <row r="603">
          <cell r="A603">
            <v>3921200050</v>
          </cell>
          <cell r="C603" t="str">
            <v>USCLP01005</v>
          </cell>
          <cell r="E603">
            <v>283.86</v>
          </cell>
          <cell r="F603">
            <v>650</v>
          </cell>
        </row>
        <row r="604">
          <cell r="A604">
            <v>3921200100</v>
          </cell>
          <cell r="C604" t="str">
            <v>USCLP01005</v>
          </cell>
          <cell r="E604">
            <v>20.87</v>
          </cell>
          <cell r="F604">
            <v>4000</v>
          </cell>
        </row>
        <row r="605">
          <cell r="A605">
            <v>3951100002</v>
          </cell>
          <cell r="C605" t="str">
            <v>USCLP01005</v>
          </cell>
          <cell r="E605">
            <v>0</v>
          </cell>
          <cell r="F605">
            <v>4600</v>
          </cell>
        </row>
        <row r="606">
          <cell r="A606">
            <v>3951200002</v>
          </cell>
          <cell r="C606" t="str">
            <v>USCLP01005</v>
          </cell>
          <cell r="E606">
            <v>5599.14</v>
          </cell>
          <cell r="F606">
            <v>16800</v>
          </cell>
        </row>
        <row r="607">
          <cell r="A607">
            <v>3951200008</v>
          </cell>
          <cell r="C607" t="str">
            <v>USCLP01005</v>
          </cell>
          <cell r="E607">
            <v>240.86</v>
          </cell>
          <cell r="F607">
            <v>2004</v>
          </cell>
        </row>
        <row r="608">
          <cell r="A608">
            <v>3981100067</v>
          </cell>
          <cell r="C608" t="str">
            <v>USCLP01005</v>
          </cell>
          <cell r="E608">
            <v>0</v>
          </cell>
          <cell r="F608">
            <v>0</v>
          </cell>
        </row>
        <row r="609">
          <cell r="A609">
            <v>3991200001</v>
          </cell>
          <cell r="C609" t="str">
            <v>USCLP01005</v>
          </cell>
          <cell r="E609">
            <v>271.14</v>
          </cell>
          <cell r="F609">
            <v>0</v>
          </cell>
        </row>
        <row r="610">
          <cell r="A610">
            <v>3991200012</v>
          </cell>
          <cell r="C610" t="str">
            <v>USCLP01005</v>
          </cell>
          <cell r="E610">
            <v>504</v>
          </cell>
          <cell r="F610">
            <v>680</v>
          </cell>
        </row>
        <row r="611">
          <cell r="A611">
            <v>3991200015</v>
          </cell>
          <cell r="C611" t="str">
            <v>USCLP01005</v>
          </cell>
          <cell r="E611">
            <v>591.41</v>
          </cell>
          <cell r="F611">
            <v>1200</v>
          </cell>
        </row>
        <row r="612">
          <cell r="A612">
            <v>3991200018</v>
          </cell>
          <cell r="C612" t="str">
            <v>USCLP01005</v>
          </cell>
          <cell r="E612">
            <v>507</v>
          </cell>
          <cell r="F612">
            <v>510</v>
          </cell>
        </row>
        <row r="613">
          <cell r="A613">
            <v>3991200099</v>
          </cell>
          <cell r="C613" t="str">
            <v>USCLP01005</v>
          </cell>
          <cell r="E613">
            <v>127</v>
          </cell>
          <cell r="F613">
            <v>0</v>
          </cell>
        </row>
        <row r="614">
          <cell r="A614">
            <v>3991200101</v>
          </cell>
          <cell r="C614" t="str">
            <v>USCLP01005</v>
          </cell>
          <cell r="E614">
            <v>-125</v>
          </cell>
          <cell r="F614">
            <v>-3000</v>
          </cell>
        </row>
        <row r="615">
          <cell r="A615">
            <v>3991200211</v>
          </cell>
          <cell r="C615" t="str">
            <v>USCLP01005</v>
          </cell>
          <cell r="E615">
            <v>0</v>
          </cell>
          <cell r="F615">
            <v>18000</v>
          </cell>
        </row>
        <row r="616">
          <cell r="A616">
            <v>9420000025</v>
          </cell>
          <cell r="C616" t="str">
            <v>USCLP01005</v>
          </cell>
          <cell r="E616">
            <v>554.57000000000005</v>
          </cell>
          <cell r="F616">
            <v>0</v>
          </cell>
        </row>
        <row r="617">
          <cell r="A617">
            <v>3111100000</v>
          </cell>
          <cell r="C617" t="str">
            <v>USMWP3C501</v>
          </cell>
          <cell r="E617">
            <v>12000</v>
          </cell>
          <cell r="F617">
            <v>0</v>
          </cell>
        </row>
        <row r="618">
          <cell r="A618">
            <v>3131100006</v>
          </cell>
          <cell r="C618" t="str">
            <v>USMWP3C501</v>
          </cell>
          <cell r="E618">
            <v>175</v>
          </cell>
          <cell r="F618">
            <v>0</v>
          </cell>
        </row>
        <row r="619">
          <cell r="A619">
            <v>3201300002</v>
          </cell>
          <cell r="C619" t="str">
            <v>USMWP3C501</v>
          </cell>
          <cell r="E619">
            <v>680</v>
          </cell>
          <cell r="F619">
            <v>0</v>
          </cell>
        </row>
        <row r="620">
          <cell r="A620">
            <v>3911100010</v>
          </cell>
          <cell r="C620" t="str">
            <v>USMWP3C501</v>
          </cell>
          <cell r="E620">
            <v>232.42</v>
          </cell>
          <cell r="F620">
            <v>0</v>
          </cell>
        </row>
        <row r="621">
          <cell r="A621">
            <v>3911100012</v>
          </cell>
          <cell r="C621" t="str">
            <v>USMWP3C501</v>
          </cell>
          <cell r="E621">
            <v>543.17999999999995</v>
          </cell>
          <cell r="F621">
            <v>0</v>
          </cell>
        </row>
        <row r="622">
          <cell r="A622">
            <v>3911100015</v>
          </cell>
          <cell r="C622" t="str">
            <v>USMWP3C501</v>
          </cell>
          <cell r="E622">
            <v>1254.5899999999999</v>
          </cell>
          <cell r="F622">
            <v>0</v>
          </cell>
        </row>
        <row r="623">
          <cell r="A623">
            <v>3911100041</v>
          </cell>
          <cell r="C623" t="str">
            <v>USMWP3C501</v>
          </cell>
          <cell r="E623">
            <v>30.98</v>
          </cell>
          <cell r="F623">
            <v>0</v>
          </cell>
        </row>
        <row r="624">
          <cell r="A624">
            <v>3921200003</v>
          </cell>
          <cell r="C624" t="str">
            <v>USMWP3C501</v>
          </cell>
          <cell r="E624">
            <v>34.85</v>
          </cell>
          <cell r="F624">
            <v>0</v>
          </cell>
        </row>
        <row r="625">
          <cell r="A625">
            <v>3921200010</v>
          </cell>
          <cell r="C625" t="str">
            <v>USMWP3C501</v>
          </cell>
          <cell r="E625">
            <v>189.76</v>
          </cell>
          <cell r="F625">
            <v>0</v>
          </cell>
        </row>
        <row r="626">
          <cell r="A626">
            <v>3941200000</v>
          </cell>
          <cell r="C626" t="str">
            <v>USMWP3C501</v>
          </cell>
          <cell r="E626">
            <v>1927.01</v>
          </cell>
          <cell r="F626">
            <v>0</v>
          </cell>
        </row>
        <row r="627">
          <cell r="A627">
            <v>3991200001</v>
          </cell>
          <cell r="C627" t="str">
            <v>USMWP3C501</v>
          </cell>
          <cell r="E627">
            <v>632.96</v>
          </cell>
          <cell r="F627">
            <v>0</v>
          </cell>
        </row>
        <row r="628">
          <cell r="A628">
            <v>3991200012</v>
          </cell>
          <cell r="C628" t="str">
            <v>USMWP3C501</v>
          </cell>
          <cell r="E628">
            <v>204</v>
          </cell>
          <cell r="F628">
            <v>0</v>
          </cell>
        </row>
        <row r="629">
          <cell r="A629">
            <v>3991200015</v>
          </cell>
          <cell r="C629" t="str">
            <v>USMWP3C501</v>
          </cell>
          <cell r="E629">
            <v>260.26</v>
          </cell>
          <cell r="F629">
            <v>0</v>
          </cell>
        </row>
        <row r="630">
          <cell r="A630">
            <v>3991200018</v>
          </cell>
          <cell r="C630" t="str">
            <v>USMWP3C501</v>
          </cell>
          <cell r="E630">
            <v>154</v>
          </cell>
          <cell r="F630">
            <v>0</v>
          </cell>
        </row>
        <row r="631">
          <cell r="A631">
            <v>3991200101</v>
          </cell>
          <cell r="C631" t="str">
            <v>USMWP3C501</v>
          </cell>
          <cell r="E631">
            <v>-2115.16</v>
          </cell>
          <cell r="F631">
            <v>0</v>
          </cell>
        </row>
        <row r="632">
          <cell r="A632">
            <v>9420000025</v>
          </cell>
          <cell r="C632" t="str">
            <v>USMWP3C501</v>
          </cell>
          <cell r="E632">
            <v>2536.4499999999998</v>
          </cell>
          <cell r="F632">
            <v>0</v>
          </cell>
        </row>
        <row r="633">
          <cell r="A633">
            <v>3991200101</v>
          </cell>
          <cell r="C633" t="str">
            <v>USMWP3C511</v>
          </cell>
          <cell r="E633">
            <v>-17422.599999999999</v>
          </cell>
          <cell r="F633">
            <v>0</v>
          </cell>
        </row>
        <row r="634">
          <cell r="A634">
            <v>3991200099</v>
          </cell>
          <cell r="C634" t="str">
            <v>USMWP3C515</v>
          </cell>
          <cell r="E634">
            <v>-326688</v>
          </cell>
          <cell r="F634">
            <v>0</v>
          </cell>
        </row>
        <row r="635">
          <cell r="A635">
            <v>3201400056</v>
          </cell>
          <cell r="C635" t="str">
            <v>USMWP3C550</v>
          </cell>
          <cell r="E635">
            <v>46942.1</v>
          </cell>
          <cell r="F635">
            <v>0</v>
          </cell>
        </row>
        <row r="636">
          <cell r="A636">
            <v>3941100002</v>
          </cell>
          <cell r="C636" t="str">
            <v>USMWP3C550</v>
          </cell>
          <cell r="E636">
            <v>1005.38</v>
          </cell>
          <cell r="F636">
            <v>0</v>
          </cell>
        </row>
        <row r="637">
          <cell r="A637">
            <v>3941100013</v>
          </cell>
          <cell r="C637" t="str">
            <v>USMWP3C550</v>
          </cell>
          <cell r="E637">
            <v>510</v>
          </cell>
          <cell r="F637">
            <v>0</v>
          </cell>
        </row>
        <row r="638">
          <cell r="A638">
            <v>3951100005</v>
          </cell>
          <cell r="C638" t="str">
            <v>USMWP3C550</v>
          </cell>
          <cell r="E638">
            <v>1590</v>
          </cell>
          <cell r="F638">
            <v>0</v>
          </cell>
        </row>
        <row r="639">
          <cell r="A639">
            <v>3991200099</v>
          </cell>
          <cell r="C639" t="str">
            <v>USMWP3C550</v>
          </cell>
          <cell r="E639">
            <v>0</v>
          </cell>
          <cell r="F639">
            <v>0</v>
          </cell>
        </row>
        <row r="640">
          <cell r="A640">
            <v>3201400056</v>
          </cell>
          <cell r="C640" t="str">
            <v>USMWP3C560</v>
          </cell>
          <cell r="E640">
            <v>36874.339999999997</v>
          </cell>
          <cell r="F640">
            <v>0</v>
          </cell>
        </row>
        <row r="641">
          <cell r="A641">
            <v>3201400059</v>
          </cell>
          <cell r="C641" t="str">
            <v>USMWP3C560</v>
          </cell>
          <cell r="E641">
            <v>46243.37</v>
          </cell>
          <cell r="F641">
            <v>0</v>
          </cell>
        </row>
        <row r="642">
          <cell r="A642">
            <v>3201400061</v>
          </cell>
          <cell r="C642" t="str">
            <v>USMWP3C560</v>
          </cell>
          <cell r="E642">
            <v>48645.06</v>
          </cell>
          <cell r="F642">
            <v>0</v>
          </cell>
        </row>
        <row r="643">
          <cell r="A643">
            <v>3201400062</v>
          </cell>
          <cell r="C643" t="str">
            <v>USMWP3C560</v>
          </cell>
          <cell r="E643">
            <v>18</v>
          </cell>
          <cell r="F643">
            <v>0</v>
          </cell>
        </row>
        <row r="644">
          <cell r="A644">
            <v>3201400063</v>
          </cell>
          <cell r="C644" t="str">
            <v>USMWP3C560</v>
          </cell>
          <cell r="E644">
            <v>282.06</v>
          </cell>
          <cell r="F644">
            <v>0</v>
          </cell>
        </row>
        <row r="645">
          <cell r="A645">
            <v>3201400064</v>
          </cell>
          <cell r="C645" t="str">
            <v>USMWP3C560</v>
          </cell>
          <cell r="E645">
            <v>3427.8</v>
          </cell>
          <cell r="F645">
            <v>0</v>
          </cell>
        </row>
        <row r="646">
          <cell r="A646">
            <v>3201400070</v>
          </cell>
          <cell r="C646" t="str">
            <v>USMWP3C560</v>
          </cell>
          <cell r="E646">
            <v>5414.33</v>
          </cell>
          <cell r="F646">
            <v>0</v>
          </cell>
        </row>
        <row r="647">
          <cell r="A647">
            <v>3921200004</v>
          </cell>
          <cell r="C647" t="str">
            <v>USMWP3C560</v>
          </cell>
          <cell r="E647">
            <v>976</v>
          </cell>
          <cell r="F647">
            <v>0</v>
          </cell>
        </row>
        <row r="648">
          <cell r="A648">
            <v>3921200023</v>
          </cell>
          <cell r="C648" t="str">
            <v>USMWP3C560</v>
          </cell>
          <cell r="E648">
            <v>1120.67</v>
          </cell>
          <cell r="F648">
            <v>0</v>
          </cell>
        </row>
        <row r="649">
          <cell r="A649">
            <v>3921200051</v>
          </cell>
          <cell r="C649" t="str">
            <v>USMWP3C560</v>
          </cell>
          <cell r="E649">
            <v>2848</v>
          </cell>
          <cell r="F649">
            <v>0</v>
          </cell>
        </row>
        <row r="650">
          <cell r="A650">
            <v>3921200100</v>
          </cell>
          <cell r="C650" t="str">
            <v>USMWP3C560</v>
          </cell>
          <cell r="E650">
            <v>6690</v>
          </cell>
          <cell r="F650">
            <v>0</v>
          </cell>
        </row>
        <row r="651">
          <cell r="A651">
            <v>3941100013</v>
          </cell>
          <cell r="C651" t="str">
            <v>USMWP3C560</v>
          </cell>
          <cell r="E651">
            <v>200</v>
          </cell>
          <cell r="F651">
            <v>0</v>
          </cell>
        </row>
        <row r="652">
          <cell r="A652">
            <v>3991200012</v>
          </cell>
          <cell r="C652" t="str">
            <v>USMWP3C560</v>
          </cell>
          <cell r="E652">
            <v>779.45</v>
          </cell>
          <cell r="F652">
            <v>0</v>
          </cell>
        </row>
        <row r="653">
          <cell r="A653">
            <v>3991200099</v>
          </cell>
          <cell r="C653" t="str">
            <v>USMWP3C560</v>
          </cell>
          <cell r="E653">
            <v>1744.04</v>
          </cell>
          <cell r="F653">
            <v>0</v>
          </cell>
        </row>
        <row r="654">
          <cell r="A654">
            <v>3991200101</v>
          </cell>
          <cell r="C654" t="str">
            <v>USMWP3C560</v>
          </cell>
          <cell r="E654">
            <v>-34796.050000000003</v>
          </cell>
          <cell r="F654">
            <v>0</v>
          </cell>
        </row>
        <row r="655">
          <cell r="A655">
            <v>3001500152</v>
          </cell>
          <cell r="C655" t="str">
            <v>USWOP01005</v>
          </cell>
          <cell r="E655">
            <v>722.47</v>
          </cell>
          <cell r="F655">
            <v>0</v>
          </cell>
        </row>
        <row r="656">
          <cell r="A656">
            <v>3001500973</v>
          </cell>
          <cell r="C656" t="str">
            <v>USWOP01005</v>
          </cell>
          <cell r="E656">
            <v>241.22</v>
          </cell>
          <cell r="F656">
            <v>0</v>
          </cell>
        </row>
        <row r="657">
          <cell r="A657">
            <v>3111100000</v>
          </cell>
          <cell r="C657" t="str">
            <v>USWOP01005</v>
          </cell>
          <cell r="E657">
            <v>6635.27</v>
          </cell>
          <cell r="F657">
            <v>0</v>
          </cell>
        </row>
        <row r="658">
          <cell r="A658">
            <v>3131100005</v>
          </cell>
          <cell r="C658" t="str">
            <v>USWOP01005</v>
          </cell>
          <cell r="E658">
            <v>500</v>
          </cell>
          <cell r="F658">
            <v>0</v>
          </cell>
        </row>
        <row r="659">
          <cell r="A659">
            <v>3131100007</v>
          </cell>
          <cell r="C659" t="str">
            <v>USWOP01005</v>
          </cell>
          <cell r="E659">
            <v>0</v>
          </cell>
          <cell r="F659">
            <v>250</v>
          </cell>
        </row>
        <row r="660">
          <cell r="A660">
            <v>3201300001</v>
          </cell>
          <cell r="C660" t="str">
            <v>USWOP01005</v>
          </cell>
          <cell r="E660">
            <v>7006.69</v>
          </cell>
          <cell r="F660">
            <v>23750</v>
          </cell>
        </row>
        <row r="661">
          <cell r="A661">
            <v>3201300002</v>
          </cell>
          <cell r="C661" t="str">
            <v>USWOP01005</v>
          </cell>
          <cell r="E661">
            <v>983.96</v>
          </cell>
          <cell r="F661">
            <v>0</v>
          </cell>
        </row>
        <row r="662">
          <cell r="A662">
            <v>3201400002</v>
          </cell>
          <cell r="C662" t="str">
            <v>USWOP01005</v>
          </cell>
          <cell r="E662">
            <v>579.69000000000005</v>
          </cell>
          <cell r="F662">
            <v>2400</v>
          </cell>
        </row>
        <row r="663">
          <cell r="A663">
            <v>3201400051</v>
          </cell>
          <cell r="C663" t="str">
            <v>USWOP01005</v>
          </cell>
          <cell r="E663">
            <v>859.11</v>
          </cell>
          <cell r="F663">
            <v>5000</v>
          </cell>
        </row>
        <row r="664">
          <cell r="A664">
            <v>3201400056</v>
          </cell>
          <cell r="C664" t="str">
            <v>USWOP01005</v>
          </cell>
          <cell r="E664">
            <v>1443.61</v>
          </cell>
          <cell r="F664">
            <v>9250</v>
          </cell>
        </row>
        <row r="665">
          <cell r="A665">
            <v>3311400099</v>
          </cell>
          <cell r="C665" t="str">
            <v>USWOP01005</v>
          </cell>
          <cell r="E665">
            <v>201.67</v>
          </cell>
          <cell r="F665">
            <v>0</v>
          </cell>
        </row>
        <row r="666">
          <cell r="A666">
            <v>3911100010</v>
          </cell>
          <cell r="C666" t="str">
            <v>USWOP01005</v>
          </cell>
          <cell r="E666">
            <v>17.37</v>
          </cell>
          <cell r="F666">
            <v>1080</v>
          </cell>
        </row>
        <row r="667">
          <cell r="A667">
            <v>3911100012</v>
          </cell>
          <cell r="C667" t="str">
            <v>USWOP01005</v>
          </cell>
          <cell r="E667">
            <v>1035.48</v>
          </cell>
          <cell r="F667">
            <v>2700</v>
          </cell>
        </row>
        <row r="668">
          <cell r="A668">
            <v>3911100015</v>
          </cell>
          <cell r="C668" t="str">
            <v>USWOP01005</v>
          </cell>
          <cell r="E668">
            <v>88.89</v>
          </cell>
          <cell r="F668">
            <v>240</v>
          </cell>
        </row>
        <row r="669">
          <cell r="A669">
            <v>3911100022</v>
          </cell>
          <cell r="C669" t="str">
            <v>USWOP01005</v>
          </cell>
          <cell r="E669">
            <v>3677.59</v>
          </cell>
          <cell r="F669">
            <v>2000</v>
          </cell>
        </row>
        <row r="670">
          <cell r="A670">
            <v>3911100041</v>
          </cell>
          <cell r="C670" t="str">
            <v>USWOP01005</v>
          </cell>
          <cell r="E670">
            <v>10.73</v>
          </cell>
          <cell r="F670">
            <v>0</v>
          </cell>
        </row>
        <row r="671">
          <cell r="A671">
            <v>3911200001</v>
          </cell>
          <cell r="C671" t="str">
            <v>USWOP01005</v>
          </cell>
          <cell r="E671">
            <v>91.5</v>
          </cell>
          <cell r="F671">
            <v>300</v>
          </cell>
        </row>
        <row r="672">
          <cell r="A672">
            <v>3911200007</v>
          </cell>
          <cell r="C672" t="str">
            <v>USWOP01005</v>
          </cell>
          <cell r="E672">
            <v>0</v>
          </cell>
          <cell r="F672">
            <v>250</v>
          </cell>
        </row>
        <row r="673">
          <cell r="A673">
            <v>3921200001</v>
          </cell>
          <cell r="C673" t="str">
            <v>USWOP01005</v>
          </cell>
          <cell r="E673">
            <v>148.79</v>
          </cell>
          <cell r="F673">
            <v>6600</v>
          </cell>
        </row>
        <row r="674">
          <cell r="A674">
            <v>3921200003</v>
          </cell>
          <cell r="C674" t="str">
            <v>USWOP01005</v>
          </cell>
          <cell r="E674">
            <v>851.49</v>
          </cell>
          <cell r="F674">
            <v>3250</v>
          </cell>
        </row>
        <row r="675">
          <cell r="A675">
            <v>3921200006</v>
          </cell>
          <cell r="C675" t="str">
            <v>USWOP01005</v>
          </cell>
          <cell r="E675">
            <v>289.61</v>
          </cell>
          <cell r="F675">
            <v>0</v>
          </cell>
        </row>
        <row r="676">
          <cell r="A676">
            <v>3921200010</v>
          </cell>
          <cell r="C676" t="str">
            <v>USWOP01005</v>
          </cell>
          <cell r="E676">
            <v>240</v>
          </cell>
          <cell r="F676">
            <v>0</v>
          </cell>
        </row>
        <row r="677">
          <cell r="A677">
            <v>3921200037</v>
          </cell>
          <cell r="C677" t="str">
            <v>USWOP01005</v>
          </cell>
          <cell r="E677">
            <v>0</v>
          </cell>
          <cell r="F677">
            <v>0</v>
          </cell>
        </row>
        <row r="678">
          <cell r="A678">
            <v>3921200050</v>
          </cell>
          <cell r="C678" t="str">
            <v>USWOP01005</v>
          </cell>
          <cell r="E678">
            <v>431.95</v>
          </cell>
          <cell r="F678">
            <v>480</v>
          </cell>
        </row>
        <row r="679">
          <cell r="A679">
            <v>3921200100</v>
          </cell>
          <cell r="C679" t="str">
            <v>USWOP01005</v>
          </cell>
          <cell r="E679">
            <v>2316.69</v>
          </cell>
          <cell r="F679">
            <v>5000</v>
          </cell>
        </row>
        <row r="680">
          <cell r="A680">
            <v>3951100002</v>
          </cell>
          <cell r="C680" t="str">
            <v>USWOP01005</v>
          </cell>
          <cell r="E680">
            <v>9439.5</v>
          </cell>
          <cell r="F680">
            <v>18000</v>
          </cell>
        </row>
        <row r="681">
          <cell r="A681">
            <v>3951200002</v>
          </cell>
          <cell r="C681" t="str">
            <v>USWOP01005</v>
          </cell>
          <cell r="E681">
            <v>3656.32</v>
          </cell>
          <cell r="F681">
            <v>16800</v>
          </cell>
        </row>
        <row r="682">
          <cell r="A682">
            <v>3951200008</v>
          </cell>
          <cell r="C682" t="str">
            <v>USWOP01005</v>
          </cell>
          <cell r="E682">
            <v>0</v>
          </cell>
          <cell r="F682">
            <v>1920</v>
          </cell>
        </row>
        <row r="683">
          <cell r="A683">
            <v>3981100067</v>
          </cell>
          <cell r="C683" t="str">
            <v>USWOP01005</v>
          </cell>
          <cell r="E683">
            <v>0</v>
          </cell>
          <cell r="F683">
            <v>0</v>
          </cell>
        </row>
        <row r="684">
          <cell r="A684">
            <v>3991200012</v>
          </cell>
          <cell r="C684" t="str">
            <v>USWOP01005</v>
          </cell>
          <cell r="E684">
            <v>696.58</v>
          </cell>
          <cell r="F684">
            <v>550</v>
          </cell>
        </row>
        <row r="685">
          <cell r="A685">
            <v>3991200015</v>
          </cell>
          <cell r="C685" t="str">
            <v>USWOP01005</v>
          </cell>
          <cell r="E685">
            <v>0</v>
          </cell>
          <cell r="F685">
            <v>1080</v>
          </cell>
        </row>
        <row r="686">
          <cell r="A686">
            <v>3991200018</v>
          </cell>
          <cell r="C686" t="str">
            <v>USWOP01005</v>
          </cell>
          <cell r="E686">
            <v>249</v>
          </cell>
          <cell r="F686">
            <v>300</v>
          </cell>
        </row>
        <row r="687">
          <cell r="A687">
            <v>3991200099</v>
          </cell>
          <cell r="C687" t="str">
            <v>USWOP01005</v>
          </cell>
          <cell r="E687">
            <v>395.13</v>
          </cell>
          <cell r="F687">
            <v>0</v>
          </cell>
        </row>
        <row r="688">
          <cell r="A688">
            <v>3991200101</v>
          </cell>
          <cell r="C688" t="str">
            <v>USWOP01005</v>
          </cell>
          <cell r="E688">
            <v>0</v>
          </cell>
          <cell r="F688">
            <v>-12000</v>
          </cell>
        </row>
        <row r="689">
          <cell r="A689">
            <v>3991200213</v>
          </cell>
          <cell r="C689" t="str">
            <v>USWOP01005</v>
          </cell>
          <cell r="E689">
            <v>0</v>
          </cell>
          <cell r="F689">
            <v>5000</v>
          </cell>
        </row>
        <row r="690">
          <cell r="A690">
            <v>9420000025</v>
          </cell>
          <cell r="C690" t="str">
            <v>USWOP01005</v>
          </cell>
          <cell r="E690">
            <v>2064.4899999999998</v>
          </cell>
          <cell r="F690">
            <v>0</v>
          </cell>
        </row>
        <row r="691">
          <cell r="A691">
            <v>3111100000</v>
          </cell>
          <cell r="C691" t="str">
            <v>USCRP01590</v>
          </cell>
          <cell r="E691">
            <v>0</v>
          </cell>
          <cell r="F691">
            <v>23862.5</v>
          </cell>
        </row>
        <row r="692">
          <cell r="A692">
            <v>3111100012</v>
          </cell>
          <cell r="C692" t="str">
            <v>USCRP01590</v>
          </cell>
          <cell r="E692">
            <v>0</v>
          </cell>
          <cell r="F692">
            <v>0</v>
          </cell>
        </row>
        <row r="693">
          <cell r="A693">
            <v>3111100900</v>
          </cell>
          <cell r="C693" t="str">
            <v>USCRP01590</v>
          </cell>
          <cell r="E693">
            <v>0</v>
          </cell>
          <cell r="F693">
            <v>0</v>
          </cell>
        </row>
        <row r="694">
          <cell r="A694">
            <v>3121300013</v>
          </cell>
          <cell r="C694" t="str">
            <v>USCRP01590</v>
          </cell>
          <cell r="E694">
            <v>0</v>
          </cell>
          <cell r="F694">
            <v>8566.64</v>
          </cell>
        </row>
        <row r="695">
          <cell r="A695">
            <v>3201300001</v>
          </cell>
          <cell r="C695" t="str">
            <v>USCRP01590</v>
          </cell>
          <cell r="E695">
            <v>9854.09</v>
          </cell>
          <cell r="F695">
            <v>31582.19</v>
          </cell>
        </row>
        <row r="696">
          <cell r="A696">
            <v>3201400051</v>
          </cell>
          <cell r="C696" t="str">
            <v>USCRP01590</v>
          </cell>
          <cell r="E696">
            <v>0</v>
          </cell>
          <cell r="F696">
            <v>0</v>
          </cell>
        </row>
        <row r="697">
          <cell r="A697">
            <v>3201400055</v>
          </cell>
          <cell r="C697" t="str">
            <v>USCRP01590</v>
          </cell>
          <cell r="E697">
            <v>0</v>
          </cell>
          <cell r="F697">
            <v>0</v>
          </cell>
        </row>
        <row r="698">
          <cell r="A698">
            <v>3311400099</v>
          </cell>
          <cell r="C698" t="str">
            <v>USCRP01590</v>
          </cell>
          <cell r="E698">
            <v>0</v>
          </cell>
          <cell r="F698">
            <v>0</v>
          </cell>
        </row>
        <row r="699">
          <cell r="A699">
            <v>3911100010</v>
          </cell>
          <cell r="C699" t="str">
            <v>USCRP01590</v>
          </cell>
          <cell r="E699">
            <v>0</v>
          </cell>
          <cell r="F699">
            <v>0</v>
          </cell>
        </row>
        <row r="700">
          <cell r="A700">
            <v>3911100012</v>
          </cell>
          <cell r="C700" t="str">
            <v>USCRP01590</v>
          </cell>
          <cell r="E700">
            <v>0</v>
          </cell>
          <cell r="F700">
            <v>0</v>
          </cell>
        </row>
        <row r="701">
          <cell r="A701">
            <v>3911100015</v>
          </cell>
          <cell r="C701" t="str">
            <v>USCRP01590</v>
          </cell>
          <cell r="E701">
            <v>0</v>
          </cell>
          <cell r="F701">
            <v>0</v>
          </cell>
        </row>
        <row r="702">
          <cell r="A702">
            <v>3911100022</v>
          </cell>
          <cell r="C702" t="str">
            <v>USCRP01590</v>
          </cell>
          <cell r="E702">
            <v>0</v>
          </cell>
          <cell r="F702">
            <v>0</v>
          </cell>
        </row>
        <row r="703">
          <cell r="A703">
            <v>3911100041</v>
          </cell>
          <cell r="C703" t="str">
            <v>USCRP01590</v>
          </cell>
          <cell r="E703">
            <v>0</v>
          </cell>
          <cell r="F703">
            <v>0</v>
          </cell>
        </row>
        <row r="704">
          <cell r="A704">
            <v>3921200004</v>
          </cell>
          <cell r="C704" t="str">
            <v>USCRP01590</v>
          </cell>
          <cell r="E704">
            <v>0</v>
          </cell>
          <cell r="F704">
            <v>2000</v>
          </cell>
        </row>
        <row r="705">
          <cell r="A705">
            <v>3921200006</v>
          </cell>
          <cell r="C705" t="str">
            <v>USCRP01590</v>
          </cell>
          <cell r="E705">
            <v>0</v>
          </cell>
          <cell r="F705">
            <v>1000</v>
          </cell>
        </row>
        <row r="706">
          <cell r="A706">
            <v>3921200010</v>
          </cell>
          <cell r="C706" t="str">
            <v>USCRP01590</v>
          </cell>
          <cell r="E706">
            <v>126.97</v>
          </cell>
          <cell r="F706">
            <v>0</v>
          </cell>
        </row>
        <row r="707">
          <cell r="A707">
            <v>3921200050</v>
          </cell>
          <cell r="C707" t="str">
            <v>USCRP01590</v>
          </cell>
          <cell r="E707">
            <v>0</v>
          </cell>
          <cell r="F707">
            <v>200</v>
          </cell>
        </row>
        <row r="708">
          <cell r="A708">
            <v>3991200099</v>
          </cell>
          <cell r="C708" t="str">
            <v>USCRP01590</v>
          </cell>
          <cell r="E708">
            <v>275.01</v>
          </cell>
          <cell r="F708">
            <v>0</v>
          </cell>
        </row>
        <row r="709">
          <cell r="A709">
            <v>3991200101</v>
          </cell>
          <cell r="C709" t="str">
            <v>USCRP01590</v>
          </cell>
          <cell r="E709">
            <v>0</v>
          </cell>
          <cell r="F709">
            <v>0</v>
          </cell>
        </row>
        <row r="710">
          <cell r="A710">
            <v>3991200210</v>
          </cell>
          <cell r="C710" t="str">
            <v>USCRP01590</v>
          </cell>
          <cell r="E710">
            <v>0</v>
          </cell>
          <cell r="F710">
            <v>0</v>
          </cell>
        </row>
        <row r="711">
          <cell r="A711">
            <v>3201400055</v>
          </cell>
          <cell r="C711" t="str">
            <v>USCRP3C590</v>
          </cell>
          <cell r="E711">
            <v>30</v>
          </cell>
          <cell r="F711">
            <v>0</v>
          </cell>
        </row>
        <row r="712">
          <cell r="A712">
            <v>3921200100</v>
          </cell>
          <cell r="C712" t="str">
            <v>USCRP3C590</v>
          </cell>
          <cell r="E712">
            <v>5854.5</v>
          </cell>
          <cell r="F712">
            <v>0</v>
          </cell>
        </row>
        <row r="713">
          <cell r="A713">
            <v>3001500152</v>
          </cell>
          <cell r="C713" t="str">
            <v>USCRPZA590</v>
          </cell>
          <cell r="E713">
            <v>106</v>
          </cell>
          <cell r="F713">
            <v>0</v>
          </cell>
        </row>
        <row r="714">
          <cell r="A714">
            <v>3111100000</v>
          </cell>
          <cell r="C714" t="str">
            <v>USCRPZA590</v>
          </cell>
          <cell r="E714">
            <v>0</v>
          </cell>
          <cell r="F714">
            <v>178317</v>
          </cell>
        </row>
        <row r="715">
          <cell r="A715">
            <v>3111100012</v>
          </cell>
          <cell r="C715" t="str">
            <v>USCRPZA590</v>
          </cell>
          <cell r="E715">
            <v>0</v>
          </cell>
          <cell r="F715">
            <v>0</v>
          </cell>
        </row>
        <row r="716">
          <cell r="A716">
            <v>3111100900</v>
          </cell>
          <cell r="C716" t="str">
            <v>USCRPZA590</v>
          </cell>
          <cell r="E716">
            <v>0</v>
          </cell>
          <cell r="F716">
            <v>0</v>
          </cell>
        </row>
        <row r="717">
          <cell r="A717">
            <v>3121300013</v>
          </cell>
          <cell r="C717" t="str">
            <v>USCRPZA590</v>
          </cell>
          <cell r="E717">
            <v>0</v>
          </cell>
          <cell r="F717">
            <v>64015.77</v>
          </cell>
        </row>
        <row r="718">
          <cell r="A718">
            <v>3131100001</v>
          </cell>
          <cell r="C718" t="str">
            <v>USCRPZA590</v>
          </cell>
          <cell r="E718">
            <v>0</v>
          </cell>
          <cell r="F718">
            <v>0</v>
          </cell>
        </row>
        <row r="719">
          <cell r="A719">
            <v>3131100007</v>
          </cell>
          <cell r="C719" t="str">
            <v>USCRPZA590</v>
          </cell>
          <cell r="E719">
            <v>0</v>
          </cell>
          <cell r="F719">
            <v>2000</v>
          </cell>
        </row>
        <row r="720">
          <cell r="A720">
            <v>3131100025</v>
          </cell>
          <cell r="C720" t="str">
            <v>USCRPZA590</v>
          </cell>
          <cell r="E720">
            <v>1304.75</v>
          </cell>
          <cell r="F720">
            <v>4000</v>
          </cell>
        </row>
        <row r="721">
          <cell r="A721">
            <v>3201300001</v>
          </cell>
          <cell r="C721" t="str">
            <v>USCRPZA590</v>
          </cell>
          <cell r="E721">
            <v>158623.92000000001</v>
          </cell>
          <cell r="F721">
            <v>383804.04</v>
          </cell>
        </row>
        <row r="722">
          <cell r="A722">
            <v>3201300002</v>
          </cell>
          <cell r="C722" t="str">
            <v>USCRPZA590</v>
          </cell>
          <cell r="E722">
            <v>0</v>
          </cell>
          <cell r="F722">
            <v>1000</v>
          </cell>
        </row>
        <row r="723">
          <cell r="A723">
            <v>3201400000</v>
          </cell>
          <cell r="C723" t="str">
            <v>USCRPZA590</v>
          </cell>
          <cell r="E723">
            <v>225.35</v>
          </cell>
          <cell r="F723">
            <v>5000</v>
          </cell>
        </row>
        <row r="724">
          <cell r="A724">
            <v>3201400002</v>
          </cell>
          <cell r="C724" t="str">
            <v>USCRPZA590</v>
          </cell>
          <cell r="E724">
            <v>0</v>
          </cell>
          <cell r="F724">
            <v>0</v>
          </cell>
        </row>
        <row r="725">
          <cell r="A725">
            <v>3201400004</v>
          </cell>
          <cell r="C725" t="str">
            <v>USCRPZA590</v>
          </cell>
          <cell r="E725">
            <v>1199.68</v>
          </cell>
          <cell r="F725">
            <v>3000</v>
          </cell>
        </row>
        <row r="726">
          <cell r="A726">
            <v>3201400025</v>
          </cell>
          <cell r="C726" t="str">
            <v>USCRPZA590</v>
          </cell>
          <cell r="E726">
            <v>7334.4</v>
          </cell>
          <cell r="F726">
            <v>2400</v>
          </cell>
        </row>
        <row r="727">
          <cell r="A727">
            <v>3201400029</v>
          </cell>
          <cell r="C727" t="str">
            <v>USCRPZA590</v>
          </cell>
          <cell r="E727">
            <v>2340.38</v>
          </cell>
          <cell r="F727">
            <v>2000</v>
          </cell>
        </row>
        <row r="728">
          <cell r="A728">
            <v>3201400036</v>
          </cell>
          <cell r="C728" t="str">
            <v>USCRPZA590</v>
          </cell>
          <cell r="E728">
            <v>252.52</v>
          </cell>
          <cell r="F728">
            <v>0</v>
          </cell>
        </row>
        <row r="729">
          <cell r="A729">
            <v>3201400051</v>
          </cell>
          <cell r="C729" t="str">
            <v>USCRPZA590</v>
          </cell>
          <cell r="E729">
            <v>34.79</v>
          </cell>
          <cell r="F729">
            <v>0</v>
          </cell>
        </row>
        <row r="730">
          <cell r="A730">
            <v>3201400055</v>
          </cell>
          <cell r="C730" t="str">
            <v>USCRPZA590</v>
          </cell>
          <cell r="E730">
            <v>20822.560000000001</v>
          </cell>
          <cell r="F730">
            <v>17500</v>
          </cell>
        </row>
        <row r="731">
          <cell r="A731">
            <v>3311400099</v>
          </cell>
          <cell r="C731" t="str">
            <v>USCRPZA590</v>
          </cell>
          <cell r="E731">
            <v>9274.7999999999993</v>
          </cell>
          <cell r="F731">
            <v>7686</v>
          </cell>
        </row>
        <row r="732">
          <cell r="A732">
            <v>3501500034</v>
          </cell>
          <cell r="C732" t="str">
            <v>USCRPZA590</v>
          </cell>
          <cell r="E732">
            <v>0</v>
          </cell>
          <cell r="F732">
            <v>0</v>
          </cell>
        </row>
        <row r="733">
          <cell r="A733">
            <v>3911100010</v>
          </cell>
          <cell r="C733" t="str">
            <v>USCRPZA590</v>
          </cell>
          <cell r="E733">
            <v>0</v>
          </cell>
          <cell r="F733">
            <v>2200</v>
          </cell>
        </row>
        <row r="734">
          <cell r="A734">
            <v>3911100012</v>
          </cell>
          <cell r="C734" t="str">
            <v>USCRPZA590</v>
          </cell>
          <cell r="E734">
            <v>206.5</v>
          </cell>
          <cell r="F734">
            <v>3100</v>
          </cell>
        </row>
        <row r="735">
          <cell r="A735">
            <v>3911100015</v>
          </cell>
          <cell r="C735" t="str">
            <v>USCRPZA590</v>
          </cell>
          <cell r="E735">
            <v>0</v>
          </cell>
          <cell r="F735">
            <v>1200</v>
          </cell>
        </row>
        <row r="736">
          <cell r="A736">
            <v>3911100022</v>
          </cell>
          <cell r="C736" t="str">
            <v>USCRPZA590</v>
          </cell>
          <cell r="E736">
            <v>247.2</v>
          </cell>
          <cell r="F736">
            <v>4000</v>
          </cell>
        </row>
        <row r="737">
          <cell r="A737">
            <v>3911100041</v>
          </cell>
          <cell r="C737" t="str">
            <v>USCRPZA590</v>
          </cell>
          <cell r="E737">
            <v>0</v>
          </cell>
          <cell r="F737">
            <v>600</v>
          </cell>
        </row>
        <row r="738">
          <cell r="A738">
            <v>3921100000</v>
          </cell>
          <cell r="C738" t="str">
            <v>USCRPZA590</v>
          </cell>
          <cell r="E738">
            <v>331.73</v>
          </cell>
          <cell r="F738">
            <v>0</v>
          </cell>
        </row>
        <row r="739">
          <cell r="A739">
            <v>3921100001</v>
          </cell>
          <cell r="C739" t="str">
            <v>USCRPZA590</v>
          </cell>
          <cell r="E739">
            <v>7977.35</v>
          </cell>
          <cell r="F739">
            <v>0</v>
          </cell>
        </row>
        <row r="740">
          <cell r="A740">
            <v>3921200001</v>
          </cell>
          <cell r="C740" t="str">
            <v>USCRPZA590</v>
          </cell>
          <cell r="E740">
            <v>6467.49</v>
          </cell>
          <cell r="F740">
            <v>0</v>
          </cell>
        </row>
        <row r="741">
          <cell r="A741">
            <v>3921200003</v>
          </cell>
          <cell r="C741" t="str">
            <v>USCRPZA590</v>
          </cell>
          <cell r="E741">
            <v>61.37</v>
          </cell>
          <cell r="F741">
            <v>1000</v>
          </cell>
        </row>
        <row r="742">
          <cell r="A742">
            <v>3921200004</v>
          </cell>
          <cell r="C742" t="str">
            <v>USCRPZA590</v>
          </cell>
          <cell r="E742">
            <v>0</v>
          </cell>
          <cell r="F742">
            <v>0</v>
          </cell>
        </row>
        <row r="743">
          <cell r="A743">
            <v>3921200006</v>
          </cell>
          <cell r="C743" t="str">
            <v>USCRPZA590</v>
          </cell>
          <cell r="E743">
            <v>91.92</v>
          </cell>
          <cell r="F743">
            <v>1500</v>
          </cell>
        </row>
        <row r="744">
          <cell r="A744">
            <v>3921200010</v>
          </cell>
          <cell r="C744" t="str">
            <v>USCRPZA590</v>
          </cell>
          <cell r="E744">
            <v>2568.37</v>
          </cell>
          <cell r="F744">
            <v>2000</v>
          </cell>
        </row>
        <row r="745">
          <cell r="A745">
            <v>3921200015</v>
          </cell>
          <cell r="C745" t="str">
            <v>USCRPZA590</v>
          </cell>
          <cell r="E745">
            <v>0</v>
          </cell>
          <cell r="F745">
            <v>1500</v>
          </cell>
        </row>
        <row r="746">
          <cell r="A746">
            <v>3921200037</v>
          </cell>
          <cell r="C746" t="str">
            <v>USCRPZA590</v>
          </cell>
          <cell r="E746">
            <v>1292.51</v>
          </cell>
          <cell r="F746">
            <v>1500</v>
          </cell>
        </row>
        <row r="747">
          <cell r="A747">
            <v>3921200050</v>
          </cell>
          <cell r="C747" t="str">
            <v>USCRPZA590</v>
          </cell>
          <cell r="E747">
            <v>1462.33</v>
          </cell>
          <cell r="F747">
            <v>2000</v>
          </cell>
        </row>
        <row r="748">
          <cell r="A748">
            <v>3921200100</v>
          </cell>
          <cell r="C748" t="str">
            <v>USCRPZA590</v>
          </cell>
          <cell r="E748">
            <v>2757.74</v>
          </cell>
          <cell r="F748">
            <v>30000</v>
          </cell>
        </row>
        <row r="749">
          <cell r="A749">
            <v>3951100002</v>
          </cell>
          <cell r="C749" t="str">
            <v>USCRPZA590</v>
          </cell>
          <cell r="E749">
            <v>0</v>
          </cell>
          <cell r="F749">
            <v>0</v>
          </cell>
        </row>
        <row r="750">
          <cell r="A750">
            <v>3951100005</v>
          </cell>
          <cell r="C750" t="str">
            <v>USCRPZA590</v>
          </cell>
          <cell r="E750">
            <v>0</v>
          </cell>
          <cell r="F750">
            <v>600</v>
          </cell>
        </row>
        <row r="751">
          <cell r="A751">
            <v>3951200002</v>
          </cell>
          <cell r="C751" t="str">
            <v>USCRPZA590</v>
          </cell>
          <cell r="E751">
            <v>0</v>
          </cell>
          <cell r="F751">
            <v>0</v>
          </cell>
        </row>
        <row r="752">
          <cell r="A752">
            <v>3961100000</v>
          </cell>
          <cell r="C752" t="str">
            <v>USCRPZA590</v>
          </cell>
          <cell r="E752">
            <v>0</v>
          </cell>
          <cell r="F752">
            <v>0</v>
          </cell>
        </row>
        <row r="753">
          <cell r="A753">
            <v>3981100067</v>
          </cell>
          <cell r="C753" t="str">
            <v>USCRPZA590</v>
          </cell>
          <cell r="E753">
            <v>0</v>
          </cell>
          <cell r="F753">
            <v>0</v>
          </cell>
        </row>
        <row r="754">
          <cell r="A754">
            <v>3981100078</v>
          </cell>
          <cell r="C754" t="str">
            <v>USCRPZA590</v>
          </cell>
          <cell r="E754">
            <v>0</v>
          </cell>
          <cell r="F754">
            <v>0</v>
          </cell>
        </row>
        <row r="755">
          <cell r="A755">
            <v>3991200001</v>
          </cell>
          <cell r="C755" t="str">
            <v>USCRPZA590</v>
          </cell>
          <cell r="E755">
            <v>2.1</v>
          </cell>
          <cell r="F755">
            <v>400</v>
          </cell>
        </row>
        <row r="756">
          <cell r="A756">
            <v>3991200012</v>
          </cell>
          <cell r="C756" t="str">
            <v>USCRPZA590</v>
          </cell>
          <cell r="E756">
            <v>0</v>
          </cell>
          <cell r="F756">
            <v>500</v>
          </cell>
        </row>
        <row r="757">
          <cell r="A757">
            <v>3991200013</v>
          </cell>
          <cell r="C757" t="str">
            <v>USCRPZA590</v>
          </cell>
          <cell r="E757">
            <v>0</v>
          </cell>
          <cell r="F757">
            <v>0</v>
          </cell>
        </row>
        <row r="758">
          <cell r="A758">
            <v>3991200015</v>
          </cell>
          <cell r="C758" t="str">
            <v>USCRPZA590</v>
          </cell>
          <cell r="E758">
            <v>2.0099999999999998</v>
          </cell>
          <cell r="F758">
            <v>0</v>
          </cell>
        </row>
        <row r="759">
          <cell r="A759">
            <v>3991200018</v>
          </cell>
          <cell r="C759" t="str">
            <v>USCRPZA590</v>
          </cell>
          <cell r="E759">
            <v>875</v>
          </cell>
          <cell r="F759">
            <v>2000</v>
          </cell>
        </row>
        <row r="760">
          <cell r="A760">
            <v>3991200022</v>
          </cell>
          <cell r="C760" t="str">
            <v>USCRPZA590</v>
          </cell>
          <cell r="E760">
            <v>0</v>
          </cell>
          <cell r="F760">
            <v>0</v>
          </cell>
        </row>
        <row r="761">
          <cell r="A761">
            <v>3991200027</v>
          </cell>
          <cell r="C761" t="str">
            <v>USCRPZA590</v>
          </cell>
          <cell r="E761">
            <v>0</v>
          </cell>
          <cell r="F761">
            <v>0</v>
          </cell>
        </row>
        <row r="762">
          <cell r="A762">
            <v>3991200099</v>
          </cell>
          <cell r="C762" t="str">
            <v>USCRPZA590</v>
          </cell>
          <cell r="E762">
            <v>0</v>
          </cell>
          <cell r="F762">
            <v>0</v>
          </cell>
        </row>
        <row r="763">
          <cell r="A763">
            <v>3991200101</v>
          </cell>
          <cell r="C763" t="str">
            <v>USCRPZA590</v>
          </cell>
          <cell r="E763">
            <v>0</v>
          </cell>
          <cell r="F763">
            <v>0</v>
          </cell>
        </row>
        <row r="764">
          <cell r="A764">
            <v>3111100000</v>
          </cell>
          <cell r="C764" t="str">
            <v>US92P01590</v>
          </cell>
          <cell r="E764">
            <v>2343.1999999999998</v>
          </cell>
          <cell r="F764">
            <v>0</v>
          </cell>
        </row>
        <row r="765">
          <cell r="A765">
            <v>3111100012</v>
          </cell>
          <cell r="C765" t="str">
            <v>US92P01590</v>
          </cell>
          <cell r="E765">
            <v>257.2</v>
          </cell>
          <cell r="F765">
            <v>0</v>
          </cell>
        </row>
        <row r="766">
          <cell r="A766">
            <v>3111100900</v>
          </cell>
          <cell r="C766" t="str">
            <v>US92P01590</v>
          </cell>
          <cell r="E766">
            <v>75858.66</v>
          </cell>
          <cell r="F766">
            <v>0</v>
          </cell>
        </row>
        <row r="767">
          <cell r="A767">
            <v>3201400055</v>
          </cell>
          <cell r="C767" t="str">
            <v>US92P01590</v>
          </cell>
          <cell r="E767">
            <v>990</v>
          </cell>
          <cell r="F767">
            <v>0</v>
          </cell>
        </row>
        <row r="768">
          <cell r="A768">
            <v>3921200010</v>
          </cell>
          <cell r="C768" t="str">
            <v>US92P01590</v>
          </cell>
          <cell r="E768">
            <v>1335.67</v>
          </cell>
          <cell r="F768">
            <v>0</v>
          </cell>
        </row>
        <row r="769">
          <cell r="A769">
            <v>3921200014</v>
          </cell>
          <cell r="C769" t="str">
            <v>US92P01590</v>
          </cell>
          <cell r="E769">
            <v>201.18</v>
          </cell>
          <cell r="F769">
            <v>0</v>
          </cell>
        </row>
        <row r="770">
          <cell r="A770">
            <v>3991200012</v>
          </cell>
          <cell r="C770" t="str">
            <v>US92P01590</v>
          </cell>
          <cell r="E770">
            <v>5.52</v>
          </cell>
          <cell r="F770">
            <v>0</v>
          </cell>
        </row>
        <row r="771">
          <cell r="A771">
            <v>3991200211</v>
          </cell>
          <cell r="C771" t="str">
            <v>US92P01590</v>
          </cell>
          <cell r="E771">
            <v>-8520</v>
          </cell>
          <cell r="F771">
            <v>0</v>
          </cell>
        </row>
        <row r="772">
          <cell r="A772">
            <v>9420000025</v>
          </cell>
          <cell r="C772" t="str">
            <v>US92P01590</v>
          </cell>
          <cell r="E772">
            <v>25503.11</v>
          </cell>
          <cell r="F772">
            <v>0</v>
          </cell>
        </row>
        <row r="773">
          <cell r="A773">
            <v>3921200010</v>
          </cell>
          <cell r="C773" t="str">
            <v>US92P3C590</v>
          </cell>
          <cell r="E773">
            <v>0</v>
          </cell>
          <cell r="F773">
            <v>0</v>
          </cell>
        </row>
        <row r="774">
          <cell r="A774">
            <v>3921200014</v>
          </cell>
          <cell r="C774" t="str">
            <v>US92P3C590</v>
          </cell>
          <cell r="E774">
            <v>31.57</v>
          </cell>
          <cell r="F774">
            <v>0</v>
          </cell>
        </row>
        <row r="775">
          <cell r="A775">
            <v>3951100002</v>
          </cell>
          <cell r="C775" t="str">
            <v>US92P3C590</v>
          </cell>
          <cell r="E775">
            <v>0</v>
          </cell>
          <cell r="F775">
            <v>0</v>
          </cell>
        </row>
        <row r="776">
          <cell r="A776">
            <v>3951100003</v>
          </cell>
          <cell r="C776" t="str">
            <v>US92P3C590</v>
          </cell>
          <cell r="E776">
            <v>0</v>
          </cell>
          <cell r="F776">
            <v>0</v>
          </cell>
        </row>
        <row r="777">
          <cell r="A777">
            <v>3951100005</v>
          </cell>
          <cell r="C777" t="str">
            <v>US92P3C590</v>
          </cell>
          <cell r="E777">
            <v>0</v>
          </cell>
          <cell r="F777">
            <v>0</v>
          </cell>
        </row>
        <row r="778">
          <cell r="A778">
            <v>3951200002</v>
          </cell>
          <cell r="C778" t="str">
            <v>US92P3C590</v>
          </cell>
          <cell r="E778">
            <v>0</v>
          </cell>
          <cell r="F778">
            <v>0</v>
          </cell>
        </row>
        <row r="779">
          <cell r="A779">
            <v>3991200001</v>
          </cell>
          <cell r="C779" t="str">
            <v>US92P3C590</v>
          </cell>
          <cell r="E779">
            <v>0</v>
          </cell>
          <cell r="F779">
            <v>0</v>
          </cell>
        </row>
        <row r="780">
          <cell r="A780">
            <v>3991200004</v>
          </cell>
          <cell r="C780" t="str">
            <v>US92P3C590</v>
          </cell>
          <cell r="E780">
            <v>0</v>
          </cell>
          <cell r="F780">
            <v>0</v>
          </cell>
        </row>
        <row r="781">
          <cell r="A781">
            <v>3991200015</v>
          </cell>
          <cell r="C781" t="str">
            <v>US92P3C590</v>
          </cell>
          <cell r="E781">
            <v>0</v>
          </cell>
          <cell r="F781">
            <v>0</v>
          </cell>
        </row>
        <row r="782">
          <cell r="A782">
            <v>3991200023</v>
          </cell>
          <cell r="C782" t="str">
            <v>US92P3C590</v>
          </cell>
          <cell r="E782">
            <v>0</v>
          </cell>
          <cell r="F782">
            <v>0</v>
          </cell>
        </row>
        <row r="783">
          <cell r="A783">
            <v>3991200027</v>
          </cell>
          <cell r="C783" t="str">
            <v>US92P3C590</v>
          </cell>
          <cell r="E783">
            <v>0</v>
          </cell>
          <cell r="F783">
            <v>0</v>
          </cell>
        </row>
        <row r="784">
          <cell r="A784">
            <v>3001500152</v>
          </cell>
          <cell r="C784" t="str">
            <v>US92PZA590</v>
          </cell>
          <cell r="E784">
            <v>0</v>
          </cell>
          <cell r="F784">
            <v>0</v>
          </cell>
        </row>
        <row r="785">
          <cell r="A785">
            <v>3111100000</v>
          </cell>
          <cell r="C785" t="str">
            <v>US92PZA590</v>
          </cell>
          <cell r="E785">
            <v>80243.149999999994</v>
          </cell>
          <cell r="F785">
            <v>154218.75</v>
          </cell>
        </row>
        <row r="786">
          <cell r="A786">
            <v>3111100012</v>
          </cell>
          <cell r="C786" t="str">
            <v>US92PZA590</v>
          </cell>
          <cell r="E786">
            <v>1957.99</v>
          </cell>
          <cell r="F786">
            <v>0</v>
          </cell>
        </row>
        <row r="787">
          <cell r="A787">
            <v>3111100020</v>
          </cell>
          <cell r="C787" t="str">
            <v>US92PZA590</v>
          </cell>
          <cell r="E787">
            <v>816.43</v>
          </cell>
          <cell r="F787">
            <v>0</v>
          </cell>
        </row>
        <row r="788">
          <cell r="A788">
            <v>3111100900</v>
          </cell>
          <cell r="C788" t="str">
            <v>US92PZA590</v>
          </cell>
          <cell r="E788">
            <v>0</v>
          </cell>
          <cell r="F788">
            <v>0</v>
          </cell>
        </row>
        <row r="789">
          <cell r="A789">
            <v>3121300013</v>
          </cell>
          <cell r="C789" t="str">
            <v>US92PZA590</v>
          </cell>
          <cell r="E789">
            <v>0</v>
          </cell>
          <cell r="F789">
            <v>55364.52</v>
          </cell>
        </row>
        <row r="790">
          <cell r="A790">
            <v>3131100001</v>
          </cell>
          <cell r="C790" t="str">
            <v>US92PZA590</v>
          </cell>
          <cell r="E790">
            <v>0</v>
          </cell>
          <cell r="F790">
            <v>0</v>
          </cell>
        </row>
        <row r="791">
          <cell r="A791">
            <v>3131100005</v>
          </cell>
          <cell r="C791" t="str">
            <v>US92PZA590</v>
          </cell>
          <cell r="E791">
            <v>500</v>
          </cell>
          <cell r="F791">
            <v>0</v>
          </cell>
        </row>
        <row r="792">
          <cell r="A792">
            <v>3131100007</v>
          </cell>
          <cell r="C792" t="str">
            <v>US92PZA590</v>
          </cell>
          <cell r="E792">
            <v>0</v>
          </cell>
          <cell r="F792">
            <v>2400</v>
          </cell>
        </row>
        <row r="793">
          <cell r="A793">
            <v>3131100025</v>
          </cell>
          <cell r="C793" t="str">
            <v>US92PZA590</v>
          </cell>
          <cell r="E793">
            <v>1183.08</v>
          </cell>
          <cell r="F793">
            <v>4900</v>
          </cell>
        </row>
        <row r="794">
          <cell r="A794">
            <v>3201300001</v>
          </cell>
          <cell r="C794" t="str">
            <v>US92PZA590</v>
          </cell>
          <cell r="E794">
            <v>80865.41</v>
          </cell>
          <cell r="F794">
            <v>396251.16</v>
          </cell>
        </row>
        <row r="795">
          <cell r="A795">
            <v>3201300002</v>
          </cell>
          <cell r="C795" t="str">
            <v>US92PZA590</v>
          </cell>
          <cell r="E795">
            <v>12</v>
          </cell>
          <cell r="F795">
            <v>1000</v>
          </cell>
        </row>
        <row r="796">
          <cell r="A796">
            <v>3201400000</v>
          </cell>
          <cell r="C796" t="str">
            <v>US92PZA590</v>
          </cell>
          <cell r="E796">
            <v>2556.44</v>
          </cell>
          <cell r="F796">
            <v>0</v>
          </cell>
        </row>
        <row r="797">
          <cell r="A797">
            <v>3201400002</v>
          </cell>
          <cell r="C797" t="str">
            <v>US92PZA590</v>
          </cell>
          <cell r="E797">
            <v>739.74</v>
          </cell>
          <cell r="F797">
            <v>1000</v>
          </cell>
        </row>
        <row r="798">
          <cell r="A798">
            <v>3201400004</v>
          </cell>
          <cell r="C798" t="str">
            <v>US92PZA590</v>
          </cell>
          <cell r="E798">
            <v>1416.14</v>
          </cell>
          <cell r="F798">
            <v>2400</v>
          </cell>
        </row>
        <row r="799">
          <cell r="A799">
            <v>3201400025</v>
          </cell>
          <cell r="C799" t="str">
            <v>US92PZA590</v>
          </cell>
          <cell r="E799">
            <v>4597.32</v>
          </cell>
          <cell r="F799">
            <v>0</v>
          </cell>
        </row>
        <row r="800">
          <cell r="A800">
            <v>3201400029</v>
          </cell>
          <cell r="C800" t="str">
            <v>US92PZA590</v>
          </cell>
          <cell r="E800">
            <v>4669.7700000000004</v>
          </cell>
          <cell r="F800">
            <v>3000</v>
          </cell>
        </row>
        <row r="801">
          <cell r="A801">
            <v>3201400054</v>
          </cell>
          <cell r="C801" t="str">
            <v>US92PZA590</v>
          </cell>
          <cell r="E801">
            <v>581</v>
          </cell>
          <cell r="F801">
            <v>1500</v>
          </cell>
        </row>
        <row r="802">
          <cell r="A802">
            <v>3201400055</v>
          </cell>
          <cell r="C802" t="str">
            <v>US92PZA590</v>
          </cell>
          <cell r="E802">
            <v>80339</v>
          </cell>
          <cell r="F802">
            <v>11000</v>
          </cell>
        </row>
        <row r="803">
          <cell r="A803">
            <v>3311400099</v>
          </cell>
          <cell r="C803" t="str">
            <v>US92PZA590</v>
          </cell>
          <cell r="E803">
            <v>2312.4299999999998</v>
          </cell>
          <cell r="F803">
            <v>4344.4799999999996</v>
          </cell>
        </row>
        <row r="804">
          <cell r="A804">
            <v>3501500034</v>
          </cell>
          <cell r="C804" t="str">
            <v>US92PZA590</v>
          </cell>
          <cell r="E804">
            <v>0</v>
          </cell>
          <cell r="F804">
            <v>0</v>
          </cell>
        </row>
        <row r="805">
          <cell r="A805">
            <v>3911100010</v>
          </cell>
          <cell r="C805" t="str">
            <v>US92PZA590</v>
          </cell>
          <cell r="E805">
            <v>501.86</v>
          </cell>
          <cell r="F805">
            <v>2500</v>
          </cell>
        </row>
        <row r="806">
          <cell r="A806">
            <v>3911100012</v>
          </cell>
          <cell r="C806" t="str">
            <v>US92PZA590</v>
          </cell>
          <cell r="E806">
            <v>1511.33</v>
          </cell>
          <cell r="F806">
            <v>3500</v>
          </cell>
        </row>
        <row r="807">
          <cell r="A807">
            <v>3911100015</v>
          </cell>
          <cell r="C807" t="str">
            <v>US92PZA590</v>
          </cell>
          <cell r="E807">
            <v>377.28</v>
          </cell>
          <cell r="F807">
            <v>600</v>
          </cell>
        </row>
        <row r="808">
          <cell r="A808">
            <v>3911100022</v>
          </cell>
          <cell r="C808" t="str">
            <v>US92PZA590</v>
          </cell>
          <cell r="E808">
            <v>279.20999999999998</v>
          </cell>
          <cell r="F808">
            <v>7500</v>
          </cell>
        </row>
        <row r="809">
          <cell r="A809">
            <v>3911100041</v>
          </cell>
          <cell r="C809" t="str">
            <v>US92PZA590</v>
          </cell>
          <cell r="E809">
            <v>217.06</v>
          </cell>
          <cell r="F809">
            <v>1000</v>
          </cell>
        </row>
        <row r="810">
          <cell r="A810">
            <v>3911200001</v>
          </cell>
          <cell r="C810" t="str">
            <v>US92PZA590</v>
          </cell>
          <cell r="E810">
            <v>102.03</v>
          </cell>
          <cell r="F810">
            <v>0</v>
          </cell>
        </row>
        <row r="811">
          <cell r="A811">
            <v>3921100001</v>
          </cell>
          <cell r="C811" t="str">
            <v>US92PZA590</v>
          </cell>
          <cell r="E811">
            <v>4380.63</v>
          </cell>
          <cell r="F811">
            <v>0</v>
          </cell>
        </row>
        <row r="812">
          <cell r="A812">
            <v>3921200001</v>
          </cell>
          <cell r="C812" t="str">
            <v>US92PZA590</v>
          </cell>
          <cell r="E812">
            <v>4416.5600000000004</v>
          </cell>
          <cell r="F812">
            <v>0</v>
          </cell>
        </row>
        <row r="813">
          <cell r="A813">
            <v>3921200003</v>
          </cell>
          <cell r="C813" t="str">
            <v>US92PZA590</v>
          </cell>
          <cell r="E813">
            <v>524.71</v>
          </cell>
          <cell r="F813">
            <v>900</v>
          </cell>
        </row>
        <row r="814">
          <cell r="A814">
            <v>3921200004</v>
          </cell>
          <cell r="C814" t="str">
            <v>US92PZA590</v>
          </cell>
          <cell r="E814">
            <v>0</v>
          </cell>
          <cell r="F814">
            <v>0</v>
          </cell>
        </row>
        <row r="815">
          <cell r="A815">
            <v>3921200006</v>
          </cell>
          <cell r="C815" t="str">
            <v>US92PZA590</v>
          </cell>
          <cell r="E815">
            <v>0</v>
          </cell>
          <cell r="F815">
            <v>1500</v>
          </cell>
        </row>
        <row r="816">
          <cell r="A816">
            <v>3921200010</v>
          </cell>
          <cell r="C816" t="str">
            <v>US92PZA590</v>
          </cell>
          <cell r="E816">
            <v>35854.300000000003</v>
          </cell>
          <cell r="F816">
            <v>2000</v>
          </cell>
        </row>
        <row r="817">
          <cell r="A817">
            <v>3921200015</v>
          </cell>
          <cell r="C817" t="str">
            <v>US92PZA590</v>
          </cell>
          <cell r="E817">
            <v>0</v>
          </cell>
          <cell r="F817">
            <v>1500</v>
          </cell>
        </row>
        <row r="818">
          <cell r="A818">
            <v>3921200037</v>
          </cell>
          <cell r="C818" t="str">
            <v>US92PZA590</v>
          </cell>
          <cell r="E818">
            <v>1529.71</v>
          </cell>
          <cell r="F818">
            <v>0</v>
          </cell>
        </row>
        <row r="819">
          <cell r="A819">
            <v>3921200050</v>
          </cell>
          <cell r="C819" t="str">
            <v>US92PZA590</v>
          </cell>
          <cell r="E819">
            <v>5555.59</v>
          </cell>
          <cell r="F819">
            <v>1200</v>
          </cell>
        </row>
        <row r="820">
          <cell r="A820">
            <v>3921200100</v>
          </cell>
          <cell r="C820" t="str">
            <v>US92PZA590</v>
          </cell>
          <cell r="E820">
            <v>10077.51</v>
          </cell>
          <cell r="F820">
            <v>96000</v>
          </cell>
        </row>
        <row r="821">
          <cell r="A821">
            <v>3951100002</v>
          </cell>
          <cell r="C821" t="str">
            <v>US92PZA590</v>
          </cell>
          <cell r="E821">
            <v>0</v>
          </cell>
          <cell r="F821">
            <v>0</v>
          </cell>
        </row>
        <row r="822">
          <cell r="A822">
            <v>3951100005</v>
          </cell>
          <cell r="C822" t="str">
            <v>US92PZA590</v>
          </cell>
          <cell r="E822">
            <v>67.42</v>
          </cell>
          <cell r="F822">
            <v>0</v>
          </cell>
        </row>
        <row r="823">
          <cell r="A823">
            <v>3951200002</v>
          </cell>
          <cell r="C823" t="str">
            <v>US92PZA590</v>
          </cell>
          <cell r="E823">
            <v>168.52</v>
          </cell>
          <cell r="F823">
            <v>0</v>
          </cell>
        </row>
        <row r="824">
          <cell r="A824">
            <v>3951200008</v>
          </cell>
          <cell r="C824" t="str">
            <v>US92PZA590</v>
          </cell>
          <cell r="E824">
            <v>396.56</v>
          </cell>
          <cell r="F824">
            <v>500</v>
          </cell>
        </row>
        <row r="825">
          <cell r="A825">
            <v>3961100000</v>
          </cell>
          <cell r="C825" t="str">
            <v>US92PZA590</v>
          </cell>
          <cell r="E825">
            <v>0</v>
          </cell>
          <cell r="F825">
            <v>0</v>
          </cell>
        </row>
        <row r="826">
          <cell r="A826">
            <v>3991200001</v>
          </cell>
          <cell r="C826" t="str">
            <v>US92PZA590</v>
          </cell>
          <cell r="E826">
            <v>120.9</v>
          </cell>
          <cell r="F826">
            <v>1000</v>
          </cell>
        </row>
        <row r="827">
          <cell r="A827">
            <v>3991200004</v>
          </cell>
          <cell r="C827" t="str">
            <v>US92PZA590</v>
          </cell>
          <cell r="E827">
            <v>0</v>
          </cell>
          <cell r="F827">
            <v>0</v>
          </cell>
        </row>
        <row r="828">
          <cell r="A828">
            <v>3991200012</v>
          </cell>
          <cell r="C828" t="str">
            <v>US92PZA590</v>
          </cell>
          <cell r="E828">
            <v>3239.24</v>
          </cell>
          <cell r="F828">
            <v>300</v>
          </cell>
        </row>
        <row r="829">
          <cell r="A829">
            <v>3991200013</v>
          </cell>
          <cell r="C829" t="str">
            <v>US92PZA590</v>
          </cell>
          <cell r="E829">
            <v>100</v>
          </cell>
          <cell r="F829">
            <v>0</v>
          </cell>
        </row>
        <row r="830">
          <cell r="A830">
            <v>3991200015</v>
          </cell>
          <cell r="C830" t="str">
            <v>US92PZA590</v>
          </cell>
          <cell r="E830">
            <v>1742.05</v>
          </cell>
          <cell r="F830">
            <v>600</v>
          </cell>
        </row>
        <row r="831">
          <cell r="A831">
            <v>3991200018</v>
          </cell>
          <cell r="C831" t="str">
            <v>US92PZA590</v>
          </cell>
          <cell r="E831">
            <v>1088.6300000000001</v>
          </cell>
          <cell r="F831">
            <v>2600</v>
          </cell>
        </row>
        <row r="832">
          <cell r="A832">
            <v>3991200022</v>
          </cell>
          <cell r="C832" t="str">
            <v>US92PZA590</v>
          </cell>
          <cell r="E832">
            <v>0</v>
          </cell>
          <cell r="F832">
            <v>0</v>
          </cell>
        </row>
        <row r="833">
          <cell r="A833">
            <v>3991200027</v>
          </cell>
          <cell r="C833" t="str">
            <v>US92PZA590</v>
          </cell>
          <cell r="E833">
            <v>0</v>
          </cell>
          <cell r="F833">
            <v>0</v>
          </cell>
        </row>
        <row r="834">
          <cell r="A834">
            <v>3991200099</v>
          </cell>
          <cell r="C834" t="str">
            <v>US92PZA590</v>
          </cell>
          <cell r="E834">
            <v>0</v>
          </cell>
          <cell r="F834">
            <v>0</v>
          </cell>
        </row>
        <row r="835">
          <cell r="A835">
            <v>3991200101</v>
          </cell>
          <cell r="C835" t="str">
            <v>US92PZA590</v>
          </cell>
          <cell r="E835">
            <v>-58</v>
          </cell>
          <cell r="F835">
            <v>0</v>
          </cell>
        </row>
        <row r="836">
          <cell r="A836">
            <v>9420000025</v>
          </cell>
          <cell r="C836" t="str">
            <v>US92PZA590</v>
          </cell>
          <cell r="E836">
            <v>24810.82</v>
          </cell>
          <cell r="F836">
            <v>0</v>
          </cell>
        </row>
        <row r="837">
          <cell r="A837">
            <v>3311400099</v>
          </cell>
          <cell r="C837" t="str">
            <v>US72P01590</v>
          </cell>
          <cell r="E837">
            <v>474.15</v>
          </cell>
          <cell r="F837">
            <v>948.24</v>
          </cell>
        </row>
        <row r="838">
          <cell r="A838">
            <v>3921200010</v>
          </cell>
          <cell r="C838" t="str">
            <v>US72P01590</v>
          </cell>
          <cell r="E838">
            <v>1652.85</v>
          </cell>
          <cell r="F838">
            <v>0</v>
          </cell>
        </row>
        <row r="839">
          <cell r="A839">
            <v>3111100000</v>
          </cell>
          <cell r="C839" t="str">
            <v>US72P01591</v>
          </cell>
          <cell r="E839">
            <v>4738.6400000000003</v>
          </cell>
          <cell r="F839">
            <v>212601.84</v>
          </cell>
        </row>
        <row r="840">
          <cell r="A840">
            <v>3111100012</v>
          </cell>
          <cell r="C840" t="str">
            <v>US72P01591</v>
          </cell>
          <cell r="E840">
            <v>0</v>
          </cell>
          <cell r="F840">
            <v>0</v>
          </cell>
        </row>
        <row r="841">
          <cell r="A841">
            <v>3111100900</v>
          </cell>
          <cell r="C841" t="str">
            <v>US72P01591</v>
          </cell>
          <cell r="E841">
            <v>28478.99</v>
          </cell>
          <cell r="F841">
            <v>0</v>
          </cell>
        </row>
        <row r="842">
          <cell r="A842">
            <v>3121300013</v>
          </cell>
          <cell r="C842" t="str">
            <v>US72P01591</v>
          </cell>
          <cell r="E842">
            <v>0</v>
          </cell>
          <cell r="F842">
            <v>76324.11</v>
          </cell>
        </row>
        <row r="843">
          <cell r="A843">
            <v>3131100007</v>
          </cell>
          <cell r="C843" t="str">
            <v>US72P01591</v>
          </cell>
          <cell r="E843">
            <v>125</v>
          </cell>
          <cell r="F843">
            <v>0</v>
          </cell>
        </row>
        <row r="844">
          <cell r="A844">
            <v>3131100025</v>
          </cell>
          <cell r="C844" t="str">
            <v>US72P01591</v>
          </cell>
          <cell r="E844">
            <v>346.85</v>
          </cell>
          <cell r="F844">
            <v>0</v>
          </cell>
        </row>
        <row r="845">
          <cell r="A845">
            <v>3201300001</v>
          </cell>
          <cell r="C845" t="str">
            <v>US72P01591</v>
          </cell>
          <cell r="E845">
            <v>34568.19</v>
          </cell>
          <cell r="F845">
            <v>196868.97</v>
          </cell>
        </row>
        <row r="846">
          <cell r="A846">
            <v>3201400002</v>
          </cell>
          <cell r="C846" t="str">
            <v>US72P01591</v>
          </cell>
          <cell r="E846">
            <v>0</v>
          </cell>
          <cell r="F846">
            <v>0</v>
          </cell>
        </row>
        <row r="847">
          <cell r="A847">
            <v>3201400029</v>
          </cell>
          <cell r="C847" t="str">
            <v>US72P01591</v>
          </cell>
          <cell r="E847">
            <v>0</v>
          </cell>
          <cell r="F847">
            <v>89000</v>
          </cell>
        </row>
        <row r="848">
          <cell r="A848">
            <v>3201400054</v>
          </cell>
          <cell r="C848" t="str">
            <v>US72P01591</v>
          </cell>
          <cell r="E848">
            <v>457</v>
          </cell>
          <cell r="F848">
            <v>0</v>
          </cell>
        </row>
        <row r="849">
          <cell r="A849">
            <v>3201400055</v>
          </cell>
          <cell r="C849" t="str">
            <v>US72P01591</v>
          </cell>
          <cell r="E849">
            <v>104420.89</v>
          </cell>
          <cell r="F849">
            <v>0</v>
          </cell>
        </row>
        <row r="850">
          <cell r="A850">
            <v>3311400099</v>
          </cell>
          <cell r="C850" t="str">
            <v>US72P01591</v>
          </cell>
          <cell r="E850">
            <v>1041.83</v>
          </cell>
          <cell r="F850">
            <v>1188.5999999999999</v>
          </cell>
        </row>
        <row r="851">
          <cell r="A851">
            <v>3911100008</v>
          </cell>
          <cell r="C851" t="str">
            <v>US72P01591</v>
          </cell>
          <cell r="E851">
            <v>0</v>
          </cell>
          <cell r="F851">
            <v>0</v>
          </cell>
        </row>
        <row r="852">
          <cell r="A852">
            <v>3911100010</v>
          </cell>
          <cell r="C852" t="str">
            <v>US72P01591</v>
          </cell>
          <cell r="E852">
            <v>92.79</v>
          </cell>
          <cell r="F852">
            <v>3200</v>
          </cell>
        </row>
        <row r="853">
          <cell r="A853">
            <v>3911100011</v>
          </cell>
          <cell r="C853" t="str">
            <v>US72P01591</v>
          </cell>
          <cell r="E853">
            <v>0</v>
          </cell>
          <cell r="F853">
            <v>1150</v>
          </cell>
        </row>
        <row r="854">
          <cell r="A854">
            <v>3911100012</v>
          </cell>
          <cell r="C854" t="str">
            <v>US72P01591</v>
          </cell>
          <cell r="E854">
            <v>1187.26</v>
          </cell>
          <cell r="F854">
            <v>5200</v>
          </cell>
        </row>
        <row r="855">
          <cell r="A855">
            <v>3911100015</v>
          </cell>
          <cell r="C855" t="str">
            <v>US72P01591</v>
          </cell>
          <cell r="E855">
            <v>279.20999999999998</v>
          </cell>
          <cell r="F855">
            <v>4750</v>
          </cell>
        </row>
        <row r="856">
          <cell r="A856">
            <v>3911100022</v>
          </cell>
          <cell r="C856" t="str">
            <v>US72P01591</v>
          </cell>
          <cell r="E856">
            <v>279.20999999999998</v>
          </cell>
          <cell r="F856">
            <v>6500</v>
          </cell>
        </row>
        <row r="857">
          <cell r="A857">
            <v>3911100027</v>
          </cell>
          <cell r="C857" t="str">
            <v>US72P01591</v>
          </cell>
          <cell r="E857">
            <v>0</v>
          </cell>
          <cell r="F857">
            <v>1100</v>
          </cell>
        </row>
        <row r="858">
          <cell r="A858">
            <v>3911100041</v>
          </cell>
          <cell r="C858" t="str">
            <v>US72P01591</v>
          </cell>
          <cell r="E858">
            <v>0</v>
          </cell>
          <cell r="F858">
            <v>1600</v>
          </cell>
        </row>
        <row r="859">
          <cell r="A859">
            <v>3911200001</v>
          </cell>
          <cell r="C859" t="str">
            <v>US72P01591</v>
          </cell>
          <cell r="E859">
            <v>73.87</v>
          </cell>
          <cell r="F859">
            <v>0</v>
          </cell>
        </row>
        <row r="860">
          <cell r="A860">
            <v>3921200003</v>
          </cell>
          <cell r="C860" t="str">
            <v>US72P01591</v>
          </cell>
          <cell r="E860">
            <v>0</v>
          </cell>
          <cell r="F860">
            <v>1150</v>
          </cell>
        </row>
        <row r="861">
          <cell r="A861">
            <v>3921200006</v>
          </cell>
          <cell r="C861" t="str">
            <v>US72P01591</v>
          </cell>
          <cell r="E861">
            <v>864.97</v>
          </cell>
          <cell r="F861">
            <v>1500</v>
          </cell>
        </row>
        <row r="862">
          <cell r="A862">
            <v>3921200010</v>
          </cell>
          <cell r="C862" t="str">
            <v>US72P01591</v>
          </cell>
          <cell r="E862">
            <v>0</v>
          </cell>
          <cell r="F862">
            <v>600</v>
          </cell>
        </row>
        <row r="863">
          <cell r="A863">
            <v>3921200011</v>
          </cell>
          <cell r="C863" t="str">
            <v>US72P01591</v>
          </cell>
          <cell r="E863">
            <v>0</v>
          </cell>
          <cell r="F863">
            <v>0</v>
          </cell>
        </row>
        <row r="864">
          <cell r="A864">
            <v>3921200012</v>
          </cell>
          <cell r="C864" t="str">
            <v>US72P01591</v>
          </cell>
          <cell r="E864">
            <v>0</v>
          </cell>
          <cell r="F864">
            <v>200</v>
          </cell>
        </row>
        <row r="865">
          <cell r="A865">
            <v>3921200014</v>
          </cell>
          <cell r="C865" t="str">
            <v>US72P01591</v>
          </cell>
          <cell r="E865">
            <v>227267.61</v>
          </cell>
          <cell r="F865">
            <v>60000</v>
          </cell>
        </row>
        <row r="866">
          <cell r="A866">
            <v>3921200023</v>
          </cell>
          <cell r="C866" t="str">
            <v>US72P01591</v>
          </cell>
          <cell r="E866">
            <v>0</v>
          </cell>
          <cell r="F866">
            <v>360000</v>
          </cell>
        </row>
        <row r="867">
          <cell r="A867">
            <v>3921200037</v>
          </cell>
          <cell r="C867" t="str">
            <v>US72P01591</v>
          </cell>
          <cell r="E867">
            <v>0</v>
          </cell>
          <cell r="F867">
            <v>0</v>
          </cell>
        </row>
        <row r="868">
          <cell r="A868">
            <v>3921200050</v>
          </cell>
          <cell r="C868" t="str">
            <v>US72P01591</v>
          </cell>
          <cell r="E868">
            <v>57.97</v>
          </cell>
          <cell r="F868">
            <v>2300</v>
          </cell>
        </row>
        <row r="869">
          <cell r="A869">
            <v>3951100005</v>
          </cell>
          <cell r="C869" t="str">
            <v>US72P01591</v>
          </cell>
          <cell r="E869">
            <v>0</v>
          </cell>
          <cell r="F869">
            <v>0</v>
          </cell>
        </row>
        <row r="870">
          <cell r="A870">
            <v>3951200002</v>
          </cell>
          <cell r="C870" t="str">
            <v>US72P01591</v>
          </cell>
          <cell r="E870">
            <v>0</v>
          </cell>
          <cell r="F870">
            <v>2500</v>
          </cell>
        </row>
        <row r="871">
          <cell r="A871">
            <v>3951200008</v>
          </cell>
          <cell r="C871" t="str">
            <v>US72P01591</v>
          </cell>
          <cell r="E871">
            <v>158.22</v>
          </cell>
          <cell r="F871">
            <v>0</v>
          </cell>
        </row>
        <row r="872">
          <cell r="A872">
            <v>3991200001</v>
          </cell>
          <cell r="C872" t="str">
            <v>US72P01591</v>
          </cell>
          <cell r="E872">
            <v>0</v>
          </cell>
          <cell r="F872">
            <v>300</v>
          </cell>
        </row>
        <row r="873">
          <cell r="A873">
            <v>3991200004</v>
          </cell>
          <cell r="C873" t="str">
            <v>US72P01591</v>
          </cell>
          <cell r="E873">
            <v>0</v>
          </cell>
          <cell r="F873">
            <v>300</v>
          </cell>
        </row>
        <row r="874">
          <cell r="A874">
            <v>3991200012</v>
          </cell>
          <cell r="C874" t="str">
            <v>US72P01591</v>
          </cell>
          <cell r="E874">
            <v>0</v>
          </cell>
          <cell r="F874">
            <v>300</v>
          </cell>
        </row>
        <row r="875">
          <cell r="A875">
            <v>3991200015</v>
          </cell>
          <cell r="C875" t="str">
            <v>US72P01591</v>
          </cell>
          <cell r="E875">
            <v>0</v>
          </cell>
          <cell r="F875">
            <v>600</v>
          </cell>
        </row>
        <row r="876">
          <cell r="A876">
            <v>3991200018</v>
          </cell>
          <cell r="C876" t="str">
            <v>US72P01591</v>
          </cell>
          <cell r="E876">
            <v>410</v>
          </cell>
          <cell r="F876">
            <v>0</v>
          </cell>
        </row>
        <row r="877">
          <cell r="A877">
            <v>3991200023</v>
          </cell>
          <cell r="C877" t="str">
            <v>US72P01591</v>
          </cell>
          <cell r="E877">
            <v>0</v>
          </cell>
          <cell r="F877">
            <v>1000</v>
          </cell>
        </row>
        <row r="878">
          <cell r="A878">
            <v>3991200027</v>
          </cell>
          <cell r="C878" t="str">
            <v>US72P01591</v>
          </cell>
          <cell r="E878">
            <v>0</v>
          </cell>
          <cell r="F878">
            <v>0</v>
          </cell>
        </row>
        <row r="879">
          <cell r="A879">
            <v>3991200099</v>
          </cell>
          <cell r="C879" t="str">
            <v>US72P01591</v>
          </cell>
          <cell r="E879">
            <v>1893.63</v>
          </cell>
          <cell r="F879">
            <v>0</v>
          </cell>
        </row>
        <row r="880">
          <cell r="A880">
            <v>3991200101</v>
          </cell>
          <cell r="C880" t="str">
            <v>US72P01591</v>
          </cell>
          <cell r="E880">
            <v>-444142</v>
          </cell>
          <cell r="F880">
            <v>0</v>
          </cell>
        </row>
        <row r="881">
          <cell r="A881">
            <v>3991200211</v>
          </cell>
          <cell r="C881" t="str">
            <v>US72P01591</v>
          </cell>
          <cell r="E881">
            <v>198750</v>
          </cell>
          <cell r="F881">
            <v>0</v>
          </cell>
        </row>
        <row r="882">
          <cell r="A882">
            <v>9420000025</v>
          </cell>
          <cell r="C882" t="str">
            <v>US72P01591</v>
          </cell>
          <cell r="E882">
            <v>10994.4</v>
          </cell>
          <cell r="F882">
            <v>0</v>
          </cell>
        </row>
        <row r="883">
          <cell r="A883">
            <v>3201400002</v>
          </cell>
          <cell r="C883" t="str">
            <v>US72P3C590</v>
          </cell>
          <cell r="E883">
            <v>0</v>
          </cell>
          <cell r="F883">
            <v>0</v>
          </cell>
        </row>
        <row r="884">
          <cell r="A884">
            <v>3201400029</v>
          </cell>
          <cell r="C884" t="str">
            <v>US72P3C590</v>
          </cell>
          <cell r="E884">
            <v>0</v>
          </cell>
          <cell r="F884">
            <v>0</v>
          </cell>
        </row>
        <row r="885">
          <cell r="A885">
            <v>3911100008</v>
          </cell>
          <cell r="C885" t="str">
            <v>US72P3C590</v>
          </cell>
          <cell r="E885">
            <v>0</v>
          </cell>
          <cell r="F885">
            <v>0</v>
          </cell>
        </row>
        <row r="886">
          <cell r="A886">
            <v>3911100010</v>
          </cell>
          <cell r="C886" t="str">
            <v>US72P3C590</v>
          </cell>
          <cell r="E886">
            <v>0</v>
          </cell>
          <cell r="F886">
            <v>0</v>
          </cell>
        </row>
        <row r="887">
          <cell r="A887">
            <v>3911100011</v>
          </cell>
          <cell r="C887" t="str">
            <v>US72P3C590</v>
          </cell>
          <cell r="E887">
            <v>0</v>
          </cell>
          <cell r="F887">
            <v>0</v>
          </cell>
        </row>
        <row r="888">
          <cell r="A888">
            <v>3911100012</v>
          </cell>
          <cell r="C888" t="str">
            <v>US72P3C590</v>
          </cell>
          <cell r="E888">
            <v>0</v>
          </cell>
          <cell r="F888">
            <v>0</v>
          </cell>
        </row>
        <row r="889">
          <cell r="A889">
            <v>3911100015</v>
          </cell>
          <cell r="C889" t="str">
            <v>US72P3C590</v>
          </cell>
          <cell r="E889">
            <v>0</v>
          </cell>
          <cell r="F889">
            <v>0</v>
          </cell>
        </row>
        <row r="890">
          <cell r="A890">
            <v>3911100022</v>
          </cell>
          <cell r="C890" t="str">
            <v>US72P3C590</v>
          </cell>
          <cell r="E890">
            <v>0</v>
          </cell>
          <cell r="F890">
            <v>0</v>
          </cell>
        </row>
        <row r="891">
          <cell r="A891">
            <v>3911100027</v>
          </cell>
          <cell r="C891" t="str">
            <v>US72P3C590</v>
          </cell>
          <cell r="E891">
            <v>0</v>
          </cell>
          <cell r="F891">
            <v>0</v>
          </cell>
        </row>
        <row r="892">
          <cell r="A892">
            <v>3911100041</v>
          </cell>
          <cell r="C892" t="str">
            <v>US72P3C590</v>
          </cell>
          <cell r="E892">
            <v>0</v>
          </cell>
          <cell r="F892">
            <v>0</v>
          </cell>
        </row>
        <row r="893">
          <cell r="A893">
            <v>3921200003</v>
          </cell>
          <cell r="C893" t="str">
            <v>US72P3C590</v>
          </cell>
          <cell r="E893">
            <v>0</v>
          </cell>
          <cell r="F893">
            <v>0</v>
          </cell>
        </row>
        <row r="894">
          <cell r="A894">
            <v>3921200006</v>
          </cell>
          <cell r="C894" t="str">
            <v>US72P3C590</v>
          </cell>
          <cell r="E894">
            <v>0</v>
          </cell>
          <cell r="F894">
            <v>0</v>
          </cell>
        </row>
        <row r="895">
          <cell r="A895">
            <v>3921200010</v>
          </cell>
          <cell r="C895" t="str">
            <v>US72P3C590</v>
          </cell>
          <cell r="E895">
            <v>0</v>
          </cell>
          <cell r="F895">
            <v>0</v>
          </cell>
        </row>
        <row r="896">
          <cell r="A896">
            <v>3921200011</v>
          </cell>
          <cell r="C896" t="str">
            <v>US72P3C590</v>
          </cell>
          <cell r="E896">
            <v>0</v>
          </cell>
          <cell r="F896">
            <v>0</v>
          </cell>
        </row>
        <row r="897">
          <cell r="A897">
            <v>3921200012</v>
          </cell>
          <cell r="C897" t="str">
            <v>US72P3C590</v>
          </cell>
          <cell r="E897">
            <v>0</v>
          </cell>
          <cell r="F897">
            <v>0</v>
          </cell>
        </row>
        <row r="898">
          <cell r="A898">
            <v>3921200014</v>
          </cell>
          <cell r="C898" t="str">
            <v>US72P3C590</v>
          </cell>
          <cell r="E898">
            <v>0</v>
          </cell>
          <cell r="F898">
            <v>0</v>
          </cell>
        </row>
        <row r="899">
          <cell r="A899">
            <v>3921200023</v>
          </cell>
          <cell r="C899" t="str">
            <v>US72P3C590</v>
          </cell>
          <cell r="E899">
            <v>0</v>
          </cell>
          <cell r="F899">
            <v>0</v>
          </cell>
        </row>
        <row r="900">
          <cell r="A900">
            <v>3921200037</v>
          </cell>
          <cell r="C900" t="str">
            <v>US72P3C590</v>
          </cell>
          <cell r="E900">
            <v>0</v>
          </cell>
          <cell r="F900">
            <v>0</v>
          </cell>
        </row>
        <row r="901">
          <cell r="A901">
            <v>3921200050</v>
          </cell>
          <cell r="C901" t="str">
            <v>US72P3C590</v>
          </cell>
          <cell r="E901">
            <v>0</v>
          </cell>
          <cell r="F901">
            <v>0</v>
          </cell>
        </row>
        <row r="902">
          <cell r="A902">
            <v>3951100005</v>
          </cell>
          <cell r="C902" t="str">
            <v>US72P3C590</v>
          </cell>
          <cell r="E902">
            <v>0</v>
          </cell>
          <cell r="F902">
            <v>0</v>
          </cell>
        </row>
        <row r="903">
          <cell r="A903">
            <v>3951200002</v>
          </cell>
          <cell r="C903" t="str">
            <v>US72P3C590</v>
          </cell>
          <cell r="E903">
            <v>0</v>
          </cell>
          <cell r="F903">
            <v>0</v>
          </cell>
        </row>
        <row r="904">
          <cell r="A904">
            <v>3991200001</v>
          </cell>
          <cell r="C904" t="str">
            <v>US72P3C590</v>
          </cell>
          <cell r="E904">
            <v>0</v>
          </cell>
          <cell r="F904">
            <v>0</v>
          </cell>
        </row>
        <row r="905">
          <cell r="A905">
            <v>3991200004</v>
          </cell>
          <cell r="C905" t="str">
            <v>US72P3C590</v>
          </cell>
          <cell r="E905">
            <v>0</v>
          </cell>
          <cell r="F905">
            <v>0</v>
          </cell>
        </row>
        <row r="906">
          <cell r="A906">
            <v>3991200012</v>
          </cell>
          <cell r="C906" t="str">
            <v>US72P3C590</v>
          </cell>
          <cell r="E906">
            <v>0</v>
          </cell>
          <cell r="F906">
            <v>0</v>
          </cell>
        </row>
        <row r="907">
          <cell r="A907">
            <v>3991200015</v>
          </cell>
          <cell r="C907" t="str">
            <v>US72P3C590</v>
          </cell>
          <cell r="E907">
            <v>0</v>
          </cell>
          <cell r="F907">
            <v>0</v>
          </cell>
        </row>
        <row r="908">
          <cell r="A908">
            <v>3991200023</v>
          </cell>
          <cell r="C908" t="str">
            <v>US72P3C590</v>
          </cell>
          <cell r="E908">
            <v>0</v>
          </cell>
          <cell r="F908">
            <v>0</v>
          </cell>
        </row>
        <row r="909">
          <cell r="A909">
            <v>3991200027</v>
          </cell>
          <cell r="C909" t="str">
            <v>US72P3C590</v>
          </cell>
          <cell r="E909">
            <v>0</v>
          </cell>
          <cell r="F909">
            <v>0</v>
          </cell>
        </row>
        <row r="910">
          <cell r="A910">
            <v>3921200010</v>
          </cell>
          <cell r="C910" t="str">
            <v>US72PZA590</v>
          </cell>
          <cell r="E910">
            <v>220</v>
          </cell>
          <cell r="F910">
            <v>0</v>
          </cell>
        </row>
        <row r="911">
          <cell r="A911">
            <v>3921200050</v>
          </cell>
          <cell r="C911" t="str">
            <v>US72PZA590</v>
          </cell>
          <cell r="E911">
            <v>55.25</v>
          </cell>
          <cell r="F911">
            <v>0</v>
          </cell>
        </row>
        <row r="912">
          <cell r="A912">
            <v>3111100000</v>
          </cell>
          <cell r="C912" t="str">
            <v>US72PZA591</v>
          </cell>
          <cell r="E912">
            <v>100292.79</v>
          </cell>
          <cell r="F912">
            <v>0</v>
          </cell>
        </row>
        <row r="913">
          <cell r="A913">
            <v>3111100012</v>
          </cell>
          <cell r="C913" t="str">
            <v>US72PZA591</v>
          </cell>
          <cell r="E913">
            <v>722.49</v>
          </cell>
          <cell r="F913">
            <v>0</v>
          </cell>
        </row>
        <row r="914">
          <cell r="A914">
            <v>3111100020</v>
          </cell>
          <cell r="C914" t="str">
            <v>US72PZA591</v>
          </cell>
          <cell r="E914">
            <v>1250.98</v>
          </cell>
          <cell r="F914">
            <v>0</v>
          </cell>
        </row>
        <row r="915">
          <cell r="A915">
            <v>3131100007</v>
          </cell>
          <cell r="C915" t="str">
            <v>US72PZA591</v>
          </cell>
          <cell r="E915">
            <v>1000</v>
          </cell>
          <cell r="F915">
            <v>0</v>
          </cell>
        </row>
        <row r="916">
          <cell r="A916">
            <v>3131100025</v>
          </cell>
          <cell r="C916" t="str">
            <v>US72PZA591</v>
          </cell>
          <cell r="E916">
            <v>253.25</v>
          </cell>
          <cell r="F916">
            <v>0</v>
          </cell>
        </row>
        <row r="917">
          <cell r="A917">
            <v>3311400099</v>
          </cell>
          <cell r="C917" t="str">
            <v>US72PZA591</v>
          </cell>
          <cell r="E917">
            <v>1266.31</v>
          </cell>
          <cell r="F917">
            <v>2532.6</v>
          </cell>
        </row>
        <row r="918">
          <cell r="A918">
            <v>3911100010</v>
          </cell>
          <cell r="C918" t="str">
            <v>US72PZA591</v>
          </cell>
          <cell r="E918">
            <v>96.22</v>
          </cell>
          <cell r="F918">
            <v>0</v>
          </cell>
        </row>
        <row r="919">
          <cell r="A919">
            <v>3911100012</v>
          </cell>
          <cell r="C919" t="str">
            <v>US72PZA591</v>
          </cell>
          <cell r="E919">
            <v>1017.78</v>
          </cell>
          <cell r="F919">
            <v>0</v>
          </cell>
        </row>
        <row r="920">
          <cell r="A920">
            <v>3911100015</v>
          </cell>
          <cell r="C920" t="str">
            <v>US72PZA591</v>
          </cell>
          <cell r="E920">
            <v>363.5</v>
          </cell>
          <cell r="F920">
            <v>0</v>
          </cell>
        </row>
        <row r="921">
          <cell r="A921">
            <v>3911100022</v>
          </cell>
          <cell r="C921" t="str">
            <v>US72PZA591</v>
          </cell>
          <cell r="E921">
            <v>1385.48</v>
          </cell>
          <cell r="F921">
            <v>0</v>
          </cell>
        </row>
        <row r="922">
          <cell r="A922">
            <v>3911100041</v>
          </cell>
          <cell r="C922" t="str">
            <v>US72PZA591</v>
          </cell>
          <cell r="E922">
            <v>121.85</v>
          </cell>
          <cell r="F922">
            <v>0</v>
          </cell>
        </row>
        <row r="923">
          <cell r="A923">
            <v>3911200001</v>
          </cell>
          <cell r="C923" t="str">
            <v>US72PZA591</v>
          </cell>
          <cell r="E923">
            <v>670</v>
          </cell>
          <cell r="F923">
            <v>0</v>
          </cell>
        </row>
        <row r="924">
          <cell r="A924">
            <v>3921200003</v>
          </cell>
          <cell r="C924" t="str">
            <v>US72PZA591</v>
          </cell>
          <cell r="E924">
            <v>60.98</v>
          </cell>
          <cell r="F924">
            <v>0</v>
          </cell>
        </row>
        <row r="925">
          <cell r="A925">
            <v>3921200010</v>
          </cell>
          <cell r="C925" t="str">
            <v>US72PZA591</v>
          </cell>
          <cell r="E925">
            <v>352.48</v>
          </cell>
          <cell r="F925">
            <v>0</v>
          </cell>
        </row>
        <row r="926">
          <cell r="A926">
            <v>3921200050</v>
          </cell>
          <cell r="C926" t="str">
            <v>US72PZA591</v>
          </cell>
          <cell r="E926">
            <v>1127.4000000000001</v>
          </cell>
          <cell r="F926">
            <v>0</v>
          </cell>
        </row>
        <row r="927">
          <cell r="A927">
            <v>3921200100</v>
          </cell>
          <cell r="C927" t="str">
            <v>US72PZA591</v>
          </cell>
          <cell r="E927">
            <v>13.05</v>
          </cell>
          <cell r="F927">
            <v>0</v>
          </cell>
        </row>
        <row r="928">
          <cell r="A928">
            <v>3951200008</v>
          </cell>
          <cell r="C928" t="str">
            <v>US72PZA591</v>
          </cell>
          <cell r="E928">
            <v>222.94</v>
          </cell>
          <cell r="F928">
            <v>0</v>
          </cell>
        </row>
        <row r="929">
          <cell r="A929">
            <v>3991200015</v>
          </cell>
          <cell r="C929" t="str">
            <v>US72PZA591</v>
          </cell>
          <cell r="E929">
            <v>223.07</v>
          </cell>
          <cell r="F929">
            <v>0</v>
          </cell>
        </row>
        <row r="930">
          <cell r="A930">
            <v>9420000025</v>
          </cell>
          <cell r="C930" t="str">
            <v>US72PZA591</v>
          </cell>
          <cell r="E930">
            <v>30929.66</v>
          </cell>
          <cell r="F930">
            <v>0</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07Act_08Act_08Bud"/>
      <sheetName val="CostCenterElement"/>
      <sheetName val="CCCostElem"/>
      <sheetName val="2006 Int Actuals"/>
      <sheetName val="2007 Int Actuals"/>
      <sheetName val="2008 Int Actuals"/>
      <sheetName val="2008 Int Budget"/>
      <sheetName val="2006 US CR Int Dist"/>
      <sheetName val="2006 US CR Int"/>
      <sheetName val="2007 US CR Int Dist"/>
      <sheetName val="2007 US CR Int"/>
      <sheetName val="2008 US CR Int Dist"/>
      <sheetName val="2008 US CR Int"/>
      <sheetName val="2008 US CR Int Budget"/>
      <sheetName val="2008 US CR Int Dist Budget"/>
    </sheetNames>
    <sheetDataSet>
      <sheetData sheetId="0"/>
      <sheetData sheetId="1"/>
      <sheetData sheetId="2"/>
      <sheetData sheetId="3"/>
      <sheetData sheetId="4">
        <row r="3">
          <cell r="A3" t="str">
            <v>Conc</v>
          </cell>
          <cell r="B3" t="str">
            <v>Cost Center</v>
          </cell>
          <cell r="C3" t="str">
            <v>Account</v>
          </cell>
          <cell r="D3" t="str">
            <v>Description</v>
          </cell>
          <cell r="E3" t="str">
            <v xml:space="preserve">      Jan</v>
          </cell>
          <cell r="F3" t="str">
            <v xml:space="preserve">      Feb</v>
          </cell>
          <cell r="G3" t="str">
            <v xml:space="preserve">      Mar</v>
          </cell>
          <cell r="H3" t="str">
            <v xml:space="preserve">      Apr</v>
          </cell>
          <cell r="I3" t="str">
            <v xml:space="preserve">      May</v>
          </cell>
          <cell r="J3" t="str">
            <v xml:space="preserve">      Jun</v>
          </cell>
          <cell r="K3" t="str">
            <v xml:space="preserve">      Jul</v>
          </cell>
          <cell r="L3" t="str">
            <v xml:space="preserve">      Aug</v>
          </cell>
          <cell r="M3" t="str">
            <v xml:space="preserve">      Sep</v>
          </cell>
          <cell r="N3" t="str">
            <v xml:space="preserve">      Oct</v>
          </cell>
          <cell r="O3" t="str">
            <v xml:space="preserve">      Nov</v>
          </cell>
          <cell r="P3" t="str">
            <v xml:space="preserve">      Dec</v>
          </cell>
          <cell r="Q3" t="str">
            <v>Total</v>
          </cell>
        </row>
        <row r="4">
          <cell r="A4" t="str">
            <v>US22MZA1503001500128</v>
          </cell>
          <cell r="B4" t="str">
            <v>US22MZA150</v>
          </cell>
          <cell r="C4">
            <v>3001500128</v>
          </cell>
          <cell r="D4" t="str">
            <v>INVENTORY MOVMENT - PACKING MATERIALS CO</v>
          </cell>
          <cell r="E4">
            <v>0</v>
          </cell>
          <cell r="F4">
            <v>0</v>
          </cell>
          <cell r="G4">
            <v>0</v>
          </cell>
          <cell r="H4">
            <v>0</v>
          </cell>
          <cell r="I4">
            <v>0</v>
          </cell>
          <cell r="J4">
            <v>0</v>
          </cell>
          <cell r="K4">
            <v>0</v>
          </cell>
          <cell r="L4">
            <v>0</v>
          </cell>
          <cell r="M4">
            <v>0</v>
          </cell>
          <cell r="N4">
            <v>0</v>
          </cell>
          <cell r="O4">
            <v>0</v>
          </cell>
          <cell r="P4">
            <v>0</v>
          </cell>
          <cell r="Q4">
            <v>0</v>
          </cell>
        </row>
        <row r="5">
          <cell r="A5" t="str">
            <v>US28MZA1503001500128</v>
          </cell>
          <cell r="B5" t="str">
            <v>US28MZA150</v>
          </cell>
          <cell r="C5">
            <v>3001500128</v>
          </cell>
          <cell r="D5" t="str">
            <v>INVENTORY MOVMENT - PACKING MATERIALS CO</v>
          </cell>
          <cell r="E5">
            <v>0</v>
          </cell>
          <cell r="F5">
            <v>0</v>
          </cell>
          <cell r="G5">
            <v>0</v>
          </cell>
          <cell r="H5">
            <v>0</v>
          </cell>
          <cell r="I5">
            <v>0</v>
          </cell>
          <cell r="J5">
            <v>0</v>
          </cell>
          <cell r="K5">
            <v>0</v>
          </cell>
          <cell r="L5">
            <v>0</v>
          </cell>
          <cell r="M5">
            <v>0</v>
          </cell>
          <cell r="N5">
            <v>0</v>
          </cell>
          <cell r="O5">
            <v>0</v>
          </cell>
          <cell r="P5">
            <v>0</v>
          </cell>
          <cell r="Q5">
            <v>0</v>
          </cell>
        </row>
        <row r="6">
          <cell r="A6" t="str">
            <v>US59MZA1503001500128</v>
          </cell>
          <cell r="B6" t="str">
            <v>US59MZA150</v>
          </cell>
          <cell r="C6">
            <v>3001500128</v>
          </cell>
          <cell r="D6" t="str">
            <v>INVENTORY MOVMENT - PACKING MATERIALS CO</v>
          </cell>
          <cell r="E6">
            <v>0</v>
          </cell>
          <cell r="F6">
            <v>0</v>
          </cell>
          <cell r="G6">
            <v>0</v>
          </cell>
          <cell r="H6">
            <v>0</v>
          </cell>
          <cell r="I6">
            <v>0</v>
          </cell>
          <cell r="J6">
            <v>0</v>
          </cell>
          <cell r="K6">
            <v>0</v>
          </cell>
          <cell r="L6">
            <v>0</v>
          </cell>
          <cell r="M6">
            <v>0</v>
          </cell>
          <cell r="N6">
            <v>0</v>
          </cell>
          <cell r="O6">
            <v>0</v>
          </cell>
          <cell r="P6">
            <v>0</v>
          </cell>
          <cell r="Q6">
            <v>0</v>
          </cell>
        </row>
        <row r="7">
          <cell r="A7" t="str">
            <v>US22MZA1503001500152</v>
          </cell>
          <cell r="B7" t="str">
            <v>US22MZA150</v>
          </cell>
          <cell r="C7">
            <v>3001500152</v>
          </cell>
          <cell r="D7" t="str">
            <v>INVENTORY MOVEMENTS-PACKED COMMERCIAL PD</v>
          </cell>
          <cell r="E7">
            <v>846</v>
          </cell>
          <cell r="F7">
            <v>1215</v>
          </cell>
          <cell r="G7">
            <v>2275</v>
          </cell>
          <cell r="H7">
            <v>735</v>
          </cell>
          <cell r="I7">
            <v>0</v>
          </cell>
          <cell r="J7">
            <v>0</v>
          </cell>
          <cell r="K7">
            <v>236</v>
          </cell>
          <cell r="L7">
            <v>0</v>
          </cell>
          <cell r="M7">
            <v>0</v>
          </cell>
          <cell r="N7">
            <v>0</v>
          </cell>
          <cell r="O7">
            <v>0</v>
          </cell>
          <cell r="P7">
            <v>0</v>
          </cell>
          <cell r="Q7">
            <v>5307</v>
          </cell>
        </row>
        <row r="8">
          <cell r="A8" t="str">
            <v>USWOMZA1503001500152</v>
          </cell>
          <cell r="B8" t="str">
            <v>USWOMZA150</v>
          </cell>
          <cell r="C8">
            <v>3001500152</v>
          </cell>
          <cell r="D8" t="str">
            <v>INVENTORY MOVEMENTS-PACKED COMMERCIAL PD</v>
          </cell>
          <cell r="E8">
            <v>152</v>
          </cell>
          <cell r="F8">
            <v>0</v>
          </cell>
          <cell r="G8">
            <v>0</v>
          </cell>
          <cell r="H8">
            <v>-148</v>
          </cell>
          <cell r="I8">
            <v>0</v>
          </cell>
          <cell r="J8">
            <v>0</v>
          </cell>
          <cell r="K8">
            <v>0</v>
          </cell>
          <cell r="L8">
            <v>0</v>
          </cell>
          <cell r="M8">
            <v>0</v>
          </cell>
          <cell r="N8">
            <v>0</v>
          </cell>
          <cell r="O8">
            <v>0</v>
          </cell>
          <cell r="P8">
            <v>0</v>
          </cell>
          <cell r="Q8">
            <v>4</v>
          </cell>
        </row>
        <row r="9">
          <cell r="A9" t="str">
            <v>US22MZA1503111100000</v>
          </cell>
          <cell r="B9" t="str">
            <v>US22MZA150</v>
          </cell>
          <cell r="C9">
            <v>3111100000</v>
          </cell>
          <cell r="D9" t="str">
            <v>WAGES,SALARIES,ALLOWANCES AND COMMI/PERM</v>
          </cell>
          <cell r="E9">
            <v>20705</v>
          </cell>
          <cell r="F9">
            <v>17417</v>
          </cell>
          <cell r="G9">
            <v>20505</v>
          </cell>
          <cell r="H9">
            <v>14929</v>
          </cell>
          <cell r="I9">
            <v>16305</v>
          </cell>
          <cell r="J9">
            <v>14084</v>
          </cell>
          <cell r="K9">
            <v>15640</v>
          </cell>
          <cell r="L9">
            <v>17035</v>
          </cell>
          <cell r="M9">
            <v>9084</v>
          </cell>
          <cell r="N9">
            <v>14188</v>
          </cell>
          <cell r="O9">
            <v>20802</v>
          </cell>
          <cell r="P9">
            <v>23347</v>
          </cell>
          <cell r="Q9">
            <v>204041</v>
          </cell>
        </row>
        <row r="10">
          <cell r="A10" t="str">
            <v>US22MZA1553111100000</v>
          </cell>
          <cell r="B10" t="str">
            <v>US22MZA155</v>
          </cell>
          <cell r="C10">
            <v>3111100000</v>
          </cell>
          <cell r="D10" t="str">
            <v>WAGES,SALARIES,ALLOWANCES AND COMMI/PERM</v>
          </cell>
          <cell r="E10">
            <v>0</v>
          </cell>
          <cell r="F10">
            <v>3765</v>
          </cell>
          <cell r="G10">
            <v>2847</v>
          </cell>
          <cell r="H10">
            <v>2601</v>
          </cell>
          <cell r="I10">
            <v>3132</v>
          </cell>
          <cell r="J10">
            <v>6016</v>
          </cell>
          <cell r="K10">
            <v>8294</v>
          </cell>
          <cell r="L10">
            <v>-1435</v>
          </cell>
          <cell r="M10">
            <v>0</v>
          </cell>
          <cell r="N10">
            <v>0</v>
          </cell>
          <cell r="O10">
            <v>0</v>
          </cell>
          <cell r="P10">
            <v>0</v>
          </cell>
          <cell r="Q10">
            <v>25220</v>
          </cell>
        </row>
        <row r="11">
          <cell r="A11" t="str">
            <v>US28MZA1503111100000</v>
          </cell>
          <cell r="B11" t="str">
            <v>US28MZA150</v>
          </cell>
          <cell r="C11">
            <v>3111100000</v>
          </cell>
          <cell r="D11" t="str">
            <v>WAGES,SALARIES,ALLOWANCES AND COMMI/PERM</v>
          </cell>
          <cell r="E11">
            <v>13647</v>
          </cell>
          <cell r="F11">
            <v>11143</v>
          </cell>
          <cell r="G11">
            <v>14390</v>
          </cell>
          <cell r="H11">
            <v>10653</v>
          </cell>
          <cell r="I11">
            <v>7732</v>
          </cell>
          <cell r="J11">
            <v>4415</v>
          </cell>
          <cell r="K11">
            <v>8877</v>
          </cell>
          <cell r="L11">
            <v>10361</v>
          </cell>
          <cell r="M11">
            <v>4475</v>
          </cell>
          <cell r="N11">
            <v>5817</v>
          </cell>
          <cell r="O11">
            <v>15898</v>
          </cell>
          <cell r="P11">
            <v>11615</v>
          </cell>
          <cell r="Q11">
            <v>119023</v>
          </cell>
        </row>
        <row r="12">
          <cell r="A12" t="str">
            <v>US28MZA1553111100000</v>
          </cell>
          <cell r="B12" t="str">
            <v>US28MZA155</v>
          </cell>
          <cell r="C12">
            <v>3111100000</v>
          </cell>
          <cell r="D12" t="str">
            <v>WAGES,SALARIES,ALLOWANCES AND COMMI/PERM</v>
          </cell>
          <cell r="E12">
            <v>3459</v>
          </cell>
          <cell r="F12">
            <v>3934</v>
          </cell>
          <cell r="G12">
            <v>4338</v>
          </cell>
          <cell r="H12">
            <v>4212</v>
          </cell>
          <cell r="I12">
            <v>4647</v>
          </cell>
          <cell r="J12">
            <v>4172</v>
          </cell>
          <cell r="K12">
            <v>4401</v>
          </cell>
          <cell r="L12">
            <v>4596</v>
          </cell>
          <cell r="M12">
            <v>529</v>
          </cell>
          <cell r="N12">
            <v>0</v>
          </cell>
          <cell r="O12">
            <v>3585</v>
          </cell>
          <cell r="P12">
            <v>4200</v>
          </cell>
          <cell r="Q12">
            <v>42073</v>
          </cell>
        </row>
        <row r="13">
          <cell r="A13" t="str">
            <v>US35MZA1503111100000</v>
          </cell>
          <cell r="B13" t="str">
            <v>US35MZA150</v>
          </cell>
          <cell r="C13">
            <v>3111100000</v>
          </cell>
          <cell r="D13" t="str">
            <v>WAGES,SALARIES,ALLOWANCES AND COMMI/PERM</v>
          </cell>
          <cell r="E13">
            <v>19199</v>
          </cell>
          <cell r="F13">
            <v>16516</v>
          </cell>
          <cell r="G13">
            <v>14340</v>
          </cell>
          <cell r="H13">
            <v>11585</v>
          </cell>
          <cell r="I13">
            <v>16886</v>
          </cell>
          <cell r="J13">
            <v>13037</v>
          </cell>
          <cell r="K13">
            <v>9406</v>
          </cell>
          <cell r="L13">
            <v>20597</v>
          </cell>
          <cell r="M13">
            <v>1245</v>
          </cell>
          <cell r="N13">
            <v>7338</v>
          </cell>
          <cell r="O13">
            <v>12232</v>
          </cell>
          <cell r="P13">
            <v>17620</v>
          </cell>
          <cell r="Q13">
            <v>160001</v>
          </cell>
        </row>
        <row r="14">
          <cell r="A14" t="str">
            <v>US35MZA1553111100000</v>
          </cell>
          <cell r="B14" t="str">
            <v>US35MZA155</v>
          </cell>
          <cell r="C14">
            <v>3111100000</v>
          </cell>
          <cell r="D14" t="str">
            <v>WAGES,SALARIES,ALLOWANCES AND COMMI/PERM</v>
          </cell>
          <cell r="E14">
            <v>0</v>
          </cell>
          <cell r="F14">
            <v>0</v>
          </cell>
          <cell r="G14">
            <v>5077</v>
          </cell>
          <cell r="H14">
            <v>7444</v>
          </cell>
          <cell r="I14">
            <v>8450</v>
          </cell>
          <cell r="J14">
            <v>7686</v>
          </cell>
          <cell r="K14">
            <v>6770</v>
          </cell>
          <cell r="L14">
            <v>2031</v>
          </cell>
          <cell r="M14">
            <v>0</v>
          </cell>
          <cell r="N14">
            <v>0</v>
          </cell>
          <cell r="O14">
            <v>8198</v>
          </cell>
          <cell r="P14">
            <v>7344</v>
          </cell>
          <cell r="Q14">
            <v>53000</v>
          </cell>
        </row>
        <row r="15">
          <cell r="A15" t="str">
            <v>US59MZA1503111100000</v>
          </cell>
          <cell r="B15" t="str">
            <v>US59MZA150</v>
          </cell>
          <cell r="C15">
            <v>3111100000</v>
          </cell>
          <cell r="D15" t="str">
            <v>WAGES,SALARIES,ALLOWANCES AND COMMI/PERM</v>
          </cell>
          <cell r="E15">
            <v>16219</v>
          </cell>
          <cell r="F15">
            <v>16237</v>
          </cell>
          <cell r="G15">
            <v>17914</v>
          </cell>
          <cell r="H15">
            <v>18843</v>
          </cell>
          <cell r="I15">
            <v>19928</v>
          </cell>
          <cell r="J15">
            <v>17458</v>
          </cell>
          <cell r="K15">
            <v>12362</v>
          </cell>
          <cell r="L15">
            <v>7498</v>
          </cell>
          <cell r="M15">
            <v>6518</v>
          </cell>
          <cell r="N15">
            <v>7785</v>
          </cell>
          <cell r="O15">
            <v>12822</v>
          </cell>
          <cell r="P15">
            <v>9998</v>
          </cell>
          <cell r="Q15">
            <v>163582</v>
          </cell>
        </row>
        <row r="16">
          <cell r="A16" t="str">
            <v>USCRMZA1503111100000</v>
          </cell>
          <cell r="B16" t="str">
            <v>USCRMZA150</v>
          </cell>
          <cell r="C16">
            <v>3111100000</v>
          </cell>
          <cell r="D16" t="str">
            <v>WAGES,SALARIES,ALLOWANCES AND COMMI/PERM</v>
          </cell>
          <cell r="E16">
            <v>30967</v>
          </cell>
          <cell r="F16">
            <v>31180</v>
          </cell>
          <cell r="G16">
            <v>31727</v>
          </cell>
          <cell r="H16">
            <v>34270</v>
          </cell>
          <cell r="I16">
            <v>27465</v>
          </cell>
          <cell r="J16">
            <v>20078</v>
          </cell>
          <cell r="K16">
            <v>20578</v>
          </cell>
          <cell r="L16">
            <v>19700</v>
          </cell>
          <cell r="M16">
            <v>22692</v>
          </cell>
          <cell r="N16">
            <v>5064</v>
          </cell>
          <cell r="O16">
            <v>27937</v>
          </cell>
          <cell r="P16">
            <v>27288</v>
          </cell>
          <cell r="Q16">
            <v>298946</v>
          </cell>
        </row>
        <row r="17">
          <cell r="A17" t="str">
            <v>USWOMZA1503111100000</v>
          </cell>
          <cell r="B17" t="str">
            <v>USWOMZA150</v>
          </cell>
          <cell r="C17">
            <v>3111100000</v>
          </cell>
          <cell r="D17" t="str">
            <v>WAGES,SALARIES,ALLOWANCES AND COMMI/PERM</v>
          </cell>
          <cell r="E17">
            <v>23785</v>
          </cell>
          <cell r="F17">
            <v>21695</v>
          </cell>
          <cell r="G17">
            <v>24201</v>
          </cell>
          <cell r="H17">
            <v>32449</v>
          </cell>
          <cell r="I17">
            <v>24305</v>
          </cell>
          <cell r="J17">
            <v>20478</v>
          </cell>
          <cell r="K17">
            <v>22095</v>
          </cell>
          <cell r="L17">
            <v>6270</v>
          </cell>
          <cell r="M17">
            <v>1631</v>
          </cell>
          <cell r="N17">
            <v>1301</v>
          </cell>
          <cell r="O17">
            <v>14844</v>
          </cell>
          <cell r="P17">
            <v>20082</v>
          </cell>
          <cell r="Q17">
            <v>213136</v>
          </cell>
        </row>
        <row r="18">
          <cell r="A18" t="str">
            <v>US22MZA1503111100012</v>
          </cell>
          <cell r="B18" t="str">
            <v>US22MZA150</v>
          </cell>
          <cell r="C18">
            <v>3111100012</v>
          </cell>
          <cell r="D18" t="str">
            <v>OVERTIME HOURS /PERMANENTS</v>
          </cell>
          <cell r="E18">
            <v>3978</v>
          </cell>
          <cell r="F18">
            <v>6409</v>
          </cell>
          <cell r="G18">
            <v>7114</v>
          </cell>
          <cell r="H18">
            <v>6008</v>
          </cell>
          <cell r="I18">
            <v>3918</v>
          </cell>
          <cell r="J18">
            <v>1479</v>
          </cell>
          <cell r="K18">
            <v>1894</v>
          </cell>
          <cell r="L18">
            <v>3774</v>
          </cell>
          <cell r="M18">
            <v>2687</v>
          </cell>
          <cell r="N18">
            <v>1121</v>
          </cell>
          <cell r="O18">
            <v>2826</v>
          </cell>
          <cell r="P18">
            <v>2068</v>
          </cell>
          <cell r="Q18">
            <v>43276</v>
          </cell>
        </row>
        <row r="19">
          <cell r="A19" t="str">
            <v>US22MZA1553111100012</v>
          </cell>
          <cell r="B19" t="str">
            <v>US22MZA155</v>
          </cell>
          <cell r="C19">
            <v>3111100012</v>
          </cell>
          <cell r="D19" t="str">
            <v>OVERTIME HOURS /PERMANENTS</v>
          </cell>
          <cell r="E19">
            <v>0</v>
          </cell>
          <cell r="F19">
            <v>403</v>
          </cell>
          <cell r="G19">
            <v>973</v>
          </cell>
          <cell r="H19">
            <v>2012</v>
          </cell>
          <cell r="I19">
            <v>398</v>
          </cell>
          <cell r="J19">
            <v>2481</v>
          </cell>
          <cell r="K19">
            <v>1910</v>
          </cell>
          <cell r="L19">
            <v>-297</v>
          </cell>
          <cell r="M19">
            <v>0</v>
          </cell>
          <cell r="N19">
            <v>0</v>
          </cell>
          <cell r="O19">
            <v>0</v>
          </cell>
          <cell r="P19">
            <v>0</v>
          </cell>
          <cell r="Q19">
            <v>7880</v>
          </cell>
        </row>
        <row r="20">
          <cell r="A20" t="str">
            <v>US28MZA1503111100012</v>
          </cell>
          <cell r="B20" t="str">
            <v>US28MZA150</v>
          </cell>
          <cell r="C20">
            <v>3111100012</v>
          </cell>
          <cell r="D20" t="str">
            <v>OVERTIME HOURS /PERMANENTS</v>
          </cell>
          <cell r="E20">
            <v>1267</v>
          </cell>
          <cell r="F20">
            <v>1222</v>
          </cell>
          <cell r="G20">
            <v>1887</v>
          </cell>
          <cell r="H20">
            <v>1921</v>
          </cell>
          <cell r="I20">
            <v>2058</v>
          </cell>
          <cell r="J20">
            <v>-740</v>
          </cell>
          <cell r="K20">
            <v>20</v>
          </cell>
          <cell r="L20">
            <v>368</v>
          </cell>
          <cell r="M20">
            <v>3046</v>
          </cell>
          <cell r="N20">
            <v>2119</v>
          </cell>
          <cell r="O20">
            <v>69</v>
          </cell>
          <cell r="P20">
            <v>528</v>
          </cell>
          <cell r="Q20">
            <v>13765</v>
          </cell>
        </row>
        <row r="21">
          <cell r="A21" t="str">
            <v>US28MZA1553111100012</v>
          </cell>
          <cell r="B21" t="str">
            <v>US28MZA155</v>
          </cell>
          <cell r="C21">
            <v>3111100012</v>
          </cell>
          <cell r="D21" t="str">
            <v>OVERTIME HOURS /PERMANENTS</v>
          </cell>
          <cell r="E21">
            <v>19</v>
          </cell>
          <cell r="F21">
            <v>20</v>
          </cell>
          <cell r="G21">
            <v>128</v>
          </cell>
          <cell r="H21">
            <v>588</v>
          </cell>
          <cell r="I21">
            <v>-53</v>
          </cell>
          <cell r="J21">
            <v>7</v>
          </cell>
          <cell r="K21">
            <v>5</v>
          </cell>
          <cell r="L21">
            <v>7</v>
          </cell>
          <cell r="M21">
            <v>163</v>
          </cell>
          <cell r="N21">
            <v>0</v>
          </cell>
          <cell r="O21">
            <v>86</v>
          </cell>
          <cell r="P21">
            <v>198</v>
          </cell>
          <cell r="Q21">
            <v>1168</v>
          </cell>
        </row>
        <row r="22">
          <cell r="A22" t="str">
            <v>US35MZA1503111100012</v>
          </cell>
          <cell r="B22" t="str">
            <v>US35MZA150</v>
          </cell>
          <cell r="C22">
            <v>3111100012</v>
          </cell>
          <cell r="D22" t="str">
            <v>OVERTIME HOURS /PERMANENTS</v>
          </cell>
          <cell r="E22">
            <v>5756</v>
          </cell>
          <cell r="F22">
            <v>7238</v>
          </cell>
          <cell r="G22">
            <v>8752</v>
          </cell>
          <cell r="H22">
            <v>8375</v>
          </cell>
          <cell r="I22">
            <v>4709</v>
          </cell>
          <cell r="J22">
            <v>2892</v>
          </cell>
          <cell r="K22">
            <v>4542</v>
          </cell>
          <cell r="L22">
            <v>1841</v>
          </cell>
          <cell r="M22">
            <v>4921</v>
          </cell>
          <cell r="N22">
            <v>2183</v>
          </cell>
          <cell r="O22">
            <v>2003</v>
          </cell>
          <cell r="P22">
            <v>2656</v>
          </cell>
          <cell r="Q22">
            <v>55868</v>
          </cell>
        </row>
        <row r="23">
          <cell r="A23" t="str">
            <v>US35MZA1553111100012</v>
          </cell>
          <cell r="B23" t="str">
            <v>US35MZA155</v>
          </cell>
          <cell r="C23">
            <v>3111100012</v>
          </cell>
          <cell r="D23" t="str">
            <v>OVERTIME HOURS /PERMANENTS</v>
          </cell>
          <cell r="E23">
            <v>0</v>
          </cell>
          <cell r="F23">
            <v>0</v>
          </cell>
          <cell r="G23">
            <v>3013</v>
          </cell>
          <cell r="H23">
            <v>5160</v>
          </cell>
          <cell r="I23">
            <v>-398</v>
          </cell>
          <cell r="J23">
            <v>527</v>
          </cell>
          <cell r="K23">
            <v>858</v>
          </cell>
          <cell r="L23">
            <v>247</v>
          </cell>
          <cell r="M23">
            <v>0</v>
          </cell>
          <cell r="N23">
            <v>0</v>
          </cell>
          <cell r="O23">
            <v>1113</v>
          </cell>
          <cell r="P23">
            <v>-309</v>
          </cell>
          <cell r="Q23">
            <v>10211</v>
          </cell>
        </row>
        <row r="24">
          <cell r="A24" t="str">
            <v>US59MZA1503111100012</v>
          </cell>
          <cell r="B24" t="str">
            <v>US59MZA150</v>
          </cell>
          <cell r="C24">
            <v>3111100012</v>
          </cell>
          <cell r="D24" t="str">
            <v>OVERTIME HOURS /PERMANENTS</v>
          </cell>
          <cell r="E24">
            <v>2309</v>
          </cell>
          <cell r="F24">
            <v>4699</v>
          </cell>
          <cell r="G24">
            <v>6627</v>
          </cell>
          <cell r="H24">
            <v>6559</v>
          </cell>
          <cell r="I24">
            <v>3485</v>
          </cell>
          <cell r="J24">
            <v>295</v>
          </cell>
          <cell r="K24">
            <v>1034</v>
          </cell>
          <cell r="L24">
            <v>1591</v>
          </cell>
          <cell r="M24">
            <v>393</v>
          </cell>
          <cell r="N24">
            <v>2957</v>
          </cell>
          <cell r="O24">
            <v>2974</v>
          </cell>
          <cell r="P24">
            <v>1363</v>
          </cell>
          <cell r="Q24">
            <v>34286</v>
          </cell>
        </row>
        <row r="25">
          <cell r="A25" t="str">
            <v>USCRMZA1503111100012</v>
          </cell>
          <cell r="B25" t="str">
            <v>USCRMZA150</v>
          </cell>
          <cell r="C25">
            <v>3111100012</v>
          </cell>
          <cell r="D25" t="str">
            <v>OVERTIME HOURS /PERMANENTS</v>
          </cell>
          <cell r="E25">
            <v>1535</v>
          </cell>
          <cell r="F25">
            <v>3232</v>
          </cell>
          <cell r="G25">
            <v>1088</v>
          </cell>
          <cell r="H25">
            <v>3923</v>
          </cell>
          <cell r="I25">
            <v>974</v>
          </cell>
          <cell r="J25">
            <v>435</v>
          </cell>
          <cell r="K25">
            <v>2467</v>
          </cell>
          <cell r="L25">
            <v>2601</v>
          </cell>
          <cell r="M25">
            <v>2542</v>
          </cell>
          <cell r="N25">
            <v>61</v>
          </cell>
          <cell r="O25">
            <v>3357</v>
          </cell>
          <cell r="P25">
            <v>1672</v>
          </cell>
          <cell r="Q25">
            <v>23887</v>
          </cell>
        </row>
        <row r="26">
          <cell r="A26" t="str">
            <v>USWOMZA1503111100012</v>
          </cell>
          <cell r="B26" t="str">
            <v>USWOMZA150</v>
          </cell>
          <cell r="C26">
            <v>3111100012</v>
          </cell>
          <cell r="D26" t="str">
            <v>OVERTIME HOURS /PERMANENTS</v>
          </cell>
          <cell r="E26">
            <v>686</v>
          </cell>
          <cell r="F26">
            <v>5280</v>
          </cell>
          <cell r="G26">
            <v>6279</v>
          </cell>
          <cell r="H26">
            <v>7885</v>
          </cell>
          <cell r="I26">
            <v>7715</v>
          </cell>
          <cell r="J26">
            <v>4100</v>
          </cell>
          <cell r="K26">
            <v>3964</v>
          </cell>
          <cell r="L26">
            <v>245</v>
          </cell>
          <cell r="M26">
            <v>56</v>
          </cell>
          <cell r="N26">
            <v>192</v>
          </cell>
          <cell r="O26">
            <v>3099</v>
          </cell>
          <cell r="P26">
            <v>809</v>
          </cell>
          <cell r="Q26">
            <v>40310</v>
          </cell>
        </row>
        <row r="27">
          <cell r="A27" t="str">
            <v>US22MZA1503111100020</v>
          </cell>
          <cell r="B27" t="str">
            <v>US22MZA150</v>
          </cell>
          <cell r="C27">
            <v>3111100020</v>
          </cell>
          <cell r="D27" t="str">
            <v>INCENTIVE PLAN (functions)</v>
          </cell>
          <cell r="E27">
            <v>476</v>
          </cell>
          <cell r="F27">
            <v>-476</v>
          </cell>
          <cell r="G27">
            <v>0</v>
          </cell>
          <cell r="H27">
            <v>0</v>
          </cell>
          <cell r="I27">
            <v>0</v>
          </cell>
          <cell r="J27">
            <v>0</v>
          </cell>
          <cell r="K27">
            <v>0</v>
          </cell>
          <cell r="L27">
            <v>0</v>
          </cell>
          <cell r="M27">
            <v>0</v>
          </cell>
          <cell r="N27">
            <v>0</v>
          </cell>
          <cell r="O27">
            <v>0</v>
          </cell>
          <cell r="P27">
            <v>0</v>
          </cell>
          <cell r="Q27">
            <v>0</v>
          </cell>
        </row>
        <row r="28">
          <cell r="A28" t="str">
            <v>US28MZA1503111100020</v>
          </cell>
          <cell r="B28" t="str">
            <v>US28MZA150</v>
          </cell>
          <cell r="C28">
            <v>3111100020</v>
          </cell>
          <cell r="D28" t="str">
            <v>INCENTIVE PLAN (functions)</v>
          </cell>
          <cell r="E28">
            <v>458</v>
          </cell>
          <cell r="F28">
            <v>-458</v>
          </cell>
          <cell r="G28">
            <v>0</v>
          </cell>
          <cell r="H28">
            <v>0</v>
          </cell>
          <cell r="I28">
            <v>0</v>
          </cell>
          <cell r="J28">
            <v>0</v>
          </cell>
          <cell r="K28">
            <v>0</v>
          </cell>
          <cell r="L28">
            <v>0</v>
          </cell>
          <cell r="M28">
            <v>0</v>
          </cell>
          <cell r="N28">
            <v>0</v>
          </cell>
          <cell r="O28">
            <v>0</v>
          </cell>
          <cell r="P28">
            <v>0</v>
          </cell>
          <cell r="Q28">
            <v>0</v>
          </cell>
        </row>
        <row r="29">
          <cell r="A29" t="str">
            <v>US35MZA1503111100020</v>
          </cell>
          <cell r="B29" t="str">
            <v>US35MZA150</v>
          </cell>
          <cell r="C29">
            <v>3111100020</v>
          </cell>
          <cell r="D29" t="str">
            <v>INCENTIVE PLAN (functions)</v>
          </cell>
          <cell r="E29">
            <v>259</v>
          </cell>
          <cell r="F29">
            <v>-259</v>
          </cell>
          <cell r="G29">
            <v>0</v>
          </cell>
          <cell r="H29">
            <v>0</v>
          </cell>
          <cell r="I29">
            <v>0</v>
          </cell>
          <cell r="J29">
            <v>0</v>
          </cell>
          <cell r="K29">
            <v>0</v>
          </cell>
          <cell r="L29">
            <v>0</v>
          </cell>
          <cell r="M29">
            <v>0</v>
          </cell>
          <cell r="N29">
            <v>0</v>
          </cell>
          <cell r="O29">
            <v>0</v>
          </cell>
          <cell r="P29">
            <v>0</v>
          </cell>
          <cell r="Q29">
            <v>0</v>
          </cell>
        </row>
        <row r="30">
          <cell r="A30" t="str">
            <v>US59MZA1503111100020</v>
          </cell>
          <cell r="B30" t="str">
            <v>US59MZA150</v>
          </cell>
          <cell r="C30">
            <v>3111100020</v>
          </cell>
          <cell r="D30" t="str">
            <v>INCENTIVE PLAN (functions)</v>
          </cell>
          <cell r="E30">
            <v>562</v>
          </cell>
          <cell r="F30">
            <v>-562</v>
          </cell>
          <cell r="G30">
            <v>0</v>
          </cell>
          <cell r="H30">
            <v>0</v>
          </cell>
          <cell r="I30">
            <v>0</v>
          </cell>
          <cell r="J30">
            <v>0</v>
          </cell>
          <cell r="K30">
            <v>0</v>
          </cell>
          <cell r="L30">
            <v>0</v>
          </cell>
          <cell r="M30">
            <v>0</v>
          </cell>
          <cell r="N30">
            <v>0</v>
          </cell>
          <cell r="O30">
            <v>0</v>
          </cell>
          <cell r="P30">
            <v>0</v>
          </cell>
          <cell r="Q30">
            <v>0</v>
          </cell>
        </row>
        <row r="31">
          <cell r="A31" t="str">
            <v>USCLMZA1503111100020</v>
          </cell>
          <cell r="B31" t="str">
            <v>USCLMZA150</v>
          </cell>
          <cell r="C31">
            <v>3111100020</v>
          </cell>
          <cell r="D31" t="str">
            <v>INCENTIVE PLAN (functions)</v>
          </cell>
          <cell r="E31">
            <v>545</v>
          </cell>
          <cell r="F31">
            <v>-545</v>
          </cell>
          <cell r="G31">
            <v>0</v>
          </cell>
          <cell r="H31">
            <v>0</v>
          </cell>
          <cell r="I31">
            <v>0</v>
          </cell>
          <cell r="J31">
            <v>0</v>
          </cell>
          <cell r="K31">
            <v>0</v>
          </cell>
          <cell r="L31">
            <v>0</v>
          </cell>
          <cell r="M31">
            <v>0</v>
          </cell>
          <cell r="N31">
            <v>0</v>
          </cell>
          <cell r="O31">
            <v>0</v>
          </cell>
          <cell r="P31">
            <v>0</v>
          </cell>
          <cell r="Q31">
            <v>0</v>
          </cell>
        </row>
        <row r="32">
          <cell r="A32" t="str">
            <v>USCOMZA1503111100020</v>
          </cell>
          <cell r="B32" t="str">
            <v>USCOMZA150</v>
          </cell>
          <cell r="C32">
            <v>3111100020</v>
          </cell>
          <cell r="D32" t="str">
            <v>INCENTIVE PLAN (functions)</v>
          </cell>
          <cell r="E32">
            <v>636</v>
          </cell>
          <cell r="F32">
            <v>-636</v>
          </cell>
          <cell r="G32">
            <v>0</v>
          </cell>
          <cell r="H32">
            <v>0</v>
          </cell>
          <cell r="I32">
            <v>0</v>
          </cell>
          <cell r="J32">
            <v>0</v>
          </cell>
          <cell r="K32">
            <v>0</v>
          </cell>
          <cell r="L32">
            <v>0</v>
          </cell>
          <cell r="M32">
            <v>0</v>
          </cell>
          <cell r="N32">
            <v>0</v>
          </cell>
          <cell r="O32">
            <v>0</v>
          </cell>
          <cell r="P32">
            <v>0</v>
          </cell>
          <cell r="Q32">
            <v>0</v>
          </cell>
        </row>
        <row r="33">
          <cell r="A33" t="str">
            <v>USCRMZA1503111100020</v>
          </cell>
          <cell r="B33" t="str">
            <v>USCRMZA150</v>
          </cell>
          <cell r="C33">
            <v>3111100020</v>
          </cell>
          <cell r="D33" t="str">
            <v>INCENTIVE PLAN (functions)</v>
          </cell>
          <cell r="E33">
            <v>344</v>
          </cell>
          <cell r="F33">
            <v>-344</v>
          </cell>
          <cell r="G33">
            <v>0</v>
          </cell>
          <cell r="H33">
            <v>0</v>
          </cell>
          <cell r="I33">
            <v>0</v>
          </cell>
          <cell r="J33">
            <v>0</v>
          </cell>
          <cell r="K33">
            <v>0</v>
          </cell>
          <cell r="L33">
            <v>0</v>
          </cell>
          <cell r="M33">
            <v>0</v>
          </cell>
          <cell r="N33">
            <v>0</v>
          </cell>
          <cell r="O33">
            <v>0</v>
          </cell>
          <cell r="P33">
            <v>0</v>
          </cell>
          <cell r="Q33">
            <v>0</v>
          </cell>
        </row>
        <row r="34">
          <cell r="A34" t="str">
            <v>USSTMZA1503111100020</v>
          </cell>
          <cell r="B34" t="str">
            <v>USSTMZA150</v>
          </cell>
          <cell r="C34">
            <v>3111100020</v>
          </cell>
          <cell r="D34" t="str">
            <v>INCENTIVE PLAN (functions)</v>
          </cell>
          <cell r="E34">
            <v>588</v>
          </cell>
          <cell r="F34">
            <v>-588</v>
          </cell>
          <cell r="G34">
            <v>0</v>
          </cell>
          <cell r="H34">
            <v>0</v>
          </cell>
          <cell r="I34">
            <v>0</v>
          </cell>
          <cell r="J34">
            <v>0</v>
          </cell>
          <cell r="K34">
            <v>0</v>
          </cell>
          <cell r="L34">
            <v>0</v>
          </cell>
          <cell r="M34">
            <v>0</v>
          </cell>
          <cell r="N34">
            <v>0</v>
          </cell>
          <cell r="O34">
            <v>0</v>
          </cell>
          <cell r="P34">
            <v>0</v>
          </cell>
          <cell r="Q34">
            <v>0</v>
          </cell>
        </row>
        <row r="35">
          <cell r="A35" t="str">
            <v>US22MZA1503111100900</v>
          </cell>
          <cell r="B35" t="str">
            <v>US22MZA150</v>
          </cell>
          <cell r="C35">
            <v>3111100900</v>
          </cell>
          <cell r="D35" t="str">
            <v>WAGES &amp; SALARIES / SEASONALS</v>
          </cell>
          <cell r="E35">
            <v>240</v>
          </cell>
          <cell r="F35">
            <v>0</v>
          </cell>
          <cell r="G35">
            <v>0</v>
          </cell>
          <cell r="H35">
            <v>0</v>
          </cell>
          <cell r="I35">
            <v>0</v>
          </cell>
          <cell r="J35">
            <v>0</v>
          </cell>
          <cell r="K35">
            <v>0</v>
          </cell>
          <cell r="L35">
            <v>0</v>
          </cell>
          <cell r="M35">
            <v>0</v>
          </cell>
          <cell r="N35">
            <v>0</v>
          </cell>
          <cell r="O35">
            <v>0</v>
          </cell>
          <cell r="P35">
            <v>0</v>
          </cell>
          <cell r="Q35">
            <v>240</v>
          </cell>
        </row>
        <row r="36">
          <cell r="A36" t="str">
            <v>USCOMZA1503121300037</v>
          </cell>
          <cell r="B36" t="str">
            <v>USCOMZA150</v>
          </cell>
          <cell r="C36">
            <v>3121300037</v>
          </cell>
          <cell r="D36" t="str">
            <v>PAYROLL TAX</v>
          </cell>
          <cell r="E36">
            <v>0</v>
          </cell>
          <cell r="F36">
            <v>0</v>
          </cell>
          <cell r="G36">
            <v>0</v>
          </cell>
          <cell r="H36">
            <v>0</v>
          </cell>
          <cell r="I36">
            <v>0</v>
          </cell>
          <cell r="J36">
            <v>18</v>
          </cell>
          <cell r="K36">
            <v>0</v>
          </cell>
          <cell r="L36">
            <v>0</v>
          </cell>
          <cell r="M36">
            <v>0</v>
          </cell>
          <cell r="N36">
            <v>0</v>
          </cell>
          <cell r="O36">
            <v>0</v>
          </cell>
          <cell r="P36">
            <v>0</v>
          </cell>
          <cell r="Q36">
            <v>18</v>
          </cell>
        </row>
        <row r="37">
          <cell r="A37" t="str">
            <v>USCRMZA1503121300045</v>
          </cell>
          <cell r="B37" t="str">
            <v>USCRMZA150</v>
          </cell>
          <cell r="C37">
            <v>3121300045</v>
          </cell>
          <cell r="D37" t="str">
            <v>HEALTH &amp; DENTAL INSURANCE</v>
          </cell>
          <cell r="E37">
            <v>0</v>
          </cell>
          <cell r="F37">
            <v>0</v>
          </cell>
          <cell r="G37">
            <v>0</v>
          </cell>
          <cell r="H37">
            <v>0</v>
          </cell>
          <cell r="I37">
            <v>0</v>
          </cell>
          <cell r="J37">
            <v>0</v>
          </cell>
          <cell r="K37">
            <v>0</v>
          </cell>
          <cell r="L37">
            <v>0</v>
          </cell>
          <cell r="M37">
            <v>0</v>
          </cell>
          <cell r="N37">
            <v>0</v>
          </cell>
          <cell r="O37">
            <v>0</v>
          </cell>
          <cell r="P37">
            <v>150</v>
          </cell>
          <cell r="Q37">
            <v>150</v>
          </cell>
        </row>
        <row r="38">
          <cell r="A38" t="str">
            <v>USCRMZA1503131100005</v>
          </cell>
          <cell r="B38" t="str">
            <v>USCRMZA150</v>
          </cell>
          <cell r="C38">
            <v>3131100005</v>
          </cell>
          <cell r="D38" t="str">
            <v>MOVINGS</v>
          </cell>
          <cell r="E38">
            <v>0</v>
          </cell>
          <cell r="F38">
            <v>0</v>
          </cell>
          <cell r="G38">
            <v>0</v>
          </cell>
          <cell r="H38">
            <v>0</v>
          </cell>
          <cell r="I38">
            <v>0</v>
          </cell>
          <cell r="J38">
            <v>0</v>
          </cell>
          <cell r="K38">
            <v>0</v>
          </cell>
          <cell r="L38">
            <v>0</v>
          </cell>
          <cell r="M38">
            <v>0</v>
          </cell>
          <cell r="N38">
            <v>0</v>
          </cell>
          <cell r="O38">
            <v>0</v>
          </cell>
          <cell r="P38">
            <v>4583</v>
          </cell>
          <cell r="Q38">
            <v>4583</v>
          </cell>
        </row>
        <row r="39">
          <cell r="A39" t="str">
            <v>USWOMZA1503131100007</v>
          </cell>
          <cell r="B39" t="str">
            <v>USWOMZA150</v>
          </cell>
          <cell r="C39">
            <v>3131100007</v>
          </cell>
          <cell r="D39" t="str">
            <v>EXTERNAL TRAINING</v>
          </cell>
          <cell r="E39">
            <v>150</v>
          </cell>
          <cell r="F39">
            <v>0</v>
          </cell>
          <cell r="G39">
            <v>0</v>
          </cell>
          <cell r="H39">
            <v>0</v>
          </cell>
          <cell r="I39">
            <v>0</v>
          </cell>
          <cell r="J39">
            <v>0</v>
          </cell>
          <cell r="K39">
            <v>0</v>
          </cell>
          <cell r="L39">
            <v>0</v>
          </cell>
          <cell r="M39">
            <v>0</v>
          </cell>
          <cell r="N39">
            <v>0</v>
          </cell>
          <cell r="O39">
            <v>0</v>
          </cell>
          <cell r="P39">
            <v>0</v>
          </cell>
          <cell r="Q39">
            <v>150</v>
          </cell>
        </row>
        <row r="40">
          <cell r="A40" t="str">
            <v>USCRMZA1553131100025</v>
          </cell>
          <cell r="B40" t="str">
            <v>USCRMZA155</v>
          </cell>
          <cell r="C40">
            <v>3131100025</v>
          </cell>
          <cell r="D40" t="str">
            <v>OTHER PERSONNEL EXPENSES</v>
          </cell>
          <cell r="E40">
            <v>0</v>
          </cell>
          <cell r="F40">
            <v>0</v>
          </cell>
          <cell r="G40">
            <v>0</v>
          </cell>
          <cell r="H40">
            <v>0</v>
          </cell>
          <cell r="I40">
            <v>0</v>
          </cell>
          <cell r="J40">
            <v>0</v>
          </cell>
          <cell r="K40">
            <v>0</v>
          </cell>
          <cell r="L40">
            <v>0</v>
          </cell>
          <cell r="M40">
            <v>0</v>
          </cell>
          <cell r="N40">
            <v>171</v>
          </cell>
          <cell r="O40">
            <v>0</v>
          </cell>
          <cell r="P40">
            <v>0</v>
          </cell>
          <cell r="Q40">
            <v>171</v>
          </cell>
        </row>
        <row r="41">
          <cell r="A41" t="str">
            <v>US28MZA1503131100031</v>
          </cell>
          <cell r="B41" t="str">
            <v>US28MZA150</v>
          </cell>
          <cell r="C41">
            <v>3131100031</v>
          </cell>
          <cell r="D41" t="str">
            <v>TUITION REIMBERSEMENT</v>
          </cell>
          <cell r="E41">
            <v>0</v>
          </cell>
          <cell r="F41">
            <v>0</v>
          </cell>
          <cell r="G41">
            <v>0</v>
          </cell>
          <cell r="H41">
            <v>0</v>
          </cell>
          <cell r="I41">
            <v>0</v>
          </cell>
          <cell r="J41">
            <v>0</v>
          </cell>
          <cell r="K41">
            <v>0</v>
          </cell>
          <cell r="L41">
            <v>0</v>
          </cell>
          <cell r="M41">
            <v>0</v>
          </cell>
          <cell r="N41">
            <v>826</v>
          </cell>
          <cell r="O41">
            <v>0</v>
          </cell>
          <cell r="P41">
            <v>0</v>
          </cell>
          <cell r="Q41">
            <v>826</v>
          </cell>
        </row>
        <row r="42">
          <cell r="A42" t="str">
            <v>USWOMZA1503131100031</v>
          </cell>
          <cell r="B42" t="str">
            <v>USWOMZA150</v>
          </cell>
          <cell r="C42">
            <v>3131100031</v>
          </cell>
          <cell r="D42" t="str">
            <v>TUITION REIMBERSEMENT</v>
          </cell>
          <cell r="E42">
            <v>1003</v>
          </cell>
          <cell r="F42">
            <v>1916</v>
          </cell>
          <cell r="G42">
            <v>1033</v>
          </cell>
          <cell r="H42">
            <v>987</v>
          </cell>
          <cell r="I42">
            <v>1010</v>
          </cell>
          <cell r="J42">
            <v>551</v>
          </cell>
          <cell r="K42">
            <v>0</v>
          </cell>
          <cell r="L42">
            <v>0</v>
          </cell>
          <cell r="M42">
            <v>0</v>
          </cell>
          <cell r="N42">
            <v>0</v>
          </cell>
          <cell r="O42">
            <v>0</v>
          </cell>
          <cell r="P42">
            <v>0</v>
          </cell>
          <cell r="Q42">
            <v>6500</v>
          </cell>
        </row>
        <row r="43">
          <cell r="A43" t="str">
            <v>USCOMZA1503141100000</v>
          </cell>
          <cell r="B43" t="str">
            <v>USCOMZA150</v>
          </cell>
          <cell r="C43">
            <v>3141100000</v>
          </cell>
          <cell r="D43" t="str">
            <v>SEVERANCE PAYMENTS</v>
          </cell>
          <cell r="E43">
            <v>0</v>
          </cell>
          <cell r="F43">
            <v>0</v>
          </cell>
          <cell r="G43">
            <v>0</v>
          </cell>
          <cell r="H43">
            <v>0</v>
          </cell>
          <cell r="I43">
            <v>0</v>
          </cell>
          <cell r="J43">
            <v>0</v>
          </cell>
          <cell r="K43">
            <v>0</v>
          </cell>
          <cell r="L43">
            <v>0</v>
          </cell>
          <cell r="M43">
            <v>0</v>
          </cell>
          <cell r="N43">
            <v>0</v>
          </cell>
          <cell r="O43">
            <v>0</v>
          </cell>
          <cell r="P43">
            <v>0</v>
          </cell>
          <cell r="Q43">
            <v>0</v>
          </cell>
        </row>
        <row r="44">
          <cell r="A44" t="str">
            <v>USSTMZA1503141100000</v>
          </cell>
          <cell r="B44" t="str">
            <v>USSTMZA150</v>
          </cell>
          <cell r="C44">
            <v>3141100000</v>
          </cell>
          <cell r="D44" t="str">
            <v>SEVERANCE PAYMENTS</v>
          </cell>
          <cell r="E44">
            <v>0</v>
          </cell>
          <cell r="F44">
            <v>0</v>
          </cell>
          <cell r="G44">
            <v>0</v>
          </cell>
          <cell r="H44">
            <v>0</v>
          </cell>
          <cell r="I44">
            <v>0</v>
          </cell>
          <cell r="J44">
            <v>0</v>
          </cell>
          <cell r="K44">
            <v>0</v>
          </cell>
          <cell r="L44">
            <v>0</v>
          </cell>
          <cell r="M44">
            <v>0</v>
          </cell>
          <cell r="N44">
            <v>0</v>
          </cell>
          <cell r="O44">
            <v>0</v>
          </cell>
          <cell r="P44">
            <v>0</v>
          </cell>
          <cell r="Q44">
            <v>0</v>
          </cell>
        </row>
        <row r="45">
          <cell r="A45" t="str">
            <v>US22MZA1503201300001</v>
          </cell>
          <cell r="B45" t="str">
            <v>US22MZA150</v>
          </cell>
          <cell r="C45">
            <v>3201300001</v>
          </cell>
          <cell r="D45" t="str">
            <v>HIRED PERSONNEL FROM 3RD PARTIES</v>
          </cell>
          <cell r="E45">
            <v>46083</v>
          </cell>
          <cell r="F45">
            <v>64750</v>
          </cell>
          <cell r="G45">
            <v>56401</v>
          </cell>
          <cell r="H45">
            <v>47358</v>
          </cell>
          <cell r="I45">
            <v>56098</v>
          </cell>
          <cell r="J45">
            <v>38670</v>
          </cell>
          <cell r="K45">
            <v>56885</v>
          </cell>
          <cell r="L45">
            <v>24954</v>
          </cell>
          <cell r="M45">
            <v>20019</v>
          </cell>
          <cell r="N45">
            <v>39483</v>
          </cell>
          <cell r="O45">
            <v>37860</v>
          </cell>
          <cell r="P45">
            <v>48172</v>
          </cell>
          <cell r="Q45">
            <v>536733</v>
          </cell>
        </row>
        <row r="46">
          <cell r="A46" t="str">
            <v>US22MZA1553201300001</v>
          </cell>
          <cell r="B46" t="str">
            <v>US22MZA155</v>
          </cell>
          <cell r="C46">
            <v>3201300001</v>
          </cell>
          <cell r="D46" t="str">
            <v>HIRED PERSONNEL FROM 3RD PARTIES</v>
          </cell>
          <cell r="E46">
            <v>2000</v>
          </cell>
          <cell r="F46">
            <v>4733</v>
          </cell>
          <cell r="G46">
            <v>995</v>
          </cell>
          <cell r="H46">
            <v>7513</v>
          </cell>
          <cell r="I46">
            <v>8632</v>
          </cell>
          <cell r="J46">
            <v>4496</v>
          </cell>
          <cell r="K46">
            <v>4716</v>
          </cell>
          <cell r="L46">
            <v>0</v>
          </cell>
          <cell r="M46">
            <v>0</v>
          </cell>
          <cell r="N46">
            <v>0</v>
          </cell>
          <cell r="O46">
            <v>0</v>
          </cell>
          <cell r="P46">
            <v>0</v>
          </cell>
          <cell r="Q46">
            <v>33085</v>
          </cell>
        </row>
        <row r="47">
          <cell r="A47" t="str">
            <v>US28MZA1503201300001</v>
          </cell>
          <cell r="B47" t="str">
            <v>US28MZA150</v>
          </cell>
          <cell r="C47">
            <v>3201300001</v>
          </cell>
          <cell r="D47" t="str">
            <v>HIRED PERSONNEL FROM 3RD PARTIES</v>
          </cell>
          <cell r="E47">
            <v>57596</v>
          </cell>
          <cell r="F47">
            <v>29567</v>
          </cell>
          <cell r="G47">
            <v>52209</v>
          </cell>
          <cell r="H47">
            <v>45810</v>
          </cell>
          <cell r="I47">
            <v>50854</v>
          </cell>
          <cell r="J47">
            <v>61613</v>
          </cell>
          <cell r="K47">
            <v>42600</v>
          </cell>
          <cell r="L47">
            <v>34901</v>
          </cell>
          <cell r="M47">
            <v>38995</v>
          </cell>
          <cell r="N47">
            <v>29536</v>
          </cell>
          <cell r="O47">
            <v>17235</v>
          </cell>
          <cell r="P47">
            <v>29823</v>
          </cell>
          <cell r="Q47">
            <v>490739</v>
          </cell>
        </row>
        <row r="48">
          <cell r="A48" t="str">
            <v>US28MZA1553201300001</v>
          </cell>
          <cell r="B48" t="str">
            <v>US28MZA155</v>
          </cell>
          <cell r="C48">
            <v>3201300001</v>
          </cell>
          <cell r="D48" t="str">
            <v>HIRED PERSONNEL FROM 3RD PARTIES</v>
          </cell>
          <cell r="E48">
            <v>8593</v>
          </cell>
          <cell r="F48">
            <v>5678</v>
          </cell>
          <cell r="G48">
            <v>10062</v>
          </cell>
          <cell r="H48">
            <v>8974</v>
          </cell>
          <cell r="I48">
            <v>8322</v>
          </cell>
          <cell r="J48">
            <v>8637</v>
          </cell>
          <cell r="K48">
            <v>6887</v>
          </cell>
          <cell r="L48">
            <v>5363</v>
          </cell>
          <cell r="M48">
            <v>2714</v>
          </cell>
          <cell r="N48">
            <v>1085</v>
          </cell>
          <cell r="O48">
            <v>4076</v>
          </cell>
          <cell r="P48">
            <v>4983</v>
          </cell>
          <cell r="Q48">
            <v>75374</v>
          </cell>
        </row>
        <row r="49">
          <cell r="A49" t="str">
            <v>US35MZA1503201300001</v>
          </cell>
          <cell r="B49" t="str">
            <v>US35MZA150</v>
          </cell>
          <cell r="C49">
            <v>3201300001</v>
          </cell>
          <cell r="D49" t="str">
            <v>HIRED PERSONNEL FROM 3RD PARTIES</v>
          </cell>
          <cell r="E49">
            <v>80139</v>
          </cell>
          <cell r="F49">
            <v>62157</v>
          </cell>
          <cell r="G49">
            <v>61211</v>
          </cell>
          <cell r="H49">
            <v>65411</v>
          </cell>
          <cell r="I49">
            <v>63888</v>
          </cell>
          <cell r="J49">
            <v>32840</v>
          </cell>
          <cell r="K49">
            <v>49904</v>
          </cell>
          <cell r="L49">
            <v>38209</v>
          </cell>
          <cell r="M49">
            <v>38525</v>
          </cell>
          <cell r="N49">
            <v>36866</v>
          </cell>
          <cell r="O49">
            <v>27978</v>
          </cell>
          <cell r="P49">
            <v>23887</v>
          </cell>
          <cell r="Q49">
            <v>581015</v>
          </cell>
        </row>
        <row r="50">
          <cell r="A50" t="str">
            <v>US59MZA1503201300001</v>
          </cell>
          <cell r="B50" t="str">
            <v>US59MZA150</v>
          </cell>
          <cell r="C50">
            <v>3201300001</v>
          </cell>
          <cell r="D50" t="str">
            <v>HIRED PERSONNEL FROM 3RD PARTIES</v>
          </cell>
          <cell r="E50">
            <v>6429</v>
          </cell>
          <cell r="F50">
            <v>5760</v>
          </cell>
          <cell r="G50">
            <v>5805</v>
          </cell>
          <cell r="H50">
            <v>8377</v>
          </cell>
          <cell r="I50">
            <v>4114</v>
          </cell>
          <cell r="J50">
            <v>1869</v>
          </cell>
          <cell r="K50">
            <v>2933</v>
          </cell>
          <cell r="L50">
            <v>4983</v>
          </cell>
          <cell r="M50">
            <v>2912</v>
          </cell>
          <cell r="N50">
            <v>4728</v>
          </cell>
          <cell r="O50">
            <v>2140</v>
          </cell>
          <cell r="P50">
            <v>2528</v>
          </cell>
          <cell r="Q50">
            <v>52578</v>
          </cell>
        </row>
        <row r="51">
          <cell r="A51" t="str">
            <v>US59MZA1553201300001</v>
          </cell>
          <cell r="B51" t="str">
            <v>US59MZA155</v>
          </cell>
          <cell r="C51">
            <v>3201300001</v>
          </cell>
          <cell r="D51" t="str">
            <v>HIRED PERSONNEL FROM 3RD PARTIES</v>
          </cell>
          <cell r="E51">
            <v>655</v>
          </cell>
          <cell r="F51">
            <v>650</v>
          </cell>
          <cell r="G51">
            <v>0</v>
          </cell>
          <cell r="H51">
            <v>0</v>
          </cell>
          <cell r="I51">
            <v>0</v>
          </cell>
          <cell r="J51">
            <v>0</v>
          </cell>
          <cell r="K51">
            <v>0</v>
          </cell>
          <cell r="L51">
            <v>0</v>
          </cell>
          <cell r="M51">
            <v>0</v>
          </cell>
          <cell r="N51">
            <v>0</v>
          </cell>
          <cell r="O51">
            <v>2912</v>
          </cell>
          <cell r="P51">
            <v>1458</v>
          </cell>
          <cell r="Q51">
            <v>5675</v>
          </cell>
        </row>
        <row r="52">
          <cell r="A52" t="str">
            <v>USCOMZA1503201300001</v>
          </cell>
          <cell r="B52" t="str">
            <v>USCOMZA150</v>
          </cell>
          <cell r="C52">
            <v>3201300001</v>
          </cell>
          <cell r="D52" t="str">
            <v>HIRED PERSONNEL FROM 3RD PARTIES</v>
          </cell>
          <cell r="E52">
            <v>5257</v>
          </cell>
          <cell r="F52">
            <v>7828</v>
          </cell>
          <cell r="G52">
            <v>0</v>
          </cell>
          <cell r="H52">
            <v>0</v>
          </cell>
          <cell r="I52">
            <v>0</v>
          </cell>
          <cell r="J52">
            <v>0</v>
          </cell>
          <cell r="K52">
            <v>0</v>
          </cell>
          <cell r="L52">
            <v>0</v>
          </cell>
          <cell r="M52">
            <v>0</v>
          </cell>
          <cell r="N52">
            <v>0</v>
          </cell>
          <cell r="O52">
            <v>0</v>
          </cell>
          <cell r="P52">
            <v>0</v>
          </cell>
          <cell r="Q52">
            <v>13085</v>
          </cell>
        </row>
        <row r="53">
          <cell r="A53" t="str">
            <v>USCRMZA1503201300001</v>
          </cell>
          <cell r="B53" t="str">
            <v>USCRMZA150</v>
          </cell>
          <cell r="C53">
            <v>3201300001</v>
          </cell>
          <cell r="D53" t="str">
            <v>HIRED PERSONNEL FROM 3RD PARTIES</v>
          </cell>
          <cell r="E53">
            <v>27168</v>
          </cell>
          <cell r="F53">
            <v>32137</v>
          </cell>
          <cell r="G53">
            <v>25978</v>
          </cell>
          <cell r="H53">
            <v>19141</v>
          </cell>
          <cell r="I53">
            <v>24586</v>
          </cell>
          <cell r="J53">
            <v>29425</v>
          </cell>
          <cell r="K53">
            <v>23127</v>
          </cell>
          <cell r="L53">
            <v>24008</v>
          </cell>
          <cell r="M53">
            <v>20038</v>
          </cell>
          <cell r="N53">
            <v>21208</v>
          </cell>
          <cell r="O53">
            <v>29584</v>
          </cell>
          <cell r="P53">
            <v>20075</v>
          </cell>
          <cell r="Q53">
            <v>296475</v>
          </cell>
        </row>
        <row r="54">
          <cell r="A54" t="str">
            <v>USCRMZA1553201300001</v>
          </cell>
          <cell r="B54" t="str">
            <v>USCRMZA155</v>
          </cell>
          <cell r="C54">
            <v>3201300001</v>
          </cell>
          <cell r="D54" t="str">
            <v>HIRED PERSONNEL FROM 3RD PARTIES</v>
          </cell>
          <cell r="E54">
            <v>12178</v>
          </cell>
          <cell r="F54">
            <v>14066</v>
          </cell>
          <cell r="G54">
            <v>11258</v>
          </cell>
          <cell r="H54">
            <v>14131</v>
          </cell>
          <cell r="I54">
            <v>11150</v>
          </cell>
          <cell r="J54">
            <v>8745</v>
          </cell>
          <cell r="K54">
            <v>6082</v>
          </cell>
          <cell r="L54">
            <v>2441</v>
          </cell>
          <cell r="M54">
            <v>603</v>
          </cell>
          <cell r="N54">
            <v>2621</v>
          </cell>
          <cell r="O54">
            <v>8245</v>
          </cell>
          <cell r="P54">
            <v>9751</v>
          </cell>
          <cell r="Q54">
            <v>101271</v>
          </cell>
        </row>
        <row r="55">
          <cell r="A55" t="str">
            <v>USSTMZA1503201300001</v>
          </cell>
          <cell r="B55" t="str">
            <v>USSTMZA150</v>
          </cell>
          <cell r="C55">
            <v>3201300001</v>
          </cell>
          <cell r="D55" t="str">
            <v>HIRED PERSONNEL FROM 3RD PARTIES</v>
          </cell>
          <cell r="E55">
            <v>0</v>
          </cell>
          <cell r="F55">
            <v>0</v>
          </cell>
          <cell r="G55">
            <v>0</v>
          </cell>
          <cell r="H55">
            <v>0</v>
          </cell>
          <cell r="I55">
            <v>0</v>
          </cell>
          <cell r="J55">
            <v>0</v>
          </cell>
          <cell r="K55">
            <v>0</v>
          </cell>
          <cell r="L55">
            <v>0</v>
          </cell>
          <cell r="M55">
            <v>0</v>
          </cell>
          <cell r="N55">
            <v>1589</v>
          </cell>
          <cell r="O55">
            <v>0</v>
          </cell>
          <cell r="P55">
            <v>0</v>
          </cell>
          <cell r="Q55">
            <v>1589</v>
          </cell>
        </row>
        <row r="56">
          <cell r="A56" t="str">
            <v>USWOMZA1503201300001</v>
          </cell>
          <cell r="B56" t="str">
            <v>USWOMZA150</v>
          </cell>
          <cell r="C56">
            <v>3201300001</v>
          </cell>
          <cell r="D56" t="str">
            <v>HIRED PERSONNEL FROM 3RD PARTIES</v>
          </cell>
          <cell r="E56">
            <v>14477</v>
          </cell>
          <cell r="F56">
            <v>14074</v>
          </cell>
          <cell r="G56">
            <v>7893</v>
          </cell>
          <cell r="H56">
            <v>11365</v>
          </cell>
          <cell r="I56">
            <v>14965</v>
          </cell>
          <cell r="J56">
            <v>8044</v>
          </cell>
          <cell r="K56">
            <v>0</v>
          </cell>
          <cell r="L56">
            <v>0</v>
          </cell>
          <cell r="M56">
            <v>0</v>
          </cell>
          <cell r="N56">
            <v>0</v>
          </cell>
          <cell r="O56">
            <v>0</v>
          </cell>
          <cell r="P56">
            <v>5932</v>
          </cell>
          <cell r="Q56">
            <v>76750</v>
          </cell>
        </row>
        <row r="57">
          <cell r="A57" t="str">
            <v>US22MZA1503201300002</v>
          </cell>
          <cell r="B57" t="str">
            <v>US22MZA150</v>
          </cell>
          <cell r="C57">
            <v>3201300002</v>
          </cell>
          <cell r="D57" t="str">
            <v>O/S SERVICES</v>
          </cell>
          <cell r="E57">
            <v>25</v>
          </cell>
          <cell r="F57">
            <v>95</v>
          </cell>
          <cell r="G57">
            <v>892</v>
          </cell>
          <cell r="H57">
            <v>50</v>
          </cell>
          <cell r="I57">
            <v>0</v>
          </cell>
          <cell r="J57">
            <v>0</v>
          </cell>
          <cell r="K57">
            <v>0</v>
          </cell>
          <cell r="L57">
            <v>0</v>
          </cell>
          <cell r="M57">
            <v>91</v>
          </cell>
          <cell r="N57">
            <v>0</v>
          </cell>
          <cell r="O57">
            <v>0</v>
          </cell>
          <cell r="P57">
            <v>489</v>
          </cell>
          <cell r="Q57">
            <v>1642</v>
          </cell>
        </row>
        <row r="58">
          <cell r="A58" t="str">
            <v>US28MZA1503201300002</v>
          </cell>
          <cell r="B58" t="str">
            <v>US28MZA150</v>
          </cell>
          <cell r="C58">
            <v>3201300002</v>
          </cell>
          <cell r="D58" t="str">
            <v>O/S SERVICES</v>
          </cell>
          <cell r="E58">
            <v>0</v>
          </cell>
          <cell r="F58">
            <v>0</v>
          </cell>
          <cell r="G58">
            <v>55</v>
          </cell>
          <cell r="H58">
            <v>381</v>
          </cell>
          <cell r="I58">
            <v>0</v>
          </cell>
          <cell r="J58">
            <v>0</v>
          </cell>
          <cell r="K58">
            <v>0</v>
          </cell>
          <cell r="L58">
            <v>0</v>
          </cell>
          <cell r="M58">
            <v>0</v>
          </cell>
          <cell r="N58">
            <v>0</v>
          </cell>
          <cell r="O58">
            <v>0</v>
          </cell>
          <cell r="P58">
            <v>0</v>
          </cell>
          <cell r="Q58">
            <v>436</v>
          </cell>
        </row>
        <row r="59">
          <cell r="A59" t="str">
            <v>US59MZA1503201300002</v>
          </cell>
          <cell r="B59" t="str">
            <v>US59MZA150</v>
          </cell>
          <cell r="C59">
            <v>3201300002</v>
          </cell>
          <cell r="D59" t="str">
            <v>O/S SERVICES</v>
          </cell>
          <cell r="E59">
            <v>274</v>
          </cell>
          <cell r="F59">
            <v>176</v>
          </cell>
          <cell r="G59">
            <v>312</v>
          </cell>
          <cell r="H59">
            <v>2884</v>
          </cell>
          <cell r="I59">
            <v>0</v>
          </cell>
          <cell r="J59">
            <v>312</v>
          </cell>
          <cell r="K59">
            <v>692</v>
          </cell>
          <cell r="L59">
            <v>5547</v>
          </cell>
          <cell r="M59">
            <v>942</v>
          </cell>
          <cell r="N59">
            <v>546</v>
          </cell>
          <cell r="O59">
            <v>182</v>
          </cell>
          <cell r="P59">
            <v>380</v>
          </cell>
          <cell r="Q59">
            <v>12247</v>
          </cell>
        </row>
        <row r="60">
          <cell r="A60" t="str">
            <v>USCRMZA1503201300002</v>
          </cell>
          <cell r="B60" t="str">
            <v>USCRMZA150</v>
          </cell>
          <cell r="C60">
            <v>3201300002</v>
          </cell>
          <cell r="D60" t="str">
            <v>O/S SERVICES</v>
          </cell>
          <cell r="E60">
            <v>0</v>
          </cell>
          <cell r="F60">
            <v>0</v>
          </cell>
          <cell r="G60">
            <v>0</v>
          </cell>
          <cell r="H60">
            <v>0</v>
          </cell>
          <cell r="I60">
            <v>0</v>
          </cell>
          <cell r="J60">
            <v>0</v>
          </cell>
          <cell r="K60">
            <v>0</v>
          </cell>
          <cell r="L60">
            <v>0</v>
          </cell>
          <cell r="M60">
            <v>0</v>
          </cell>
          <cell r="N60">
            <v>0</v>
          </cell>
          <cell r="O60">
            <v>0</v>
          </cell>
          <cell r="P60">
            <v>562</v>
          </cell>
          <cell r="Q60">
            <v>562</v>
          </cell>
        </row>
        <row r="61">
          <cell r="A61" t="str">
            <v>USSTMZA1503201300002</v>
          </cell>
          <cell r="B61" t="str">
            <v>USSTMZA150</v>
          </cell>
          <cell r="C61">
            <v>3201300002</v>
          </cell>
          <cell r="D61" t="str">
            <v>O/S SERVICES</v>
          </cell>
          <cell r="E61">
            <v>0</v>
          </cell>
          <cell r="F61">
            <v>0</v>
          </cell>
          <cell r="G61">
            <v>0</v>
          </cell>
          <cell r="H61">
            <v>0</v>
          </cell>
          <cell r="I61">
            <v>0</v>
          </cell>
          <cell r="J61">
            <v>0</v>
          </cell>
          <cell r="K61">
            <v>0</v>
          </cell>
          <cell r="L61">
            <v>0</v>
          </cell>
          <cell r="M61">
            <v>0</v>
          </cell>
          <cell r="N61">
            <v>937</v>
          </cell>
          <cell r="O61">
            <v>0</v>
          </cell>
          <cell r="P61">
            <v>0</v>
          </cell>
          <cell r="Q61">
            <v>937</v>
          </cell>
        </row>
        <row r="62">
          <cell r="A62" t="str">
            <v>US59MZA1503201300003</v>
          </cell>
          <cell r="B62" t="str">
            <v>US59MZA150</v>
          </cell>
          <cell r="C62">
            <v>3201300003</v>
          </cell>
          <cell r="D62" t="str">
            <v>O/S SERVICES - COLLECTION AGENCY</v>
          </cell>
          <cell r="E62">
            <v>0</v>
          </cell>
          <cell r="F62">
            <v>0</v>
          </cell>
          <cell r="G62">
            <v>158</v>
          </cell>
          <cell r="H62">
            <v>0</v>
          </cell>
          <cell r="I62">
            <v>0</v>
          </cell>
          <cell r="J62">
            <v>0</v>
          </cell>
          <cell r="K62">
            <v>0</v>
          </cell>
          <cell r="L62">
            <v>0</v>
          </cell>
          <cell r="M62">
            <v>0</v>
          </cell>
          <cell r="N62">
            <v>0</v>
          </cell>
          <cell r="O62">
            <v>0</v>
          </cell>
          <cell r="P62">
            <v>0</v>
          </cell>
          <cell r="Q62">
            <v>158</v>
          </cell>
        </row>
        <row r="63">
          <cell r="A63" t="str">
            <v>US22MZA1553201300011</v>
          </cell>
          <cell r="B63" t="str">
            <v>US22MZA155</v>
          </cell>
          <cell r="C63">
            <v>3201300011</v>
          </cell>
          <cell r="D63" t="str">
            <v>O/S SERVICES - ALLOWANCES AGENTS</v>
          </cell>
          <cell r="E63">
            <v>0</v>
          </cell>
          <cell r="F63">
            <v>0</v>
          </cell>
          <cell r="G63">
            <v>0</v>
          </cell>
          <cell r="H63">
            <v>0</v>
          </cell>
          <cell r="I63">
            <v>0</v>
          </cell>
          <cell r="J63">
            <v>0</v>
          </cell>
          <cell r="K63">
            <v>549</v>
          </cell>
          <cell r="L63">
            <v>0</v>
          </cell>
          <cell r="M63">
            <v>0</v>
          </cell>
          <cell r="N63">
            <v>0</v>
          </cell>
          <cell r="O63">
            <v>0</v>
          </cell>
          <cell r="P63">
            <v>0</v>
          </cell>
          <cell r="Q63">
            <v>549</v>
          </cell>
        </row>
        <row r="64">
          <cell r="A64" t="str">
            <v>US22MZA1503201400002</v>
          </cell>
          <cell r="B64" t="str">
            <v>US22MZA150</v>
          </cell>
          <cell r="C64">
            <v>3201400002</v>
          </cell>
          <cell r="D64" t="str">
            <v>MAINTENANCE OF VEHICLES</v>
          </cell>
          <cell r="E64">
            <v>6251</v>
          </cell>
          <cell r="F64">
            <v>3340</v>
          </cell>
          <cell r="G64">
            <v>7389</v>
          </cell>
          <cell r="H64">
            <v>9593</v>
          </cell>
          <cell r="I64">
            <v>5245</v>
          </cell>
          <cell r="J64">
            <v>4745</v>
          </cell>
          <cell r="K64">
            <v>3589</v>
          </cell>
          <cell r="L64">
            <v>3613</v>
          </cell>
          <cell r="M64">
            <v>907</v>
          </cell>
          <cell r="N64">
            <v>739</v>
          </cell>
          <cell r="O64">
            <v>2074</v>
          </cell>
          <cell r="P64">
            <v>414</v>
          </cell>
          <cell r="Q64">
            <v>47899</v>
          </cell>
        </row>
        <row r="65">
          <cell r="A65" t="str">
            <v>US28MZA1503201400002</v>
          </cell>
          <cell r="B65" t="str">
            <v>US28MZA150</v>
          </cell>
          <cell r="C65">
            <v>3201400002</v>
          </cell>
          <cell r="D65" t="str">
            <v>MAINTENANCE OF VEHICLES</v>
          </cell>
          <cell r="E65">
            <v>68</v>
          </cell>
          <cell r="F65">
            <v>1042</v>
          </cell>
          <cell r="G65">
            <v>2520</v>
          </cell>
          <cell r="H65">
            <v>7635</v>
          </cell>
          <cell r="I65">
            <v>701</v>
          </cell>
          <cell r="J65">
            <v>2562</v>
          </cell>
          <cell r="K65">
            <v>886</v>
          </cell>
          <cell r="L65">
            <v>1501</v>
          </cell>
          <cell r="M65">
            <v>1169</v>
          </cell>
          <cell r="N65">
            <v>683</v>
          </cell>
          <cell r="O65">
            <v>1030</v>
          </cell>
          <cell r="P65">
            <v>297</v>
          </cell>
          <cell r="Q65">
            <v>20094</v>
          </cell>
        </row>
        <row r="66">
          <cell r="A66" t="str">
            <v>US35MZA1503201400002</v>
          </cell>
          <cell r="B66" t="str">
            <v>US35MZA150</v>
          </cell>
          <cell r="C66">
            <v>3201400002</v>
          </cell>
          <cell r="D66" t="str">
            <v>MAINTENANCE OF VEHICLES</v>
          </cell>
          <cell r="E66">
            <v>0</v>
          </cell>
          <cell r="F66">
            <v>31</v>
          </cell>
          <cell r="G66">
            <v>675</v>
          </cell>
          <cell r="H66">
            <v>216</v>
          </cell>
          <cell r="I66">
            <v>350</v>
          </cell>
          <cell r="J66">
            <v>1026</v>
          </cell>
          <cell r="K66">
            <v>0</v>
          </cell>
          <cell r="L66">
            <v>156</v>
          </cell>
          <cell r="M66">
            <v>122</v>
          </cell>
          <cell r="N66">
            <v>29</v>
          </cell>
          <cell r="O66">
            <v>93</v>
          </cell>
          <cell r="P66">
            <v>8</v>
          </cell>
          <cell r="Q66">
            <v>2706</v>
          </cell>
        </row>
        <row r="67">
          <cell r="A67" t="str">
            <v>US59MZA1503201400002</v>
          </cell>
          <cell r="B67" t="str">
            <v>US59MZA150</v>
          </cell>
          <cell r="C67">
            <v>3201400002</v>
          </cell>
          <cell r="D67" t="str">
            <v>MAINTENANCE OF VEHICLES</v>
          </cell>
          <cell r="E67">
            <v>149</v>
          </cell>
          <cell r="F67">
            <v>2660</v>
          </cell>
          <cell r="G67">
            <v>643</v>
          </cell>
          <cell r="H67">
            <v>1776</v>
          </cell>
          <cell r="I67">
            <v>1020</v>
          </cell>
          <cell r="J67">
            <v>17143</v>
          </cell>
          <cell r="K67">
            <v>1991</v>
          </cell>
          <cell r="L67">
            <v>5504</v>
          </cell>
          <cell r="M67">
            <v>1429</v>
          </cell>
          <cell r="N67">
            <v>163</v>
          </cell>
          <cell r="O67">
            <v>8833</v>
          </cell>
          <cell r="P67">
            <v>2114</v>
          </cell>
          <cell r="Q67">
            <v>43425</v>
          </cell>
        </row>
        <row r="68">
          <cell r="A68" t="str">
            <v>USCLMZA1503201400002</v>
          </cell>
          <cell r="B68" t="str">
            <v>USCLMZA150</v>
          </cell>
          <cell r="C68">
            <v>3201400002</v>
          </cell>
          <cell r="D68" t="str">
            <v>MAINTENANCE OF VEHICLES</v>
          </cell>
          <cell r="E68">
            <v>0</v>
          </cell>
          <cell r="F68">
            <v>28</v>
          </cell>
          <cell r="G68">
            <v>28</v>
          </cell>
          <cell r="H68">
            <v>28</v>
          </cell>
          <cell r="I68">
            <v>55</v>
          </cell>
          <cell r="J68">
            <v>28</v>
          </cell>
          <cell r="K68">
            <v>0</v>
          </cell>
          <cell r="L68">
            <v>28</v>
          </cell>
          <cell r="M68">
            <v>0</v>
          </cell>
          <cell r="N68">
            <v>0</v>
          </cell>
          <cell r="O68">
            <v>0</v>
          </cell>
          <cell r="P68">
            <v>0</v>
          </cell>
          <cell r="Q68">
            <v>195</v>
          </cell>
        </row>
        <row r="69">
          <cell r="A69" t="str">
            <v>USCOMZA1503201400002</v>
          </cell>
          <cell r="B69" t="str">
            <v>USCOMZA150</v>
          </cell>
          <cell r="C69">
            <v>3201400002</v>
          </cell>
          <cell r="D69" t="str">
            <v>MAINTENANCE OF VEHICLES</v>
          </cell>
          <cell r="E69">
            <v>547</v>
          </cell>
          <cell r="F69">
            <v>1</v>
          </cell>
          <cell r="G69">
            <v>0</v>
          </cell>
          <cell r="H69">
            <v>309</v>
          </cell>
          <cell r="I69">
            <v>10</v>
          </cell>
          <cell r="J69">
            <v>0</v>
          </cell>
          <cell r="K69">
            <v>0</v>
          </cell>
          <cell r="L69">
            <v>0</v>
          </cell>
          <cell r="M69">
            <v>0</v>
          </cell>
          <cell r="N69">
            <v>0</v>
          </cell>
          <cell r="O69">
            <v>0</v>
          </cell>
          <cell r="P69">
            <v>0</v>
          </cell>
          <cell r="Q69">
            <v>867</v>
          </cell>
        </row>
        <row r="70">
          <cell r="A70" t="str">
            <v>USCRMZA1503201400002</v>
          </cell>
          <cell r="B70" t="str">
            <v>USCRMZA150</v>
          </cell>
          <cell r="C70">
            <v>3201400002</v>
          </cell>
          <cell r="D70" t="str">
            <v>MAINTENANCE OF VEHICLES</v>
          </cell>
          <cell r="E70">
            <v>0</v>
          </cell>
          <cell r="F70">
            <v>1128</v>
          </cell>
          <cell r="G70">
            <v>8508</v>
          </cell>
          <cell r="H70">
            <v>70</v>
          </cell>
          <cell r="I70">
            <v>367</v>
          </cell>
          <cell r="J70">
            <v>2239</v>
          </cell>
          <cell r="K70">
            <v>1494</v>
          </cell>
          <cell r="L70">
            <v>103</v>
          </cell>
          <cell r="M70">
            <v>886</v>
          </cell>
          <cell r="N70">
            <v>129</v>
          </cell>
          <cell r="O70">
            <v>1171</v>
          </cell>
          <cell r="P70">
            <v>-183</v>
          </cell>
          <cell r="Q70">
            <v>15912</v>
          </cell>
        </row>
        <row r="71">
          <cell r="A71" t="str">
            <v>USSTMZA1503201400002</v>
          </cell>
          <cell r="B71" t="str">
            <v>USSTMZA150</v>
          </cell>
          <cell r="C71">
            <v>3201400002</v>
          </cell>
          <cell r="D71" t="str">
            <v>MAINTENANCE OF VEHICLES</v>
          </cell>
          <cell r="E71">
            <v>0</v>
          </cell>
          <cell r="F71">
            <v>0</v>
          </cell>
          <cell r="G71">
            <v>0</v>
          </cell>
          <cell r="H71">
            <v>0</v>
          </cell>
          <cell r="I71">
            <v>4</v>
          </cell>
          <cell r="J71">
            <v>17</v>
          </cell>
          <cell r="K71">
            <v>0</v>
          </cell>
          <cell r="L71">
            <v>9</v>
          </cell>
          <cell r="M71">
            <v>9</v>
          </cell>
          <cell r="N71">
            <v>87</v>
          </cell>
          <cell r="O71">
            <v>-2</v>
          </cell>
          <cell r="P71">
            <v>0</v>
          </cell>
          <cell r="Q71">
            <v>124</v>
          </cell>
        </row>
        <row r="72">
          <cell r="A72" t="str">
            <v>USWOMZA1503201400002</v>
          </cell>
          <cell r="B72" t="str">
            <v>USWOMZA150</v>
          </cell>
          <cell r="C72">
            <v>3201400002</v>
          </cell>
          <cell r="D72" t="str">
            <v>MAINTENANCE OF VEHICLES</v>
          </cell>
          <cell r="E72">
            <v>0</v>
          </cell>
          <cell r="F72">
            <v>0</v>
          </cell>
          <cell r="G72">
            <v>0</v>
          </cell>
          <cell r="H72">
            <v>0</v>
          </cell>
          <cell r="I72">
            <v>0</v>
          </cell>
          <cell r="J72">
            <v>0</v>
          </cell>
          <cell r="K72">
            <v>0</v>
          </cell>
          <cell r="L72">
            <v>0</v>
          </cell>
          <cell r="M72">
            <v>0</v>
          </cell>
          <cell r="N72">
            <v>0</v>
          </cell>
          <cell r="O72">
            <v>57</v>
          </cell>
          <cell r="P72">
            <v>0</v>
          </cell>
          <cell r="Q72">
            <v>57</v>
          </cell>
        </row>
        <row r="73">
          <cell r="A73" t="str">
            <v>US59MZA1503201400003</v>
          </cell>
          <cell r="B73" t="str">
            <v>US59MZA150</v>
          </cell>
          <cell r="C73">
            <v>3201400003</v>
          </cell>
          <cell r="D73" t="str">
            <v>MAINTENANCE OF OFFICE EQUIPMENT AND FURN</v>
          </cell>
          <cell r="E73">
            <v>0</v>
          </cell>
          <cell r="F73">
            <v>0</v>
          </cell>
          <cell r="G73">
            <v>0</v>
          </cell>
          <cell r="H73">
            <v>0</v>
          </cell>
          <cell r="I73">
            <v>159</v>
          </cell>
          <cell r="J73">
            <v>0</v>
          </cell>
          <cell r="K73">
            <v>0</v>
          </cell>
          <cell r="L73">
            <v>0</v>
          </cell>
          <cell r="M73">
            <v>0</v>
          </cell>
          <cell r="N73">
            <v>0</v>
          </cell>
          <cell r="O73">
            <v>0</v>
          </cell>
          <cell r="P73">
            <v>0</v>
          </cell>
          <cell r="Q73">
            <v>159</v>
          </cell>
        </row>
        <row r="74">
          <cell r="A74" t="str">
            <v>US59MZA1503201400004</v>
          </cell>
          <cell r="B74" t="str">
            <v>US59MZA150</v>
          </cell>
          <cell r="C74">
            <v>3201400004</v>
          </cell>
          <cell r="D74" t="str">
            <v>MAINTENANCE OF TECHNICAL EQUIPMENT</v>
          </cell>
          <cell r="E74">
            <v>0</v>
          </cell>
          <cell r="F74">
            <v>0</v>
          </cell>
          <cell r="G74">
            <v>0</v>
          </cell>
          <cell r="H74">
            <v>0</v>
          </cell>
          <cell r="I74">
            <v>0</v>
          </cell>
          <cell r="J74">
            <v>0</v>
          </cell>
          <cell r="K74">
            <v>0</v>
          </cell>
          <cell r="L74">
            <v>0</v>
          </cell>
          <cell r="M74">
            <v>0</v>
          </cell>
          <cell r="N74">
            <v>316</v>
          </cell>
          <cell r="O74">
            <v>0</v>
          </cell>
          <cell r="P74">
            <v>0</v>
          </cell>
          <cell r="Q74">
            <v>316</v>
          </cell>
        </row>
        <row r="75">
          <cell r="A75" t="str">
            <v>US22MZA1503201400025</v>
          </cell>
          <cell r="B75" t="str">
            <v>US22MZA150</v>
          </cell>
          <cell r="C75">
            <v>3201400025</v>
          </cell>
          <cell r="D75" t="str">
            <v>CLEANING EXPENSES</v>
          </cell>
          <cell r="E75">
            <v>210</v>
          </cell>
          <cell r="F75">
            <v>0</v>
          </cell>
          <cell r="G75">
            <v>630</v>
          </cell>
          <cell r="H75">
            <v>210</v>
          </cell>
          <cell r="I75">
            <v>735</v>
          </cell>
          <cell r="J75">
            <v>263</v>
          </cell>
          <cell r="K75">
            <v>212</v>
          </cell>
          <cell r="L75">
            <v>265</v>
          </cell>
          <cell r="M75">
            <v>0</v>
          </cell>
          <cell r="N75">
            <v>424</v>
          </cell>
          <cell r="O75">
            <v>265</v>
          </cell>
          <cell r="P75">
            <v>212</v>
          </cell>
          <cell r="Q75">
            <v>3426</v>
          </cell>
        </row>
        <row r="76">
          <cell r="A76" t="str">
            <v>US59MZA1503201400025</v>
          </cell>
          <cell r="B76" t="str">
            <v>US59MZA150</v>
          </cell>
          <cell r="C76">
            <v>3201400025</v>
          </cell>
          <cell r="D76" t="str">
            <v>CLEANING EXPENSES</v>
          </cell>
          <cell r="E76">
            <v>730</v>
          </cell>
          <cell r="F76">
            <v>0</v>
          </cell>
          <cell r="G76">
            <v>0</v>
          </cell>
          <cell r="H76">
            <v>0</v>
          </cell>
          <cell r="I76">
            <v>0</v>
          </cell>
          <cell r="J76">
            <v>0</v>
          </cell>
          <cell r="K76">
            <v>0</v>
          </cell>
          <cell r="L76">
            <v>0</v>
          </cell>
          <cell r="M76">
            <v>0</v>
          </cell>
          <cell r="N76">
            <v>0</v>
          </cell>
          <cell r="O76">
            <v>0</v>
          </cell>
          <cell r="P76">
            <v>0</v>
          </cell>
          <cell r="Q76">
            <v>730</v>
          </cell>
        </row>
        <row r="77">
          <cell r="A77" t="str">
            <v>US22MZA1503201400029</v>
          </cell>
          <cell r="B77" t="str">
            <v>US22MZA150</v>
          </cell>
          <cell r="C77">
            <v>3201400029</v>
          </cell>
          <cell r="D77" t="str">
            <v>OTH OUTSIDE SERVICES OTHER</v>
          </cell>
          <cell r="E77">
            <v>880</v>
          </cell>
          <cell r="F77">
            <v>1376</v>
          </cell>
          <cell r="G77">
            <v>2988</v>
          </cell>
          <cell r="H77">
            <v>12365</v>
          </cell>
          <cell r="I77">
            <v>1592</v>
          </cell>
          <cell r="J77">
            <v>658</v>
          </cell>
          <cell r="K77">
            <v>8188</v>
          </cell>
          <cell r="L77">
            <v>332</v>
          </cell>
          <cell r="M77">
            <v>368</v>
          </cell>
          <cell r="N77">
            <v>2651</v>
          </cell>
          <cell r="O77">
            <v>610</v>
          </cell>
          <cell r="P77">
            <v>3441</v>
          </cell>
          <cell r="Q77">
            <v>35449</v>
          </cell>
        </row>
        <row r="78">
          <cell r="A78" t="str">
            <v>US28MZA1503201400029</v>
          </cell>
          <cell r="B78" t="str">
            <v>US28MZA150</v>
          </cell>
          <cell r="C78">
            <v>3201400029</v>
          </cell>
          <cell r="D78" t="str">
            <v>OTH OUTSIDE SERVICES OTHER</v>
          </cell>
          <cell r="E78">
            <v>3308</v>
          </cell>
          <cell r="F78">
            <v>642</v>
          </cell>
          <cell r="G78">
            <v>774</v>
          </cell>
          <cell r="H78">
            <v>3949</v>
          </cell>
          <cell r="I78">
            <v>3460</v>
          </cell>
          <cell r="J78">
            <v>4660</v>
          </cell>
          <cell r="K78">
            <v>2463</v>
          </cell>
          <cell r="L78">
            <v>2840</v>
          </cell>
          <cell r="M78">
            <v>15136</v>
          </cell>
          <cell r="N78">
            <v>3235</v>
          </cell>
          <cell r="O78">
            <v>3451</v>
          </cell>
          <cell r="P78">
            <v>16034</v>
          </cell>
          <cell r="Q78">
            <v>59952</v>
          </cell>
        </row>
        <row r="79">
          <cell r="A79" t="str">
            <v>US35MZA1503201400029</v>
          </cell>
          <cell r="B79" t="str">
            <v>US35MZA150</v>
          </cell>
          <cell r="C79">
            <v>3201400029</v>
          </cell>
          <cell r="D79" t="str">
            <v>OTH OUTSIDE SERVICES OTHER</v>
          </cell>
          <cell r="E79">
            <v>6446</v>
          </cell>
          <cell r="F79">
            <v>3466</v>
          </cell>
          <cell r="G79">
            <v>4629</v>
          </cell>
          <cell r="H79">
            <v>5614</v>
          </cell>
          <cell r="I79">
            <v>10766</v>
          </cell>
          <cell r="J79">
            <v>14471</v>
          </cell>
          <cell r="K79">
            <v>3183</v>
          </cell>
          <cell r="L79">
            <v>4765</v>
          </cell>
          <cell r="M79">
            <v>7045</v>
          </cell>
          <cell r="N79">
            <v>7438</v>
          </cell>
          <cell r="O79">
            <v>5199</v>
          </cell>
          <cell r="P79">
            <v>4095</v>
          </cell>
          <cell r="Q79">
            <v>77117</v>
          </cell>
        </row>
        <row r="80">
          <cell r="A80" t="str">
            <v>US59MZA1503201400029</v>
          </cell>
          <cell r="B80" t="str">
            <v>US59MZA150</v>
          </cell>
          <cell r="C80">
            <v>3201400029</v>
          </cell>
          <cell r="D80" t="str">
            <v>OTH OUTSIDE SERVICES OTHER</v>
          </cell>
          <cell r="E80">
            <v>0</v>
          </cell>
          <cell r="F80">
            <v>0</v>
          </cell>
          <cell r="G80">
            <v>0</v>
          </cell>
          <cell r="H80">
            <v>0</v>
          </cell>
          <cell r="I80">
            <v>0</v>
          </cell>
          <cell r="J80">
            <v>0</v>
          </cell>
          <cell r="K80">
            <v>0</v>
          </cell>
          <cell r="L80">
            <v>0</v>
          </cell>
          <cell r="M80">
            <v>635</v>
          </cell>
          <cell r="N80">
            <v>1492</v>
          </cell>
          <cell r="O80">
            <v>2443</v>
          </cell>
          <cell r="P80">
            <v>0</v>
          </cell>
          <cell r="Q80">
            <v>4570</v>
          </cell>
        </row>
        <row r="81">
          <cell r="A81" t="str">
            <v>USCLMZA1503201400029</v>
          </cell>
          <cell r="B81" t="str">
            <v>USCLMZA150</v>
          </cell>
          <cell r="C81">
            <v>3201400029</v>
          </cell>
          <cell r="D81" t="str">
            <v>OTH OUTSIDE SERVICES OTHER</v>
          </cell>
          <cell r="E81">
            <v>0</v>
          </cell>
          <cell r="F81">
            <v>131</v>
          </cell>
          <cell r="G81">
            <v>0</v>
          </cell>
          <cell r="H81">
            <v>0</v>
          </cell>
          <cell r="I81">
            <v>0</v>
          </cell>
          <cell r="J81">
            <v>0</v>
          </cell>
          <cell r="K81">
            <v>0</v>
          </cell>
          <cell r="L81">
            <v>0</v>
          </cell>
          <cell r="M81">
            <v>0</v>
          </cell>
          <cell r="N81">
            <v>0</v>
          </cell>
          <cell r="O81">
            <v>0</v>
          </cell>
          <cell r="P81">
            <v>0</v>
          </cell>
          <cell r="Q81">
            <v>131</v>
          </cell>
        </row>
        <row r="82">
          <cell r="A82" t="str">
            <v>USCOMZA1503201400029</v>
          </cell>
          <cell r="B82" t="str">
            <v>USCOMZA150</v>
          </cell>
          <cell r="C82">
            <v>3201400029</v>
          </cell>
          <cell r="D82" t="str">
            <v>OTH OUTSIDE SERVICES OTHER</v>
          </cell>
          <cell r="E82">
            <v>423</v>
          </cell>
          <cell r="F82">
            <v>500</v>
          </cell>
          <cell r="G82">
            <v>0</v>
          </cell>
          <cell r="H82">
            <v>0</v>
          </cell>
          <cell r="I82">
            <v>0</v>
          </cell>
          <cell r="J82">
            <v>0</v>
          </cell>
          <cell r="K82">
            <v>0</v>
          </cell>
          <cell r="L82">
            <v>0</v>
          </cell>
          <cell r="M82">
            <v>0</v>
          </cell>
          <cell r="N82">
            <v>0</v>
          </cell>
          <cell r="O82">
            <v>0</v>
          </cell>
          <cell r="P82">
            <v>0</v>
          </cell>
          <cell r="Q82">
            <v>923</v>
          </cell>
        </row>
        <row r="83">
          <cell r="A83" t="str">
            <v>USCRMZA1503201400029</v>
          </cell>
          <cell r="B83" t="str">
            <v>USCRMZA150</v>
          </cell>
          <cell r="C83">
            <v>3201400029</v>
          </cell>
          <cell r="D83" t="str">
            <v>OTH OUTSIDE SERVICES OTHER</v>
          </cell>
          <cell r="E83">
            <v>2561</v>
          </cell>
          <cell r="F83">
            <v>1754</v>
          </cell>
          <cell r="G83">
            <v>1273</v>
          </cell>
          <cell r="H83">
            <v>2481</v>
          </cell>
          <cell r="I83">
            <v>7287</v>
          </cell>
          <cell r="J83">
            <v>1631</v>
          </cell>
          <cell r="K83">
            <v>27451</v>
          </cell>
          <cell r="L83">
            <v>781</v>
          </cell>
          <cell r="M83">
            <v>3902</v>
          </cell>
          <cell r="N83">
            <v>1259</v>
          </cell>
          <cell r="O83">
            <v>997</v>
          </cell>
          <cell r="P83">
            <v>1638</v>
          </cell>
          <cell r="Q83">
            <v>53015</v>
          </cell>
        </row>
        <row r="84">
          <cell r="A84" t="str">
            <v>USWOMZA1503201400029</v>
          </cell>
          <cell r="B84" t="str">
            <v>USWOMZA150</v>
          </cell>
          <cell r="C84">
            <v>3201400029</v>
          </cell>
          <cell r="D84" t="str">
            <v>OTH OUTSIDE SERVICES OTHER</v>
          </cell>
          <cell r="E84">
            <v>479</v>
          </cell>
          <cell r="F84">
            <v>81</v>
          </cell>
          <cell r="G84">
            <v>240</v>
          </cell>
          <cell r="H84">
            <v>251</v>
          </cell>
          <cell r="I84">
            <v>388</v>
          </cell>
          <cell r="J84">
            <v>251</v>
          </cell>
          <cell r="K84">
            <v>23926</v>
          </cell>
          <cell r="L84">
            <v>823</v>
          </cell>
          <cell r="M84">
            <v>251</v>
          </cell>
          <cell r="N84">
            <v>253</v>
          </cell>
          <cell r="O84">
            <v>3768</v>
          </cell>
          <cell r="P84">
            <v>253</v>
          </cell>
          <cell r="Q84">
            <v>30964</v>
          </cell>
        </row>
        <row r="85">
          <cell r="A85" t="str">
            <v>US22MZA1503201400036</v>
          </cell>
          <cell r="B85" t="str">
            <v>US22MZA150</v>
          </cell>
          <cell r="C85">
            <v>3201400036</v>
          </cell>
          <cell r="D85" t="str">
            <v>OTHER MAINTENANCE BUILDINGS</v>
          </cell>
          <cell r="E85">
            <v>0</v>
          </cell>
          <cell r="F85">
            <v>3893</v>
          </cell>
          <cell r="G85">
            <v>0</v>
          </cell>
          <cell r="H85">
            <v>0</v>
          </cell>
          <cell r="I85">
            <v>0</v>
          </cell>
          <cell r="J85">
            <v>0</v>
          </cell>
          <cell r="K85">
            <v>0</v>
          </cell>
          <cell r="L85">
            <v>0</v>
          </cell>
          <cell r="M85">
            <v>0</v>
          </cell>
          <cell r="N85">
            <v>0</v>
          </cell>
          <cell r="O85">
            <v>0</v>
          </cell>
          <cell r="P85">
            <v>0</v>
          </cell>
          <cell r="Q85">
            <v>3893</v>
          </cell>
        </row>
        <row r="86">
          <cell r="A86" t="str">
            <v>US28MZA1503201400036</v>
          </cell>
          <cell r="B86" t="str">
            <v>US28MZA150</v>
          </cell>
          <cell r="C86">
            <v>3201400036</v>
          </cell>
          <cell r="D86" t="str">
            <v>OTHER MAINTENANCE BUILDINGS</v>
          </cell>
          <cell r="E86">
            <v>0</v>
          </cell>
          <cell r="F86">
            <v>0</v>
          </cell>
          <cell r="G86">
            <v>0</v>
          </cell>
          <cell r="H86">
            <v>0</v>
          </cell>
          <cell r="I86">
            <v>0</v>
          </cell>
          <cell r="J86">
            <v>0</v>
          </cell>
          <cell r="K86">
            <v>5467</v>
          </cell>
          <cell r="L86">
            <v>0</v>
          </cell>
          <cell r="M86">
            <v>350</v>
          </cell>
          <cell r="N86">
            <v>4415</v>
          </cell>
          <cell r="O86">
            <v>0</v>
          </cell>
          <cell r="P86">
            <v>1223</v>
          </cell>
          <cell r="Q86">
            <v>11455</v>
          </cell>
        </row>
        <row r="87">
          <cell r="A87" t="str">
            <v>US35MZA1503201400036</v>
          </cell>
          <cell r="B87" t="str">
            <v>US35MZA150</v>
          </cell>
          <cell r="C87">
            <v>3201400036</v>
          </cell>
          <cell r="D87" t="str">
            <v>OTHER MAINTENANCE BUILDINGS</v>
          </cell>
          <cell r="E87">
            <v>0</v>
          </cell>
          <cell r="F87">
            <v>0</v>
          </cell>
          <cell r="G87">
            <v>2033</v>
          </cell>
          <cell r="H87">
            <v>3199</v>
          </cell>
          <cell r="I87">
            <v>1575</v>
          </cell>
          <cell r="J87">
            <v>618</v>
          </cell>
          <cell r="K87">
            <v>0</v>
          </cell>
          <cell r="L87">
            <v>0</v>
          </cell>
          <cell r="M87">
            <v>0</v>
          </cell>
          <cell r="N87">
            <v>0</v>
          </cell>
          <cell r="O87">
            <v>0</v>
          </cell>
          <cell r="P87">
            <v>0</v>
          </cell>
          <cell r="Q87">
            <v>7425</v>
          </cell>
        </row>
        <row r="88">
          <cell r="A88" t="str">
            <v>US59MZA1503201400036</v>
          </cell>
          <cell r="B88" t="str">
            <v>US59MZA150</v>
          </cell>
          <cell r="C88">
            <v>3201400036</v>
          </cell>
          <cell r="D88" t="str">
            <v>OTHER MAINTENANCE BUILDINGS</v>
          </cell>
          <cell r="E88">
            <v>0</v>
          </cell>
          <cell r="F88">
            <v>0</v>
          </cell>
          <cell r="G88">
            <v>0</v>
          </cell>
          <cell r="H88">
            <v>0</v>
          </cell>
          <cell r="I88">
            <v>0</v>
          </cell>
          <cell r="J88">
            <v>0</v>
          </cell>
          <cell r="K88">
            <v>0</v>
          </cell>
          <cell r="L88">
            <v>0</v>
          </cell>
          <cell r="M88">
            <v>0</v>
          </cell>
          <cell r="N88">
            <v>0</v>
          </cell>
          <cell r="O88">
            <v>0</v>
          </cell>
          <cell r="P88">
            <v>325</v>
          </cell>
          <cell r="Q88">
            <v>325</v>
          </cell>
        </row>
        <row r="89">
          <cell r="A89" t="str">
            <v>USCRMZA1503201400036</v>
          </cell>
          <cell r="B89" t="str">
            <v>USCRMZA150</v>
          </cell>
          <cell r="C89">
            <v>3201400036</v>
          </cell>
          <cell r="D89" t="str">
            <v>OTHER MAINTENANCE BUILDINGS</v>
          </cell>
          <cell r="E89">
            <v>1149</v>
          </cell>
          <cell r="F89">
            <v>0</v>
          </cell>
          <cell r="G89">
            <v>996</v>
          </cell>
          <cell r="H89">
            <v>0</v>
          </cell>
          <cell r="I89">
            <v>1296</v>
          </cell>
          <cell r="J89">
            <v>36150</v>
          </cell>
          <cell r="K89">
            <v>0</v>
          </cell>
          <cell r="L89">
            <v>-34950</v>
          </cell>
          <cell r="M89">
            <v>0</v>
          </cell>
          <cell r="N89">
            <v>0</v>
          </cell>
          <cell r="O89">
            <v>3048</v>
          </cell>
          <cell r="P89">
            <v>2028</v>
          </cell>
          <cell r="Q89">
            <v>9717</v>
          </cell>
        </row>
        <row r="90">
          <cell r="A90" t="str">
            <v>USWOMZA1503201400036</v>
          </cell>
          <cell r="B90" t="str">
            <v>USWOMZA150</v>
          </cell>
          <cell r="C90">
            <v>3201400036</v>
          </cell>
          <cell r="D90" t="str">
            <v>OTHER MAINTENANCE BUILDINGS</v>
          </cell>
          <cell r="E90">
            <v>0</v>
          </cell>
          <cell r="F90">
            <v>232</v>
          </cell>
          <cell r="G90">
            <v>0</v>
          </cell>
          <cell r="H90">
            <v>0</v>
          </cell>
          <cell r="I90">
            <v>0</v>
          </cell>
          <cell r="J90">
            <v>0</v>
          </cell>
          <cell r="K90">
            <v>15</v>
          </cell>
          <cell r="L90">
            <v>7173</v>
          </cell>
          <cell r="M90">
            <v>0</v>
          </cell>
          <cell r="N90">
            <v>0</v>
          </cell>
          <cell r="O90">
            <v>527</v>
          </cell>
          <cell r="P90">
            <v>0</v>
          </cell>
          <cell r="Q90">
            <v>7947</v>
          </cell>
        </row>
        <row r="91">
          <cell r="A91" t="str">
            <v>US22MZA1503201400050</v>
          </cell>
          <cell r="B91" t="str">
            <v>US22MZA150</v>
          </cell>
          <cell r="C91">
            <v>3201400050</v>
          </cell>
          <cell r="D91" t="str">
            <v>MAINTENANCE FORKLIFTS</v>
          </cell>
          <cell r="E91">
            <v>7015</v>
          </cell>
          <cell r="F91">
            <v>5209</v>
          </cell>
          <cell r="G91">
            <v>5629</v>
          </cell>
          <cell r="H91">
            <v>1880</v>
          </cell>
          <cell r="I91">
            <v>4987</v>
          </cell>
          <cell r="J91">
            <v>774</v>
          </cell>
          <cell r="K91">
            <v>3398</v>
          </cell>
          <cell r="L91">
            <v>909</v>
          </cell>
          <cell r="M91">
            <v>1563</v>
          </cell>
          <cell r="N91">
            <v>2943</v>
          </cell>
          <cell r="O91">
            <v>1250</v>
          </cell>
          <cell r="P91">
            <v>370</v>
          </cell>
          <cell r="Q91">
            <v>35927</v>
          </cell>
        </row>
        <row r="92">
          <cell r="A92" t="str">
            <v>US28MZA1503201400050</v>
          </cell>
          <cell r="B92" t="str">
            <v>US28MZA150</v>
          </cell>
          <cell r="C92">
            <v>3201400050</v>
          </cell>
          <cell r="D92" t="str">
            <v>MAINTENANCE FORKLIFTS</v>
          </cell>
          <cell r="E92">
            <v>1880</v>
          </cell>
          <cell r="F92">
            <v>69</v>
          </cell>
          <cell r="G92">
            <v>0</v>
          </cell>
          <cell r="H92">
            <v>0</v>
          </cell>
          <cell r="I92">
            <v>183</v>
          </cell>
          <cell r="J92">
            <v>0</v>
          </cell>
          <cell r="K92">
            <v>0</v>
          </cell>
          <cell r="L92">
            <v>0</v>
          </cell>
          <cell r="M92">
            <v>0</v>
          </cell>
          <cell r="N92">
            <v>0</v>
          </cell>
          <cell r="O92">
            <v>0</v>
          </cell>
          <cell r="P92">
            <v>0</v>
          </cell>
          <cell r="Q92">
            <v>2132</v>
          </cell>
        </row>
        <row r="93">
          <cell r="A93" t="str">
            <v>US35MZA1503201400050</v>
          </cell>
          <cell r="B93" t="str">
            <v>US35MZA150</v>
          </cell>
          <cell r="C93">
            <v>3201400050</v>
          </cell>
          <cell r="D93" t="str">
            <v>MAINTENANCE FORKLIFTS</v>
          </cell>
          <cell r="E93">
            <v>1407</v>
          </cell>
          <cell r="F93">
            <v>621</v>
          </cell>
          <cell r="G93">
            <v>1269</v>
          </cell>
          <cell r="H93">
            <v>1274</v>
          </cell>
          <cell r="I93">
            <v>457</v>
          </cell>
          <cell r="J93">
            <v>544</v>
          </cell>
          <cell r="K93">
            <v>366</v>
          </cell>
          <cell r="L93">
            <v>0</v>
          </cell>
          <cell r="M93">
            <v>0</v>
          </cell>
          <cell r="N93">
            <v>579</v>
          </cell>
          <cell r="O93">
            <v>0</v>
          </cell>
          <cell r="P93">
            <v>0</v>
          </cell>
          <cell r="Q93">
            <v>6517</v>
          </cell>
        </row>
        <row r="94">
          <cell r="A94" t="str">
            <v>US59MZA1503201400050</v>
          </cell>
          <cell r="B94" t="str">
            <v>US59MZA150</v>
          </cell>
          <cell r="C94">
            <v>3201400050</v>
          </cell>
          <cell r="D94" t="str">
            <v>MAINTENANCE FORKLIFTS</v>
          </cell>
          <cell r="E94">
            <v>1295</v>
          </cell>
          <cell r="F94">
            <v>0</v>
          </cell>
          <cell r="G94">
            <v>117</v>
          </cell>
          <cell r="H94">
            <v>0</v>
          </cell>
          <cell r="I94">
            <v>0</v>
          </cell>
          <cell r="J94">
            <v>0</v>
          </cell>
          <cell r="K94">
            <v>0</v>
          </cell>
          <cell r="L94">
            <v>0</v>
          </cell>
          <cell r="M94">
            <v>0</v>
          </cell>
          <cell r="N94">
            <v>0</v>
          </cell>
          <cell r="O94">
            <v>61</v>
          </cell>
          <cell r="P94">
            <v>0</v>
          </cell>
          <cell r="Q94">
            <v>1473</v>
          </cell>
        </row>
        <row r="95">
          <cell r="A95" t="str">
            <v>USCOMZA1503201400050</v>
          </cell>
          <cell r="B95" t="str">
            <v>USCOMZA150</v>
          </cell>
          <cell r="C95">
            <v>3201400050</v>
          </cell>
          <cell r="D95" t="str">
            <v>MAINTENANCE FORKLIFTS</v>
          </cell>
          <cell r="E95">
            <v>6</v>
          </cell>
          <cell r="F95">
            <v>0</v>
          </cell>
          <cell r="G95">
            <v>0</v>
          </cell>
          <cell r="H95">
            <v>0</v>
          </cell>
          <cell r="I95">
            <v>0</v>
          </cell>
          <cell r="J95">
            <v>0</v>
          </cell>
          <cell r="K95">
            <v>0</v>
          </cell>
          <cell r="L95">
            <v>0</v>
          </cell>
          <cell r="M95">
            <v>0</v>
          </cell>
          <cell r="N95">
            <v>0</v>
          </cell>
          <cell r="O95">
            <v>0</v>
          </cell>
          <cell r="P95">
            <v>0</v>
          </cell>
          <cell r="Q95">
            <v>6</v>
          </cell>
        </row>
        <row r="96">
          <cell r="A96" t="str">
            <v>USCRMZA1503201400050</v>
          </cell>
          <cell r="B96" t="str">
            <v>USCRMZA150</v>
          </cell>
          <cell r="C96">
            <v>3201400050</v>
          </cell>
          <cell r="D96" t="str">
            <v>MAINTENANCE FORKLIFTS</v>
          </cell>
          <cell r="E96">
            <v>4291</v>
          </cell>
          <cell r="F96">
            <v>7605</v>
          </cell>
          <cell r="G96">
            <v>5203</v>
          </cell>
          <cell r="H96">
            <v>4716</v>
          </cell>
          <cell r="I96">
            <v>4058</v>
          </cell>
          <cell r="J96">
            <v>6846</v>
          </cell>
          <cell r="K96">
            <v>19155</v>
          </cell>
          <cell r="L96">
            <v>9854</v>
          </cell>
          <cell r="M96">
            <v>6408</v>
          </cell>
          <cell r="N96">
            <v>4056</v>
          </cell>
          <cell r="O96">
            <v>11376</v>
          </cell>
          <cell r="P96">
            <v>3366</v>
          </cell>
          <cell r="Q96">
            <v>86934</v>
          </cell>
        </row>
        <row r="97">
          <cell r="A97" t="str">
            <v>USWOMZA1503201400050</v>
          </cell>
          <cell r="B97" t="str">
            <v>USWOMZA150</v>
          </cell>
          <cell r="C97">
            <v>3201400050</v>
          </cell>
          <cell r="D97" t="str">
            <v>MAINTENANCE FORKLIFTS</v>
          </cell>
          <cell r="E97">
            <v>1076</v>
          </cell>
          <cell r="F97">
            <v>0</v>
          </cell>
          <cell r="G97">
            <v>0</v>
          </cell>
          <cell r="H97">
            <v>0</v>
          </cell>
          <cell r="I97">
            <v>0</v>
          </cell>
          <cell r="J97">
            <v>589</v>
          </cell>
          <cell r="K97">
            <v>0</v>
          </cell>
          <cell r="L97">
            <v>181</v>
          </cell>
          <cell r="M97">
            <v>0</v>
          </cell>
          <cell r="N97">
            <v>0</v>
          </cell>
          <cell r="O97">
            <v>1003</v>
          </cell>
          <cell r="P97">
            <v>798</v>
          </cell>
          <cell r="Q97">
            <v>3647</v>
          </cell>
        </row>
        <row r="98">
          <cell r="A98" t="str">
            <v>US22MZA1503201400051</v>
          </cell>
          <cell r="B98" t="str">
            <v>US22MZA150</v>
          </cell>
          <cell r="C98">
            <v>3201400051</v>
          </cell>
          <cell r="D98" t="str">
            <v>MAINTENANCE EQUIPMENT</v>
          </cell>
          <cell r="E98">
            <v>1131</v>
          </cell>
          <cell r="F98">
            <v>3781</v>
          </cell>
          <cell r="G98">
            <v>0</v>
          </cell>
          <cell r="H98">
            <v>0</v>
          </cell>
          <cell r="I98">
            <v>0</v>
          </cell>
          <cell r="J98">
            <v>1350</v>
          </cell>
          <cell r="K98">
            <v>925</v>
          </cell>
          <cell r="L98">
            <v>93</v>
          </cell>
          <cell r="M98">
            <v>0</v>
          </cell>
          <cell r="N98">
            <v>857</v>
          </cell>
          <cell r="O98">
            <v>1345</v>
          </cell>
          <cell r="P98">
            <v>0</v>
          </cell>
          <cell r="Q98">
            <v>9482</v>
          </cell>
        </row>
        <row r="99">
          <cell r="A99" t="str">
            <v>US35MZA1503201400051</v>
          </cell>
          <cell r="B99" t="str">
            <v>US35MZA150</v>
          </cell>
          <cell r="C99">
            <v>3201400051</v>
          </cell>
          <cell r="D99" t="str">
            <v>MAINTENANCE EQUIPMENT</v>
          </cell>
          <cell r="E99">
            <v>0</v>
          </cell>
          <cell r="F99">
            <v>0</v>
          </cell>
          <cell r="G99">
            <v>0</v>
          </cell>
          <cell r="H99">
            <v>0</v>
          </cell>
          <cell r="I99">
            <v>979</v>
          </cell>
          <cell r="J99">
            <v>0</v>
          </cell>
          <cell r="K99">
            <v>0</v>
          </cell>
          <cell r="L99">
            <v>0</v>
          </cell>
          <cell r="M99">
            <v>0</v>
          </cell>
          <cell r="N99">
            <v>0</v>
          </cell>
          <cell r="O99">
            <v>59</v>
          </cell>
          <cell r="P99">
            <v>0</v>
          </cell>
          <cell r="Q99">
            <v>1038</v>
          </cell>
        </row>
        <row r="100">
          <cell r="A100" t="str">
            <v>US59MZA1503201400051</v>
          </cell>
          <cell r="B100" t="str">
            <v>US59MZA150</v>
          </cell>
          <cell r="C100">
            <v>3201400051</v>
          </cell>
          <cell r="D100" t="str">
            <v>MAINTENANCE EQUIPMENT</v>
          </cell>
          <cell r="E100">
            <v>1820</v>
          </cell>
          <cell r="F100">
            <v>731</v>
          </cell>
          <cell r="G100">
            <v>1889</v>
          </cell>
          <cell r="H100">
            <v>127</v>
          </cell>
          <cell r="I100">
            <v>324</v>
          </cell>
          <cell r="J100">
            <v>176</v>
          </cell>
          <cell r="K100">
            <v>2901</v>
          </cell>
          <cell r="L100">
            <v>106</v>
          </cell>
          <cell r="M100">
            <v>0</v>
          </cell>
          <cell r="N100">
            <v>0</v>
          </cell>
          <cell r="O100">
            <v>0</v>
          </cell>
          <cell r="P100">
            <v>0</v>
          </cell>
          <cell r="Q100">
            <v>8074</v>
          </cell>
        </row>
        <row r="101">
          <cell r="A101" t="str">
            <v>US59MZA1553201400051</v>
          </cell>
          <cell r="B101" t="str">
            <v>US59MZA155</v>
          </cell>
          <cell r="C101">
            <v>3201400051</v>
          </cell>
          <cell r="D101" t="str">
            <v>MAINTENANCE EQUIPMENT</v>
          </cell>
          <cell r="E101">
            <v>0</v>
          </cell>
          <cell r="F101">
            <v>0</v>
          </cell>
          <cell r="G101">
            <v>0</v>
          </cell>
          <cell r="H101">
            <v>0</v>
          </cell>
          <cell r="I101">
            <v>0</v>
          </cell>
          <cell r="J101">
            <v>0</v>
          </cell>
          <cell r="K101">
            <v>0</v>
          </cell>
          <cell r="L101">
            <v>160</v>
          </cell>
          <cell r="M101">
            <v>0</v>
          </cell>
          <cell r="N101">
            <v>0</v>
          </cell>
          <cell r="O101">
            <v>0</v>
          </cell>
          <cell r="P101">
            <v>0</v>
          </cell>
          <cell r="Q101">
            <v>160</v>
          </cell>
        </row>
        <row r="102">
          <cell r="A102" t="str">
            <v>USCOMZA1503201400051</v>
          </cell>
          <cell r="B102" t="str">
            <v>USCOMZA150</v>
          </cell>
          <cell r="C102">
            <v>3201400051</v>
          </cell>
          <cell r="D102" t="str">
            <v>MAINTENANCE EQUIPMENT</v>
          </cell>
          <cell r="E102">
            <v>234</v>
          </cell>
          <cell r="F102">
            <v>0</v>
          </cell>
          <cell r="G102">
            <v>0</v>
          </cell>
          <cell r="H102">
            <v>0</v>
          </cell>
          <cell r="I102">
            <v>0</v>
          </cell>
          <cell r="J102">
            <v>0</v>
          </cell>
          <cell r="K102">
            <v>0</v>
          </cell>
          <cell r="L102">
            <v>0</v>
          </cell>
          <cell r="M102">
            <v>0</v>
          </cell>
          <cell r="N102">
            <v>0</v>
          </cell>
          <cell r="O102">
            <v>0</v>
          </cell>
          <cell r="P102">
            <v>0</v>
          </cell>
          <cell r="Q102">
            <v>234</v>
          </cell>
        </row>
        <row r="103">
          <cell r="A103" t="str">
            <v>USCRMZA1503201400051</v>
          </cell>
          <cell r="B103" t="str">
            <v>USCRMZA150</v>
          </cell>
          <cell r="C103">
            <v>3201400051</v>
          </cell>
          <cell r="D103" t="str">
            <v>MAINTENANCE EQUIPMENT</v>
          </cell>
          <cell r="E103">
            <v>101</v>
          </cell>
          <cell r="F103">
            <v>1722</v>
          </cell>
          <cell r="G103">
            <v>33504</v>
          </cell>
          <cell r="H103">
            <v>-32718</v>
          </cell>
          <cell r="I103">
            <v>1372</v>
          </cell>
          <cell r="J103">
            <v>1126</v>
          </cell>
          <cell r="K103">
            <v>0</v>
          </cell>
          <cell r="L103">
            <v>0</v>
          </cell>
          <cell r="M103">
            <v>93</v>
          </cell>
          <cell r="N103">
            <v>0</v>
          </cell>
          <cell r="O103">
            <v>21</v>
          </cell>
          <cell r="P103">
            <v>0</v>
          </cell>
          <cell r="Q103">
            <v>5221</v>
          </cell>
        </row>
        <row r="104">
          <cell r="A104" t="str">
            <v>USSTMZA1503201400051</v>
          </cell>
          <cell r="B104" t="str">
            <v>USSTMZA150</v>
          </cell>
          <cell r="C104">
            <v>3201400051</v>
          </cell>
          <cell r="D104" t="str">
            <v>MAINTENANCE EQUIPMENT</v>
          </cell>
          <cell r="E104">
            <v>80</v>
          </cell>
          <cell r="F104">
            <v>0</v>
          </cell>
          <cell r="G104">
            <v>0</v>
          </cell>
          <cell r="H104">
            <v>0</v>
          </cell>
          <cell r="I104">
            <v>0</v>
          </cell>
          <cell r="J104">
            <v>0</v>
          </cell>
          <cell r="K104">
            <v>0</v>
          </cell>
          <cell r="L104">
            <v>0</v>
          </cell>
          <cell r="M104">
            <v>0</v>
          </cell>
          <cell r="N104">
            <v>0</v>
          </cell>
          <cell r="O104">
            <v>0</v>
          </cell>
          <cell r="P104">
            <v>0</v>
          </cell>
          <cell r="Q104">
            <v>80</v>
          </cell>
        </row>
        <row r="105">
          <cell r="A105" t="str">
            <v>US59MZA1503201400054</v>
          </cell>
          <cell r="B105" t="str">
            <v>US59MZA150</v>
          </cell>
          <cell r="C105">
            <v>3201400054</v>
          </cell>
          <cell r="D105" t="str">
            <v>TECHNICAL SERVICES</v>
          </cell>
          <cell r="E105">
            <v>60</v>
          </cell>
          <cell r="F105">
            <v>0</v>
          </cell>
          <cell r="G105">
            <v>0</v>
          </cell>
          <cell r="H105">
            <v>0</v>
          </cell>
          <cell r="I105">
            <v>21</v>
          </cell>
          <cell r="J105">
            <v>51</v>
          </cell>
          <cell r="K105">
            <v>0</v>
          </cell>
          <cell r="L105">
            <v>0</v>
          </cell>
          <cell r="M105">
            <v>0</v>
          </cell>
          <cell r="N105">
            <v>0</v>
          </cell>
          <cell r="O105">
            <v>0</v>
          </cell>
          <cell r="P105">
            <v>60</v>
          </cell>
          <cell r="Q105">
            <v>192</v>
          </cell>
        </row>
        <row r="106">
          <cell r="A106" t="str">
            <v>US59MZA1503201400063</v>
          </cell>
          <cell r="B106" t="str">
            <v>US59MZA150</v>
          </cell>
          <cell r="C106">
            <v>3201400063</v>
          </cell>
          <cell r="D106" t="str">
            <v>DISCARD HANDLING FEES</v>
          </cell>
          <cell r="E106">
            <v>0</v>
          </cell>
          <cell r="F106">
            <v>0</v>
          </cell>
          <cell r="G106">
            <v>0</v>
          </cell>
          <cell r="H106">
            <v>0</v>
          </cell>
          <cell r="I106">
            <v>0</v>
          </cell>
          <cell r="J106">
            <v>0</v>
          </cell>
          <cell r="K106">
            <v>0</v>
          </cell>
          <cell r="L106">
            <v>939</v>
          </cell>
          <cell r="M106">
            <v>0</v>
          </cell>
          <cell r="N106">
            <v>0</v>
          </cell>
          <cell r="O106">
            <v>0</v>
          </cell>
          <cell r="P106">
            <v>0</v>
          </cell>
          <cell r="Q106">
            <v>939</v>
          </cell>
        </row>
        <row r="107">
          <cell r="A107" t="str">
            <v>US28MZA1503201400070</v>
          </cell>
          <cell r="B107" t="str">
            <v>US28MZA150</v>
          </cell>
          <cell r="C107">
            <v>3201400070</v>
          </cell>
          <cell r="D107" t="str">
            <v>STORAGE WAREHOUSE SERVICE FEES</v>
          </cell>
          <cell r="E107">
            <v>1625</v>
          </cell>
          <cell r="F107">
            <v>1625</v>
          </cell>
          <cell r="G107">
            <v>1625</v>
          </cell>
          <cell r="H107">
            <v>1625</v>
          </cell>
          <cell r="I107">
            <v>1625</v>
          </cell>
          <cell r="J107">
            <v>1625</v>
          </cell>
          <cell r="K107">
            <v>1625</v>
          </cell>
          <cell r="L107">
            <v>0</v>
          </cell>
          <cell r="M107">
            <v>3250</v>
          </cell>
          <cell r="N107">
            <v>0</v>
          </cell>
          <cell r="O107">
            <v>0</v>
          </cell>
          <cell r="P107">
            <v>3250</v>
          </cell>
          <cell r="Q107">
            <v>17875</v>
          </cell>
        </row>
        <row r="108">
          <cell r="A108" t="str">
            <v>US22MZA1503311400099</v>
          </cell>
          <cell r="B108" t="str">
            <v>US22MZA150</v>
          </cell>
          <cell r="C108">
            <v>3311400099</v>
          </cell>
          <cell r="D108" t="str">
            <v>CO DEPRECIATION</v>
          </cell>
          <cell r="E108">
            <v>3507</v>
          </cell>
          <cell r="F108">
            <v>3507</v>
          </cell>
          <cell r="G108">
            <v>1513</v>
          </cell>
          <cell r="H108">
            <v>1513</v>
          </cell>
          <cell r="I108">
            <v>1513</v>
          </cell>
          <cell r="J108">
            <v>1513</v>
          </cell>
          <cell r="K108">
            <v>1513</v>
          </cell>
          <cell r="L108">
            <v>1513</v>
          </cell>
          <cell r="M108">
            <v>1600</v>
          </cell>
          <cell r="N108">
            <v>1726</v>
          </cell>
          <cell r="O108">
            <v>1726</v>
          </cell>
          <cell r="P108">
            <v>2032</v>
          </cell>
          <cell r="Q108">
            <v>23176</v>
          </cell>
        </row>
        <row r="109">
          <cell r="A109" t="str">
            <v>US28MZA1503311400099</v>
          </cell>
          <cell r="B109" t="str">
            <v>US28MZA150</v>
          </cell>
          <cell r="C109">
            <v>3311400099</v>
          </cell>
          <cell r="D109" t="str">
            <v>CO DEPRECIATION</v>
          </cell>
          <cell r="E109">
            <v>2886</v>
          </cell>
          <cell r="F109">
            <v>2886</v>
          </cell>
          <cell r="G109">
            <v>2886</v>
          </cell>
          <cell r="H109">
            <v>2886</v>
          </cell>
          <cell r="I109">
            <v>2886</v>
          </cell>
          <cell r="J109">
            <v>2886</v>
          </cell>
          <cell r="K109">
            <v>2886</v>
          </cell>
          <cell r="L109">
            <v>2691</v>
          </cell>
          <cell r="M109">
            <v>2691</v>
          </cell>
          <cell r="N109">
            <v>2691</v>
          </cell>
          <cell r="O109">
            <v>2691</v>
          </cell>
          <cell r="P109">
            <v>2691</v>
          </cell>
          <cell r="Q109">
            <v>33657</v>
          </cell>
        </row>
        <row r="110">
          <cell r="A110" t="str">
            <v>US35MZA1503311400099</v>
          </cell>
          <cell r="B110" t="str">
            <v>US35MZA150</v>
          </cell>
          <cell r="C110">
            <v>3311400099</v>
          </cell>
          <cell r="D110" t="str">
            <v>CO DEPRECIATION</v>
          </cell>
          <cell r="E110">
            <v>2538</v>
          </cell>
          <cell r="F110">
            <v>2538</v>
          </cell>
          <cell r="G110">
            <v>2538</v>
          </cell>
          <cell r="H110">
            <v>2538</v>
          </cell>
          <cell r="I110">
            <v>2538</v>
          </cell>
          <cell r="J110">
            <v>2538</v>
          </cell>
          <cell r="K110">
            <v>2538</v>
          </cell>
          <cell r="L110">
            <v>2538</v>
          </cell>
          <cell r="M110">
            <v>8712</v>
          </cell>
          <cell r="N110">
            <v>17615</v>
          </cell>
          <cell r="O110">
            <v>4478</v>
          </cell>
          <cell r="P110">
            <v>4478</v>
          </cell>
          <cell r="Q110">
            <v>55587</v>
          </cell>
        </row>
        <row r="111">
          <cell r="A111" t="str">
            <v>US59MZA1503311400099</v>
          </cell>
          <cell r="B111" t="str">
            <v>US59MZA150</v>
          </cell>
          <cell r="C111">
            <v>3311400099</v>
          </cell>
          <cell r="D111" t="str">
            <v>CO DEPRECIATION</v>
          </cell>
          <cell r="E111">
            <v>28834</v>
          </cell>
          <cell r="F111">
            <v>28834</v>
          </cell>
          <cell r="G111">
            <v>28834</v>
          </cell>
          <cell r="H111">
            <v>28834</v>
          </cell>
          <cell r="I111">
            <v>28834</v>
          </cell>
          <cell r="J111">
            <v>28693</v>
          </cell>
          <cell r="K111">
            <v>28693</v>
          </cell>
          <cell r="L111">
            <v>28490</v>
          </cell>
          <cell r="M111">
            <v>28490</v>
          </cell>
          <cell r="N111">
            <v>28490</v>
          </cell>
          <cell r="O111">
            <v>28490</v>
          </cell>
          <cell r="P111">
            <v>28128</v>
          </cell>
          <cell r="Q111">
            <v>343644</v>
          </cell>
        </row>
        <row r="112">
          <cell r="A112" t="str">
            <v>USCLMZA1503311400099</v>
          </cell>
          <cell r="B112" t="str">
            <v>USCLMZA150</v>
          </cell>
          <cell r="C112">
            <v>3311400099</v>
          </cell>
          <cell r="D112" t="str">
            <v>CO DEPRECIATION</v>
          </cell>
          <cell r="E112">
            <v>603</v>
          </cell>
          <cell r="F112">
            <v>602</v>
          </cell>
          <cell r="G112">
            <v>603</v>
          </cell>
          <cell r="H112">
            <v>602</v>
          </cell>
          <cell r="I112">
            <v>603</v>
          </cell>
          <cell r="J112">
            <v>603</v>
          </cell>
          <cell r="K112">
            <v>602</v>
          </cell>
          <cell r="L112">
            <v>602</v>
          </cell>
          <cell r="M112">
            <v>579</v>
          </cell>
          <cell r="N112">
            <v>51</v>
          </cell>
          <cell r="O112">
            <v>51</v>
          </cell>
          <cell r="P112">
            <v>51</v>
          </cell>
          <cell r="Q112">
            <v>5552</v>
          </cell>
        </row>
        <row r="113">
          <cell r="A113" t="str">
            <v>USCOMZA1503311400099</v>
          </cell>
          <cell r="B113" t="str">
            <v>USCOMZA150</v>
          </cell>
          <cell r="C113">
            <v>3311400099</v>
          </cell>
          <cell r="D113" t="str">
            <v>CO DEPRECIATION</v>
          </cell>
          <cell r="E113">
            <v>18</v>
          </cell>
          <cell r="F113">
            <v>18</v>
          </cell>
          <cell r="G113">
            <v>18</v>
          </cell>
          <cell r="H113">
            <v>18</v>
          </cell>
          <cell r="I113">
            <v>18</v>
          </cell>
          <cell r="J113">
            <v>18</v>
          </cell>
          <cell r="K113">
            <v>18</v>
          </cell>
          <cell r="L113">
            <v>18</v>
          </cell>
          <cell r="M113">
            <v>18</v>
          </cell>
          <cell r="N113">
            <v>18</v>
          </cell>
          <cell r="O113">
            <v>18</v>
          </cell>
          <cell r="P113">
            <v>18</v>
          </cell>
          <cell r="Q113">
            <v>216</v>
          </cell>
        </row>
        <row r="114">
          <cell r="A114" t="str">
            <v>USCRMZA1503311400099</v>
          </cell>
          <cell r="B114" t="str">
            <v>USCRMZA150</v>
          </cell>
          <cell r="C114">
            <v>3311400099</v>
          </cell>
          <cell r="D114" t="str">
            <v>CO DEPRECIATION</v>
          </cell>
          <cell r="E114">
            <v>0</v>
          </cell>
          <cell r="F114">
            <v>234</v>
          </cell>
          <cell r="G114">
            <v>260</v>
          </cell>
          <cell r="H114">
            <v>247</v>
          </cell>
          <cell r="I114">
            <v>247</v>
          </cell>
          <cell r="J114">
            <v>247</v>
          </cell>
          <cell r="K114">
            <v>247</v>
          </cell>
          <cell r="L114">
            <v>1659</v>
          </cell>
          <cell r="M114">
            <v>2593</v>
          </cell>
          <cell r="N114">
            <v>2782</v>
          </cell>
          <cell r="O114">
            <v>2106</v>
          </cell>
          <cell r="P114">
            <v>2611</v>
          </cell>
          <cell r="Q114">
            <v>13233</v>
          </cell>
        </row>
        <row r="115">
          <cell r="A115" t="str">
            <v>USSTMZA1503311400099</v>
          </cell>
          <cell r="B115" t="str">
            <v>USSTMZA150</v>
          </cell>
          <cell r="C115">
            <v>3311400099</v>
          </cell>
          <cell r="D115" t="str">
            <v>CO DEPRECIATION</v>
          </cell>
          <cell r="E115">
            <v>202</v>
          </cell>
          <cell r="F115">
            <v>202</v>
          </cell>
          <cell r="G115">
            <v>202</v>
          </cell>
          <cell r="H115">
            <v>202</v>
          </cell>
          <cell r="I115">
            <v>110</v>
          </cell>
          <cell r="J115">
            <v>110</v>
          </cell>
          <cell r="K115">
            <v>110</v>
          </cell>
          <cell r="L115">
            <v>110</v>
          </cell>
          <cell r="M115">
            <v>111</v>
          </cell>
          <cell r="N115">
            <v>110</v>
          </cell>
          <cell r="O115">
            <v>110</v>
          </cell>
          <cell r="P115">
            <v>110</v>
          </cell>
          <cell r="Q115">
            <v>1689</v>
          </cell>
        </row>
        <row r="116">
          <cell r="A116" t="str">
            <v>USWOMZA1503311400099</v>
          </cell>
          <cell r="B116" t="str">
            <v>USWOMZA150</v>
          </cell>
          <cell r="C116">
            <v>3311400099</v>
          </cell>
          <cell r="D116" t="str">
            <v>CO DEPRECIATION</v>
          </cell>
          <cell r="E116">
            <v>44348</v>
          </cell>
          <cell r="F116">
            <v>44347</v>
          </cell>
          <cell r="G116">
            <v>44348</v>
          </cell>
          <cell r="H116">
            <v>44348</v>
          </cell>
          <cell r="I116">
            <v>44347</v>
          </cell>
          <cell r="J116">
            <v>44348</v>
          </cell>
          <cell r="K116">
            <v>44348</v>
          </cell>
          <cell r="L116">
            <v>44347</v>
          </cell>
          <cell r="M116">
            <v>44035</v>
          </cell>
          <cell r="N116">
            <v>44035</v>
          </cell>
          <cell r="O116">
            <v>44035</v>
          </cell>
          <cell r="P116">
            <v>43915</v>
          </cell>
          <cell r="Q116">
            <v>530801</v>
          </cell>
        </row>
        <row r="117">
          <cell r="A117" t="str">
            <v>USCLMZA1503501500031</v>
          </cell>
          <cell r="B117" t="str">
            <v>USCLMZA150</v>
          </cell>
          <cell r="C117">
            <v>3501500031</v>
          </cell>
          <cell r="D117" t="str">
            <v>BUSINESS LICENSES &amp; LOCAL TAXES</v>
          </cell>
          <cell r="E117">
            <v>0</v>
          </cell>
          <cell r="F117">
            <v>0</v>
          </cell>
          <cell r="G117">
            <v>0</v>
          </cell>
          <cell r="H117">
            <v>0</v>
          </cell>
          <cell r="I117">
            <v>40</v>
          </cell>
          <cell r="J117">
            <v>0</v>
          </cell>
          <cell r="K117">
            <v>0</v>
          </cell>
          <cell r="L117">
            <v>0</v>
          </cell>
          <cell r="M117">
            <v>0</v>
          </cell>
          <cell r="N117">
            <v>0</v>
          </cell>
          <cell r="O117">
            <v>0</v>
          </cell>
          <cell r="P117">
            <v>0</v>
          </cell>
          <cell r="Q117">
            <v>40</v>
          </cell>
        </row>
        <row r="118">
          <cell r="A118" t="str">
            <v>US22MZA1503911100010</v>
          </cell>
          <cell r="B118" t="str">
            <v>US22MZA150</v>
          </cell>
          <cell r="C118">
            <v>3911100010</v>
          </cell>
          <cell r="D118" t="str">
            <v>TRAVEL EXPENSES PERMANENTS / MEALS</v>
          </cell>
          <cell r="E118">
            <v>44</v>
          </cell>
          <cell r="F118">
            <v>360</v>
          </cell>
          <cell r="G118">
            <v>330</v>
          </cell>
          <cell r="H118">
            <v>773</v>
          </cell>
          <cell r="I118">
            <v>755</v>
          </cell>
          <cell r="J118">
            <v>87</v>
          </cell>
          <cell r="K118">
            <v>4</v>
          </cell>
          <cell r="L118">
            <v>18</v>
          </cell>
          <cell r="M118">
            <v>123</v>
          </cell>
          <cell r="N118">
            <v>0</v>
          </cell>
          <cell r="O118">
            <v>165</v>
          </cell>
          <cell r="P118">
            <v>351</v>
          </cell>
          <cell r="Q118">
            <v>3010</v>
          </cell>
        </row>
        <row r="119">
          <cell r="A119" t="str">
            <v>US28MZA1503911100010</v>
          </cell>
          <cell r="B119" t="str">
            <v>US28MZA150</v>
          </cell>
          <cell r="C119">
            <v>3911100010</v>
          </cell>
          <cell r="D119" t="str">
            <v>TRAVEL EXPENSES PERMANENTS / MEALS</v>
          </cell>
          <cell r="E119">
            <v>0</v>
          </cell>
          <cell r="F119">
            <v>0</v>
          </cell>
          <cell r="G119">
            <v>211</v>
          </cell>
          <cell r="H119">
            <v>0</v>
          </cell>
          <cell r="I119">
            <v>172</v>
          </cell>
          <cell r="J119">
            <v>0</v>
          </cell>
          <cell r="K119">
            <v>0</v>
          </cell>
          <cell r="L119">
            <v>0</v>
          </cell>
          <cell r="M119">
            <v>0</v>
          </cell>
          <cell r="N119">
            <v>0</v>
          </cell>
          <cell r="O119">
            <v>0</v>
          </cell>
          <cell r="P119">
            <v>0</v>
          </cell>
          <cell r="Q119">
            <v>383</v>
          </cell>
        </row>
        <row r="120">
          <cell r="A120" t="str">
            <v>US35MZA1503911100010</v>
          </cell>
          <cell r="B120" t="str">
            <v>US35MZA150</v>
          </cell>
          <cell r="C120">
            <v>3911100010</v>
          </cell>
          <cell r="D120" t="str">
            <v>TRAVEL EXPENSES PERMANENTS / MEALS</v>
          </cell>
          <cell r="E120">
            <v>0</v>
          </cell>
          <cell r="F120">
            <v>0</v>
          </cell>
          <cell r="G120">
            <v>0</v>
          </cell>
          <cell r="H120">
            <v>0</v>
          </cell>
          <cell r="I120">
            <v>25</v>
          </cell>
          <cell r="J120">
            <v>10</v>
          </cell>
          <cell r="K120">
            <v>0</v>
          </cell>
          <cell r="L120">
            <v>0</v>
          </cell>
          <cell r="M120">
            <v>95</v>
          </cell>
          <cell r="N120">
            <v>0</v>
          </cell>
          <cell r="O120">
            <v>157</v>
          </cell>
          <cell r="P120">
            <v>0</v>
          </cell>
          <cell r="Q120">
            <v>287</v>
          </cell>
        </row>
        <row r="121">
          <cell r="A121" t="str">
            <v>US59MZA1503911100010</v>
          </cell>
          <cell r="B121" t="str">
            <v>US59MZA150</v>
          </cell>
          <cell r="C121">
            <v>3911100010</v>
          </cell>
          <cell r="D121" t="str">
            <v>TRAVEL EXPENSES PERMANENTS / MEALS</v>
          </cell>
          <cell r="E121">
            <v>29</v>
          </cell>
          <cell r="F121">
            <v>0</v>
          </cell>
          <cell r="G121">
            <v>90</v>
          </cell>
          <cell r="H121">
            <v>0</v>
          </cell>
          <cell r="I121">
            <v>473</v>
          </cell>
          <cell r="J121">
            <v>12</v>
          </cell>
          <cell r="K121">
            <v>0</v>
          </cell>
          <cell r="L121">
            <v>268</v>
          </cell>
          <cell r="M121">
            <v>102</v>
          </cell>
          <cell r="N121">
            <v>152</v>
          </cell>
          <cell r="O121">
            <v>238</v>
          </cell>
          <cell r="P121">
            <v>-178</v>
          </cell>
          <cell r="Q121">
            <v>1186</v>
          </cell>
        </row>
        <row r="122">
          <cell r="A122" t="str">
            <v>USWOMZA1503911100010</v>
          </cell>
          <cell r="B122" t="str">
            <v>USWOMZA150</v>
          </cell>
          <cell r="C122">
            <v>3911100010</v>
          </cell>
          <cell r="D122" t="str">
            <v>TRAVEL EXPENSES PERMANENTS / MEALS</v>
          </cell>
          <cell r="E122">
            <v>0</v>
          </cell>
          <cell r="F122">
            <v>0</v>
          </cell>
          <cell r="G122">
            <v>0</v>
          </cell>
          <cell r="H122">
            <v>13</v>
          </cell>
          <cell r="I122">
            <v>0</v>
          </cell>
          <cell r="J122">
            <v>0</v>
          </cell>
          <cell r="K122">
            <v>0</v>
          </cell>
          <cell r="L122">
            <v>0</v>
          </cell>
          <cell r="M122">
            <v>0</v>
          </cell>
          <cell r="N122">
            <v>0</v>
          </cell>
          <cell r="O122">
            <v>0</v>
          </cell>
          <cell r="P122">
            <v>0</v>
          </cell>
          <cell r="Q122">
            <v>13</v>
          </cell>
        </row>
        <row r="123">
          <cell r="A123" t="str">
            <v>US22MZA1503911100012</v>
          </cell>
          <cell r="B123" t="str">
            <v>US22MZA150</v>
          </cell>
          <cell r="C123">
            <v>3911100012</v>
          </cell>
          <cell r="D123" t="str">
            <v>TRAVEL EXPENSES PERMANENTS / HOTELS</v>
          </cell>
          <cell r="E123">
            <v>0</v>
          </cell>
          <cell r="F123">
            <v>527</v>
          </cell>
          <cell r="G123">
            <v>525</v>
          </cell>
          <cell r="H123">
            <v>950</v>
          </cell>
          <cell r="I123">
            <v>694</v>
          </cell>
          <cell r="J123">
            <v>102</v>
          </cell>
          <cell r="K123">
            <v>0</v>
          </cell>
          <cell r="L123">
            <v>142</v>
          </cell>
          <cell r="M123">
            <v>246</v>
          </cell>
          <cell r="N123">
            <v>0</v>
          </cell>
          <cell r="O123">
            <v>300</v>
          </cell>
          <cell r="P123">
            <v>1256</v>
          </cell>
          <cell r="Q123">
            <v>4742</v>
          </cell>
        </row>
        <row r="124">
          <cell r="A124" t="str">
            <v>US28MZA1503911100012</v>
          </cell>
          <cell r="B124" t="str">
            <v>US28MZA150</v>
          </cell>
          <cell r="C124">
            <v>3911100012</v>
          </cell>
          <cell r="D124" t="str">
            <v>TRAVEL EXPENSES PERMANENTS / HOTELS</v>
          </cell>
          <cell r="E124">
            <v>0</v>
          </cell>
          <cell r="F124">
            <v>0</v>
          </cell>
          <cell r="G124">
            <v>539</v>
          </cell>
          <cell r="H124">
            <v>0</v>
          </cell>
          <cell r="I124">
            <v>230</v>
          </cell>
          <cell r="J124">
            <v>0</v>
          </cell>
          <cell r="K124">
            <v>0</v>
          </cell>
          <cell r="L124">
            <v>0</v>
          </cell>
          <cell r="M124">
            <v>0</v>
          </cell>
          <cell r="N124">
            <v>0</v>
          </cell>
          <cell r="O124">
            <v>0</v>
          </cell>
          <cell r="P124">
            <v>0</v>
          </cell>
          <cell r="Q124">
            <v>769</v>
          </cell>
        </row>
        <row r="125">
          <cell r="A125" t="str">
            <v>US35MZA1503911100012</v>
          </cell>
          <cell r="B125" t="str">
            <v>US35MZA150</v>
          </cell>
          <cell r="C125">
            <v>3911100012</v>
          </cell>
          <cell r="D125" t="str">
            <v>TRAVEL EXPENSES PERMANENTS / HOTELS</v>
          </cell>
          <cell r="E125">
            <v>0</v>
          </cell>
          <cell r="F125">
            <v>0</v>
          </cell>
          <cell r="G125">
            <v>0</v>
          </cell>
          <cell r="H125">
            <v>0</v>
          </cell>
          <cell r="I125">
            <v>62</v>
          </cell>
          <cell r="J125">
            <v>0</v>
          </cell>
          <cell r="K125">
            <v>0</v>
          </cell>
          <cell r="L125">
            <v>0</v>
          </cell>
          <cell r="M125">
            <v>382</v>
          </cell>
          <cell r="N125">
            <v>0</v>
          </cell>
          <cell r="O125">
            <v>0</v>
          </cell>
          <cell r="P125">
            <v>0</v>
          </cell>
          <cell r="Q125">
            <v>444</v>
          </cell>
        </row>
        <row r="126">
          <cell r="A126" t="str">
            <v>US59MZA1503911100012</v>
          </cell>
          <cell r="B126" t="str">
            <v>US59MZA150</v>
          </cell>
          <cell r="C126">
            <v>3911100012</v>
          </cell>
          <cell r="D126" t="str">
            <v>TRAVEL EXPENSES PERMANENTS / HOTELS</v>
          </cell>
          <cell r="E126">
            <v>0</v>
          </cell>
          <cell r="F126">
            <v>0</v>
          </cell>
          <cell r="G126">
            <v>150</v>
          </cell>
          <cell r="H126">
            <v>0</v>
          </cell>
          <cell r="I126">
            <v>685</v>
          </cell>
          <cell r="J126">
            <v>0</v>
          </cell>
          <cell r="K126">
            <v>0</v>
          </cell>
          <cell r="L126">
            <v>651</v>
          </cell>
          <cell r="M126">
            <v>265</v>
          </cell>
          <cell r="N126">
            <v>561</v>
          </cell>
          <cell r="O126">
            <v>1816</v>
          </cell>
          <cell r="P126">
            <v>-1322</v>
          </cell>
          <cell r="Q126">
            <v>2806</v>
          </cell>
        </row>
        <row r="127">
          <cell r="A127" t="str">
            <v>USWOMZA1503911100012</v>
          </cell>
          <cell r="B127" t="str">
            <v>USWOMZA150</v>
          </cell>
          <cell r="C127">
            <v>3911100012</v>
          </cell>
          <cell r="D127" t="str">
            <v>TRAVEL EXPENSES PERMANENTS / HOTELS</v>
          </cell>
          <cell r="E127">
            <v>0</v>
          </cell>
          <cell r="F127">
            <v>0</v>
          </cell>
          <cell r="G127">
            <v>0</v>
          </cell>
          <cell r="H127">
            <v>0</v>
          </cell>
          <cell r="I127">
            <v>45</v>
          </cell>
          <cell r="J127">
            <v>0</v>
          </cell>
          <cell r="K127">
            <v>0</v>
          </cell>
          <cell r="L127">
            <v>0</v>
          </cell>
          <cell r="M127">
            <v>0</v>
          </cell>
          <cell r="N127">
            <v>0</v>
          </cell>
          <cell r="O127">
            <v>0</v>
          </cell>
          <cell r="P127">
            <v>0</v>
          </cell>
          <cell r="Q127">
            <v>45</v>
          </cell>
        </row>
        <row r="128">
          <cell r="A128" t="str">
            <v>US22MZA1503911100015</v>
          </cell>
          <cell r="B128" t="str">
            <v>US22MZA150</v>
          </cell>
          <cell r="C128">
            <v>3911100015</v>
          </cell>
          <cell r="D128" t="str">
            <v>TRAVEL EXPENSES PERMANENTS / OTHER</v>
          </cell>
          <cell r="E128">
            <v>0</v>
          </cell>
          <cell r="F128">
            <v>3</v>
          </cell>
          <cell r="G128">
            <v>0</v>
          </cell>
          <cell r="H128">
            <v>3</v>
          </cell>
          <cell r="I128">
            <v>383</v>
          </cell>
          <cell r="J128">
            <v>0</v>
          </cell>
          <cell r="K128">
            <v>0</v>
          </cell>
          <cell r="L128">
            <v>2645</v>
          </cell>
          <cell r="M128">
            <v>1565</v>
          </cell>
          <cell r="N128">
            <v>1332</v>
          </cell>
          <cell r="O128">
            <v>11</v>
          </cell>
          <cell r="P128">
            <v>142</v>
          </cell>
          <cell r="Q128">
            <v>6084</v>
          </cell>
        </row>
        <row r="129">
          <cell r="A129" t="str">
            <v>US28MZA1503911100015</v>
          </cell>
          <cell r="B129" t="str">
            <v>US28MZA150</v>
          </cell>
          <cell r="C129">
            <v>3911100015</v>
          </cell>
          <cell r="D129" t="str">
            <v>TRAVEL EXPENSES PERMANENTS / OTHER</v>
          </cell>
          <cell r="E129">
            <v>0</v>
          </cell>
          <cell r="F129">
            <v>0</v>
          </cell>
          <cell r="G129">
            <v>0</v>
          </cell>
          <cell r="H129">
            <v>0</v>
          </cell>
          <cell r="I129">
            <v>67</v>
          </cell>
          <cell r="J129">
            <v>0</v>
          </cell>
          <cell r="K129">
            <v>0</v>
          </cell>
          <cell r="L129">
            <v>0</v>
          </cell>
          <cell r="M129">
            <v>0</v>
          </cell>
          <cell r="N129">
            <v>0</v>
          </cell>
          <cell r="O129">
            <v>0</v>
          </cell>
          <cell r="P129">
            <v>0</v>
          </cell>
          <cell r="Q129">
            <v>67</v>
          </cell>
        </row>
        <row r="130">
          <cell r="A130" t="str">
            <v>US35MZA1503911100015</v>
          </cell>
          <cell r="B130" t="str">
            <v>US35MZA150</v>
          </cell>
          <cell r="C130">
            <v>3911100015</v>
          </cell>
          <cell r="D130" t="str">
            <v>TRAVEL EXPENSES PERMANENTS / OTHER</v>
          </cell>
          <cell r="E130">
            <v>977</v>
          </cell>
          <cell r="F130">
            <v>1022</v>
          </cell>
          <cell r="G130">
            <v>349</v>
          </cell>
          <cell r="H130">
            <v>311</v>
          </cell>
          <cell r="I130">
            <v>1220</v>
          </cell>
          <cell r="J130">
            <v>283</v>
          </cell>
          <cell r="K130">
            <v>469</v>
          </cell>
          <cell r="L130">
            <v>1178</v>
          </cell>
          <cell r="M130">
            <v>541</v>
          </cell>
          <cell r="N130">
            <v>1620</v>
          </cell>
          <cell r="O130">
            <v>1006</v>
          </cell>
          <cell r="P130">
            <v>783</v>
          </cell>
          <cell r="Q130">
            <v>9759</v>
          </cell>
        </row>
        <row r="131">
          <cell r="A131" t="str">
            <v>US59MZA1503911100015</v>
          </cell>
          <cell r="B131" t="str">
            <v>US59MZA150</v>
          </cell>
          <cell r="C131">
            <v>3911100015</v>
          </cell>
          <cell r="D131" t="str">
            <v>TRAVEL EXPENSES PERMANENTS / OTHER</v>
          </cell>
          <cell r="E131">
            <v>68</v>
          </cell>
          <cell r="F131">
            <v>0</v>
          </cell>
          <cell r="G131">
            <v>108</v>
          </cell>
          <cell r="H131">
            <v>0</v>
          </cell>
          <cell r="I131">
            <v>126</v>
          </cell>
          <cell r="J131">
            <v>41</v>
          </cell>
          <cell r="K131">
            <v>508</v>
          </cell>
          <cell r="L131">
            <v>507</v>
          </cell>
          <cell r="M131">
            <v>0</v>
          </cell>
          <cell r="N131">
            <v>88</v>
          </cell>
          <cell r="O131">
            <v>1278</v>
          </cell>
          <cell r="P131">
            <v>-684</v>
          </cell>
          <cell r="Q131">
            <v>2040</v>
          </cell>
        </row>
        <row r="132">
          <cell r="A132" t="str">
            <v>US59MZA1503911100022</v>
          </cell>
          <cell r="B132" t="str">
            <v>US59MZA150</v>
          </cell>
          <cell r="C132">
            <v>3911100022</v>
          </cell>
          <cell r="D132" t="str">
            <v>TRAVEL EXPENSES - AIRFARE</v>
          </cell>
          <cell r="E132">
            <v>0</v>
          </cell>
          <cell r="F132">
            <v>0</v>
          </cell>
          <cell r="G132">
            <v>1030</v>
          </cell>
          <cell r="H132">
            <v>0</v>
          </cell>
          <cell r="I132">
            <v>0</v>
          </cell>
          <cell r="J132">
            <v>0</v>
          </cell>
          <cell r="K132">
            <v>0</v>
          </cell>
          <cell r="L132">
            <v>393</v>
          </cell>
          <cell r="M132">
            <v>0</v>
          </cell>
          <cell r="N132">
            <v>0</v>
          </cell>
          <cell r="O132">
            <v>0</v>
          </cell>
          <cell r="P132">
            <v>0</v>
          </cell>
          <cell r="Q132">
            <v>1423</v>
          </cell>
        </row>
        <row r="133">
          <cell r="A133" t="str">
            <v>US22MZA1503911100041</v>
          </cell>
          <cell r="B133" t="str">
            <v>US22MZA150</v>
          </cell>
          <cell r="C133">
            <v>3911100041</v>
          </cell>
          <cell r="D133" t="str">
            <v>TRAVEL EXPENSES - ENTERTAINMENT</v>
          </cell>
          <cell r="E133">
            <v>0</v>
          </cell>
          <cell r="F133">
            <v>107</v>
          </cell>
          <cell r="G133">
            <v>0</v>
          </cell>
          <cell r="H133">
            <v>0</v>
          </cell>
          <cell r="I133">
            <v>46</v>
          </cell>
          <cell r="J133">
            <v>0</v>
          </cell>
          <cell r="K133">
            <v>0</v>
          </cell>
          <cell r="L133">
            <v>0</v>
          </cell>
          <cell r="M133">
            <v>582</v>
          </cell>
          <cell r="N133">
            <v>272</v>
          </cell>
          <cell r="O133">
            <v>0</v>
          </cell>
          <cell r="P133">
            <v>126</v>
          </cell>
          <cell r="Q133">
            <v>1133</v>
          </cell>
        </row>
        <row r="134">
          <cell r="A134" t="str">
            <v>US35MZA1503911100041</v>
          </cell>
          <cell r="B134" t="str">
            <v>US35MZA150</v>
          </cell>
          <cell r="C134">
            <v>3911100041</v>
          </cell>
          <cell r="D134" t="str">
            <v>TRAVEL EXPENSES - ENTERTAINMENT</v>
          </cell>
          <cell r="E134">
            <v>2236</v>
          </cell>
          <cell r="F134">
            <v>0</v>
          </cell>
          <cell r="G134">
            <v>0</v>
          </cell>
          <cell r="H134">
            <v>0</v>
          </cell>
          <cell r="I134">
            <v>0</v>
          </cell>
          <cell r="J134">
            <v>0</v>
          </cell>
          <cell r="K134">
            <v>174</v>
          </cell>
          <cell r="L134">
            <v>0</v>
          </cell>
          <cell r="M134">
            <v>0</v>
          </cell>
          <cell r="N134">
            <v>0</v>
          </cell>
          <cell r="O134">
            <v>166</v>
          </cell>
          <cell r="P134">
            <v>0</v>
          </cell>
          <cell r="Q134">
            <v>2576</v>
          </cell>
        </row>
        <row r="135">
          <cell r="A135" t="str">
            <v>US59MZA1503911100041</v>
          </cell>
          <cell r="B135" t="str">
            <v>US59MZA150</v>
          </cell>
          <cell r="C135">
            <v>3911100041</v>
          </cell>
          <cell r="D135" t="str">
            <v>TRAVEL EXPENSES - ENTERTAINMENT</v>
          </cell>
          <cell r="E135">
            <v>0</v>
          </cell>
          <cell r="F135">
            <v>0</v>
          </cell>
          <cell r="G135">
            <v>9</v>
          </cell>
          <cell r="H135">
            <v>0</v>
          </cell>
          <cell r="I135">
            <v>0</v>
          </cell>
          <cell r="J135">
            <v>0</v>
          </cell>
          <cell r="K135">
            <v>0</v>
          </cell>
          <cell r="L135">
            <v>25</v>
          </cell>
          <cell r="M135">
            <v>0</v>
          </cell>
          <cell r="N135">
            <v>27</v>
          </cell>
          <cell r="O135">
            <v>16</v>
          </cell>
          <cell r="P135">
            <v>-16</v>
          </cell>
          <cell r="Q135">
            <v>61</v>
          </cell>
        </row>
        <row r="136">
          <cell r="A136" t="str">
            <v>US22MZA1503911200001</v>
          </cell>
          <cell r="B136" t="str">
            <v>US22MZA150</v>
          </cell>
          <cell r="C136">
            <v>3911200001</v>
          </cell>
          <cell r="D136" t="str">
            <v>SYMPOSIUMS, CONFERENCES, MEETINGS</v>
          </cell>
          <cell r="E136">
            <v>0</v>
          </cell>
          <cell r="F136">
            <v>0</v>
          </cell>
          <cell r="G136">
            <v>21</v>
          </cell>
          <cell r="H136">
            <v>124</v>
          </cell>
          <cell r="I136">
            <v>45</v>
          </cell>
          <cell r="J136">
            <v>562</v>
          </cell>
          <cell r="K136">
            <v>0</v>
          </cell>
          <cell r="L136">
            <v>0</v>
          </cell>
          <cell r="M136">
            <v>0</v>
          </cell>
          <cell r="N136">
            <v>0</v>
          </cell>
          <cell r="O136">
            <v>0</v>
          </cell>
          <cell r="P136">
            <v>0</v>
          </cell>
          <cell r="Q136">
            <v>752</v>
          </cell>
        </row>
        <row r="137">
          <cell r="A137" t="str">
            <v>US28MZA1503911200001</v>
          </cell>
          <cell r="B137" t="str">
            <v>US28MZA150</v>
          </cell>
          <cell r="C137">
            <v>3911200001</v>
          </cell>
          <cell r="D137" t="str">
            <v>SYMPOSIUMS, CONFERENCES, MEETINGS</v>
          </cell>
          <cell r="E137">
            <v>0</v>
          </cell>
          <cell r="F137">
            <v>0</v>
          </cell>
          <cell r="G137">
            <v>0</v>
          </cell>
          <cell r="H137">
            <v>167</v>
          </cell>
          <cell r="I137">
            <v>0</v>
          </cell>
          <cell r="J137">
            <v>114</v>
          </cell>
          <cell r="K137">
            <v>0</v>
          </cell>
          <cell r="L137">
            <v>0</v>
          </cell>
          <cell r="M137">
            <v>0</v>
          </cell>
          <cell r="N137">
            <v>0</v>
          </cell>
          <cell r="O137">
            <v>427</v>
          </cell>
          <cell r="P137">
            <v>0</v>
          </cell>
          <cell r="Q137">
            <v>708</v>
          </cell>
        </row>
        <row r="138">
          <cell r="A138" t="str">
            <v>US35MZA1503911200001</v>
          </cell>
          <cell r="B138" t="str">
            <v>US35MZA150</v>
          </cell>
          <cell r="C138">
            <v>3911200001</v>
          </cell>
          <cell r="D138" t="str">
            <v>SYMPOSIUMS, CONFERENCES, MEETINGS</v>
          </cell>
          <cell r="E138">
            <v>0</v>
          </cell>
          <cell r="F138">
            <v>49</v>
          </cell>
          <cell r="G138">
            <v>370</v>
          </cell>
          <cell r="H138">
            <v>16</v>
          </cell>
          <cell r="I138">
            <v>37</v>
          </cell>
          <cell r="J138">
            <v>0</v>
          </cell>
          <cell r="K138">
            <v>7</v>
          </cell>
          <cell r="L138">
            <v>69</v>
          </cell>
          <cell r="M138">
            <v>0</v>
          </cell>
          <cell r="N138">
            <v>67</v>
          </cell>
          <cell r="O138">
            <v>0</v>
          </cell>
          <cell r="P138">
            <v>0</v>
          </cell>
          <cell r="Q138">
            <v>615</v>
          </cell>
        </row>
        <row r="139">
          <cell r="A139" t="str">
            <v>US59MZA1503911200001</v>
          </cell>
          <cell r="B139" t="str">
            <v>US59MZA150</v>
          </cell>
          <cell r="C139">
            <v>3911200001</v>
          </cell>
          <cell r="D139" t="str">
            <v>SYMPOSIUMS, CONFERENCES, MEETINGS</v>
          </cell>
          <cell r="E139">
            <v>0</v>
          </cell>
          <cell r="F139">
            <v>4</v>
          </cell>
          <cell r="G139">
            <v>0</v>
          </cell>
          <cell r="H139">
            <v>47</v>
          </cell>
          <cell r="I139">
            <v>130</v>
          </cell>
          <cell r="J139">
            <v>0</v>
          </cell>
          <cell r="K139">
            <v>0</v>
          </cell>
          <cell r="L139">
            <v>0</v>
          </cell>
          <cell r="M139">
            <v>74</v>
          </cell>
          <cell r="N139">
            <v>38</v>
          </cell>
          <cell r="O139">
            <v>535</v>
          </cell>
          <cell r="P139">
            <v>0</v>
          </cell>
          <cell r="Q139">
            <v>828</v>
          </cell>
        </row>
        <row r="140">
          <cell r="A140" t="str">
            <v>USCRMZA1503911200001</v>
          </cell>
          <cell r="B140" t="str">
            <v>USCRMZA150</v>
          </cell>
          <cell r="C140">
            <v>3911200001</v>
          </cell>
          <cell r="D140" t="str">
            <v>SYMPOSIUMS, CONFERENCES, MEETINGS</v>
          </cell>
          <cell r="E140">
            <v>0</v>
          </cell>
          <cell r="F140">
            <v>0</v>
          </cell>
          <cell r="G140">
            <v>0</v>
          </cell>
          <cell r="H140">
            <v>0</v>
          </cell>
          <cell r="I140">
            <v>0</v>
          </cell>
          <cell r="J140">
            <v>38</v>
          </cell>
          <cell r="K140">
            <v>10</v>
          </cell>
          <cell r="L140">
            <v>38</v>
          </cell>
          <cell r="M140">
            <v>35</v>
          </cell>
          <cell r="N140">
            <v>8</v>
          </cell>
          <cell r="O140">
            <v>0</v>
          </cell>
          <cell r="P140">
            <v>0</v>
          </cell>
          <cell r="Q140">
            <v>129</v>
          </cell>
        </row>
        <row r="141">
          <cell r="A141" t="str">
            <v>US22MZA1503921100000</v>
          </cell>
          <cell r="B141" t="str">
            <v>US22MZA150</v>
          </cell>
          <cell r="C141">
            <v>3921100000</v>
          </cell>
          <cell r="D141" t="str">
            <v>UTILITIES EXPENSES WATER</v>
          </cell>
          <cell r="E141">
            <v>52</v>
          </cell>
          <cell r="F141">
            <v>0</v>
          </cell>
          <cell r="G141">
            <v>144</v>
          </cell>
          <cell r="H141">
            <v>71</v>
          </cell>
          <cell r="I141">
            <v>66</v>
          </cell>
          <cell r="J141">
            <v>60</v>
          </cell>
          <cell r="K141">
            <v>0</v>
          </cell>
          <cell r="L141">
            <v>0</v>
          </cell>
          <cell r="M141">
            <v>0</v>
          </cell>
          <cell r="N141">
            <v>0</v>
          </cell>
          <cell r="O141">
            <v>0</v>
          </cell>
          <cell r="P141">
            <v>0</v>
          </cell>
          <cell r="Q141">
            <v>393</v>
          </cell>
        </row>
        <row r="142">
          <cell r="A142" t="str">
            <v>US35MZA1503921100000</v>
          </cell>
          <cell r="B142" t="str">
            <v>US35MZA150</v>
          </cell>
          <cell r="C142">
            <v>3921100000</v>
          </cell>
          <cell r="D142" t="str">
            <v>UTILITIES EXPENSES WATER</v>
          </cell>
          <cell r="E142">
            <v>384</v>
          </cell>
          <cell r="F142">
            <v>198</v>
          </cell>
          <cell r="G142">
            <v>198</v>
          </cell>
          <cell r="H142">
            <v>207</v>
          </cell>
          <cell r="I142">
            <v>210</v>
          </cell>
          <cell r="J142">
            <v>202</v>
          </cell>
          <cell r="K142">
            <v>202</v>
          </cell>
          <cell r="L142">
            <v>202</v>
          </cell>
          <cell r="M142">
            <v>200</v>
          </cell>
          <cell r="N142">
            <v>220</v>
          </cell>
          <cell r="O142">
            <v>200</v>
          </cell>
          <cell r="P142">
            <v>200</v>
          </cell>
          <cell r="Q142">
            <v>2623</v>
          </cell>
        </row>
        <row r="143">
          <cell r="A143" t="str">
            <v>USCRMZA1503921100000</v>
          </cell>
          <cell r="B143" t="str">
            <v>USCRMZA150</v>
          </cell>
          <cell r="C143">
            <v>3921100000</v>
          </cell>
          <cell r="D143" t="str">
            <v>UTILITIES EXPENSES WATER</v>
          </cell>
          <cell r="E143">
            <v>30</v>
          </cell>
          <cell r="F143">
            <v>30</v>
          </cell>
          <cell r="G143">
            <v>0</v>
          </cell>
          <cell r="H143">
            <v>10</v>
          </cell>
          <cell r="I143">
            <v>0</v>
          </cell>
          <cell r="J143">
            <v>0</v>
          </cell>
          <cell r="K143">
            <v>0</v>
          </cell>
          <cell r="L143">
            <v>0</v>
          </cell>
          <cell r="M143">
            <v>0</v>
          </cell>
          <cell r="N143">
            <v>0</v>
          </cell>
          <cell r="O143">
            <v>0</v>
          </cell>
          <cell r="P143">
            <v>0</v>
          </cell>
          <cell r="Q143">
            <v>70</v>
          </cell>
        </row>
        <row r="144">
          <cell r="A144" t="str">
            <v>US22MZA1503921100001</v>
          </cell>
          <cell r="B144" t="str">
            <v>US22MZA150</v>
          </cell>
          <cell r="C144">
            <v>3921100001</v>
          </cell>
          <cell r="D144" t="str">
            <v>UTILITY EXPENSES ELECTRICITY</v>
          </cell>
          <cell r="E144">
            <v>0</v>
          </cell>
          <cell r="F144">
            <v>0</v>
          </cell>
          <cell r="G144">
            <v>0</v>
          </cell>
          <cell r="H144">
            <v>0</v>
          </cell>
          <cell r="I144">
            <v>0</v>
          </cell>
          <cell r="J144">
            <v>43</v>
          </cell>
          <cell r="K144">
            <v>0</v>
          </cell>
          <cell r="L144">
            <v>0</v>
          </cell>
          <cell r="M144">
            <v>0</v>
          </cell>
          <cell r="N144">
            <v>0</v>
          </cell>
          <cell r="O144">
            <v>0</v>
          </cell>
          <cell r="P144">
            <v>0</v>
          </cell>
          <cell r="Q144">
            <v>43</v>
          </cell>
        </row>
        <row r="145">
          <cell r="A145" t="str">
            <v>US28MZA1503921100001</v>
          </cell>
          <cell r="B145" t="str">
            <v>US28MZA150</v>
          </cell>
          <cell r="C145">
            <v>3921100001</v>
          </cell>
          <cell r="D145" t="str">
            <v>UTILITY EXPENSES ELECTRICITY</v>
          </cell>
          <cell r="E145">
            <v>1329</v>
          </cell>
          <cell r="F145">
            <v>1416</v>
          </cell>
          <cell r="G145">
            <v>1629</v>
          </cell>
          <cell r="H145">
            <v>1559</v>
          </cell>
          <cell r="I145">
            <v>1558</v>
          </cell>
          <cell r="J145">
            <v>2134</v>
          </cell>
          <cell r="K145">
            <v>6193</v>
          </cell>
          <cell r="L145">
            <v>17</v>
          </cell>
          <cell r="M145">
            <v>4830</v>
          </cell>
          <cell r="N145">
            <v>3222</v>
          </cell>
          <cell r="O145">
            <v>3452</v>
          </cell>
          <cell r="P145">
            <v>1286</v>
          </cell>
          <cell r="Q145">
            <v>28625</v>
          </cell>
        </row>
        <row r="146">
          <cell r="A146" t="str">
            <v>US35MZA1503921100001</v>
          </cell>
          <cell r="B146" t="str">
            <v>US35MZA150</v>
          </cell>
          <cell r="C146">
            <v>3921100001</v>
          </cell>
          <cell r="D146" t="str">
            <v>UTILITY EXPENSES ELECTRICITY</v>
          </cell>
          <cell r="E146">
            <v>653</v>
          </cell>
          <cell r="F146">
            <v>842</v>
          </cell>
          <cell r="G146">
            <v>6479</v>
          </cell>
          <cell r="H146">
            <v>713</v>
          </cell>
          <cell r="I146">
            <v>0</v>
          </cell>
          <cell r="J146">
            <v>0</v>
          </cell>
          <cell r="K146">
            <v>0</v>
          </cell>
          <cell r="L146">
            <v>0</v>
          </cell>
          <cell r="M146">
            <v>0</v>
          </cell>
          <cell r="N146">
            <v>270</v>
          </cell>
          <cell r="O146">
            <v>194</v>
          </cell>
          <cell r="P146">
            <v>1142</v>
          </cell>
          <cell r="Q146">
            <v>10293</v>
          </cell>
        </row>
        <row r="147">
          <cell r="A147" t="str">
            <v>US59MZA1503921100001</v>
          </cell>
          <cell r="B147" t="str">
            <v>US59MZA150</v>
          </cell>
          <cell r="C147">
            <v>3921100001</v>
          </cell>
          <cell r="D147" t="str">
            <v>UTILITY EXPENSES ELECTRICITY</v>
          </cell>
          <cell r="E147">
            <v>0</v>
          </cell>
          <cell r="F147">
            <v>0</v>
          </cell>
          <cell r="G147">
            <v>0</v>
          </cell>
          <cell r="H147">
            <v>0</v>
          </cell>
          <cell r="I147">
            <v>0</v>
          </cell>
          <cell r="J147">
            <v>0</v>
          </cell>
          <cell r="K147">
            <v>0</v>
          </cell>
          <cell r="L147">
            <v>202</v>
          </cell>
          <cell r="M147">
            <v>0</v>
          </cell>
          <cell r="N147">
            <v>0</v>
          </cell>
          <cell r="O147">
            <v>0</v>
          </cell>
          <cell r="P147">
            <v>611</v>
          </cell>
          <cell r="Q147">
            <v>813</v>
          </cell>
        </row>
        <row r="148">
          <cell r="A148" t="str">
            <v>USCOMZA1503921100001</v>
          </cell>
          <cell r="B148" t="str">
            <v>USCOMZA150</v>
          </cell>
          <cell r="C148">
            <v>3921100001</v>
          </cell>
          <cell r="D148" t="str">
            <v>UTILITY EXPENSES ELECTRICITY</v>
          </cell>
          <cell r="E148">
            <v>290</v>
          </cell>
          <cell r="F148">
            <v>783</v>
          </cell>
          <cell r="G148">
            <v>0</v>
          </cell>
          <cell r="H148">
            <v>0</v>
          </cell>
          <cell r="I148">
            <v>0</v>
          </cell>
          <cell r="J148">
            <v>0</v>
          </cell>
          <cell r="K148">
            <v>0</v>
          </cell>
          <cell r="L148">
            <v>0</v>
          </cell>
          <cell r="M148">
            <v>0</v>
          </cell>
          <cell r="N148">
            <v>0</v>
          </cell>
          <cell r="O148">
            <v>0</v>
          </cell>
          <cell r="P148">
            <v>0</v>
          </cell>
          <cell r="Q148">
            <v>1073</v>
          </cell>
        </row>
        <row r="149">
          <cell r="A149" t="str">
            <v>USSTMZA1503921100001</v>
          </cell>
          <cell r="B149" t="str">
            <v>USSTMZA150</v>
          </cell>
          <cell r="C149">
            <v>3921100001</v>
          </cell>
          <cell r="D149" t="str">
            <v>UTILITY EXPENSES ELECTRICITY</v>
          </cell>
          <cell r="E149">
            <v>787</v>
          </cell>
          <cell r="F149">
            <v>0</v>
          </cell>
          <cell r="G149">
            <v>0</v>
          </cell>
          <cell r="H149">
            <v>0</v>
          </cell>
          <cell r="I149">
            <v>0</v>
          </cell>
          <cell r="J149">
            <v>246</v>
          </cell>
          <cell r="K149">
            <v>395</v>
          </cell>
          <cell r="L149">
            <v>0</v>
          </cell>
          <cell r="M149">
            <v>0</v>
          </cell>
          <cell r="N149">
            <v>0</v>
          </cell>
          <cell r="O149">
            <v>0</v>
          </cell>
          <cell r="P149">
            <v>0</v>
          </cell>
          <cell r="Q149">
            <v>1428</v>
          </cell>
        </row>
        <row r="150">
          <cell r="A150" t="str">
            <v>US22MZA1503921200001</v>
          </cell>
          <cell r="B150" t="str">
            <v>US22MZA150</v>
          </cell>
          <cell r="C150">
            <v>3921200001</v>
          </cell>
          <cell r="D150" t="str">
            <v>FUEL</v>
          </cell>
          <cell r="E150">
            <v>3239</v>
          </cell>
          <cell r="F150">
            <v>3844</v>
          </cell>
          <cell r="G150">
            <v>5399</v>
          </cell>
          <cell r="H150">
            <v>2589</v>
          </cell>
          <cell r="I150">
            <v>1571</v>
          </cell>
          <cell r="J150">
            <v>1141</v>
          </cell>
          <cell r="K150">
            <v>1798</v>
          </cell>
          <cell r="L150">
            <v>1094</v>
          </cell>
          <cell r="M150">
            <v>916</v>
          </cell>
          <cell r="N150">
            <v>1317</v>
          </cell>
          <cell r="O150">
            <v>1234</v>
          </cell>
          <cell r="P150">
            <v>1442</v>
          </cell>
          <cell r="Q150">
            <v>25584</v>
          </cell>
        </row>
        <row r="151">
          <cell r="A151" t="str">
            <v>US28MZA1503921200001</v>
          </cell>
          <cell r="B151" t="str">
            <v>US28MZA150</v>
          </cell>
          <cell r="C151">
            <v>3921200001</v>
          </cell>
          <cell r="D151" t="str">
            <v>FUEL</v>
          </cell>
          <cell r="E151">
            <v>2229</v>
          </cell>
          <cell r="F151">
            <v>3057</v>
          </cell>
          <cell r="G151">
            <v>1702</v>
          </cell>
          <cell r="H151">
            <v>1538</v>
          </cell>
          <cell r="I151">
            <v>2329</v>
          </cell>
          <cell r="J151">
            <v>344</v>
          </cell>
          <cell r="K151">
            <v>344</v>
          </cell>
          <cell r="L151">
            <v>359</v>
          </cell>
          <cell r="M151">
            <v>268</v>
          </cell>
          <cell r="N151">
            <v>809</v>
          </cell>
          <cell r="O151">
            <v>676</v>
          </cell>
          <cell r="P151">
            <v>850</v>
          </cell>
          <cell r="Q151">
            <v>14505</v>
          </cell>
        </row>
        <row r="152">
          <cell r="A152" t="str">
            <v>US35MZA1503921200001</v>
          </cell>
          <cell r="B152" t="str">
            <v>US35MZA150</v>
          </cell>
          <cell r="C152">
            <v>3921200001</v>
          </cell>
          <cell r="D152" t="str">
            <v>FUEL</v>
          </cell>
          <cell r="E152">
            <v>3968</v>
          </cell>
          <cell r="F152">
            <v>6266</v>
          </cell>
          <cell r="G152">
            <v>181</v>
          </cell>
          <cell r="H152">
            <v>5981</v>
          </cell>
          <cell r="I152">
            <v>7598</v>
          </cell>
          <cell r="J152">
            <v>708</v>
          </cell>
          <cell r="K152">
            <v>3106</v>
          </cell>
          <cell r="L152">
            <v>2387</v>
          </cell>
          <cell r="M152">
            <v>2571</v>
          </cell>
          <cell r="N152">
            <v>3158</v>
          </cell>
          <cell r="O152">
            <v>3317</v>
          </cell>
          <cell r="P152">
            <v>2501</v>
          </cell>
          <cell r="Q152">
            <v>41742</v>
          </cell>
        </row>
        <row r="153">
          <cell r="A153" t="str">
            <v>US59MZA1503921200001</v>
          </cell>
          <cell r="B153" t="str">
            <v>US59MZA150</v>
          </cell>
          <cell r="C153">
            <v>3921200001</v>
          </cell>
          <cell r="D153" t="str">
            <v>FUEL</v>
          </cell>
          <cell r="E153">
            <v>0</v>
          </cell>
          <cell r="F153">
            <v>1533</v>
          </cell>
          <cell r="G153">
            <v>0</v>
          </cell>
          <cell r="H153">
            <v>0</v>
          </cell>
          <cell r="I153">
            <v>0</v>
          </cell>
          <cell r="J153">
            <v>0</v>
          </cell>
          <cell r="K153">
            <v>-124</v>
          </cell>
          <cell r="L153">
            <v>0</v>
          </cell>
          <cell r="M153">
            <v>0</v>
          </cell>
          <cell r="N153">
            <v>130</v>
          </cell>
          <cell r="O153">
            <v>0</v>
          </cell>
          <cell r="P153">
            <v>1334</v>
          </cell>
          <cell r="Q153">
            <v>2873</v>
          </cell>
        </row>
        <row r="154">
          <cell r="A154" t="str">
            <v>USCOMZA1503921200001</v>
          </cell>
          <cell r="B154" t="str">
            <v>USCOMZA150</v>
          </cell>
          <cell r="C154">
            <v>3921200001</v>
          </cell>
          <cell r="D154" t="str">
            <v>FUEL</v>
          </cell>
          <cell r="E154">
            <v>6786</v>
          </cell>
          <cell r="F154">
            <v>0</v>
          </cell>
          <cell r="G154">
            <v>0</v>
          </cell>
          <cell r="H154">
            <v>0</v>
          </cell>
          <cell r="I154">
            <v>0</v>
          </cell>
          <cell r="J154">
            <v>0</v>
          </cell>
          <cell r="K154">
            <v>0</v>
          </cell>
          <cell r="L154">
            <v>0</v>
          </cell>
          <cell r="M154">
            <v>0</v>
          </cell>
          <cell r="N154">
            <v>0</v>
          </cell>
          <cell r="O154">
            <v>0</v>
          </cell>
          <cell r="P154">
            <v>0</v>
          </cell>
          <cell r="Q154">
            <v>6786</v>
          </cell>
        </row>
        <row r="155">
          <cell r="A155" t="str">
            <v>USCRMZA1503921200001</v>
          </cell>
          <cell r="B155" t="str">
            <v>USCRMZA150</v>
          </cell>
          <cell r="C155">
            <v>3921200001</v>
          </cell>
          <cell r="D155" t="str">
            <v>FUEL</v>
          </cell>
          <cell r="E155">
            <v>2936</v>
          </cell>
          <cell r="F155">
            <v>5691</v>
          </cell>
          <cell r="G155">
            <v>4679</v>
          </cell>
          <cell r="H155">
            <v>2440</v>
          </cell>
          <cell r="I155">
            <v>2332</v>
          </cell>
          <cell r="J155">
            <v>710</v>
          </cell>
          <cell r="K155">
            <v>1697</v>
          </cell>
          <cell r="L155">
            <v>2297</v>
          </cell>
          <cell r="M155">
            <v>2821</v>
          </cell>
          <cell r="N155">
            <v>590</v>
          </cell>
          <cell r="O155">
            <v>3113</v>
          </cell>
          <cell r="P155">
            <v>5083</v>
          </cell>
          <cell r="Q155">
            <v>34389</v>
          </cell>
        </row>
        <row r="156">
          <cell r="A156" t="str">
            <v>USWOMZA1503921200001</v>
          </cell>
          <cell r="B156" t="str">
            <v>USWOMZA150</v>
          </cell>
          <cell r="C156">
            <v>3921200001</v>
          </cell>
          <cell r="D156" t="str">
            <v>FUEL</v>
          </cell>
          <cell r="E156">
            <v>689</v>
          </cell>
          <cell r="F156">
            <v>1736</v>
          </cell>
          <cell r="G156">
            <v>0</v>
          </cell>
          <cell r="H156">
            <v>3967</v>
          </cell>
          <cell r="I156">
            <v>273</v>
          </cell>
          <cell r="J156">
            <v>1585</v>
          </cell>
          <cell r="K156">
            <v>105</v>
          </cell>
          <cell r="L156">
            <v>0</v>
          </cell>
          <cell r="M156">
            <v>0</v>
          </cell>
          <cell r="N156">
            <v>0</v>
          </cell>
          <cell r="O156">
            <v>0</v>
          </cell>
          <cell r="P156">
            <v>454</v>
          </cell>
          <cell r="Q156">
            <v>8809</v>
          </cell>
        </row>
        <row r="157">
          <cell r="A157" t="str">
            <v>US22MZA1503921200003</v>
          </cell>
          <cell r="B157" t="str">
            <v>US22MZA150</v>
          </cell>
          <cell r="C157">
            <v>3921200003</v>
          </cell>
          <cell r="D157" t="str">
            <v>GAS</v>
          </cell>
          <cell r="E157">
            <v>0</v>
          </cell>
          <cell r="F157">
            <v>4549</v>
          </cell>
          <cell r="G157">
            <v>7286</v>
          </cell>
          <cell r="H157">
            <v>7652</v>
          </cell>
          <cell r="I157">
            <v>11212</v>
          </cell>
          <cell r="J157">
            <v>17874</v>
          </cell>
          <cell r="K157">
            <v>0</v>
          </cell>
          <cell r="L157">
            <v>3612</v>
          </cell>
          <cell r="M157">
            <v>1761</v>
          </cell>
          <cell r="N157">
            <v>3343</v>
          </cell>
          <cell r="O157">
            <v>6121</v>
          </cell>
          <cell r="P157">
            <v>3842</v>
          </cell>
          <cell r="Q157">
            <v>67252</v>
          </cell>
        </row>
        <row r="158">
          <cell r="A158" t="str">
            <v>US28MZA1503921200003</v>
          </cell>
          <cell r="B158" t="str">
            <v>US28MZA150</v>
          </cell>
          <cell r="C158">
            <v>3921200003</v>
          </cell>
          <cell r="D158" t="str">
            <v>GAS</v>
          </cell>
          <cell r="E158">
            <v>0</v>
          </cell>
          <cell r="F158">
            <v>754</v>
          </cell>
          <cell r="G158">
            <v>1342</v>
          </cell>
          <cell r="H158">
            <v>1958</v>
          </cell>
          <cell r="I158">
            <v>2965</v>
          </cell>
          <cell r="J158">
            <v>4075</v>
          </cell>
          <cell r="K158">
            <v>0</v>
          </cell>
          <cell r="L158">
            <v>696</v>
          </cell>
          <cell r="M158">
            <v>794</v>
          </cell>
          <cell r="N158">
            <v>349</v>
          </cell>
          <cell r="O158">
            <v>899</v>
          </cell>
          <cell r="P158">
            <v>1117</v>
          </cell>
          <cell r="Q158">
            <v>14949</v>
          </cell>
        </row>
        <row r="159">
          <cell r="A159" t="str">
            <v>US35MZA1503921200003</v>
          </cell>
          <cell r="B159" t="str">
            <v>US35MZA150</v>
          </cell>
          <cell r="C159">
            <v>3921200003</v>
          </cell>
          <cell r="D159" t="str">
            <v>GAS</v>
          </cell>
          <cell r="E159">
            <v>0</v>
          </cell>
          <cell r="F159">
            <v>0</v>
          </cell>
          <cell r="G159">
            <v>0</v>
          </cell>
          <cell r="H159">
            <v>0</v>
          </cell>
          <cell r="I159">
            <v>126</v>
          </cell>
          <cell r="J159">
            <v>4645</v>
          </cell>
          <cell r="K159">
            <v>0</v>
          </cell>
          <cell r="L159">
            <v>722</v>
          </cell>
          <cell r="M159">
            <v>641</v>
          </cell>
          <cell r="N159">
            <v>641</v>
          </cell>
          <cell r="O159">
            <v>638</v>
          </cell>
          <cell r="P159">
            <v>237</v>
          </cell>
          <cell r="Q159">
            <v>7650</v>
          </cell>
        </row>
        <row r="160">
          <cell r="A160" t="str">
            <v>US59MZA1503921200003</v>
          </cell>
          <cell r="B160" t="str">
            <v>US59MZA150</v>
          </cell>
          <cell r="C160">
            <v>3921200003</v>
          </cell>
          <cell r="D160" t="str">
            <v>GAS</v>
          </cell>
          <cell r="E160">
            <v>1064</v>
          </cell>
          <cell r="F160">
            <v>6367</v>
          </cell>
          <cell r="G160">
            <v>8173</v>
          </cell>
          <cell r="H160">
            <v>6848</v>
          </cell>
          <cell r="I160">
            <v>7633</v>
          </cell>
          <cell r="J160">
            <v>10403</v>
          </cell>
          <cell r="K160">
            <v>0</v>
          </cell>
          <cell r="L160">
            <v>2067</v>
          </cell>
          <cell r="M160">
            <v>656</v>
          </cell>
          <cell r="N160">
            <v>701</v>
          </cell>
          <cell r="O160">
            <v>3015</v>
          </cell>
          <cell r="P160">
            <v>179</v>
          </cell>
          <cell r="Q160">
            <v>47106</v>
          </cell>
        </row>
        <row r="161">
          <cell r="A161" t="str">
            <v>USCRMZA1503921200003</v>
          </cell>
          <cell r="B161" t="str">
            <v>USCRMZA150</v>
          </cell>
          <cell r="C161">
            <v>3921200003</v>
          </cell>
          <cell r="D161" t="str">
            <v>GAS</v>
          </cell>
          <cell r="E161">
            <v>0</v>
          </cell>
          <cell r="F161">
            <v>1726</v>
          </cell>
          <cell r="G161">
            <v>1680</v>
          </cell>
          <cell r="H161">
            <v>1035</v>
          </cell>
          <cell r="I161">
            <v>888</v>
          </cell>
          <cell r="J161">
            <v>4632</v>
          </cell>
          <cell r="K161">
            <v>0</v>
          </cell>
          <cell r="L161">
            <v>2667</v>
          </cell>
          <cell r="M161">
            <v>1467</v>
          </cell>
          <cell r="N161">
            <v>1768</v>
          </cell>
          <cell r="O161">
            <v>2470</v>
          </cell>
          <cell r="P161">
            <v>1424</v>
          </cell>
          <cell r="Q161">
            <v>19757</v>
          </cell>
        </row>
        <row r="162">
          <cell r="A162" t="str">
            <v>US22MZA1503921200006</v>
          </cell>
          <cell r="B162" t="str">
            <v>US22MZA150</v>
          </cell>
          <cell r="C162">
            <v>3921200006</v>
          </cell>
          <cell r="D162" t="str">
            <v>FACTORY SUPPLIES MAINTENANCE SUPPLIES</v>
          </cell>
          <cell r="E162">
            <v>1493</v>
          </cell>
          <cell r="F162">
            <v>5978</v>
          </cell>
          <cell r="G162">
            <v>365</v>
          </cell>
          <cell r="H162">
            <v>2798</v>
          </cell>
          <cell r="I162">
            <v>5091</v>
          </cell>
          <cell r="J162">
            <v>1090</v>
          </cell>
          <cell r="K162">
            <v>1029</v>
          </cell>
          <cell r="L162">
            <v>0</v>
          </cell>
          <cell r="M162">
            <v>-91</v>
          </cell>
          <cell r="N162">
            <v>703</v>
          </cell>
          <cell r="O162">
            <v>1146</v>
          </cell>
          <cell r="P162">
            <v>282</v>
          </cell>
          <cell r="Q162">
            <v>19884</v>
          </cell>
        </row>
        <row r="163">
          <cell r="A163" t="str">
            <v>US28MZA1503921200006</v>
          </cell>
          <cell r="B163" t="str">
            <v>US28MZA150</v>
          </cell>
          <cell r="C163">
            <v>3921200006</v>
          </cell>
          <cell r="D163" t="str">
            <v>FACTORY SUPPLIES MAINTENANCE SUPPLIES</v>
          </cell>
          <cell r="E163">
            <v>2888</v>
          </cell>
          <cell r="F163">
            <v>3674</v>
          </cell>
          <cell r="G163">
            <v>1215</v>
          </cell>
          <cell r="H163">
            <v>1224</v>
          </cell>
          <cell r="I163">
            <v>3823</v>
          </cell>
          <cell r="J163">
            <v>5262</v>
          </cell>
          <cell r="K163">
            <v>2815</v>
          </cell>
          <cell r="L163">
            <v>451</v>
          </cell>
          <cell r="M163">
            <v>359</v>
          </cell>
          <cell r="N163">
            <v>100</v>
          </cell>
          <cell r="O163">
            <v>2439</v>
          </cell>
          <cell r="P163">
            <v>1807</v>
          </cell>
          <cell r="Q163">
            <v>26057</v>
          </cell>
        </row>
        <row r="164">
          <cell r="A164" t="str">
            <v>US35MZA1503921200006</v>
          </cell>
          <cell r="B164" t="str">
            <v>US35MZA150</v>
          </cell>
          <cell r="C164">
            <v>3921200006</v>
          </cell>
          <cell r="D164" t="str">
            <v>FACTORY SUPPLIES MAINTENANCE SUPPLIES</v>
          </cell>
          <cell r="E164">
            <v>3566</v>
          </cell>
          <cell r="F164">
            <v>3019</v>
          </cell>
          <cell r="G164">
            <v>5271</v>
          </cell>
          <cell r="H164">
            <v>2837</v>
          </cell>
          <cell r="I164">
            <v>5324</v>
          </cell>
          <cell r="J164">
            <v>3595</v>
          </cell>
          <cell r="K164">
            <v>4455</v>
          </cell>
          <cell r="L164">
            <v>2310</v>
          </cell>
          <cell r="M164">
            <v>1524</v>
          </cell>
          <cell r="N164">
            <v>5256</v>
          </cell>
          <cell r="O164">
            <v>159</v>
          </cell>
          <cell r="P164">
            <v>1712</v>
          </cell>
          <cell r="Q164">
            <v>39028</v>
          </cell>
        </row>
        <row r="165">
          <cell r="A165" t="str">
            <v>US59MZA1503921200006</v>
          </cell>
          <cell r="B165" t="str">
            <v>US59MZA150</v>
          </cell>
          <cell r="C165">
            <v>3921200006</v>
          </cell>
          <cell r="D165" t="str">
            <v>FACTORY SUPPLIES MAINTENANCE SUPPLIES</v>
          </cell>
          <cell r="E165">
            <v>40</v>
          </cell>
          <cell r="F165">
            <v>118</v>
          </cell>
          <cell r="G165">
            <v>2768</v>
          </cell>
          <cell r="H165">
            <v>87</v>
          </cell>
          <cell r="I165">
            <v>0</v>
          </cell>
          <cell r="J165">
            <v>0</v>
          </cell>
          <cell r="K165">
            <v>0</v>
          </cell>
          <cell r="L165">
            <v>0</v>
          </cell>
          <cell r="M165">
            <v>268</v>
          </cell>
          <cell r="N165">
            <v>0</v>
          </cell>
          <cell r="O165">
            <v>0</v>
          </cell>
          <cell r="P165">
            <v>0</v>
          </cell>
          <cell r="Q165">
            <v>3281</v>
          </cell>
        </row>
        <row r="166">
          <cell r="A166" t="str">
            <v>USCRMZA1503921200006</v>
          </cell>
          <cell r="B166" t="str">
            <v>USCRMZA150</v>
          </cell>
          <cell r="C166">
            <v>3921200006</v>
          </cell>
          <cell r="D166" t="str">
            <v>FACTORY SUPPLIES MAINTENANCE SUPPLIES</v>
          </cell>
          <cell r="E166">
            <v>600</v>
          </cell>
          <cell r="F166">
            <v>3945</v>
          </cell>
          <cell r="G166">
            <v>21070</v>
          </cell>
          <cell r="H166">
            <v>1501</v>
          </cell>
          <cell r="I166">
            <v>3563</v>
          </cell>
          <cell r="J166">
            <v>5049</v>
          </cell>
          <cell r="K166">
            <v>18186</v>
          </cell>
          <cell r="L166">
            <v>-16928</v>
          </cell>
          <cell r="M166">
            <v>4287</v>
          </cell>
          <cell r="N166">
            <v>-16198</v>
          </cell>
          <cell r="O166">
            <v>2379</v>
          </cell>
          <cell r="P166">
            <v>1473</v>
          </cell>
          <cell r="Q166">
            <v>28927</v>
          </cell>
        </row>
        <row r="167">
          <cell r="A167" t="str">
            <v>USCRMZA1553921200006</v>
          </cell>
          <cell r="B167" t="str">
            <v>USCRMZA155</v>
          </cell>
          <cell r="C167">
            <v>3921200006</v>
          </cell>
          <cell r="D167" t="str">
            <v>FACTORY SUPPLIES MAINTENANCE SUPPLIES</v>
          </cell>
          <cell r="E167">
            <v>0</v>
          </cell>
          <cell r="F167">
            <v>0</v>
          </cell>
          <cell r="G167">
            <v>0</v>
          </cell>
          <cell r="H167">
            <v>0</v>
          </cell>
          <cell r="I167">
            <v>0</v>
          </cell>
          <cell r="J167">
            <v>0</v>
          </cell>
          <cell r="K167">
            <v>0</v>
          </cell>
          <cell r="L167">
            <v>0</v>
          </cell>
          <cell r="M167">
            <v>839</v>
          </cell>
          <cell r="N167">
            <v>0</v>
          </cell>
          <cell r="O167">
            <v>0</v>
          </cell>
          <cell r="P167">
            <v>0</v>
          </cell>
          <cell r="Q167">
            <v>839</v>
          </cell>
        </row>
        <row r="168">
          <cell r="A168" t="str">
            <v>USWOMZA1503921200006</v>
          </cell>
          <cell r="B168" t="str">
            <v>USWOMZA150</v>
          </cell>
          <cell r="C168">
            <v>3921200006</v>
          </cell>
          <cell r="D168" t="str">
            <v>FACTORY SUPPLIES MAINTENANCE SUPPLIES</v>
          </cell>
          <cell r="E168">
            <v>3856</v>
          </cell>
          <cell r="F168">
            <v>465</v>
          </cell>
          <cell r="G168">
            <v>1237</v>
          </cell>
          <cell r="H168">
            <v>3877</v>
          </cell>
          <cell r="I168">
            <v>757</v>
          </cell>
          <cell r="J168">
            <v>983</v>
          </cell>
          <cell r="K168">
            <v>0</v>
          </cell>
          <cell r="L168">
            <v>650</v>
          </cell>
          <cell r="M168">
            <v>144</v>
          </cell>
          <cell r="N168">
            <v>10</v>
          </cell>
          <cell r="O168">
            <v>750</v>
          </cell>
          <cell r="P168">
            <v>1162</v>
          </cell>
          <cell r="Q168">
            <v>13891</v>
          </cell>
        </row>
        <row r="169">
          <cell r="A169" t="str">
            <v>US22MZA1503921200010</v>
          </cell>
          <cell r="B169" t="str">
            <v>US22MZA150</v>
          </cell>
          <cell r="C169">
            <v>3921200010</v>
          </cell>
          <cell r="D169" t="str">
            <v>ADMINISTRATIVE SUPPLIES</v>
          </cell>
          <cell r="E169">
            <v>194</v>
          </cell>
          <cell r="F169">
            <v>253</v>
          </cell>
          <cell r="G169">
            <v>114</v>
          </cell>
          <cell r="H169">
            <v>6</v>
          </cell>
          <cell r="I169">
            <v>858</v>
          </cell>
          <cell r="J169">
            <v>-618</v>
          </cell>
          <cell r="K169">
            <v>341</v>
          </cell>
          <cell r="L169">
            <v>153</v>
          </cell>
          <cell r="M169">
            <v>873</v>
          </cell>
          <cell r="N169">
            <v>993</v>
          </cell>
          <cell r="O169">
            <v>3667</v>
          </cell>
          <cell r="P169">
            <v>768</v>
          </cell>
          <cell r="Q169">
            <v>7602</v>
          </cell>
        </row>
        <row r="170">
          <cell r="A170" t="str">
            <v>US28MZA1503921200010</v>
          </cell>
          <cell r="B170" t="str">
            <v>US28MZA150</v>
          </cell>
          <cell r="C170">
            <v>3921200010</v>
          </cell>
          <cell r="D170" t="str">
            <v>ADMINISTRATIVE SUPPLIES</v>
          </cell>
          <cell r="E170">
            <v>547</v>
          </cell>
          <cell r="F170">
            <v>14</v>
          </cell>
          <cell r="G170">
            <v>11</v>
          </cell>
          <cell r="H170">
            <v>516</v>
          </cell>
          <cell r="I170">
            <v>0</v>
          </cell>
          <cell r="J170">
            <v>48</v>
          </cell>
          <cell r="K170">
            <v>344</v>
          </cell>
          <cell r="L170">
            <v>0</v>
          </cell>
          <cell r="M170">
            <v>951</v>
          </cell>
          <cell r="N170">
            <v>58</v>
          </cell>
          <cell r="O170">
            <v>664</v>
          </cell>
          <cell r="P170">
            <v>878</v>
          </cell>
          <cell r="Q170">
            <v>4031</v>
          </cell>
        </row>
        <row r="171">
          <cell r="A171" t="str">
            <v>US35MZA1503921200010</v>
          </cell>
          <cell r="B171" t="str">
            <v>US35MZA150</v>
          </cell>
          <cell r="C171">
            <v>3921200010</v>
          </cell>
          <cell r="D171" t="str">
            <v>ADMINISTRATIVE SUPPLIES</v>
          </cell>
          <cell r="E171">
            <v>2770</v>
          </cell>
          <cell r="F171">
            <v>1001</v>
          </cell>
          <cell r="G171">
            <v>236</v>
          </cell>
          <cell r="H171">
            <v>667</v>
          </cell>
          <cell r="I171">
            <v>1826</v>
          </cell>
          <cell r="J171">
            <v>170</v>
          </cell>
          <cell r="K171">
            <v>904</v>
          </cell>
          <cell r="L171">
            <v>201</v>
          </cell>
          <cell r="M171">
            <v>1375</v>
          </cell>
          <cell r="N171">
            <v>7</v>
          </cell>
          <cell r="O171">
            <v>889</v>
          </cell>
          <cell r="P171">
            <v>373</v>
          </cell>
          <cell r="Q171">
            <v>10419</v>
          </cell>
        </row>
        <row r="172">
          <cell r="A172" t="str">
            <v>US59MZA1503921200010</v>
          </cell>
          <cell r="B172" t="str">
            <v>US59MZA150</v>
          </cell>
          <cell r="C172">
            <v>3921200010</v>
          </cell>
          <cell r="D172" t="str">
            <v>ADMINISTRATIVE SUPPLIES</v>
          </cell>
          <cell r="E172">
            <v>222</v>
          </cell>
          <cell r="F172">
            <v>215</v>
          </cell>
          <cell r="G172">
            <v>14</v>
          </cell>
          <cell r="H172">
            <v>435</v>
          </cell>
          <cell r="I172">
            <v>0</v>
          </cell>
          <cell r="J172">
            <v>37</v>
          </cell>
          <cell r="K172">
            <v>101</v>
          </cell>
          <cell r="L172">
            <v>15</v>
          </cell>
          <cell r="M172">
            <v>7</v>
          </cell>
          <cell r="N172">
            <v>0</v>
          </cell>
          <cell r="O172">
            <v>0</v>
          </cell>
          <cell r="P172">
            <v>185</v>
          </cell>
          <cell r="Q172">
            <v>1231</v>
          </cell>
        </row>
        <row r="173">
          <cell r="A173" t="str">
            <v>USCRMZA1503921200010</v>
          </cell>
          <cell r="B173" t="str">
            <v>USCRMZA150</v>
          </cell>
          <cell r="C173">
            <v>3921200010</v>
          </cell>
          <cell r="D173" t="str">
            <v>ADMINISTRATIVE SUPPLIES</v>
          </cell>
          <cell r="E173">
            <v>33</v>
          </cell>
          <cell r="F173">
            <v>93</v>
          </cell>
          <cell r="G173">
            <v>37</v>
          </cell>
          <cell r="H173">
            <v>20</v>
          </cell>
          <cell r="I173">
            <v>7</v>
          </cell>
          <cell r="J173">
            <v>42</v>
          </cell>
          <cell r="K173">
            <v>7</v>
          </cell>
          <cell r="L173">
            <v>0</v>
          </cell>
          <cell r="M173">
            <v>125</v>
          </cell>
          <cell r="N173">
            <v>440</v>
          </cell>
          <cell r="O173">
            <v>280</v>
          </cell>
          <cell r="P173">
            <v>62</v>
          </cell>
          <cell r="Q173">
            <v>1146</v>
          </cell>
        </row>
        <row r="174">
          <cell r="A174" t="str">
            <v>USWOMZA1503921200010</v>
          </cell>
          <cell r="B174" t="str">
            <v>USWOMZA150</v>
          </cell>
          <cell r="C174">
            <v>3921200010</v>
          </cell>
          <cell r="D174" t="str">
            <v>ADMINISTRATIVE SUPPLIES</v>
          </cell>
          <cell r="E174">
            <v>24</v>
          </cell>
          <cell r="F174">
            <v>16</v>
          </cell>
          <cell r="G174">
            <v>39</v>
          </cell>
          <cell r="H174">
            <v>45</v>
          </cell>
          <cell r="I174">
            <v>155</v>
          </cell>
          <cell r="J174">
            <v>59</v>
          </cell>
          <cell r="K174">
            <v>68</v>
          </cell>
          <cell r="L174">
            <v>0</v>
          </cell>
          <cell r="M174">
            <v>1118</v>
          </cell>
          <cell r="N174">
            <v>287</v>
          </cell>
          <cell r="O174">
            <v>657</v>
          </cell>
          <cell r="P174">
            <v>283</v>
          </cell>
          <cell r="Q174">
            <v>2751</v>
          </cell>
        </row>
        <row r="175">
          <cell r="A175" t="str">
            <v>USCRMZA1503921200023</v>
          </cell>
          <cell r="B175" t="str">
            <v>USCRMZA150</v>
          </cell>
          <cell r="C175">
            <v>3921200023</v>
          </cell>
          <cell r="D175" t="str">
            <v>CHEMICAL SUPPLIES</v>
          </cell>
          <cell r="E175">
            <v>0</v>
          </cell>
          <cell r="F175">
            <v>0</v>
          </cell>
          <cell r="G175">
            <v>0</v>
          </cell>
          <cell r="H175">
            <v>0</v>
          </cell>
          <cell r="I175">
            <v>0</v>
          </cell>
          <cell r="J175">
            <v>0</v>
          </cell>
          <cell r="K175">
            <v>0</v>
          </cell>
          <cell r="L175">
            <v>0</v>
          </cell>
          <cell r="M175">
            <v>0</v>
          </cell>
          <cell r="N175">
            <v>0</v>
          </cell>
          <cell r="O175">
            <v>157</v>
          </cell>
          <cell r="P175">
            <v>0</v>
          </cell>
          <cell r="Q175">
            <v>157</v>
          </cell>
        </row>
        <row r="176">
          <cell r="A176" t="str">
            <v>US22MZA1503921200026</v>
          </cell>
          <cell r="B176" t="str">
            <v>US22MZA150</v>
          </cell>
          <cell r="C176">
            <v>3921200026</v>
          </cell>
          <cell r="D176" t="str">
            <v>MISCELLANEOUS COSTS ON VEHICLES</v>
          </cell>
          <cell r="E176">
            <v>0</v>
          </cell>
          <cell r="F176">
            <v>0</v>
          </cell>
          <cell r="G176">
            <v>0</v>
          </cell>
          <cell r="H176">
            <v>0</v>
          </cell>
          <cell r="I176">
            <v>0</v>
          </cell>
          <cell r="J176">
            <v>0</v>
          </cell>
          <cell r="K176">
            <v>0</v>
          </cell>
          <cell r="L176">
            <v>0</v>
          </cell>
          <cell r="M176">
            <v>0</v>
          </cell>
          <cell r="N176">
            <v>0</v>
          </cell>
          <cell r="O176">
            <v>11</v>
          </cell>
          <cell r="P176">
            <v>160</v>
          </cell>
          <cell r="Q176">
            <v>171</v>
          </cell>
        </row>
        <row r="177">
          <cell r="A177" t="str">
            <v>US28MZA1503921200026</v>
          </cell>
          <cell r="B177" t="str">
            <v>US28MZA150</v>
          </cell>
          <cell r="C177">
            <v>3921200026</v>
          </cell>
          <cell r="D177" t="str">
            <v>MISCELLANEOUS COSTS ON VEHICLES</v>
          </cell>
          <cell r="E177">
            <v>0</v>
          </cell>
          <cell r="F177">
            <v>0</v>
          </cell>
          <cell r="G177">
            <v>0</v>
          </cell>
          <cell r="H177">
            <v>0</v>
          </cell>
          <cell r="I177">
            <v>0</v>
          </cell>
          <cell r="J177">
            <v>0</v>
          </cell>
          <cell r="K177">
            <v>0</v>
          </cell>
          <cell r="L177">
            <v>0</v>
          </cell>
          <cell r="M177">
            <v>0</v>
          </cell>
          <cell r="N177">
            <v>0</v>
          </cell>
          <cell r="O177">
            <v>11</v>
          </cell>
          <cell r="P177">
            <v>82</v>
          </cell>
          <cell r="Q177">
            <v>93</v>
          </cell>
        </row>
        <row r="178">
          <cell r="A178" t="str">
            <v>US35MZA1503921200026</v>
          </cell>
          <cell r="B178" t="str">
            <v>US35MZA150</v>
          </cell>
          <cell r="C178">
            <v>3921200026</v>
          </cell>
          <cell r="D178" t="str">
            <v>MISCELLANEOUS COSTS ON VEHICLES</v>
          </cell>
          <cell r="E178">
            <v>0</v>
          </cell>
          <cell r="F178">
            <v>0</v>
          </cell>
          <cell r="G178">
            <v>0</v>
          </cell>
          <cell r="H178">
            <v>0</v>
          </cell>
          <cell r="I178">
            <v>0</v>
          </cell>
          <cell r="J178">
            <v>0</v>
          </cell>
          <cell r="K178">
            <v>0</v>
          </cell>
          <cell r="L178">
            <v>0</v>
          </cell>
          <cell r="M178">
            <v>0</v>
          </cell>
          <cell r="N178">
            <v>0</v>
          </cell>
          <cell r="O178">
            <v>5</v>
          </cell>
          <cell r="P178">
            <v>5</v>
          </cell>
          <cell r="Q178">
            <v>10</v>
          </cell>
        </row>
        <row r="179">
          <cell r="A179" t="str">
            <v>US59MZA1503921200026</v>
          </cell>
          <cell r="B179" t="str">
            <v>US59MZA150</v>
          </cell>
          <cell r="C179">
            <v>3921200026</v>
          </cell>
          <cell r="D179" t="str">
            <v>MISCELLANEOUS COSTS ON VEHICLES</v>
          </cell>
          <cell r="E179">
            <v>0</v>
          </cell>
          <cell r="F179">
            <v>0</v>
          </cell>
          <cell r="G179">
            <v>0</v>
          </cell>
          <cell r="H179">
            <v>0</v>
          </cell>
          <cell r="I179">
            <v>0</v>
          </cell>
          <cell r="J179">
            <v>0</v>
          </cell>
          <cell r="K179">
            <v>0</v>
          </cell>
          <cell r="L179">
            <v>0</v>
          </cell>
          <cell r="M179">
            <v>13</v>
          </cell>
          <cell r="N179">
            <v>0</v>
          </cell>
          <cell r="O179">
            <v>852</v>
          </cell>
          <cell r="P179">
            <v>204</v>
          </cell>
          <cell r="Q179">
            <v>1069</v>
          </cell>
        </row>
        <row r="180">
          <cell r="A180" t="str">
            <v>USCRMZA1503921200026</v>
          </cell>
          <cell r="B180" t="str">
            <v>USCRMZA150</v>
          </cell>
          <cell r="C180">
            <v>3921200026</v>
          </cell>
          <cell r="D180" t="str">
            <v>MISCELLANEOUS COSTS ON VEHICLES</v>
          </cell>
          <cell r="E180">
            <v>0</v>
          </cell>
          <cell r="F180">
            <v>0</v>
          </cell>
          <cell r="G180">
            <v>0</v>
          </cell>
          <cell r="H180">
            <v>0</v>
          </cell>
          <cell r="I180">
            <v>0</v>
          </cell>
          <cell r="J180">
            <v>0</v>
          </cell>
          <cell r="K180">
            <v>0</v>
          </cell>
          <cell r="L180">
            <v>0</v>
          </cell>
          <cell r="M180">
            <v>0</v>
          </cell>
          <cell r="N180">
            <v>0</v>
          </cell>
          <cell r="O180">
            <v>586</v>
          </cell>
          <cell r="P180">
            <v>4253</v>
          </cell>
          <cell r="Q180">
            <v>4839</v>
          </cell>
        </row>
        <row r="181">
          <cell r="A181" t="str">
            <v>US22MZA1503921200037</v>
          </cell>
          <cell r="B181" t="str">
            <v>US22MZA150</v>
          </cell>
          <cell r="C181">
            <v>3921200037</v>
          </cell>
          <cell r="D181" t="str">
            <v>EXHAUSTIVE EQUIPMENT</v>
          </cell>
          <cell r="E181">
            <v>1183</v>
          </cell>
          <cell r="F181">
            <v>1870</v>
          </cell>
          <cell r="G181">
            <v>263</v>
          </cell>
          <cell r="H181">
            <v>1548</v>
          </cell>
          <cell r="I181">
            <v>9</v>
          </cell>
          <cell r="J181">
            <v>494</v>
          </cell>
          <cell r="K181">
            <v>524</v>
          </cell>
          <cell r="L181">
            <v>6</v>
          </cell>
          <cell r="M181">
            <v>250</v>
          </cell>
          <cell r="N181">
            <v>0</v>
          </cell>
          <cell r="O181">
            <v>0</v>
          </cell>
          <cell r="P181">
            <v>33</v>
          </cell>
          <cell r="Q181">
            <v>6180</v>
          </cell>
        </row>
        <row r="182">
          <cell r="A182" t="str">
            <v>US28MZA1503921200037</v>
          </cell>
          <cell r="B182" t="str">
            <v>US28MZA150</v>
          </cell>
          <cell r="C182">
            <v>3921200037</v>
          </cell>
          <cell r="D182" t="str">
            <v>EXHAUSTIVE EQUIPMENT</v>
          </cell>
          <cell r="E182">
            <v>0</v>
          </cell>
          <cell r="F182">
            <v>42</v>
          </cell>
          <cell r="G182">
            <v>69</v>
          </cell>
          <cell r="H182">
            <v>389</v>
          </cell>
          <cell r="I182">
            <v>52</v>
          </cell>
          <cell r="J182">
            <v>1177</v>
          </cell>
          <cell r="K182">
            <v>66</v>
          </cell>
          <cell r="L182">
            <v>0</v>
          </cell>
          <cell r="M182">
            <v>0</v>
          </cell>
          <cell r="N182">
            <v>0</v>
          </cell>
          <cell r="O182">
            <v>21</v>
          </cell>
          <cell r="P182">
            <v>0</v>
          </cell>
          <cell r="Q182">
            <v>1816</v>
          </cell>
        </row>
        <row r="183">
          <cell r="A183" t="str">
            <v>US35MZA1503921200037</v>
          </cell>
          <cell r="B183" t="str">
            <v>US35MZA150</v>
          </cell>
          <cell r="C183">
            <v>3921200037</v>
          </cell>
          <cell r="D183" t="str">
            <v>EXHAUSTIVE EQUIPMENT</v>
          </cell>
          <cell r="E183">
            <v>344</v>
          </cell>
          <cell r="F183">
            <v>236</v>
          </cell>
          <cell r="G183">
            <v>345</v>
          </cell>
          <cell r="H183">
            <v>914</v>
          </cell>
          <cell r="I183">
            <v>567</v>
          </cell>
          <cell r="J183">
            <v>775</v>
          </cell>
          <cell r="K183">
            <v>77</v>
          </cell>
          <cell r="L183">
            <v>174</v>
          </cell>
          <cell r="M183">
            <v>182</v>
          </cell>
          <cell r="N183">
            <v>25</v>
          </cell>
          <cell r="O183">
            <v>54</v>
          </cell>
          <cell r="P183">
            <v>0</v>
          </cell>
          <cell r="Q183">
            <v>3693</v>
          </cell>
        </row>
        <row r="184">
          <cell r="A184" t="str">
            <v>US59MZA1503921200037</v>
          </cell>
          <cell r="B184" t="str">
            <v>US59MZA150</v>
          </cell>
          <cell r="C184">
            <v>3921200037</v>
          </cell>
          <cell r="D184" t="str">
            <v>EXHAUSTIVE EQUIPMENT</v>
          </cell>
          <cell r="E184">
            <v>416</v>
          </cell>
          <cell r="F184">
            <v>279</v>
          </cell>
          <cell r="G184">
            <v>809</v>
          </cell>
          <cell r="H184">
            <v>295</v>
          </cell>
          <cell r="I184">
            <v>413</v>
          </cell>
          <cell r="J184">
            <v>615</v>
          </cell>
          <cell r="K184">
            <v>33</v>
          </cell>
          <cell r="L184">
            <v>751</v>
          </cell>
          <cell r="M184">
            <v>826</v>
          </cell>
          <cell r="N184">
            <v>777</v>
          </cell>
          <cell r="O184">
            <v>788</v>
          </cell>
          <cell r="P184">
            <v>256</v>
          </cell>
          <cell r="Q184">
            <v>6258</v>
          </cell>
        </row>
        <row r="185">
          <cell r="A185" t="str">
            <v>USCRMZA1503921200037</v>
          </cell>
          <cell r="B185" t="str">
            <v>USCRMZA150</v>
          </cell>
          <cell r="C185">
            <v>3921200037</v>
          </cell>
          <cell r="D185" t="str">
            <v>EXHAUSTIVE EQUIPMENT</v>
          </cell>
          <cell r="E185">
            <v>0</v>
          </cell>
          <cell r="F185">
            <v>498</v>
          </cell>
          <cell r="G185">
            <v>158</v>
          </cell>
          <cell r="H185">
            <v>42</v>
          </cell>
          <cell r="I185">
            <v>135</v>
          </cell>
          <cell r="J185">
            <v>1391</v>
          </cell>
          <cell r="K185">
            <v>151</v>
          </cell>
          <cell r="L185">
            <v>66</v>
          </cell>
          <cell r="M185">
            <v>448</v>
          </cell>
          <cell r="N185">
            <v>0</v>
          </cell>
          <cell r="O185">
            <v>157</v>
          </cell>
          <cell r="P185">
            <v>72</v>
          </cell>
          <cell r="Q185">
            <v>3118</v>
          </cell>
        </row>
        <row r="186">
          <cell r="A186" t="str">
            <v>US22MZA1503921200050</v>
          </cell>
          <cell r="B186" t="str">
            <v>US22MZA150</v>
          </cell>
          <cell r="C186">
            <v>3921200050</v>
          </cell>
          <cell r="D186" t="str">
            <v>SAFETY EQUIPMENT - SUPPLIES</v>
          </cell>
          <cell r="E186">
            <v>300</v>
          </cell>
          <cell r="F186">
            <v>924</v>
          </cell>
          <cell r="G186">
            <v>2852</v>
          </cell>
          <cell r="H186">
            <v>217</v>
          </cell>
          <cell r="I186">
            <v>794</v>
          </cell>
          <cell r="J186">
            <v>146</v>
          </cell>
          <cell r="K186">
            <v>3193</v>
          </cell>
          <cell r="L186">
            <v>930</v>
          </cell>
          <cell r="M186">
            <v>599</v>
          </cell>
          <cell r="N186">
            <v>228</v>
          </cell>
          <cell r="O186">
            <v>91</v>
          </cell>
          <cell r="P186">
            <v>488</v>
          </cell>
          <cell r="Q186">
            <v>10762</v>
          </cell>
        </row>
        <row r="187">
          <cell r="A187" t="str">
            <v>US28MZA1503921200050</v>
          </cell>
          <cell r="B187" t="str">
            <v>US28MZA150</v>
          </cell>
          <cell r="C187">
            <v>3921200050</v>
          </cell>
          <cell r="D187" t="str">
            <v>SAFETY EQUIPMENT - SUPPLIES</v>
          </cell>
          <cell r="E187">
            <v>0</v>
          </cell>
          <cell r="F187">
            <v>69</v>
          </cell>
          <cell r="G187">
            <v>217</v>
          </cell>
          <cell r="H187">
            <v>655</v>
          </cell>
          <cell r="I187">
            <v>273</v>
          </cell>
          <cell r="J187">
            <v>2106</v>
          </cell>
          <cell r="K187">
            <v>332</v>
          </cell>
          <cell r="L187">
            <v>85</v>
          </cell>
          <cell r="M187">
            <v>374</v>
          </cell>
          <cell r="N187">
            <v>0</v>
          </cell>
          <cell r="O187">
            <v>234</v>
          </cell>
          <cell r="P187">
            <v>0</v>
          </cell>
          <cell r="Q187">
            <v>4345</v>
          </cell>
        </row>
        <row r="188">
          <cell r="A188" t="str">
            <v>US35MZA1503921200050</v>
          </cell>
          <cell r="B188" t="str">
            <v>US35MZA150</v>
          </cell>
          <cell r="C188">
            <v>3921200050</v>
          </cell>
          <cell r="D188" t="str">
            <v>SAFETY EQUIPMENT - SUPPLIES</v>
          </cell>
          <cell r="E188">
            <v>613</v>
          </cell>
          <cell r="F188">
            <v>659</v>
          </cell>
          <cell r="G188">
            <v>2215</v>
          </cell>
          <cell r="H188">
            <v>1142</v>
          </cell>
          <cell r="I188">
            <v>358</v>
          </cell>
          <cell r="J188">
            <v>724</v>
          </cell>
          <cell r="K188">
            <v>434</v>
          </cell>
          <cell r="L188">
            <v>3426</v>
          </cell>
          <cell r="M188">
            <v>242</v>
          </cell>
          <cell r="N188">
            <v>1128</v>
          </cell>
          <cell r="O188">
            <v>295</v>
          </cell>
          <cell r="P188">
            <v>450</v>
          </cell>
          <cell r="Q188">
            <v>11686</v>
          </cell>
        </row>
        <row r="189">
          <cell r="A189" t="str">
            <v>US59MZA1503921200050</v>
          </cell>
          <cell r="B189" t="str">
            <v>US59MZA150</v>
          </cell>
          <cell r="C189">
            <v>3921200050</v>
          </cell>
          <cell r="D189" t="str">
            <v>SAFETY EQUIPMENT - SUPPLIES</v>
          </cell>
          <cell r="E189">
            <v>162</v>
          </cell>
          <cell r="F189">
            <v>0</v>
          </cell>
          <cell r="G189">
            <v>0</v>
          </cell>
          <cell r="H189">
            <v>0</v>
          </cell>
          <cell r="I189">
            <v>0</v>
          </cell>
          <cell r="J189">
            <v>0</v>
          </cell>
          <cell r="K189">
            <v>944</v>
          </cell>
          <cell r="L189">
            <v>0</v>
          </cell>
          <cell r="M189">
            <v>281</v>
          </cell>
          <cell r="N189">
            <v>618</v>
          </cell>
          <cell r="O189">
            <v>0</v>
          </cell>
          <cell r="P189">
            <v>0</v>
          </cell>
          <cell r="Q189">
            <v>2005</v>
          </cell>
        </row>
        <row r="190">
          <cell r="A190" t="str">
            <v>USCRMZA1503921200050</v>
          </cell>
          <cell r="B190" t="str">
            <v>USCRMZA150</v>
          </cell>
          <cell r="C190">
            <v>3921200050</v>
          </cell>
          <cell r="D190" t="str">
            <v>SAFETY EQUIPMENT - SUPPLIES</v>
          </cell>
          <cell r="E190">
            <v>0</v>
          </cell>
          <cell r="F190">
            <v>0</v>
          </cell>
          <cell r="G190">
            <v>34</v>
          </cell>
          <cell r="H190">
            <v>0</v>
          </cell>
          <cell r="I190">
            <v>0</v>
          </cell>
          <cell r="J190">
            <v>0</v>
          </cell>
          <cell r="K190">
            <v>0</v>
          </cell>
          <cell r="L190">
            <v>0</v>
          </cell>
          <cell r="M190">
            <v>0</v>
          </cell>
          <cell r="N190">
            <v>3428</v>
          </cell>
          <cell r="O190">
            <v>0</v>
          </cell>
          <cell r="P190">
            <v>0</v>
          </cell>
          <cell r="Q190">
            <v>3462</v>
          </cell>
        </row>
        <row r="191">
          <cell r="A191" t="str">
            <v>USWOMZA1503921200050</v>
          </cell>
          <cell r="B191" t="str">
            <v>USWOMZA150</v>
          </cell>
          <cell r="C191">
            <v>3921200050</v>
          </cell>
          <cell r="D191" t="str">
            <v>SAFETY EQUIPMENT - SUPPLIES</v>
          </cell>
          <cell r="E191">
            <v>1876</v>
          </cell>
          <cell r="F191">
            <v>729</v>
          </cell>
          <cell r="G191">
            <v>99</v>
          </cell>
          <cell r="H191">
            <v>168</v>
          </cell>
          <cell r="I191">
            <v>0</v>
          </cell>
          <cell r="J191">
            <v>0</v>
          </cell>
          <cell r="K191">
            <v>0</v>
          </cell>
          <cell r="L191">
            <v>0</v>
          </cell>
          <cell r="M191">
            <v>0</v>
          </cell>
          <cell r="N191">
            <v>0</v>
          </cell>
          <cell r="O191">
            <v>0</v>
          </cell>
          <cell r="P191">
            <v>0</v>
          </cell>
          <cell r="Q191">
            <v>2872</v>
          </cell>
        </row>
        <row r="192">
          <cell r="A192" t="str">
            <v>US28MZA1503921200100</v>
          </cell>
          <cell r="B192" t="str">
            <v>US28MZA150</v>
          </cell>
          <cell r="C192">
            <v>3921200100</v>
          </cell>
          <cell r="D192" t="str">
            <v>FIELD &amp; PRODUCTION SUPPLIES</v>
          </cell>
          <cell r="E192">
            <v>655</v>
          </cell>
          <cell r="F192">
            <v>0</v>
          </cell>
          <cell r="G192">
            <v>0</v>
          </cell>
          <cell r="H192">
            <v>0</v>
          </cell>
          <cell r="I192">
            <v>0</v>
          </cell>
          <cell r="J192">
            <v>287</v>
          </cell>
          <cell r="K192">
            <v>0</v>
          </cell>
          <cell r="L192">
            <v>532</v>
          </cell>
          <cell r="M192">
            <v>0</v>
          </cell>
          <cell r="N192">
            <v>0</v>
          </cell>
          <cell r="O192">
            <v>0</v>
          </cell>
          <cell r="P192">
            <v>333</v>
          </cell>
          <cell r="Q192">
            <v>1807</v>
          </cell>
        </row>
        <row r="193">
          <cell r="A193" t="str">
            <v>US35MZA1503921200100</v>
          </cell>
          <cell r="B193" t="str">
            <v>US35MZA150</v>
          </cell>
          <cell r="C193">
            <v>3921200100</v>
          </cell>
          <cell r="D193" t="str">
            <v>FIELD &amp; PRODUCTION SUPPLIES</v>
          </cell>
          <cell r="E193">
            <v>0</v>
          </cell>
          <cell r="F193">
            <v>0</v>
          </cell>
          <cell r="G193">
            <v>0</v>
          </cell>
          <cell r="H193">
            <v>91</v>
          </cell>
          <cell r="I193">
            <v>0</v>
          </cell>
          <cell r="J193">
            <v>0</v>
          </cell>
          <cell r="K193">
            <v>0</v>
          </cell>
          <cell r="L193">
            <v>0</v>
          </cell>
          <cell r="M193">
            <v>0</v>
          </cell>
          <cell r="N193">
            <v>0</v>
          </cell>
          <cell r="O193">
            <v>0</v>
          </cell>
          <cell r="P193">
            <v>0</v>
          </cell>
          <cell r="Q193">
            <v>91</v>
          </cell>
        </row>
        <row r="194">
          <cell r="A194" t="str">
            <v>US59MZA1503921200100</v>
          </cell>
          <cell r="B194" t="str">
            <v>US59MZA150</v>
          </cell>
          <cell r="C194">
            <v>3921200100</v>
          </cell>
          <cell r="D194" t="str">
            <v>FIELD &amp; PRODUCTION SUPPLIES</v>
          </cell>
          <cell r="E194">
            <v>800</v>
          </cell>
          <cell r="F194">
            <v>0</v>
          </cell>
          <cell r="G194">
            <v>0</v>
          </cell>
          <cell r="H194">
            <v>0</v>
          </cell>
          <cell r="I194">
            <v>0</v>
          </cell>
          <cell r="J194">
            <v>0</v>
          </cell>
          <cell r="K194">
            <v>0</v>
          </cell>
          <cell r="L194">
            <v>0</v>
          </cell>
          <cell r="M194">
            <v>0</v>
          </cell>
          <cell r="N194">
            <v>0</v>
          </cell>
          <cell r="O194">
            <v>0</v>
          </cell>
          <cell r="P194">
            <v>0</v>
          </cell>
          <cell r="Q194">
            <v>800</v>
          </cell>
        </row>
        <row r="195">
          <cell r="A195" t="str">
            <v>USWOMZA1503921200100</v>
          </cell>
          <cell r="B195" t="str">
            <v>USWOMZA150</v>
          </cell>
          <cell r="C195">
            <v>3921200100</v>
          </cell>
          <cell r="D195" t="str">
            <v>FIELD &amp; PRODUCTION SUPPLIES</v>
          </cell>
          <cell r="E195">
            <v>2214</v>
          </cell>
          <cell r="F195">
            <v>246</v>
          </cell>
          <cell r="G195">
            <v>0</v>
          </cell>
          <cell r="H195">
            <v>264</v>
          </cell>
          <cell r="I195">
            <v>1397</v>
          </cell>
          <cell r="J195">
            <v>0</v>
          </cell>
          <cell r="K195">
            <v>0</v>
          </cell>
          <cell r="L195">
            <v>0</v>
          </cell>
          <cell r="M195">
            <v>0</v>
          </cell>
          <cell r="N195">
            <v>0</v>
          </cell>
          <cell r="O195">
            <v>0</v>
          </cell>
          <cell r="P195">
            <v>925</v>
          </cell>
          <cell r="Q195">
            <v>5046</v>
          </cell>
        </row>
        <row r="196">
          <cell r="A196" t="str">
            <v>US22MZA1503941100001</v>
          </cell>
          <cell r="B196" t="str">
            <v>US22MZA150</v>
          </cell>
          <cell r="C196">
            <v>3941100001</v>
          </cell>
          <cell r="D196" t="str">
            <v>FREIGHT ON SALES</v>
          </cell>
          <cell r="E196">
            <v>-426</v>
          </cell>
          <cell r="F196">
            <v>0</v>
          </cell>
          <cell r="G196">
            <v>310</v>
          </cell>
          <cell r="H196">
            <v>4808</v>
          </cell>
          <cell r="I196">
            <v>13825</v>
          </cell>
          <cell r="J196">
            <v>186</v>
          </cell>
          <cell r="K196">
            <v>2127</v>
          </cell>
          <cell r="L196">
            <v>400</v>
          </cell>
          <cell r="M196">
            <v>489</v>
          </cell>
          <cell r="N196">
            <v>1400</v>
          </cell>
          <cell r="O196">
            <v>0</v>
          </cell>
          <cell r="P196">
            <v>559</v>
          </cell>
          <cell r="Q196">
            <v>23678</v>
          </cell>
        </row>
        <row r="197">
          <cell r="A197" t="str">
            <v>US28MZA1503941100001</v>
          </cell>
          <cell r="B197" t="str">
            <v>US28MZA150</v>
          </cell>
          <cell r="C197">
            <v>3941100001</v>
          </cell>
          <cell r="D197" t="str">
            <v>FREIGHT ON SALES</v>
          </cell>
          <cell r="E197">
            <v>0</v>
          </cell>
          <cell r="F197">
            <v>4980</v>
          </cell>
          <cell r="G197">
            <v>4941</v>
          </cell>
          <cell r="H197">
            <v>0</v>
          </cell>
          <cell r="I197">
            <v>2896</v>
          </cell>
          <cell r="J197">
            <v>0</v>
          </cell>
          <cell r="K197">
            <v>0</v>
          </cell>
          <cell r="L197">
            <v>0</v>
          </cell>
          <cell r="M197">
            <v>0</v>
          </cell>
          <cell r="N197">
            <v>0</v>
          </cell>
          <cell r="O197">
            <v>0</v>
          </cell>
          <cell r="P197">
            <v>218</v>
          </cell>
          <cell r="Q197">
            <v>13035</v>
          </cell>
        </row>
        <row r="198">
          <cell r="A198" t="str">
            <v>US35MZA1503941100001</v>
          </cell>
          <cell r="B198" t="str">
            <v>US35MZA150</v>
          </cell>
          <cell r="C198">
            <v>3941100001</v>
          </cell>
          <cell r="D198" t="str">
            <v>FREIGHT ON SALES</v>
          </cell>
          <cell r="E198">
            <v>8579</v>
          </cell>
          <cell r="F198">
            <v>71790</v>
          </cell>
          <cell r="G198">
            <v>30974</v>
          </cell>
          <cell r="H198">
            <v>16429</v>
          </cell>
          <cell r="I198">
            <v>7330</v>
          </cell>
          <cell r="J198">
            <v>89</v>
          </cell>
          <cell r="K198">
            <v>190</v>
          </cell>
          <cell r="L198">
            <v>1903</v>
          </cell>
          <cell r="M198">
            <v>283</v>
          </cell>
          <cell r="N198">
            <v>76</v>
          </cell>
          <cell r="O198">
            <v>85</v>
          </cell>
          <cell r="P198">
            <v>4916</v>
          </cell>
          <cell r="Q198">
            <v>142644</v>
          </cell>
        </row>
        <row r="199">
          <cell r="A199" t="str">
            <v>US59MZA1503941100001</v>
          </cell>
          <cell r="B199" t="str">
            <v>US59MZA150</v>
          </cell>
          <cell r="C199">
            <v>3941100001</v>
          </cell>
          <cell r="D199" t="str">
            <v>FREIGHT ON SALES</v>
          </cell>
          <cell r="E199">
            <v>0</v>
          </cell>
          <cell r="F199">
            <v>0</v>
          </cell>
          <cell r="G199">
            <v>0</v>
          </cell>
          <cell r="H199">
            <v>0</v>
          </cell>
          <cell r="I199">
            <v>0</v>
          </cell>
          <cell r="J199">
            <v>0</v>
          </cell>
          <cell r="K199">
            <v>0</v>
          </cell>
          <cell r="L199">
            <v>-308</v>
          </cell>
          <cell r="M199">
            <v>0</v>
          </cell>
          <cell r="N199">
            <v>0</v>
          </cell>
          <cell r="O199">
            <v>0</v>
          </cell>
          <cell r="P199">
            <v>0</v>
          </cell>
          <cell r="Q199">
            <v>-308</v>
          </cell>
        </row>
        <row r="200">
          <cell r="A200" t="str">
            <v>USCRMZA1503941100001</v>
          </cell>
          <cell r="B200" t="str">
            <v>USCRMZA150</v>
          </cell>
          <cell r="C200">
            <v>3941100001</v>
          </cell>
          <cell r="D200" t="str">
            <v>FREIGHT ON SALES</v>
          </cell>
          <cell r="E200">
            <v>-54</v>
          </cell>
          <cell r="F200">
            <v>0</v>
          </cell>
          <cell r="G200">
            <v>0</v>
          </cell>
          <cell r="H200">
            <v>0</v>
          </cell>
          <cell r="I200">
            <v>7601</v>
          </cell>
          <cell r="J200">
            <v>0</v>
          </cell>
          <cell r="K200">
            <v>0</v>
          </cell>
          <cell r="L200">
            <v>0</v>
          </cell>
          <cell r="M200">
            <v>0</v>
          </cell>
          <cell r="N200">
            <v>0</v>
          </cell>
          <cell r="O200">
            <v>0</v>
          </cell>
          <cell r="P200">
            <v>160</v>
          </cell>
          <cell r="Q200">
            <v>7707</v>
          </cell>
        </row>
        <row r="201">
          <cell r="A201" t="str">
            <v>USWOMZA1503941100001</v>
          </cell>
          <cell r="B201" t="str">
            <v>USWOMZA150</v>
          </cell>
          <cell r="C201">
            <v>3941100001</v>
          </cell>
          <cell r="D201" t="str">
            <v>FREIGHT ON SALES</v>
          </cell>
          <cell r="E201">
            <v>-223</v>
          </cell>
          <cell r="F201">
            <v>2987</v>
          </cell>
          <cell r="G201">
            <v>0</v>
          </cell>
          <cell r="H201">
            <v>0</v>
          </cell>
          <cell r="I201">
            <v>93700</v>
          </cell>
          <cell r="J201">
            <v>6720</v>
          </cell>
          <cell r="K201">
            <v>18416</v>
          </cell>
          <cell r="L201">
            <v>0</v>
          </cell>
          <cell r="M201">
            <v>2250</v>
          </cell>
          <cell r="N201">
            <v>0</v>
          </cell>
          <cell r="O201">
            <v>0</v>
          </cell>
          <cell r="P201">
            <v>146</v>
          </cell>
          <cell r="Q201">
            <v>123996</v>
          </cell>
        </row>
        <row r="202">
          <cell r="A202" t="str">
            <v>US22MZA1503941100002</v>
          </cell>
          <cell r="B202" t="str">
            <v>US22MZA150</v>
          </cell>
          <cell r="C202">
            <v>3941100002</v>
          </cell>
          <cell r="D202" t="str">
            <v>FREIGHT BETWEEN PLANTS</v>
          </cell>
          <cell r="E202">
            <v>7178</v>
          </cell>
          <cell r="F202">
            <v>8972</v>
          </cell>
          <cell r="G202">
            <v>9591</v>
          </cell>
          <cell r="H202">
            <v>2017</v>
          </cell>
          <cell r="I202">
            <v>8407</v>
          </cell>
          <cell r="J202">
            <v>1485</v>
          </cell>
          <cell r="K202">
            <v>11305</v>
          </cell>
          <cell r="L202">
            <v>5768</v>
          </cell>
          <cell r="M202">
            <v>10620</v>
          </cell>
          <cell r="N202">
            <v>9474</v>
          </cell>
          <cell r="O202">
            <v>4523</v>
          </cell>
          <cell r="P202">
            <v>4345</v>
          </cell>
          <cell r="Q202">
            <v>83685</v>
          </cell>
        </row>
        <row r="203">
          <cell r="A203" t="str">
            <v>US28MZA1503941100002</v>
          </cell>
          <cell r="B203" t="str">
            <v>US28MZA150</v>
          </cell>
          <cell r="C203">
            <v>3941100002</v>
          </cell>
          <cell r="D203" t="str">
            <v>FREIGHT BETWEEN PLANTS</v>
          </cell>
          <cell r="E203">
            <v>677</v>
          </cell>
          <cell r="F203">
            <v>0</v>
          </cell>
          <cell r="G203">
            <v>0</v>
          </cell>
          <cell r="H203">
            <v>0</v>
          </cell>
          <cell r="I203">
            <v>0</v>
          </cell>
          <cell r="J203">
            <v>0</v>
          </cell>
          <cell r="K203">
            <v>0</v>
          </cell>
          <cell r="L203">
            <v>0</v>
          </cell>
          <cell r="M203">
            <v>0</v>
          </cell>
          <cell r="N203">
            <v>0</v>
          </cell>
          <cell r="O203">
            <v>0</v>
          </cell>
          <cell r="P203">
            <v>0</v>
          </cell>
          <cell r="Q203">
            <v>677</v>
          </cell>
        </row>
        <row r="204">
          <cell r="A204" t="str">
            <v>US35MZA1503941100002</v>
          </cell>
          <cell r="B204" t="str">
            <v>US35MZA150</v>
          </cell>
          <cell r="C204">
            <v>3941100002</v>
          </cell>
          <cell r="D204" t="str">
            <v>FREIGHT BETWEEN PLANTS</v>
          </cell>
          <cell r="E204">
            <v>7659</v>
          </cell>
          <cell r="F204">
            <v>35040</v>
          </cell>
          <cell r="G204">
            <v>6443</v>
          </cell>
          <cell r="H204">
            <v>13975</v>
          </cell>
          <cell r="I204">
            <v>13139</v>
          </cell>
          <cell r="J204">
            <v>1961</v>
          </cell>
          <cell r="K204">
            <v>1110</v>
          </cell>
          <cell r="L204">
            <v>18481</v>
          </cell>
          <cell r="M204">
            <v>11340</v>
          </cell>
          <cell r="N204">
            <v>23620</v>
          </cell>
          <cell r="O204">
            <v>16130</v>
          </cell>
          <cell r="P204">
            <v>0</v>
          </cell>
          <cell r="Q204">
            <v>148898</v>
          </cell>
        </row>
        <row r="205">
          <cell r="A205" t="str">
            <v>US59MZA1503941100002</v>
          </cell>
          <cell r="B205" t="str">
            <v>US59MZA150</v>
          </cell>
          <cell r="C205">
            <v>3941100002</v>
          </cell>
          <cell r="D205" t="str">
            <v>FREIGHT BETWEEN PLANTS</v>
          </cell>
          <cell r="E205">
            <v>3849</v>
          </cell>
          <cell r="F205">
            <v>0</v>
          </cell>
          <cell r="G205">
            <v>0</v>
          </cell>
          <cell r="H205">
            <v>0</v>
          </cell>
          <cell r="I205">
            <v>0</v>
          </cell>
          <cell r="J205">
            <v>0</v>
          </cell>
          <cell r="K205">
            <v>0</v>
          </cell>
          <cell r="L205">
            <v>0</v>
          </cell>
          <cell r="M205">
            <v>0</v>
          </cell>
          <cell r="N205">
            <v>0</v>
          </cell>
          <cell r="O205">
            <v>0</v>
          </cell>
          <cell r="P205">
            <v>0</v>
          </cell>
          <cell r="Q205">
            <v>3849</v>
          </cell>
        </row>
        <row r="206">
          <cell r="A206" t="str">
            <v>USCRMZA1503941100002</v>
          </cell>
          <cell r="B206" t="str">
            <v>USCRMZA150</v>
          </cell>
          <cell r="C206">
            <v>3941100002</v>
          </cell>
          <cell r="D206" t="str">
            <v>FREIGHT BETWEEN PLANTS</v>
          </cell>
          <cell r="E206">
            <v>2224</v>
          </cell>
          <cell r="F206">
            <v>11991</v>
          </cell>
          <cell r="G206">
            <v>5094</v>
          </cell>
          <cell r="H206">
            <v>8825</v>
          </cell>
          <cell r="I206">
            <v>9977</v>
          </cell>
          <cell r="J206">
            <v>2831</v>
          </cell>
          <cell r="K206">
            <v>0</v>
          </cell>
          <cell r="L206">
            <v>0</v>
          </cell>
          <cell r="M206">
            <v>250</v>
          </cell>
          <cell r="N206">
            <v>0</v>
          </cell>
          <cell r="O206">
            <v>0</v>
          </cell>
          <cell r="P206">
            <v>800</v>
          </cell>
          <cell r="Q206">
            <v>41992</v>
          </cell>
        </row>
        <row r="207">
          <cell r="A207" t="str">
            <v>USWOMZA1503941100002</v>
          </cell>
          <cell r="B207" t="str">
            <v>USWOMZA150</v>
          </cell>
          <cell r="C207">
            <v>3941100002</v>
          </cell>
          <cell r="D207" t="str">
            <v>FREIGHT BETWEEN PLANTS</v>
          </cell>
          <cell r="E207">
            <v>0</v>
          </cell>
          <cell r="F207">
            <v>11772</v>
          </cell>
          <cell r="G207">
            <v>3999</v>
          </cell>
          <cell r="H207">
            <v>0</v>
          </cell>
          <cell r="I207">
            <v>0</v>
          </cell>
          <cell r="J207">
            <v>0</v>
          </cell>
          <cell r="K207">
            <v>0</v>
          </cell>
          <cell r="L207">
            <v>0</v>
          </cell>
          <cell r="M207">
            <v>0</v>
          </cell>
          <cell r="N207">
            <v>0</v>
          </cell>
          <cell r="O207">
            <v>0</v>
          </cell>
          <cell r="P207">
            <v>0</v>
          </cell>
          <cell r="Q207">
            <v>15771</v>
          </cell>
        </row>
        <row r="208">
          <cell r="A208" t="str">
            <v>US28MZA1503941100013</v>
          </cell>
          <cell r="B208" t="str">
            <v>US28MZA150</v>
          </cell>
          <cell r="C208">
            <v>3941100013</v>
          </cell>
          <cell r="D208" t="str">
            <v>FREIGHT IN</v>
          </cell>
          <cell r="E208">
            <v>386</v>
          </cell>
          <cell r="F208">
            <v>8420</v>
          </cell>
          <cell r="G208">
            <v>627</v>
          </cell>
          <cell r="H208">
            <v>0</v>
          </cell>
          <cell r="I208">
            <v>0</v>
          </cell>
          <cell r="J208">
            <v>0</v>
          </cell>
          <cell r="K208">
            <v>0</v>
          </cell>
          <cell r="L208">
            <v>0</v>
          </cell>
          <cell r="M208">
            <v>0</v>
          </cell>
          <cell r="N208">
            <v>0</v>
          </cell>
          <cell r="O208">
            <v>0</v>
          </cell>
          <cell r="P208">
            <v>0</v>
          </cell>
          <cell r="Q208">
            <v>9433</v>
          </cell>
        </row>
        <row r="209">
          <cell r="A209" t="str">
            <v>US35MZA1503941100013</v>
          </cell>
          <cell r="B209" t="str">
            <v>US35MZA150</v>
          </cell>
          <cell r="C209">
            <v>3941100013</v>
          </cell>
          <cell r="D209" t="str">
            <v>FREIGHT IN</v>
          </cell>
          <cell r="E209">
            <v>2375</v>
          </cell>
          <cell r="F209">
            <v>0</v>
          </cell>
          <cell r="G209">
            <v>7191</v>
          </cell>
          <cell r="H209">
            <v>1819</v>
          </cell>
          <cell r="I209">
            <v>1151</v>
          </cell>
          <cell r="J209">
            <v>2994</v>
          </cell>
          <cell r="K209">
            <v>13857</v>
          </cell>
          <cell r="L209">
            <v>0</v>
          </cell>
          <cell r="M209">
            <v>0</v>
          </cell>
          <cell r="N209">
            <v>1750</v>
          </cell>
          <cell r="O209">
            <v>0</v>
          </cell>
          <cell r="P209">
            <v>0</v>
          </cell>
          <cell r="Q209">
            <v>31137</v>
          </cell>
        </row>
        <row r="210">
          <cell r="A210" t="str">
            <v>USCLMZA1503941100013</v>
          </cell>
          <cell r="B210" t="str">
            <v>USCLMZA150</v>
          </cell>
          <cell r="C210">
            <v>3941100013</v>
          </cell>
          <cell r="D210" t="str">
            <v>FREIGHT IN</v>
          </cell>
          <cell r="E210">
            <v>0</v>
          </cell>
          <cell r="F210">
            <v>13036</v>
          </cell>
          <cell r="G210">
            <v>18632</v>
          </cell>
          <cell r="H210">
            <v>2871</v>
          </cell>
          <cell r="I210">
            <v>0</v>
          </cell>
          <cell r="J210">
            <v>2360</v>
          </cell>
          <cell r="K210">
            <v>0</v>
          </cell>
          <cell r="L210">
            <v>2360</v>
          </cell>
          <cell r="M210">
            <v>2108</v>
          </cell>
          <cell r="N210">
            <v>0</v>
          </cell>
          <cell r="O210">
            <v>-2360</v>
          </cell>
          <cell r="P210">
            <v>0</v>
          </cell>
          <cell r="Q210">
            <v>39007</v>
          </cell>
        </row>
        <row r="211">
          <cell r="A211" t="str">
            <v>USCRMZA1503941100013</v>
          </cell>
          <cell r="B211" t="str">
            <v>USCRMZA150</v>
          </cell>
          <cell r="C211">
            <v>3941100013</v>
          </cell>
          <cell r="D211" t="str">
            <v>FREIGHT IN</v>
          </cell>
          <cell r="E211">
            <v>668</v>
          </cell>
          <cell r="F211">
            <v>17906</v>
          </cell>
          <cell r="G211">
            <v>431</v>
          </cell>
          <cell r="H211">
            <v>1006</v>
          </cell>
          <cell r="I211">
            <v>0</v>
          </cell>
          <cell r="J211">
            <v>30199</v>
          </cell>
          <cell r="K211">
            <v>12674</v>
          </cell>
          <cell r="L211">
            <v>593</v>
          </cell>
          <cell r="M211">
            <v>5088</v>
          </cell>
          <cell r="N211">
            <v>0</v>
          </cell>
          <cell r="O211">
            <v>0</v>
          </cell>
          <cell r="P211">
            <v>0</v>
          </cell>
          <cell r="Q211">
            <v>68565</v>
          </cell>
        </row>
        <row r="212">
          <cell r="A212" t="str">
            <v>USWOMZA1503941100013</v>
          </cell>
          <cell r="B212" t="str">
            <v>USWOMZA150</v>
          </cell>
          <cell r="C212">
            <v>3941100013</v>
          </cell>
          <cell r="D212" t="str">
            <v>FREIGHT IN</v>
          </cell>
          <cell r="E212">
            <v>0</v>
          </cell>
          <cell r="F212">
            <v>0</v>
          </cell>
          <cell r="G212">
            <v>5537</v>
          </cell>
          <cell r="H212">
            <v>965</v>
          </cell>
          <cell r="I212">
            <v>1900</v>
          </cell>
          <cell r="J212">
            <v>0</v>
          </cell>
          <cell r="K212">
            <v>0</v>
          </cell>
          <cell r="L212">
            <v>0</v>
          </cell>
          <cell r="M212">
            <v>965</v>
          </cell>
          <cell r="N212">
            <v>0</v>
          </cell>
          <cell r="O212">
            <v>3800</v>
          </cell>
          <cell r="P212">
            <v>0</v>
          </cell>
          <cell r="Q212">
            <v>13167</v>
          </cell>
        </row>
        <row r="213">
          <cell r="A213" t="str">
            <v>US22MZA1503951100002</v>
          </cell>
          <cell r="B213" t="str">
            <v>US22MZA150</v>
          </cell>
          <cell r="C213">
            <v>3951100002</v>
          </cell>
          <cell r="D213" t="str">
            <v>RENTALS - REAL ESTATE</v>
          </cell>
          <cell r="E213">
            <v>24000</v>
          </cell>
          <cell r="F213">
            <v>24000</v>
          </cell>
          <cell r="G213">
            <v>24000</v>
          </cell>
          <cell r="H213">
            <v>24000</v>
          </cell>
          <cell r="I213">
            <v>24000</v>
          </cell>
          <cell r="J213">
            <v>24000</v>
          </cell>
          <cell r="K213">
            <v>24000</v>
          </cell>
          <cell r="L213">
            <v>24000</v>
          </cell>
          <cell r="M213">
            <v>24000</v>
          </cell>
          <cell r="N213">
            <v>24500</v>
          </cell>
          <cell r="O213">
            <v>24500</v>
          </cell>
          <cell r="P213">
            <v>24500</v>
          </cell>
          <cell r="Q213">
            <v>289500</v>
          </cell>
        </row>
        <row r="214">
          <cell r="A214" t="str">
            <v>US28MZA1503951100002</v>
          </cell>
          <cell r="B214" t="str">
            <v>US28MZA150</v>
          </cell>
          <cell r="C214">
            <v>3951100002</v>
          </cell>
          <cell r="D214" t="str">
            <v>RENTALS - REAL ESTATE</v>
          </cell>
          <cell r="E214">
            <v>19594</v>
          </cell>
          <cell r="F214">
            <v>21594</v>
          </cell>
          <cell r="G214">
            <v>21794</v>
          </cell>
          <cell r="H214">
            <v>19594</v>
          </cell>
          <cell r="I214">
            <v>19594</v>
          </cell>
          <cell r="J214">
            <v>19594</v>
          </cell>
          <cell r="K214">
            <v>19878</v>
          </cell>
          <cell r="L214">
            <v>20084</v>
          </cell>
          <cell r="M214">
            <v>20084</v>
          </cell>
          <cell r="N214">
            <v>20084</v>
          </cell>
          <cell r="O214">
            <v>20084</v>
          </cell>
          <cell r="P214">
            <v>20084</v>
          </cell>
          <cell r="Q214">
            <v>242062</v>
          </cell>
        </row>
        <row r="215">
          <cell r="A215" t="str">
            <v>US35MZA1503951100002</v>
          </cell>
          <cell r="B215" t="str">
            <v>US35MZA150</v>
          </cell>
          <cell r="C215">
            <v>3951100002</v>
          </cell>
          <cell r="D215" t="str">
            <v>RENTALS - REAL ESTATE</v>
          </cell>
          <cell r="E215">
            <v>30188</v>
          </cell>
          <cell r="F215">
            <v>30188</v>
          </cell>
          <cell r="G215">
            <v>30188</v>
          </cell>
          <cell r="H215">
            <v>0</v>
          </cell>
          <cell r="I215">
            <v>60375</v>
          </cell>
          <cell r="J215">
            <v>30188</v>
          </cell>
          <cell r="K215">
            <v>0</v>
          </cell>
          <cell r="L215">
            <v>30188</v>
          </cell>
          <cell r="M215">
            <v>30188</v>
          </cell>
          <cell r="N215">
            <v>30188</v>
          </cell>
          <cell r="O215">
            <v>30188</v>
          </cell>
          <cell r="P215">
            <v>60375</v>
          </cell>
          <cell r="Q215">
            <v>362254</v>
          </cell>
        </row>
        <row r="216">
          <cell r="A216" t="str">
            <v>USCRMZA1503951100002</v>
          </cell>
          <cell r="B216" t="str">
            <v>USCRMZA150</v>
          </cell>
          <cell r="C216">
            <v>3951100002</v>
          </cell>
          <cell r="D216" t="str">
            <v>RENTALS - REAL ESTATE</v>
          </cell>
          <cell r="E216">
            <v>3000</v>
          </cell>
          <cell r="F216">
            <v>2500</v>
          </cell>
          <cell r="G216">
            <v>3500</v>
          </cell>
          <cell r="H216">
            <v>3000</v>
          </cell>
          <cell r="I216">
            <v>3000</v>
          </cell>
          <cell r="J216">
            <v>3000</v>
          </cell>
          <cell r="K216">
            <v>3000</v>
          </cell>
          <cell r="L216">
            <v>3000</v>
          </cell>
          <cell r="M216">
            <v>3000</v>
          </cell>
          <cell r="N216">
            <v>3000</v>
          </cell>
          <cell r="O216">
            <v>3000</v>
          </cell>
          <cell r="P216">
            <v>3000</v>
          </cell>
          <cell r="Q216">
            <v>36000</v>
          </cell>
        </row>
        <row r="217">
          <cell r="A217" t="str">
            <v>US22MZA1503951100005</v>
          </cell>
          <cell r="B217" t="str">
            <v>US22MZA150</v>
          </cell>
          <cell r="C217">
            <v>3951100005</v>
          </cell>
          <cell r="D217" t="str">
            <v>OTHER RENTALS</v>
          </cell>
          <cell r="E217">
            <v>0</v>
          </cell>
          <cell r="F217">
            <v>0</v>
          </cell>
          <cell r="G217">
            <v>5180</v>
          </cell>
          <cell r="H217">
            <v>5816</v>
          </cell>
          <cell r="I217">
            <v>3970</v>
          </cell>
          <cell r="J217">
            <v>3292</v>
          </cell>
          <cell r="K217">
            <v>3292</v>
          </cell>
          <cell r="L217">
            <v>3301</v>
          </cell>
          <cell r="M217">
            <v>3301</v>
          </cell>
          <cell r="N217">
            <v>3721</v>
          </cell>
          <cell r="O217">
            <v>2801</v>
          </cell>
          <cell r="P217">
            <v>1279</v>
          </cell>
          <cell r="Q217">
            <v>35953</v>
          </cell>
        </row>
        <row r="218">
          <cell r="A218" t="str">
            <v>US28MZA1503951100005</v>
          </cell>
          <cell r="B218" t="str">
            <v>US28MZA150</v>
          </cell>
          <cell r="C218">
            <v>3951100005</v>
          </cell>
          <cell r="D218" t="str">
            <v>OTHER RENTALS</v>
          </cell>
          <cell r="E218">
            <v>3050</v>
          </cell>
          <cell r="F218">
            <v>3050</v>
          </cell>
          <cell r="G218">
            <v>3050</v>
          </cell>
          <cell r="H218">
            <v>3050</v>
          </cell>
          <cell r="I218">
            <v>974</v>
          </cell>
          <cell r="J218">
            <v>3551</v>
          </cell>
          <cell r="K218">
            <v>1600</v>
          </cell>
          <cell r="L218">
            <v>0</v>
          </cell>
          <cell r="M218">
            <v>0</v>
          </cell>
          <cell r="N218">
            <v>0</v>
          </cell>
          <cell r="O218">
            <v>554</v>
          </cell>
          <cell r="P218">
            <v>554</v>
          </cell>
          <cell r="Q218">
            <v>19433</v>
          </cell>
        </row>
        <row r="219">
          <cell r="A219" t="str">
            <v>US35MZA1503951100005</v>
          </cell>
          <cell r="B219" t="str">
            <v>US35MZA150</v>
          </cell>
          <cell r="C219">
            <v>3951100005</v>
          </cell>
          <cell r="D219" t="str">
            <v>OTHER RENTALS</v>
          </cell>
          <cell r="E219">
            <v>17011</v>
          </cell>
          <cell r="F219">
            <v>6427</v>
          </cell>
          <cell r="G219">
            <v>13008</v>
          </cell>
          <cell r="H219">
            <v>10605</v>
          </cell>
          <cell r="I219">
            <v>19391</v>
          </cell>
          <cell r="J219">
            <v>10626</v>
          </cell>
          <cell r="K219">
            <v>9756</v>
          </cell>
          <cell r="L219">
            <v>9768</v>
          </cell>
          <cell r="M219">
            <v>9756</v>
          </cell>
          <cell r="N219">
            <v>10078</v>
          </cell>
          <cell r="O219">
            <v>7902</v>
          </cell>
          <cell r="P219">
            <v>5515</v>
          </cell>
          <cell r="Q219">
            <v>129843</v>
          </cell>
        </row>
        <row r="220">
          <cell r="A220" t="str">
            <v>US59MZA1503951100005</v>
          </cell>
          <cell r="B220" t="str">
            <v>US59MZA150</v>
          </cell>
          <cell r="C220">
            <v>3951100005</v>
          </cell>
          <cell r="D220" t="str">
            <v>OTHER RENTALS</v>
          </cell>
          <cell r="E220">
            <v>0</v>
          </cell>
          <cell r="F220">
            <v>2756</v>
          </cell>
          <cell r="G220">
            <v>0</v>
          </cell>
          <cell r="H220">
            <v>3666</v>
          </cell>
          <cell r="I220">
            <v>4306</v>
          </cell>
          <cell r="J220">
            <v>0</v>
          </cell>
          <cell r="K220">
            <v>5412</v>
          </cell>
          <cell r="L220">
            <v>69</v>
          </cell>
          <cell r="M220">
            <v>0</v>
          </cell>
          <cell r="N220">
            <v>0</v>
          </cell>
          <cell r="O220">
            <v>0</v>
          </cell>
          <cell r="P220">
            <v>251</v>
          </cell>
          <cell r="Q220">
            <v>16460</v>
          </cell>
        </row>
        <row r="221">
          <cell r="A221" t="str">
            <v>USWOMZA1503951100005</v>
          </cell>
          <cell r="B221" t="str">
            <v>USWOMZA150</v>
          </cell>
          <cell r="C221">
            <v>3951100005</v>
          </cell>
          <cell r="D221" t="str">
            <v>OTHER RENTALS</v>
          </cell>
          <cell r="E221">
            <v>4877</v>
          </cell>
          <cell r="F221">
            <v>1203</v>
          </cell>
          <cell r="G221">
            <v>4751</v>
          </cell>
          <cell r="H221">
            <v>1993</v>
          </cell>
          <cell r="I221">
            <v>602</v>
          </cell>
          <cell r="J221">
            <v>602</v>
          </cell>
          <cell r="K221">
            <v>602</v>
          </cell>
          <cell r="L221">
            <v>0</v>
          </cell>
          <cell r="M221">
            <v>602</v>
          </cell>
          <cell r="N221">
            <v>0</v>
          </cell>
          <cell r="O221">
            <v>605</v>
          </cell>
          <cell r="P221">
            <v>0</v>
          </cell>
          <cell r="Q221">
            <v>15837</v>
          </cell>
        </row>
        <row r="222">
          <cell r="A222" t="str">
            <v>US22MZA1503951200002</v>
          </cell>
          <cell r="B222" t="str">
            <v>US22MZA150</v>
          </cell>
          <cell r="C222">
            <v>3951200002</v>
          </cell>
          <cell r="D222" t="str">
            <v>OPERATING LEASES - VEHICLES (SHORT DURAT</v>
          </cell>
          <cell r="E222">
            <v>1716</v>
          </cell>
          <cell r="F222">
            <v>1709</v>
          </cell>
          <cell r="G222">
            <v>9312</v>
          </cell>
          <cell r="H222">
            <v>8675</v>
          </cell>
          <cell r="I222">
            <v>6542</v>
          </cell>
          <cell r="J222">
            <v>6128</v>
          </cell>
          <cell r="K222">
            <v>5548</v>
          </cell>
          <cell r="L222">
            <v>5530</v>
          </cell>
          <cell r="M222">
            <v>4854</v>
          </cell>
          <cell r="N222">
            <v>4867</v>
          </cell>
          <cell r="O222">
            <v>4722</v>
          </cell>
          <cell r="P222">
            <v>4616</v>
          </cell>
          <cell r="Q222">
            <v>64219</v>
          </cell>
        </row>
        <row r="223">
          <cell r="A223" t="str">
            <v>US28MZA1503951200002</v>
          </cell>
          <cell r="B223" t="str">
            <v>US28MZA150</v>
          </cell>
          <cell r="C223">
            <v>3951200002</v>
          </cell>
          <cell r="D223" t="str">
            <v>OPERATING LEASES - VEHICLES (SHORT DURAT</v>
          </cell>
          <cell r="E223">
            <v>182</v>
          </cell>
          <cell r="F223">
            <v>182</v>
          </cell>
          <cell r="G223">
            <v>182</v>
          </cell>
          <cell r="H223">
            <v>182</v>
          </cell>
          <cell r="I223">
            <v>191</v>
          </cell>
          <cell r="J223">
            <v>-32</v>
          </cell>
          <cell r="K223">
            <v>75</v>
          </cell>
          <cell r="L223">
            <v>75</v>
          </cell>
          <cell r="M223">
            <v>75</v>
          </cell>
          <cell r="N223">
            <v>75</v>
          </cell>
          <cell r="O223">
            <v>75</v>
          </cell>
          <cell r="P223">
            <v>75</v>
          </cell>
          <cell r="Q223">
            <v>1337</v>
          </cell>
        </row>
        <row r="224">
          <cell r="A224" t="str">
            <v>US35MZA1503951200002</v>
          </cell>
          <cell r="B224" t="str">
            <v>US35MZA150</v>
          </cell>
          <cell r="C224">
            <v>3951200002</v>
          </cell>
          <cell r="D224" t="str">
            <v>OPERATING LEASES - VEHICLES (SHORT DURAT</v>
          </cell>
          <cell r="E224">
            <v>1201</v>
          </cell>
          <cell r="F224">
            <v>1197</v>
          </cell>
          <cell r="G224">
            <v>1191</v>
          </cell>
          <cell r="H224">
            <v>1186</v>
          </cell>
          <cell r="I224">
            <v>1186</v>
          </cell>
          <cell r="J224">
            <v>1076</v>
          </cell>
          <cell r="K224">
            <v>1122</v>
          </cell>
          <cell r="L224">
            <v>1117</v>
          </cell>
          <cell r="M224">
            <v>1116</v>
          </cell>
          <cell r="N224">
            <v>1114</v>
          </cell>
          <cell r="O224">
            <v>1099</v>
          </cell>
          <cell r="P224">
            <v>1087</v>
          </cell>
          <cell r="Q224">
            <v>13692</v>
          </cell>
        </row>
        <row r="225">
          <cell r="A225" t="str">
            <v>US59MZA1503951200002</v>
          </cell>
          <cell r="B225" t="str">
            <v>US59MZA150</v>
          </cell>
          <cell r="C225">
            <v>3951200002</v>
          </cell>
          <cell r="D225" t="str">
            <v>OPERATING LEASES - VEHICLES (SHORT DURAT</v>
          </cell>
          <cell r="E225">
            <v>326</v>
          </cell>
          <cell r="F225">
            <v>326</v>
          </cell>
          <cell r="G225">
            <v>326</v>
          </cell>
          <cell r="H225">
            <v>326</v>
          </cell>
          <cell r="I225">
            <v>346</v>
          </cell>
          <cell r="J225">
            <v>-326</v>
          </cell>
          <cell r="K225">
            <v>0</v>
          </cell>
          <cell r="L225">
            <v>0</v>
          </cell>
          <cell r="M225">
            <v>0</v>
          </cell>
          <cell r="N225">
            <v>0</v>
          </cell>
          <cell r="O225">
            <v>0</v>
          </cell>
          <cell r="P225">
            <v>0</v>
          </cell>
          <cell r="Q225">
            <v>1324</v>
          </cell>
        </row>
        <row r="226">
          <cell r="A226" t="str">
            <v>USCOMZA1503951200002</v>
          </cell>
          <cell r="B226" t="str">
            <v>USCOMZA150</v>
          </cell>
          <cell r="C226">
            <v>3951200002</v>
          </cell>
          <cell r="D226" t="str">
            <v>OPERATING LEASES - VEHICLES (SHORT DURAT</v>
          </cell>
          <cell r="E226">
            <v>64</v>
          </cell>
          <cell r="F226">
            <v>16</v>
          </cell>
          <cell r="G226">
            <v>-16</v>
          </cell>
          <cell r="H226">
            <v>0</v>
          </cell>
          <cell r="I226">
            <v>0</v>
          </cell>
          <cell r="J226">
            <v>0</v>
          </cell>
          <cell r="K226">
            <v>0</v>
          </cell>
          <cell r="L226">
            <v>0</v>
          </cell>
          <cell r="M226">
            <v>0</v>
          </cell>
          <cell r="N226">
            <v>0</v>
          </cell>
          <cell r="O226">
            <v>0</v>
          </cell>
          <cell r="P226">
            <v>0</v>
          </cell>
          <cell r="Q226">
            <v>64</v>
          </cell>
        </row>
        <row r="227">
          <cell r="A227" t="str">
            <v>USCRMZA1503951200002</v>
          </cell>
          <cell r="B227" t="str">
            <v>USCRMZA150</v>
          </cell>
          <cell r="C227">
            <v>3951200002</v>
          </cell>
          <cell r="D227" t="str">
            <v>OPERATING LEASES - VEHICLES (SHORT DURAT</v>
          </cell>
          <cell r="E227">
            <v>456</v>
          </cell>
          <cell r="F227">
            <v>1098</v>
          </cell>
          <cell r="G227">
            <v>456</v>
          </cell>
          <cell r="H227">
            <v>456</v>
          </cell>
          <cell r="I227">
            <v>562</v>
          </cell>
          <cell r="J227">
            <v>-476</v>
          </cell>
          <cell r="K227">
            <v>25</v>
          </cell>
          <cell r="L227">
            <v>25</v>
          </cell>
          <cell r="M227">
            <v>25</v>
          </cell>
          <cell r="N227">
            <v>25</v>
          </cell>
          <cell r="O227">
            <v>25</v>
          </cell>
          <cell r="P227">
            <v>25</v>
          </cell>
          <cell r="Q227">
            <v>2702</v>
          </cell>
        </row>
        <row r="228">
          <cell r="A228" t="str">
            <v>USSTMZA1503951200002</v>
          </cell>
          <cell r="B228" t="str">
            <v>USSTMZA150</v>
          </cell>
          <cell r="C228">
            <v>3951200002</v>
          </cell>
          <cell r="D228" t="str">
            <v>OPERATING LEASES - VEHICLES (SHORT DURAT</v>
          </cell>
          <cell r="E228">
            <v>0</v>
          </cell>
          <cell r="F228">
            <v>16</v>
          </cell>
          <cell r="G228">
            <v>16</v>
          </cell>
          <cell r="H228">
            <v>16</v>
          </cell>
          <cell r="I228">
            <v>18</v>
          </cell>
          <cell r="J228">
            <v>-16</v>
          </cell>
          <cell r="K228">
            <v>0</v>
          </cell>
          <cell r="L228">
            <v>0</v>
          </cell>
          <cell r="M228">
            <v>0</v>
          </cell>
          <cell r="N228">
            <v>0</v>
          </cell>
          <cell r="O228">
            <v>0</v>
          </cell>
          <cell r="P228">
            <v>0</v>
          </cell>
          <cell r="Q228">
            <v>50</v>
          </cell>
        </row>
        <row r="229">
          <cell r="A229" t="str">
            <v>US22MZA1503981100067</v>
          </cell>
          <cell r="B229" t="str">
            <v>US22MZA150</v>
          </cell>
          <cell r="C229">
            <v>3981100067</v>
          </cell>
          <cell r="D229" t="str">
            <v>NET BOOK VALUE OF FIXED ASSETS 3RD</v>
          </cell>
          <cell r="E229">
            <v>0</v>
          </cell>
          <cell r="F229">
            <v>0</v>
          </cell>
          <cell r="G229">
            <v>0</v>
          </cell>
          <cell r="H229">
            <v>0</v>
          </cell>
          <cell r="I229">
            <v>0</v>
          </cell>
          <cell r="J229">
            <v>0</v>
          </cell>
          <cell r="K229">
            <v>0</v>
          </cell>
          <cell r="L229">
            <v>0</v>
          </cell>
          <cell r="M229">
            <v>0</v>
          </cell>
          <cell r="N229">
            <v>0</v>
          </cell>
          <cell r="O229">
            <v>0</v>
          </cell>
          <cell r="P229">
            <v>0</v>
          </cell>
          <cell r="Q229">
            <v>0</v>
          </cell>
        </row>
        <row r="230">
          <cell r="A230" t="str">
            <v>US59MZA1503981100067</v>
          </cell>
          <cell r="B230" t="str">
            <v>US59MZA150</v>
          </cell>
          <cell r="C230">
            <v>3981100067</v>
          </cell>
          <cell r="D230" t="str">
            <v>NET BOOK VALUE OF FIXED ASSETS 3RD</v>
          </cell>
          <cell r="E230">
            <v>0</v>
          </cell>
          <cell r="F230">
            <v>0</v>
          </cell>
          <cell r="G230">
            <v>0</v>
          </cell>
          <cell r="H230">
            <v>0</v>
          </cell>
          <cell r="I230">
            <v>0</v>
          </cell>
          <cell r="J230">
            <v>0</v>
          </cell>
          <cell r="K230">
            <v>0</v>
          </cell>
          <cell r="L230">
            <v>0</v>
          </cell>
          <cell r="M230">
            <v>0</v>
          </cell>
          <cell r="N230">
            <v>0</v>
          </cell>
          <cell r="O230">
            <v>0</v>
          </cell>
          <cell r="P230">
            <v>0</v>
          </cell>
          <cell r="Q230">
            <v>0</v>
          </cell>
        </row>
        <row r="231">
          <cell r="A231" t="str">
            <v>USCOMZA1503981100067</v>
          </cell>
          <cell r="B231" t="str">
            <v>USCOMZA150</v>
          </cell>
          <cell r="C231">
            <v>3981100067</v>
          </cell>
          <cell r="D231" t="str">
            <v>NET BOOK VALUE OF FIXED ASSETS 3RD</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A232" t="str">
            <v>USSTMZA1503981100067</v>
          </cell>
          <cell r="B232" t="str">
            <v>USSTMZA150</v>
          </cell>
          <cell r="C232">
            <v>3981100067</v>
          </cell>
          <cell r="D232" t="str">
            <v>NET BOOK VALUE OF FIXED ASSETS 3RD</v>
          </cell>
          <cell r="E232">
            <v>3</v>
          </cell>
          <cell r="F232">
            <v>0</v>
          </cell>
          <cell r="G232">
            <v>0</v>
          </cell>
          <cell r="H232">
            <v>0</v>
          </cell>
          <cell r="I232">
            <v>0</v>
          </cell>
          <cell r="J232">
            <v>0</v>
          </cell>
          <cell r="K232">
            <v>0</v>
          </cell>
          <cell r="L232">
            <v>0</v>
          </cell>
          <cell r="M232">
            <v>0</v>
          </cell>
          <cell r="N232">
            <v>0</v>
          </cell>
          <cell r="O232">
            <v>0</v>
          </cell>
          <cell r="P232">
            <v>0</v>
          </cell>
          <cell r="Q232">
            <v>3</v>
          </cell>
        </row>
        <row r="233">
          <cell r="A233" t="str">
            <v>US22MZA1503981100078</v>
          </cell>
          <cell r="B233" t="str">
            <v>US22MZA150</v>
          </cell>
          <cell r="C233">
            <v>3981100078</v>
          </cell>
          <cell r="D233" t="str">
            <v>GAIN ON FIXED ASSET</v>
          </cell>
          <cell r="E233">
            <v>0</v>
          </cell>
          <cell r="F233">
            <v>0</v>
          </cell>
          <cell r="G233">
            <v>0</v>
          </cell>
          <cell r="H233">
            <v>0</v>
          </cell>
          <cell r="I233">
            <v>0</v>
          </cell>
          <cell r="J233">
            <v>0</v>
          </cell>
          <cell r="K233">
            <v>0</v>
          </cell>
          <cell r="L233">
            <v>0</v>
          </cell>
          <cell r="M233">
            <v>0</v>
          </cell>
          <cell r="N233">
            <v>-1200</v>
          </cell>
          <cell r="O233">
            <v>0</v>
          </cell>
          <cell r="P233">
            <v>0</v>
          </cell>
          <cell r="Q233">
            <v>-1200</v>
          </cell>
        </row>
        <row r="234">
          <cell r="A234" t="str">
            <v>US59MZA1503981100078</v>
          </cell>
          <cell r="B234" t="str">
            <v>US59MZA150</v>
          </cell>
          <cell r="C234">
            <v>3981100078</v>
          </cell>
          <cell r="D234" t="str">
            <v>GAIN ON FIXED ASSET</v>
          </cell>
          <cell r="E234">
            <v>0</v>
          </cell>
          <cell r="F234">
            <v>0</v>
          </cell>
          <cell r="G234">
            <v>0</v>
          </cell>
          <cell r="H234">
            <v>0</v>
          </cell>
          <cell r="I234">
            <v>0</v>
          </cell>
          <cell r="J234">
            <v>-5439</v>
          </cell>
          <cell r="K234">
            <v>0</v>
          </cell>
          <cell r="L234">
            <v>9276</v>
          </cell>
          <cell r="M234">
            <v>0</v>
          </cell>
          <cell r="N234">
            <v>0</v>
          </cell>
          <cell r="O234">
            <v>0</v>
          </cell>
          <cell r="P234">
            <v>0</v>
          </cell>
          <cell r="Q234">
            <v>3837</v>
          </cell>
        </row>
        <row r="235">
          <cell r="A235" t="str">
            <v>USCLMZA1503981100078</v>
          </cell>
          <cell r="B235" t="str">
            <v>USCLMZA150</v>
          </cell>
          <cell r="C235">
            <v>3981100078</v>
          </cell>
          <cell r="D235" t="str">
            <v>GAIN ON FIXED ASSET</v>
          </cell>
          <cell r="E235">
            <v>0</v>
          </cell>
          <cell r="F235">
            <v>0</v>
          </cell>
          <cell r="G235">
            <v>0</v>
          </cell>
          <cell r="H235">
            <v>0</v>
          </cell>
          <cell r="I235">
            <v>0</v>
          </cell>
          <cell r="J235">
            <v>0</v>
          </cell>
          <cell r="K235">
            <v>0</v>
          </cell>
          <cell r="L235">
            <v>0</v>
          </cell>
          <cell r="M235">
            <v>911</v>
          </cell>
          <cell r="N235">
            <v>0</v>
          </cell>
          <cell r="O235">
            <v>0</v>
          </cell>
          <cell r="P235">
            <v>0</v>
          </cell>
          <cell r="Q235">
            <v>911</v>
          </cell>
        </row>
        <row r="236">
          <cell r="A236" t="str">
            <v>USSTMZA1503981100078</v>
          </cell>
          <cell r="B236" t="str">
            <v>USSTMZA150</v>
          </cell>
          <cell r="C236">
            <v>3981100078</v>
          </cell>
          <cell r="D236" t="str">
            <v>GAIN ON FIXED ASSET</v>
          </cell>
          <cell r="E236">
            <v>4974</v>
          </cell>
          <cell r="F236">
            <v>0</v>
          </cell>
          <cell r="G236">
            <v>0</v>
          </cell>
          <cell r="H236">
            <v>0</v>
          </cell>
          <cell r="I236">
            <v>0</v>
          </cell>
          <cell r="J236">
            <v>0</v>
          </cell>
          <cell r="K236">
            <v>0</v>
          </cell>
          <cell r="L236">
            <v>0</v>
          </cell>
          <cell r="M236">
            <v>0</v>
          </cell>
          <cell r="N236">
            <v>0</v>
          </cell>
          <cell r="O236">
            <v>0</v>
          </cell>
          <cell r="P236">
            <v>0</v>
          </cell>
          <cell r="Q236">
            <v>4974</v>
          </cell>
        </row>
        <row r="237">
          <cell r="A237" t="str">
            <v>USWOMZA1503981100078</v>
          </cell>
          <cell r="B237" t="str">
            <v>USWOMZA150</v>
          </cell>
          <cell r="C237">
            <v>3981100078</v>
          </cell>
          <cell r="D237" t="str">
            <v>GAIN ON FIXED ASSET</v>
          </cell>
          <cell r="E237">
            <v>0</v>
          </cell>
          <cell r="F237">
            <v>0</v>
          </cell>
          <cell r="G237">
            <v>0</v>
          </cell>
          <cell r="H237">
            <v>0</v>
          </cell>
          <cell r="I237">
            <v>0</v>
          </cell>
          <cell r="J237">
            <v>0</v>
          </cell>
          <cell r="K237">
            <v>0</v>
          </cell>
          <cell r="L237">
            <v>0</v>
          </cell>
          <cell r="M237">
            <v>12258</v>
          </cell>
          <cell r="N237">
            <v>0</v>
          </cell>
          <cell r="O237">
            <v>0</v>
          </cell>
          <cell r="P237">
            <v>0</v>
          </cell>
          <cell r="Q237">
            <v>12258</v>
          </cell>
        </row>
        <row r="238">
          <cell r="A238" t="str">
            <v>US22MZA1503991200012</v>
          </cell>
          <cell r="B238" t="str">
            <v>US22MZA150</v>
          </cell>
          <cell r="C238">
            <v>3991200012</v>
          </cell>
          <cell r="D238" t="str">
            <v>DELIVERY SERVICES</v>
          </cell>
          <cell r="E238">
            <v>33</v>
          </cell>
          <cell r="F238">
            <v>56</v>
          </cell>
          <cell r="G238">
            <v>0</v>
          </cell>
          <cell r="H238">
            <v>0</v>
          </cell>
          <cell r="I238">
            <v>13</v>
          </cell>
          <cell r="J238">
            <v>8</v>
          </cell>
          <cell r="K238">
            <v>0</v>
          </cell>
          <cell r="L238">
            <v>195</v>
          </cell>
          <cell r="M238">
            <v>269</v>
          </cell>
          <cell r="N238">
            <v>125</v>
          </cell>
          <cell r="O238">
            <v>46</v>
          </cell>
          <cell r="P238">
            <v>34</v>
          </cell>
          <cell r="Q238">
            <v>779</v>
          </cell>
        </row>
        <row r="239">
          <cell r="A239" t="str">
            <v>US28MZA1503991200012</v>
          </cell>
          <cell r="B239" t="str">
            <v>US28MZA150</v>
          </cell>
          <cell r="C239">
            <v>3991200012</v>
          </cell>
          <cell r="D239" t="str">
            <v>DELIVERY SERVICES</v>
          </cell>
          <cell r="E239">
            <v>537</v>
          </cell>
          <cell r="F239">
            <v>466</v>
          </cell>
          <cell r="G239">
            <v>1546</v>
          </cell>
          <cell r="H239">
            <v>2066</v>
          </cell>
          <cell r="I239">
            <v>1601</v>
          </cell>
          <cell r="J239">
            <v>724</v>
          </cell>
          <cell r="K239">
            <v>969</v>
          </cell>
          <cell r="L239">
            <v>1610</v>
          </cell>
          <cell r="M239">
            <v>1401</v>
          </cell>
          <cell r="N239">
            <v>2262</v>
          </cell>
          <cell r="O239">
            <v>1381</v>
          </cell>
          <cell r="P239">
            <v>1337</v>
          </cell>
          <cell r="Q239">
            <v>15900</v>
          </cell>
        </row>
        <row r="240">
          <cell r="A240" t="str">
            <v>US35MZA1503991200012</v>
          </cell>
          <cell r="B240" t="str">
            <v>US35MZA150</v>
          </cell>
          <cell r="C240">
            <v>3991200012</v>
          </cell>
          <cell r="D240" t="str">
            <v>DELIVERY SERVICES</v>
          </cell>
          <cell r="E240">
            <v>44</v>
          </cell>
          <cell r="F240">
            <v>79</v>
          </cell>
          <cell r="G240">
            <v>281</v>
          </cell>
          <cell r="H240">
            <v>51</v>
          </cell>
          <cell r="I240">
            <v>132</v>
          </cell>
          <cell r="J240">
            <v>182</v>
          </cell>
          <cell r="K240">
            <v>19</v>
          </cell>
          <cell r="L240">
            <v>205</v>
          </cell>
          <cell r="M240">
            <v>98</v>
          </cell>
          <cell r="N240">
            <v>205</v>
          </cell>
          <cell r="O240">
            <v>260</v>
          </cell>
          <cell r="P240">
            <v>219</v>
          </cell>
          <cell r="Q240">
            <v>1775</v>
          </cell>
        </row>
        <row r="241">
          <cell r="A241" t="str">
            <v>US59MZA1503991200012</v>
          </cell>
          <cell r="B241" t="str">
            <v>US59MZA150</v>
          </cell>
          <cell r="C241">
            <v>3991200012</v>
          </cell>
          <cell r="D241" t="str">
            <v>DELIVERY SERVICES</v>
          </cell>
          <cell r="E241">
            <v>144</v>
          </cell>
          <cell r="F241">
            <v>78</v>
          </cell>
          <cell r="G241">
            <v>22</v>
          </cell>
          <cell r="H241">
            <v>0</v>
          </cell>
          <cell r="I241">
            <v>0</v>
          </cell>
          <cell r="J241">
            <v>0</v>
          </cell>
          <cell r="K241">
            <v>0</v>
          </cell>
          <cell r="L241">
            <v>190</v>
          </cell>
          <cell r="M241">
            <v>0</v>
          </cell>
          <cell r="N241">
            <v>9</v>
          </cell>
          <cell r="O241">
            <v>0</v>
          </cell>
          <cell r="P241">
            <v>0</v>
          </cell>
          <cell r="Q241">
            <v>443</v>
          </cell>
        </row>
        <row r="242">
          <cell r="A242" t="str">
            <v>USCLMZA1503991200012</v>
          </cell>
          <cell r="B242" t="str">
            <v>USCLMZA150</v>
          </cell>
          <cell r="C242">
            <v>3991200012</v>
          </cell>
          <cell r="D242" t="str">
            <v>DELIVERY SERVICES</v>
          </cell>
          <cell r="E242">
            <v>44</v>
          </cell>
          <cell r="F242">
            <v>0</v>
          </cell>
          <cell r="G242">
            <v>120</v>
          </cell>
          <cell r="H242">
            <v>0</v>
          </cell>
          <cell r="I242">
            <v>0</v>
          </cell>
          <cell r="J242">
            <v>0</v>
          </cell>
          <cell r="K242">
            <v>0</v>
          </cell>
          <cell r="L242">
            <v>0</v>
          </cell>
          <cell r="M242">
            <v>0</v>
          </cell>
          <cell r="N242">
            <v>0</v>
          </cell>
          <cell r="O242">
            <v>0</v>
          </cell>
          <cell r="P242">
            <v>0</v>
          </cell>
          <cell r="Q242">
            <v>164</v>
          </cell>
        </row>
        <row r="243">
          <cell r="A243" t="str">
            <v>USCOMZA1503991200012</v>
          </cell>
          <cell r="B243" t="str">
            <v>USCOMZA150</v>
          </cell>
          <cell r="C243">
            <v>3991200012</v>
          </cell>
          <cell r="D243" t="str">
            <v>DELIVERY SERVICES</v>
          </cell>
          <cell r="E243">
            <v>56</v>
          </cell>
          <cell r="F243">
            <v>0</v>
          </cell>
          <cell r="G243">
            <v>0</v>
          </cell>
          <cell r="H243">
            <v>0</v>
          </cell>
          <cell r="I243">
            <v>0</v>
          </cell>
          <cell r="J243">
            <v>0</v>
          </cell>
          <cell r="K243">
            <v>0</v>
          </cell>
          <cell r="L243">
            <v>0</v>
          </cell>
          <cell r="M243">
            <v>0</v>
          </cell>
          <cell r="N243">
            <v>0</v>
          </cell>
          <cell r="O243">
            <v>0</v>
          </cell>
          <cell r="P243">
            <v>0</v>
          </cell>
          <cell r="Q243">
            <v>56</v>
          </cell>
        </row>
        <row r="244">
          <cell r="A244" t="str">
            <v>USCRMZA1503991200012</v>
          </cell>
          <cell r="B244" t="str">
            <v>USCRMZA150</v>
          </cell>
          <cell r="C244">
            <v>3991200012</v>
          </cell>
          <cell r="D244" t="str">
            <v>DELIVERY SERVICES</v>
          </cell>
          <cell r="E244">
            <v>116</v>
          </cell>
          <cell r="F244">
            <v>167</v>
          </cell>
          <cell r="G244">
            <v>101</v>
          </cell>
          <cell r="H244">
            <v>108</v>
          </cell>
          <cell r="I244">
            <v>23</v>
          </cell>
          <cell r="J244">
            <v>155</v>
          </cell>
          <cell r="K244">
            <v>0</v>
          </cell>
          <cell r="L244">
            <v>737</v>
          </cell>
          <cell r="M244">
            <v>573</v>
          </cell>
          <cell r="N244">
            <v>202</v>
          </cell>
          <cell r="O244">
            <v>446</v>
          </cell>
          <cell r="P244">
            <v>242</v>
          </cell>
          <cell r="Q244">
            <v>2870</v>
          </cell>
        </row>
        <row r="245">
          <cell r="A245" t="str">
            <v>USSTMZA1503991200012</v>
          </cell>
          <cell r="B245" t="str">
            <v>USSTMZA150</v>
          </cell>
          <cell r="C245">
            <v>3991200012</v>
          </cell>
          <cell r="D245" t="str">
            <v>DELIVERY SERVICES</v>
          </cell>
          <cell r="E245">
            <v>0</v>
          </cell>
          <cell r="F245">
            <v>0</v>
          </cell>
          <cell r="G245">
            <v>12</v>
          </cell>
          <cell r="H245">
            <v>0</v>
          </cell>
          <cell r="I245">
            <v>0</v>
          </cell>
          <cell r="J245">
            <v>0</v>
          </cell>
          <cell r="K245">
            <v>0</v>
          </cell>
          <cell r="L245">
            <v>0</v>
          </cell>
          <cell r="M245">
            <v>0</v>
          </cell>
          <cell r="N245">
            <v>0</v>
          </cell>
          <cell r="O245">
            <v>0</v>
          </cell>
          <cell r="P245">
            <v>0</v>
          </cell>
          <cell r="Q245">
            <v>12</v>
          </cell>
        </row>
        <row r="246">
          <cell r="A246" t="str">
            <v>USWOMZA1503991200012</v>
          </cell>
          <cell r="B246" t="str">
            <v>USWOMZA150</v>
          </cell>
          <cell r="C246">
            <v>3991200012</v>
          </cell>
          <cell r="D246" t="str">
            <v>DELIVERY SERVICES</v>
          </cell>
          <cell r="E246">
            <v>97</v>
          </cell>
          <cell r="F246">
            <v>143</v>
          </cell>
          <cell r="G246">
            <v>110</v>
          </cell>
          <cell r="H246">
            <v>115</v>
          </cell>
          <cell r="I246">
            <v>2566</v>
          </cell>
          <cell r="J246">
            <v>88</v>
          </cell>
          <cell r="K246">
            <v>86</v>
          </cell>
          <cell r="L246">
            <v>-515</v>
          </cell>
          <cell r="M246">
            <v>205</v>
          </cell>
          <cell r="N246">
            <v>167</v>
          </cell>
          <cell r="O246">
            <v>262</v>
          </cell>
          <cell r="P246">
            <v>891</v>
          </cell>
          <cell r="Q246">
            <v>4215</v>
          </cell>
        </row>
        <row r="247">
          <cell r="A247" t="str">
            <v>US22MZA1503991200015</v>
          </cell>
          <cell r="B247" t="str">
            <v>US22MZA150</v>
          </cell>
          <cell r="C247">
            <v>3991200015</v>
          </cell>
          <cell r="D247" t="str">
            <v>TELEPHONE</v>
          </cell>
          <cell r="E247">
            <v>233</v>
          </cell>
          <cell r="F247">
            <v>220</v>
          </cell>
          <cell r="G247">
            <v>227</v>
          </cell>
          <cell r="H247">
            <v>229</v>
          </cell>
          <cell r="I247">
            <v>0</v>
          </cell>
          <cell r="J247">
            <v>222</v>
          </cell>
          <cell r="K247">
            <v>224</v>
          </cell>
          <cell r="L247">
            <v>224</v>
          </cell>
          <cell r="M247">
            <v>242</v>
          </cell>
          <cell r="N247">
            <v>232</v>
          </cell>
          <cell r="O247">
            <v>255</v>
          </cell>
          <cell r="P247">
            <v>247</v>
          </cell>
          <cell r="Q247">
            <v>2555</v>
          </cell>
        </row>
        <row r="248">
          <cell r="A248" t="str">
            <v>US28MZA1503991200015</v>
          </cell>
          <cell r="B248" t="str">
            <v>US28MZA150</v>
          </cell>
          <cell r="C248">
            <v>3991200015</v>
          </cell>
          <cell r="D248" t="str">
            <v>TELEPHONE</v>
          </cell>
          <cell r="E248">
            <v>0</v>
          </cell>
          <cell r="F248">
            <v>0</v>
          </cell>
          <cell r="G248">
            <v>0</v>
          </cell>
          <cell r="H248">
            <v>0</v>
          </cell>
          <cell r="I248">
            <v>51</v>
          </cell>
          <cell r="J248">
            <v>0</v>
          </cell>
          <cell r="K248">
            <v>0</v>
          </cell>
          <cell r="L248">
            <v>0</v>
          </cell>
          <cell r="M248">
            <v>0</v>
          </cell>
          <cell r="N248">
            <v>0</v>
          </cell>
          <cell r="O248">
            <v>0</v>
          </cell>
          <cell r="P248">
            <v>0</v>
          </cell>
          <cell r="Q248">
            <v>51</v>
          </cell>
        </row>
        <row r="249">
          <cell r="A249" t="str">
            <v>US35MZA1503991200015</v>
          </cell>
          <cell r="B249" t="str">
            <v>US35MZA150</v>
          </cell>
          <cell r="C249">
            <v>3991200015</v>
          </cell>
          <cell r="D249" t="str">
            <v>TELEPHONE</v>
          </cell>
          <cell r="E249">
            <v>0</v>
          </cell>
          <cell r="F249">
            <v>0</v>
          </cell>
          <cell r="G249">
            <v>0</v>
          </cell>
          <cell r="H249">
            <v>0</v>
          </cell>
          <cell r="I249">
            <v>142</v>
          </cell>
          <cell r="J249">
            <v>96</v>
          </cell>
          <cell r="K249">
            <v>28</v>
          </cell>
          <cell r="L249">
            <v>0</v>
          </cell>
          <cell r="M249">
            <v>0</v>
          </cell>
          <cell r="N249">
            <v>0</v>
          </cell>
          <cell r="O249">
            <v>0</v>
          </cell>
          <cell r="P249">
            <v>0</v>
          </cell>
          <cell r="Q249">
            <v>266</v>
          </cell>
        </row>
        <row r="250">
          <cell r="A250" t="str">
            <v>US59MZA1503991200015</v>
          </cell>
          <cell r="B250" t="str">
            <v>US59MZA150</v>
          </cell>
          <cell r="C250">
            <v>3991200015</v>
          </cell>
          <cell r="D250" t="str">
            <v>TELEPHONE</v>
          </cell>
          <cell r="E250">
            <v>0</v>
          </cell>
          <cell r="F250">
            <v>0</v>
          </cell>
          <cell r="G250">
            <v>0</v>
          </cell>
          <cell r="H250">
            <v>0</v>
          </cell>
          <cell r="I250">
            <v>22</v>
          </cell>
          <cell r="J250">
            <v>0</v>
          </cell>
          <cell r="K250">
            <v>0</v>
          </cell>
          <cell r="L250">
            <v>0</v>
          </cell>
          <cell r="M250">
            <v>0</v>
          </cell>
          <cell r="N250">
            <v>0</v>
          </cell>
          <cell r="O250">
            <v>1084</v>
          </cell>
          <cell r="P250">
            <v>622</v>
          </cell>
          <cell r="Q250">
            <v>1728</v>
          </cell>
        </row>
        <row r="251">
          <cell r="A251" t="str">
            <v>USCLMZA1503991200015</v>
          </cell>
          <cell r="B251" t="str">
            <v>USCLMZA150</v>
          </cell>
          <cell r="C251">
            <v>3991200015</v>
          </cell>
          <cell r="D251" t="str">
            <v>TELEPHONE</v>
          </cell>
          <cell r="E251">
            <v>0</v>
          </cell>
          <cell r="F251">
            <v>0</v>
          </cell>
          <cell r="G251">
            <v>0</v>
          </cell>
          <cell r="H251">
            <v>0</v>
          </cell>
          <cell r="I251">
            <v>0</v>
          </cell>
          <cell r="J251">
            <v>0</v>
          </cell>
          <cell r="K251">
            <v>0</v>
          </cell>
          <cell r="L251">
            <v>0</v>
          </cell>
          <cell r="M251">
            <v>0</v>
          </cell>
          <cell r="N251">
            <v>0</v>
          </cell>
          <cell r="O251">
            <v>0</v>
          </cell>
          <cell r="P251">
            <v>0</v>
          </cell>
          <cell r="Q251">
            <v>0</v>
          </cell>
        </row>
        <row r="252">
          <cell r="A252" t="str">
            <v>USCRMZA1503991200015</v>
          </cell>
          <cell r="B252" t="str">
            <v>USCRMZA150</v>
          </cell>
          <cell r="C252">
            <v>3991200015</v>
          </cell>
          <cell r="D252" t="str">
            <v>TELEPHONE</v>
          </cell>
          <cell r="E252">
            <v>0</v>
          </cell>
          <cell r="F252">
            <v>52</v>
          </cell>
          <cell r="G252">
            <v>0</v>
          </cell>
          <cell r="H252">
            <v>0</v>
          </cell>
          <cell r="I252">
            <v>0</v>
          </cell>
          <cell r="J252">
            <v>0</v>
          </cell>
          <cell r="K252">
            <v>0</v>
          </cell>
          <cell r="L252">
            <v>0</v>
          </cell>
          <cell r="M252">
            <v>0</v>
          </cell>
          <cell r="N252">
            <v>0</v>
          </cell>
          <cell r="O252">
            <v>0</v>
          </cell>
          <cell r="P252">
            <v>0</v>
          </cell>
          <cell r="Q252">
            <v>52</v>
          </cell>
        </row>
        <row r="253">
          <cell r="A253" t="str">
            <v>USWOMZA1503991200015</v>
          </cell>
          <cell r="B253" t="str">
            <v>USWOMZA150</v>
          </cell>
          <cell r="C253">
            <v>3991200015</v>
          </cell>
          <cell r="D253" t="str">
            <v>TELEPHONE</v>
          </cell>
          <cell r="E253">
            <v>143</v>
          </cell>
          <cell r="F253">
            <v>143</v>
          </cell>
          <cell r="G253">
            <v>0</v>
          </cell>
          <cell r="H253">
            <v>147</v>
          </cell>
          <cell r="I253">
            <v>0</v>
          </cell>
          <cell r="J253">
            <v>0</v>
          </cell>
          <cell r="K253">
            <v>0</v>
          </cell>
          <cell r="L253">
            <v>0</v>
          </cell>
          <cell r="M253">
            <v>0</v>
          </cell>
          <cell r="N253">
            <v>142</v>
          </cell>
          <cell r="O253">
            <v>0</v>
          </cell>
          <cell r="P253">
            <v>0</v>
          </cell>
          <cell r="Q253">
            <v>575</v>
          </cell>
        </row>
        <row r="254">
          <cell r="A254" t="str">
            <v>US22MZA1503991200099</v>
          </cell>
          <cell r="B254" t="str">
            <v>US22MZA150</v>
          </cell>
          <cell r="C254">
            <v>3991200099</v>
          </cell>
          <cell r="D254" t="str">
            <v>OTHER EXPENSES TO 3RD PARTIES - ADJUSTME</v>
          </cell>
          <cell r="E254">
            <v>1</v>
          </cell>
          <cell r="F254">
            <v>345</v>
          </cell>
          <cell r="G254">
            <v>49</v>
          </cell>
          <cell r="H254">
            <v>3</v>
          </cell>
          <cell r="I254">
            <v>1382</v>
          </cell>
          <cell r="J254">
            <v>2543</v>
          </cell>
          <cell r="K254">
            <v>0</v>
          </cell>
          <cell r="L254">
            <v>0</v>
          </cell>
          <cell r="M254">
            <v>0</v>
          </cell>
          <cell r="N254">
            <v>17</v>
          </cell>
          <cell r="O254">
            <v>0</v>
          </cell>
          <cell r="P254">
            <v>309</v>
          </cell>
          <cell r="Q254">
            <v>4649</v>
          </cell>
        </row>
        <row r="255">
          <cell r="A255" t="str">
            <v>US28MZA1503991200099</v>
          </cell>
          <cell r="B255" t="str">
            <v>US28MZA150</v>
          </cell>
          <cell r="C255">
            <v>3991200099</v>
          </cell>
          <cell r="D255" t="str">
            <v>OTHER EXPENSES TO 3RD PARTIES - ADJUSTME</v>
          </cell>
          <cell r="E255">
            <v>0</v>
          </cell>
          <cell r="F255">
            <v>0</v>
          </cell>
          <cell r="G255">
            <v>0</v>
          </cell>
          <cell r="H255">
            <v>18</v>
          </cell>
          <cell r="I255">
            <v>444</v>
          </cell>
          <cell r="J255">
            <v>605</v>
          </cell>
          <cell r="K255">
            <v>178</v>
          </cell>
          <cell r="L255">
            <v>3</v>
          </cell>
          <cell r="M255">
            <v>83</v>
          </cell>
          <cell r="N255">
            <v>0</v>
          </cell>
          <cell r="O255">
            <v>0</v>
          </cell>
          <cell r="P255">
            <v>0</v>
          </cell>
          <cell r="Q255">
            <v>1331</v>
          </cell>
        </row>
        <row r="256">
          <cell r="A256" t="str">
            <v>US35MZA1503991200099</v>
          </cell>
          <cell r="B256" t="str">
            <v>US35MZA150</v>
          </cell>
          <cell r="C256">
            <v>3991200099</v>
          </cell>
          <cell r="D256" t="str">
            <v>OTHER EXPENSES TO 3RD PARTIES - ADJUSTME</v>
          </cell>
          <cell r="E256">
            <v>0</v>
          </cell>
          <cell r="F256">
            <v>97</v>
          </cell>
          <cell r="G256">
            <v>34</v>
          </cell>
          <cell r="H256">
            <v>0</v>
          </cell>
          <cell r="I256">
            <v>14</v>
          </cell>
          <cell r="J256">
            <v>0</v>
          </cell>
          <cell r="K256">
            <v>0</v>
          </cell>
          <cell r="L256">
            <v>0</v>
          </cell>
          <cell r="M256">
            <v>0</v>
          </cell>
          <cell r="N256">
            <v>0</v>
          </cell>
          <cell r="O256">
            <v>167</v>
          </cell>
          <cell r="P256">
            <v>0</v>
          </cell>
          <cell r="Q256">
            <v>312</v>
          </cell>
        </row>
        <row r="257">
          <cell r="A257" t="str">
            <v>US59MZA1503991200099</v>
          </cell>
          <cell r="B257" t="str">
            <v>US59MZA150</v>
          </cell>
          <cell r="C257">
            <v>3991200099</v>
          </cell>
          <cell r="D257" t="str">
            <v>OTHER EXPENSES TO 3RD PARTIES - ADJUSTME</v>
          </cell>
          <cell r="E257">
            <v>601</v>
          </cell>
          <cell r="F257">
            <v>440</v>
          </cell>
          <cell r="G257">
            <v>62</v>
          </cell>
          <cell r="H257">
            <v>45</v>
          </cell>
          <cell r="I257">
            <v>128</v>
          </cell>
          <cell r="J257">
            <v>325</v>
          </cell>
          <cell r="K257">
            <v>514</v>
          </cell>
          <cell r="L257">
            <v>55</v>
          </cell>
          <cell r="M257">
            <v>463</v>
          </cell>
          <cell r="N257">
            <v>605</v>
          </cell>
          <cell r="O257">
            <v>553</v>
          </cell>
          <cell r="P257">
            <v>222</v>
          </cell>
          <cell r="Q257">
            <v>4013</v>
          </cell>
        </row>
        <row r="258">
          <cell r="A258" t="str">
            <v>USCLMZA1503991200099</v>
          </cell>
          <cell r="B258" t="str">
            <v>USCLMZA150</v>
          </cell>
          <cell r="C258">
            <v>3991200099</v>
          </cell>
          <cell r="D258" t="str">
            <v>OTHER EXPENSES TO 3RD PARTIES - ADJUSTME</v>
          </cell>
          <cell r="E258">
            <v>0</v>
          </cell>
          <cell r="F258">
            <v>0</v>
          </cell>
          <cell r="G258">
            <v>65</v>
          </cell>
          <cell r="H258">
            <v>274</v>
          </cell>
          <cell r="I258">
            <v>65</v>
          </cell>
          <cell r="J258">
            <v>65</v>
          </cell>
          <cell r="K258">
            <v>65</v>
          </cell>
          <cell r="L258">
            <v>65</v>
          </cell>
          <cell r="M258">
            <v>92</v>
          </cell>
          <cell r="N258">
            <v>65</v>
          </cell>
          <cell r="O258">
            <v>65</v>
          </cell>
          <cell r="P258">
            <v>65</v>
          </cell>
          <cell r="Q258">
            <v>886</v>
          </cell>
        </row>
        <row r="259">
          <cell r="A259" t="str">
            <v>USCRMZA1503991200099</v>
          </cell>
          <cell r="B259" t="str">
            <v>USCRMZA150</v>
          </cell>
          <cell r="C259">
            <v>3991200099</v>
          </cell>
          <cell r="D259" t="str">
            <v>OTHER EXPENSES TO 3RD PARTIES - ADJUSTME</v>
          </cell>
          <cell r="E259">
            <v>715</v>
          </cell>
          <cell r="F259">
            <v>0</v>
          </cell>
          <cell r="G259">
            <v>294</v>
          </cell>
          <cell r="H259">
            <v>497</v>
          </cell>
          <cell r="I259">
            <v>250</v>
          </cell>
          <cell r="J259">
            <v>165</v>
          </cell>
          <cell r="K259">
            <v>329</v>
          </cell>
          <cell r="L259">
            <v>210</v>
          </cell>
          <cell r="M259">
            <v>128</v>
          </cell>
          <cell r="N259">
            <v>0</v>
          </cell>
          <cell r="O259">
            <v>0</v>
          </cell>
          <cell r="P259">
            <v>286</v>
          </cell>
          <cell r="Q259">
            <v>2874</v>
          </cell>
        </row>
        <row r="260">
          <cell r="A260" t="str">
            <v>USCRMZA1553991200099</v>
          </cell>
          <cell r="B260" t="str">
            <v>USCRMZA155</v>
          </cell>
          <cell r="C260">
            <v>3991200099</v>
          </cell>
          <cell r="D260" t="str">
            <v>OTHER EXPENSES TO 3RD PARTIES - ADJUSTME</v>
          </cell>
          <cell r="E260">
            <v>0</v>
          </cell>
          <cell r="F260">
            <v>0</v>
          </cell>
          <cell r="G260">
            <v>0</v>
          </cell>
          <cell r="H260">
            <v>0</v>
          </cell>
          <cell r="I260">
            <v>126</v>
          </cell>
          <cell r="J260">
            <v>0</v>
          </cell>
          <cell r="K260">
            <v>0</v>
          </cell>
          <cell r="L260">
            <v>0</v>
          </cell>
          <cell r="M260">
            <v>3133</v>
          </cell>
          <cell r="N260">
            <v>-255</v>
          </cell>
          <cell r="O260">
            <v>-21</v>
          </cell>
          <cell r="P260">
            <v>0</v>
          </cell>
          <cell r="Q260">
            <v>2983</v>
          </cell>
        </row>
        <row r="261">
          <cell r="A261" t="str">
            <v>USSTMZA1503991200099</v>
          </cell>
          <cell r="B261" t="str">
            <v>USSTMZA150</v>
          </cell>
          <cell r="C261">
            <v>3991200099</v>
          </cell>
          <cell r="D261" t="str">
            <v>OTHER EXPENSES TO 3RD PARTIES - ADJUSTME</v>
          </cell>
          <cell r="E261">
            <v>0</v>
          </cell>
          <cell r="F261">
            <v>0</v>
          </cell>
          <cell r="G261">
            <v>0</v>
          </cell>
          <cell r="H261">
            <v>0</v>
          </cell>
          <cell r="I261">
            <v>0</v>
          </cell>
          <cell r="J261">
            <v>0</v>
          </cell>
          <cell r="K261">
            <v>0</v>
          </cell>
          <cell r="L261">
            <v>0</v>
          </cell>
          <cell r="M261">
            <v>0</v>
          </cell>
          <cell r="N261">
            <v>0</v>
          </cell>
          <cell r="O261">
            <v>0</v>
          </cell>
          <cell r="P261">
            <v>0</v>
          </cell>
          <cell r="Q261">
            <v>0</v>
          </cell>
        </row>
        <row r="262">
          <cell r="A262" t="str">
            <v>US22MZA1503991200201</v>
          </cell>
          <cell r="B262" t="str">
            <v>US22MZA150</v>
          </cell>
          <cell r="C262">
            <v>3991200201</v>
          </cell>
          <cell r="D262" t="str">
            <v>ALLOCATIONS OTHER IN/OUT LOAD AC</v>
          </cell>
          <cell r="E262">
            <v>0</v>
          </cell>
          <cell r="F262">
            <v>-352</v>
          </cell>
          <cell r="G262">
            <v>0</v>
          </cell>
          <cell r="H262">
            <v>0</v>
          </cell>
          <cell r="I262">
            <v>0</v>
          </cell>
          <cell r="J262">
            <v>0</v>
          </cell>
          <cell r="K262">
            <v>0</v>
          </cell>
          <cell r="L262">
            <v>0</v>
          </cell>
          <cell r="M262">
            <v>0</v>
          </cell>
          <cell r="N262">
            <v>0</v>
          </cell>
          <cell r="O262">
            <v>0</v>
          </cell>
          <cell r="P262">
            <v>0</v>
          </cell>
          <cell r="Q262">
            <v>-352</v>
          </cell>
        </row>
        <row r="263">
          <cell r="A263" t="str">
            <v>US28MZA1503991200201</v>
          </cell>
          <cell r="B263" t="str">
            <v>US28MZA150</v>
          </cell>
          <cell r="C263">
            <v>3991200201</v>
          </cell>
          <cell r="D263" t="str">
            <v>ALLOCATIONS OTHER IN/OUT LOAD AC</v>
          </cell>
          <cell r="E263">
            <v>0</v>
          </cell>
          <cell r="F263">
            <v>-232</v>
          </cell>
          <cell r="G263">
            <v>0</v>
          </cell>
          <cell r="H263">
            <v>0</v>
          </cell>
          <cell r="I263">
            <v>0</v>
          </cell>
          <cell r="J263">
            <v>0</v>
          </cell>
          <cell r="K263">
            <v>0</v>
          </cell>
          <cell r="L263">
            <v>0</v>
          </cell>
          <cell r="M263">
            <v>0</v>
          </cell>
          <cell r="N263">
            <v>0</v>
          </cell>
          <cell r="O263">
            <v>0</v>
          </cell>
          <cell r="P263">
            <v>0</v>
          </cell>
          <cell r="Q263">
            <v>-232</v>
          </cell>
        </row>
        <row r="264">
          <cell r="A264" t="str">
            <v>US28MZA1553991200201</v>
          </cell>
          <cell r="B264" t="str">
            <v>US28MZA155</v>
          </cell>
          <cell r="C264">
            <v>3991200201</v>
          </cell>
          <cell r="D264" t="str">
            <v>ALLOCATIONS OTHER IN/OUT LOAD AC</v>
          </cell>
          <cell r="E264">
            <v>0</v>
          </cell>
          <cell r="F264">
            <v>-59</v>
          </cell>
          <cell r="G264">
            <v>0</v>
          </cell>
          <cell r="H264">
            <v>0</v>
          </cell>
          <cell r="I264">
            <v>0</v>
          </cell>
          <cell r="J264">
            <v>0</v>
          </cell>
          <cell r="K264">
            <v>0</v>
          </cell>
          <cell r="L264">
            <v>0</v>
          </cell>
          <cell r="M264">
            <v>0</v>
          </cell>
          <cell r="N264">
            <v>0</v>
          </cell>
          <cell r="O264">
            <v>0</v>
          </cell>
          <cell r="P264">
            <v>0</v>
          </cell>
          <cell r="Q264">
            <v>-59</v>
          </cell>
        </row>
        <row r="265">
          <cell r="A265" t="str">
            <v>US35MZA1503991200201</v>
          </cell>
          <cell r="B265" t="str">
            <v>US35MZA150</v>
          </cell>
          <cell r="C265">
            <v>3991200201</v>
          </cell>
          <cell r="D265" t="str">
            <v>ALLOCATIONS OTHER IN/OUT LOAD AC</v>
          </cell>
          <cell r="E265">
            <v>0</v>
          </cell>
          <cell r="F265">
            <v>-327</v>
          </cell>
          <cell r="G265">
            <v>0</v>
          </cell>
          <cell r="H265">
            <v>0</v>
          </cell>
          <cell r="I265">
            <v>0</v>
          </cell>
          <cell r="J265">
            <v>0</v>
          </cell>
          <cell r="K265">
            <v>0</v>
          </cell>
          <cell r="L265">
            <v>0</v>
          </cell>
          <cell r="M265">
            <v>0</v>
          </cell>
          <cell r="N265">
            <v>0</v>
          </cell>
          <cell r="O265">
            <v>0</v>
          </cell>
          <cell r="P265">
            <v>0</v>
          </cell>
          <cell r="Q265">
            <v>-327</v>
          </cell>
        </row>
        <row r="266">
          <cell r="A266" t="str">
            <v>US59MZA1503991200201</v>
          </cell>
          <cell r="B266" t="str">
            <v>US59MZA150</v>
          </cell>
          <cell r="C266">
            <v>3991200201</v>
          </cell>
          <cell r="D266" t="str">
            <v>ALLOCATIONS OTHER IN/OUT LOAD AC</v>
          </cell>
          <cell r="E266">
            <v>0</v>
          </cell>
          <cell r="F266">
            <v>-276</v>
          </cell>
          <cell r="G266">
            <v>0</v>
          </cell>
          <cell r="H266">
            <v>0</v>
          </cell>
          <cell r="I266">
            <v>0</v>
          </cell>
          <cell r="J266">
            <v>0</v>
          </cell>
          <cell r="K266">
            <v>0</v>
          </cell>
          <cell r="L266">
            <v>0</v>
          </cell>
          <cell r="M266">
            <v>0</v>
          </cell>
          <cell r="N266">
            <v>0</v>
          </cell>
          <cell r="O266">
            <v>0</v>
          </cell>
          <cell r="P266">
            <v>0</v>
          </cell>
          <cell r="Q266">
            <v>-276</v>
          </cell>
        </row>
        <row r="267">
          <cell r="A267" t="str">
            <v>USCRMZA1503991200201</v>
          </cell>
          <cell r="B267" t="str">
            <v>USCRMZA150</v>
          </cell>
          <cell r="C267">
            <v>3991200201</v>
          </cell>
          <cell r="D267" t="str">
            <v>ALLOCATIONS OTHER IN/OUT LOAD AC</v>
          </cell>
          <cell r="E267">
            <v>0</v>
          </cell>
          <cell r="F267">
            <v>-527</v>
          </cell>
          <cell r="G267">
            <v>0</v>
          </cell>
          <cell r="H267">
            <v>0</v>
          </cell>
          <cell r="I267">
            <v>0</v>
          </cell>
          <cell r="J267">
            <v>0</v>
          </cell>
          <cell r="K267">
            <v>0</v>
          </cell>
          <cell r="L267">
            <v>0</v>
          </cell>
          <cell r="M267">
            <v>0</v>
          </cell>
          <cell r="N267">
            <v>0</v>
          </cell>
          <cell r="O267">
            <v>0</v>
          </cell>
          <cell r="P267">
            <v>0</v>
          </cell>
          <cell r="Q267">
            <v>-527</v>
          </cell>
        </row>
        <row r="268">
          <cell r="A268" t="str">
            <v>USWOMZA1503991200201</v>
          </cell>
          <cell r="B268" t="str">
            <v>USWOMZA150</v>
          </cell>
          <cell r="C268">
            <v>3991200201</v>
          </cell>
          <cell r="D268" t="str">
            <v>ALLOCATIONS OTHER IN/OUT LOAD AC</v>
          </cell>
          <cell r="E268">
            <v>0</v>
          </cell>
          <cell r="F268">
            <v>-404</v>
          </cell>
          <cell r="G268">
            <v>0</v>
          </cell>
          <cell r="H268">
            <v>0</v>
          </cell>
          <cell r="I268">
            <v>0</v>
          </cell>
          <cell r="J268">
            <v>0</v>
          </cell>
          <cell r="K268">
            <v>0</v>
          </cell>
          <cell r="L268">
            <v>0</v>
          </cell>
          <cell r="M268">
            <v>0</v>
          </cell>
          <cell r="N268">
            <v>0</v>
          </cell>
          <cell r="O268">
            <v>0</v>
          </cell>
          <cell r="P268">
            <v>0</v>
          </cell>
          <cell r="Q268">
            <v>-404</v>
          </cell>
        </row>
        <row r="269">
          <cell r="A269" t="str">
            <v>US22MZA1509420000025</v>
          </cell>
          <cell r="B269" t="str">
            <v>US22MZA150</v>
          </cell>
          <cell r="C269">
            <v>9420000025</v>
          </cell>
          <cell r="D269" t="str">
            <v>EMPLOYEE BENEFIT ALLOCATION</v>
          </cell>
          <cell r="E269">
            <v>10398</v>
          </cell>
          <cell r="F269">
            <v>9255</v>
          </cell>
          <cell r="G269">
            <v>10569</v>
          </cell>
          <cell r="H269">
            <v>7268</v>
          </cell>
          <cell r="I269">
            <v>8314</v>
          </cell>
          <cell r="J269">
            <v>6343</v>
          </cell>
          <cell r="K269">
            <v>6705</v>
          </cell>
          <cell r="L269">
            <v>7013</v>
          </cell>
          <cell r="M269">
            <v>3954</v>
          </cell>
          <cell r="N269">
            <v>5410</v>
          </cell>
          <cell r="O269">
            <v>6543</v>
          </cell>
          <cell r="P269">
            <v>7308</v>
          </cell>
          <cell r="Q269">
            <v>89080</v>
          </cell>
        </row>
        <row r="270">
          <cell r="A270" t="str">
            <v>US22MZA1559420000025</v>
          </cell>
          <cell r="B270" t="str">
            <v>US22MZA155</v>
          </cell>
          <cell r="C270">
            <v>9420000025</v>
          </cell>
          <cell r="D270" t="str">
            <v>EMPLOYEE BENEFIT ALLOCATION</v>
          </cell>
          <cell r="E270">
            <v>0</v>
          </cell>
          <cell r="F270">
            <v>1606</v>
          </cell>
          <cell r="G270">
            <v>1462</v>
          </cell>
          <cell r="H270">
            <v>1602</v>
          </cell>
          <cell r="I270">
            <v>1450</v>
          </cell>
          <cell r="J270">
            <v>3449</v>
          </cell>
          <cell r="K270">
            <v>3903</v>
          </cell>
          <cell r="L270">
            <v>-603</v>
          </cell>
          <cell r="M270">
            <v>0</v>
          </cell>
          <cell r="N270">
            <v>0</v>
          </cell>
          <cell r="O270">
            <v>0</v>
          </cell>
          <cell r="P270">
            <v>0</v>
          </cell>
          <cell r="Q270">
            <v>12869</v>
          </cell>
        </row>
        <row r="271">
          <cell r="A271" t="str">
            <v>US28MZA1509420000025</v>
          </cell>
          <cell r="B271" t="str">
            <v>US28MZA150</v>
          </cell>
          <cell r="C271">
            <v>9420000025</v>
          </cell>
          <cell r="D271" t="str">
            <v>EMPLOYEE BENEFIT ALLOCATION</v>
          </cell>
          <cell r="E271">
            <v>6223</v>
          </cell>
          <cell r="F271">
            <v>4812</v>
          </cell>
          <cell r="G271">
            <v>6233</v>
          </cell>
          <cell r="H271">
            <v>4365</v>
          </cell>
          <cell r="I271">
            <v>4026</v>
          </cell>
          <cell r="J271">
            <v>1510</v>
          </cell>
          <cell r="K271">
            <v>3402</v>
          </cell>
          <cell r="L271">
            <v>3608</v>
          </cell>
          <cell r="M271">
            <v>2527</v>
          </cell>
          <cell r="N271">
            <v>2795</v>
          </cell>
          <cell r="O271">
            <v>4424</v>
          </cell>
          <cell r="P271">
            <v>3485</v>
          </cell>
          <cell r="Q271">
            <v>47410</v>
          </cell>
        </row>
        <row r="272">
          <cell r="A272" t="str">
            <v>US28MZA1559420000025</v>
          </cell>
          <cell r="B272" t="str">
            <v>US28MZA155</v>
          </cell>
          <cell r="C272">
            <v>9420000025</v>
          </cell>
          <cell r="D272" t="str">
            <v>EMPLOYEE BENEFIT ALLOCATION</v>
          </cell>
          <cell r="E272">
            <v>1451</v>
          </cell>
          <cell r="F272">
            <v>1535</v>
          </cell>
          <cell r="G272">
            <v>1712</v>
          </cell>
          <cell r="H272">
            <v>1667</v>
          </cell>
          <cell r="I272">
            <v>1889</v>
          </cell>
          <cell r="J272">
            <v>1703</v>
          </cell>
          <cell r="K272">
            <v>1685</v>
          </cell>
          <cell r="L272">
            <v>1549</v>
          </cell>
          <cell r="M272">
            <v>232</v>
          </cell>
          <cell r="N272">
            <v>0</v>
          </cell>
          <cell r="O272">
            <v>1019</v>
          </cell>
          <cell r="P272">
            <v>1266</v>
          </cell>
          <cell r="Q272">
            <v>15708</v>
          </cell>
        </row>
        <row r="273">
          <cell r="A273" t="str">
            <v>US35MZA1509420000025</v>
          </cell>
          <cell r="B273" t="str">
            <v>US35MZA150</v>
          </cell>
          <cell r="C273">
            <v>9420000025</v>
          </cell>
          <cell r="D273" t="str">
            <v>EMPLOYEE BENEFIT ALLOCATION</v>
          </cell>
          <cell r="E273">
            <v>10418</v>
          </cell>
          <cell r="F273">
            <v>9253</v>
          </cell>
          <cell r="G273">
            <v>8813</v>
          </cell>
          <cell r="H273">
            <v>6931</v>
          </cell>
          <cell r="I273">
            <v>8880</v>
          </cell>
          <cell r="J273">
            <v>6494</v>
          </cell>
          <cell r="K273">
            <v>5336</v>
          </cell>
          <cell r="L273">
            <v>7557</v>
          </cell>
          <cell r="M273">
            <v>2072</v>
          </cell>
          <cell r="N273">
            <v>3359</v>
          </cell>
          <cell r="O273">
            <v>3942</v>
          </cell>
          <cell r="P273">
            <v>5834</v>
          </cell>
          <cell r="Q273">
            <v>78889</v>
          </cell>
        </row>
        <row r="274">
          <cell r="A274" t="str">
            <v>US35MZA1559420000025</v>
          </cell>
          <cell r="B274" t="str">
            <v>US35MZA155</v>
          </cell>
          <cell r="C274">
            <v>9420000025</v>
          </cell>
          <cell r="D274" t="str">
            <v>EMPLOYEE BENEFIT ALLOCATION</v>
          </cell>
          <cell r="E274">
            <v>0</v>
          </cell>
          <cell r="F274">
            <v>0</v>
          </cell>
          <cell r="G274">
            <v>3120</v>
          </cell>
          <cell r="H274">
            <v>4377</v>
          </cell>
          <cell r="I274">
            <v>3303</v>
          </cell>
          <cell r="J274">
            <v>3345</v>
          </cell>
          <cell r="K274">
            <v>2919</v>
          </cell>
          <cell r="L274">
            <v>756</v>
          </cell>
          <cell r="M274">
            <v>0</v>
          </cell>
          <cell r="N274">
            <v>0</v>
          </cell>
          <cell r="O274">
            <v>2584</v>
          </cell>
          <cell r="P274">
            <v>2009</v>
          </cell>
          <cell r="Q274">
            <v>22413</v>
          </cell>
        </row>
        <row r="275">
          <cell r="A275" t="str">
            <v>US59MZA1509420000025</v>
          </cell>
          <cell r="B275" t="str">
            <v>US59MZA150</v>
          </cell>
          <cell r="C275">
            <v>9420000025</v>
          </cell>
          <cell r="D275" t="str">
            <v>EMPLOYEE BENEFIT ALLOCATION</v>
          </cell>
          <cell r="E275">
            <v>7718</v>
          </cell>
          <cell r="F275">
            <v>8098</v>
          </cell>
          <cell r="G275">
            <v>9434</v>
          </cell>
          <cell r="H275">
            <v>8820</v>
          </cell>
          <cell r="I275">
            <v>9625</v>
          </cell>
          <cell r="J275">
            <v>7245</v>
          </cell>
          <cell r="K275">
            <v>5121</v>
          </cell>
          <cell r="L275">
            <v>3066</v>
          </cell>
          <cell r="M275">
            <v>2321</v>
          </cell>
          <cell r="N275">
            <v>3796</v>
          </cell>
          <cell r="O275">
            <v>4374</v>
          </cell>
          <cell r="P275">
            <v>3282</v>
          </cell>
          <cell r="Q275">
            <v>72900</v>
          </cell>
        </row>
        <row r="276">
          <cell r="A276" t="str">
            <v>USCLMZA1509420000025</v>
          </cell>
          <cell r="B276" t="str">
            <v>USCLMZA150</v>
          </cell>
          <cell r="C276">
            <v>9420000025</v>
          </cell>
          <cell r="D276" t="str">
            <v>EMPLOYEE BENEFIT ALLOCATION</v>
          </cell>
          <cell r="E276">
            <v>0</v>
          </cell>
          <cell r="F276">
            <v>0</v>
          </cell>
          <cell r="G276">
            <v>0</v>
          </cell>
          <cell r="H276">
            <v>0</v>
          </cell>
          <cell r="I276">
            <v>0</v>
          </cell>
          <cell r="J276">
            <v>0</v>
          </cell>
          <cell r="K276">
            <v>0</v>
          </cell>
          <cell r="L276">
            <v>0</v>
          </cell>
          <cell r="M276">
            <v>0</v>
          </cell>
          <cell r="N276">
            <v>0</v>
          </cell>
          <cell r="O276">
            <v>0</v>
          </cell>
          <cell r="P276">
            <v>0</v>
          </cell>
          <cell r="Q276">
            <v>0</v>
          </cell>
        </row>
        <row r="277">
          <cell r="A277" t="str">
            <v>USCOMZA1509420000025</v>
          </cell>
          <cell r="B277" t="str">
            <v>USCOMZA150</v>
          </cell>
          <cell r="C277">
            <v>9420000025</v>
          </cell>
          <cell r="D277" t="str">
            <v>EMPLOYEE BENEFIT ALLOCATION</v>
          </cell>
          <cell r="E277">
            <v>0</v>
          </cell>
          <cell r="F277">
            <v>0</v>
          </cell>
          <cell r="G277">
            <v>0</v>
          </cell>
          <cell r="H277">
            <v>0</v>
          </cell>
          <cell r="I277">
            <v>0</v>
          </cell>
          <cell r="J277">
            <v>0</v>
          </cell>
          <cell r="K277">
            <v>0</v>
          </cell>
          <cell r="L277">
            <v>0</v>
          </cell>
          <cell r="M277">
            <v>0</v>
          </cell>
          <cell r="N277">
            <v>0</v>
          </cell>
          <cell r="O277">
            <v>0</v>
          </cell>
          <cell r="P277">
            <v>0</v>
          </cell>
          <cell r="Q277">
            <v>0</v>
          </cell>
        </row>
        <row r="278">
          <cell r="A278" t="str">
            <v>USCRMZA1509420000025</v>
          </cell>
          <cell r="B278" t="str">
            <v>USCRMZA150</v>
          </cell>
          <cell r="C278">
            <v>9420000025</v>
          </cell>
          <cell r="D278" t="str">
            <v>EMPLOYEE BENEFIT ALLOCATION</v>
          </cell>
          <cell r="E278">
            <v>13539</v>
          </cell>
          <cell r="F278">
            <v>13315</v>
          </cell>
          <cell r="G278">
            <v>12605</v>
          </cell>
          <cell r="H278">
            <v>13263</v>
          </cell>
          <cell r="I278">
            <v>11688</v>
          </cell>
          <cell r="J278">
            <v>8372</v>
          </cell>
          <cell r="K278">
            <v>8810</v>
          </cell>
          <cell r="L278">
            <v>7522</v>
          </cell>
          <cell r="M278">
            <v>8476</v>
          </cell>
          <cell r="N278">
            <v>1774</v>
          </cell>
          <cell r="O278">
            <v>8678</v>
          </cell>
          <cell r="P278">
            <v>8367</v>
          </cell>
          <cell r="Q278">
            <v>116409</v>
          </cell>
        </row>
        <row r="279">
          <cell r="A279" t="str">
            <v>USSTMZA1509420000025</v>
          </cell>
          <cell r="B279" t="str">
            <v>USSTMZA150</v>
          </cell>
          <cell r="C279">
            <v>9420000025</v>
          </cell>
          <cell r="D279" t="str">
            <v>EMPLOYEE BENEFIT ALLOCATION</v>
          </cell>
          <cell r="E279">
            <v>0</v>
          </cell>
          <cell r="F279">
            <v>0</v>
          </cell>
          <cell r="G279">
            <v>0</v>
          </cell>
          <cell r="H279">
            <v>0</v>
          </cell>
          <cell r="I279">
            <v>0</v>
          </cell>
          <cell r="J279">
            <v>0</v>
          </cell>
          <cell r="K279">
            <v>0</v>
          </cell>
          <cell r="L279">
            <v>0</v>
          </cell>
          <cell r="M279">
            <v>0</v>
          </cell>
          <cell r="N279">
            <v>0</v>
          </cell>
          <cell r="O279">
            <v>0</v>
          </cell>
          <cell r="P279">
            <v>0</v>
          </cell>
          <cell r="Q279">
            <v>0</v>
          </cell>
        </row>
        <row r="280">
          <cell r="A280" t="str">
            <v>USWOMZA1509420000025</v>
          </cell>
          <cell r="B280" t="str">
            <v>USWOMZA150</v>
          </cell>
          <cell r="C280">
            <v>9420000025</v>
          </cell>
          <cell r="D280" t="str">
            <v>EMPLOYEE BENEFIT ALLOCATION</v>
          </cell>
          <cell r="E280">
            <v>10193</v>
          </cell>
          <cell r="F280">
            <v>10430</v>
          </cell>
          <cell r="G280">
            <v>11714</v>
          </cell>
          <cell r="H280">
            <v>14007</v>
          </cell>
          <cell r="I280">
            <v>13154</v>
          </cell>
          <cell r="J280">
            <v>10022</v>
          </cell>
          <cell r="K280">
            <v>9962</v>
          </cell>
          <cell r="L280">
            <v>2184</v>
          </cell>
          <cell r="M280">
            <v>567</v>
          </cell>
          <cell r="N280">
            <v>530</v>
          </cell>
          <cell r="O280">
            <v>4980</v>
          </cell>
          <cell r="P280">
            <v>6036</v>
          </cell>
          <cell r="Q280">
            <v>93779</v>
          </cell>
        </row>
        <row r="281">
          <cell r="A281" t="str">
            <v>US22P015753001500128</v>
          </cell>
          <cell r="B281" t="str">
            <v>US22P01575</v>
          </cell>
          <cell r="C281">
            <v>3001500128</v>
          </cell>
          <cell r="D281" t="str">
            <v>INVENTORY MOVMENT - PACKING MATERIALS CO</v>
          </cell>
          <cell r="E281">
            <v>0</v>
          </cell>
          <cell r="F281">
            <v>0</v>
          </cell>
          <cell r="G281">
            <v>0</v>
          </cell>
          <cell r="H281">
            <v>0</v>
          </cell>
          <cell r="I281">
            <v>0</v>
          </cell>
          <cell r="J281">
            <v>0</v>
          </cell>
          <cell r="K281">
            <v>0</v>
          </cell>
          <cell r="L281">
            <v>0</v>
          </cell>
          <cell r="M281">
            <v>0</v>
          </cell>
          <cell r="N281">
            <v>6</v>
          </cell>
          <cell r="O281">
            <v>0</v>
          </cell>
          <cell r="P281">
            <v>6</v>
          </cell>
          <cell r="Q281">
            <v>12</v>
          </cell>
        </row>
        <row r="282">
          <cell r="A282" t="str">
            <v>US35P015753001500128</v>
          </cell>
          <cell r="B282" t="str">
            <v>US35P01575</v>
          </cell>
          <cell r="C282">
            <v>3001500128</v>
          </cell>
          <cell r="D282" t="str">
            <v>INVENTORY MOVMENT - PACKING MATERIALS CO</v>
          </cell>
          <cell r="E282">
            <v>0</v>
          </cell>
          <cell r="F282">
            <v>0</v>
          </cell>
          <cell r="G282">
            <v>0</v>
          </cell>
          <cell r="H282">
            <v>0</v>
          </cell>
          <cell r="I282">
            <v>0</v>
          </cell>
          <cell r="J282">
            <v>0</v>
          </cell>
          <cell r="K282">
            <v>0</v>
          </cell>
          <cell r="L282">
            <v>0</v>
          </cell>
          <cell r="M282">
            <v>14</v>
          </cell>
          <cell r="N282">
            <v>0</v>
          </cell>
          <cell r="O282">
            <v>0</v>
          </cell>
          <cell r="P282">
            <v>0</v>
          </cell>
          <cell r="Q282">
            <v>14</v>
          </cell>
        </row>
        <row r="283">
          <cell r="A283" t="str">
            <v>US35P015603001500151</v>
          </cell>
          <cell r="B283" t="str">
            <v>US35P01560</v>
          </cell>
          <cell r="C283">
            <v>3001500151</v>
          </cell>
          <cell r="D283" t="str">
            <v>INVENTORY MOVEMENT / PACKED COMMERCIAL D</v>
          </cell>
          <cell r="E283">
            <v>0</v>
          </cell>
          <cell r="F283">
            <v>0</v>
          </cell>
          <cell r="G283">
            <v>0</v>
          </cell>
          <cell r="H283">
            <v>0</v>
          </cell>
          <cell r="I283">
            <v>2467</v>
          </cell>
          <cell r="J283">
            <v>0</v>
          </cell>
          <cell r="K283">
            <v>0</v>
          </cell>
          <cell r="L283">
            <v>0</v>
          </cell>
          <cell r="M283">
            <v>0</v>
          </cell>
          <cell r="N283">
            <v>0</v>
          </cell>
          <cell r="O283">
            <v>0</v>
          </cell>
          <cell r="P283">
            <v>0</v>
          </cell>
          <cell r="Q283">
            <v>2467</v>
          </cell>
        </row>
        <row r="284">
          <cell r="A284" t="str">
            <v>US35P015603001500152</v>
          </cell>
          <cell r="B284" t="str">
            <v>US35P01560</v>
          </cell>
          <cell r="C284">
            <v>3001500152</v>
          </cell>
          <cell r="D284" t="str">
            <v>INVENTORY MOVEMENTS-PACKED COMMERCIAL PD</v>
          </cell>
          <cell r="E284">
            <v>0</v>
          </cell>
          <cell r="F284">
            <v>0</v>
          </cell>
          <cell r="G284">
            <v>0</v>
          </cell>
          <cell r="H284">
            <v>0</v>
          </cell>
          <cell r="I284">
            <v>762</v>
          </cell>
          <cell r="J284">
            <v>0</v>
          </cell>
          <cell r="K284">
            <v>0</v>
          </cell>
          <cell r="L284">
            <v>0</v>
          </cell>
          <cell r="M284">
            <v>0</v>
          </cell>
          <cell r="N284">
            <v>0</v>
          </cell>
          <cell r="O284">
            <v>0</v>
          </cell>
          <cell r="P284">
            <v>0</v>
          </cell>
          <cell r="Q284">
            <v>762</v>
          </cell>
        </row>
        <row r="285">
          <cell r="A285" t="str">
            <v>US28P015753001500975</v>
          </cell>
          <cell r="B285" t="str">
            <v>US28P01575</v>
          </cell>
          <cell r="C285">
            <v>3001500975</v>
          </cell>
          <cell r="D285" t="str">
            <v>INVENTORY RESERVE ADJUSTMENT</v>
          </cell>
          <cell r="E285">
            <v>0</v>
          </cell>
          <cell r="F285">
            <v>0</v>
          </cell>
          <cell r="G285">
            <v>0</v>
          </cell>
          <cell r="H285">
            <v>0</v>
          </cell>
          <cell r="I285">
            <v>0</v>
          </cell>
          <cell r="J285">
            <v>0</v>
          </cell>
          <cell r="K285">
            <v>960</v>
          </cell>
          <cell r="L285">
            <v>0</v>
          </cell>
          <cell r="M285">
            <v>0</v>
          </cell>
          <cell r="N285">
            <v>0</v>
          </cell>
          <cell r="O285">
            <v>0</v>
          </cell>
          <cell r="P285">
            <v>0</v>
          </cell>
          <cell r="Q285">
            <v>960</v>
          </cell>
        </row>
        <row r="286">
          <cell r="A286" t="str">
            <v>USWOP015113001500975</v>
          </cell>
          <cell r="B286" t="str">
            <v>USWOP01511</v>
          </cell>
          <cell r="C286">
            <v>3001500975</v>
          </cell>
          <cell r="D286" t="str">
            <v>INVENTORY RESERVE ADJUSTMENT</v>
          </cell>
          <cell r="E286">
            <v>-3630</v>
          </cell>
          <cell r="F286">
            <v>0</v>
          </cell>
          <cell r="G286">
            <v>0</v>
          </cell>
          <cell r="H286">
            <v>0</v>
          </cell>
          <cell r="I286">
            <v>0</v>
          </cell>
          <cell r="J286">
            <v>0</v>
          </cell>
          <cell r="K286">
            <v>0</v>
          </cell>
          <cell r="L286">
            <v>0</v>
          </cell>
          <cell r="M286">
            <v>0</v>
          </cell>
          <cell r="N286">
            <v>0</v>
          </cell>
          <cell r="O286">
            <v>0</v>
          </cell>
          <cell r="P286">
            <v>0</v>
          </cell>
          <cell r="Q286">
            <v>-3630</v>
          </cell>
        </row>
        <row r="287">
          <cell r="A287" t="str">
            <v>US22P015013111100000</v>
          </cell>
          <cell r="B287" t="str">
            <v>US22P01501</v>
          </cell>
          <cell r="C287">
            <v>3111100000</v>
          </cell>
          <cell r="D287" t="str">
            <v>WAGES,SALARIES,ALLOWANCES AND COMMI/PERM</v>
          </cell>
          <cell r="E287">
            <v>38567</v>
          </cell>
          <cell r="F287">
            <v>33532</v>
          </cell>
          <cell r="G287">
            <v>36934</v>
          </cell>
          <cell r="H287">
            <v>35715</v>
          </cell>
          <cell r="I287">
            <v>36590</v>
          </cell>
          <cell r="J287">
            <v>34426</v>
          </cell>
          <cell r="K287">
            <v>37934</v>
          </cell>
          <cell r="L287">
            <v>40584</v>
          </cell>
          <cell r="M287">
            <v>35060</v>
          </cell>
          <cell r="N287">
            <v>40403</v>
          </cell>
          <cell r="O287">
            <v>39549</v>
          </cell>
          <cell r="P287">
            <v>37834</v>
          </cell>
          <cell r="Q287">
            <v>447128</v>
          </cell>
        </row>
        <row r="288">
          <cell r="A288" t="str">
            <v>US22P015503111100000</v>
          </cell>
          <cell r="B288" t="str">
            <v>US22P01550</v>
          </cell>
          <cell r="C288">
            <v>3111100000</v>
          </cell>
          <cell r="D288" t="str">
            <v>WAGES,SALARIES,ALLOWANCES AND COMMI/PERM</v>
          </cell>
          <cell r="E288">
            <v>574</v>
          </cell>
          <cell r="F288">
            <v>0</v>
          </cell>
          <cell r="G288">
            <v>0</v>
          </cell>
          <cell r="H288">
            <v>2741</v>
          </cell>
          <cell r="I288">
            <v>18880</v>
          </cell>
          <cell r="J288">
            <v>19417</v>
          </cell>
          <cell r="K288">
            <v>21817</v>
          </cell>
          <cell r="L288">
            <v>19396</v>
          </cell>
          <cell r="M288">
            <v>1898</v>
          </cell>
          <cell r="N288">
            <v>1387</v>
          </cell>
          <cell r="O288">
            <v>2199</v>
          </cell>
          <cell r="P288">
            <v>2573</v>
          </cell>
          <cell r="Q288">
            <v>90882</v>
          </cell>
        </row>
        <row r="289">
          <cell r="A289" t="str">
            <v>US22P015533111100000</v>
          </cell>
          <cell r="B289" t="str">
            <v>US22P01553</v>
          </cell>
          <cell r="C289">
            <v>3111100000</v>
          </cell>
          <cell r="D289" t="str">
            <v>WAGES,SALARIES,ALLOWANCES AND COMMI/PERM</v>
          </cell>
          <cell r="E289">
            <v>0</v>
          </cell>
          <cell r="F289">
            <v>0</v>
          </cell>
          <cell r="G289">
            <v>0</v>
          </cell>
          <cell r="H289">
            <v>0</v>
          </cell>
          <cell r="I289">
            <v>0</v>
          </cell>
          <cell r="J289">
            <v>0</v>
          </cell>
          <cell r="K289">
            <v>1248</v>
          </cell>
          <cell r="L289">
            <v>1404</v>
          </cell>
          <cell r="M289">
            <v>0</v>
          </cell>
          <cell r="N289">
            <v>0</v>
          </cell>
          <cell r="O289">
            <v>0</v>
          </cell>
          <cell r="P289">
            <v>0</v>
          </cell>
          <cell r="Q289">
            <v>2652</v>
          </cell>
        </row>
        <row r="290">
          <cell r="A290" t="str">
            <v>US22P015603111100000</v>
          </cell>
          <cell r="B290" t="str">
            <v>US22P01560</v>
          </cell>
          <cell r="C290">
            <v>3111100000</v>
          </cell>
          <cell r="D290" t="str">
            <v>WAGES,SALARIES,ALLOWANCES AND COMMI/PERM</v>
          </cell>
          <cell r="E290">
            <v>1924</v>
          </cell>
          <cell r="F290">
            <v>-1108</v>
          </cell>
          <cell r="G290">
            <v>11850</v>
          </cell>
          <cell r="H290">
            <v>2758</v>
          </cell>
          <cell r="I290">
            <v>4370</v>
          </cell>
          <cell r="J290">
            <v>-950</v>
          </cell>
          <cell r="K290">
            <v>1655</v>
          </cell>
          <cell r="L290">
            <v>-33</v>
          </cell>
          <cell r="M290">
            <v>4781</v>
          </cell>
          <cell r="N290">
            <v>22540</v>
          </cell>
          <cell r="O290">
            <v>21657</v>
          </cell>
          <cell r="P290">
            <v>7343</v>
          </cell>
          <cell r="Q290">
            <v>76787</v>
          </cell>
        </row>
        <row r="291">
          <cell r="A291" t="str">
            <v>US22P015643111100000</v>
          </cell>
          <cell r="B291" t="str">
            <v>US22P01564</v>
          </cell>
          <cell r="C291">
            <v>3111100000</v>
          </cell>
          <cell r="D291" t="str">
            <v>WAGES,SALARIES,ALLOWANCES AND COMMI/PERM</v>
          </cell>
          <cell r="E291">
            <v>0</v>
          </cell>
          <cell r="F291">
            <v>0</v>
          </cell>
          <cell r="G291">
            <v>0</v>
          </cell>
          <cell r="H291">
            <v>0</v>
          </cell>
          <cell r="I291">
            <v>0</v>
          </cell>
          <cell r="J291">
            <v>0</v>
          </cell>
          <cell r="K291">
            <v>0</v>
          </cell>
          <cell r="L291">
            <v>0</v>
          </cell>
          <cell r="M291">
            <v>9410</v>
          </cell>
          <cell r="N291">
            <v>11119</v>
          </cell>
          <cell r="O291">
            <v>-1222</v>
          </cell>
          <cell r="P291">
            <v>0</v>
          </cell>
          <cell r="Q291">
            <v>19307</v>
          </cell>
        </row>
        <row r="292">
          <cell r="A292" t="str">
            <v>US22P015753111100000</v>
          </cell>
          <cell r="B292" t="str">
            <v>US22P01575</v>
          </cell>
          <cell r="C292">
            <v>3111100000</v>
          </cell>
          <cell r="D292" t="str">
            <v>WAGES,SALARIES,ALLOWANCES AND COMMI/PERM</v>
          </cell>
          <cell r="E292">
            <v>16125</v>
          </cell>
          <cell r="F292">
            <v>15476</v>
          </cell>
          <cell r="G292">
            <v>6112</v>
          </cell>
          <cell r="H292">
            <v>11958</v>
          </cell>
          <cell r="I292">
            <v>-557</v>
          </cell>
          <cell r="J292">
            <v>-1044</v>
          </cell>
          <cell r="K292">
            <v>0</v>
          </cell>
          <cell r="L292">
            <v>11717</v>
          </cell>
          <cell r="M292">
            <v>13855</v>
          </cell>
          <cell r="N292">
            <v>-1002</v>
          </cell>
          <cell r="O292">
            <v>3596</v>
          </cell>
          <cell r="P292">
            <v>7868</v>
          </cell>
          <cell r="Q292">
            <v>84104</v>
          </cell>
        </row>
        <row r="293">
          <cell r="A293" t="str">
            <v>US22P015853111100000</v>
          </cell>
          <cell r="B293" t="str">
            <v>US22P01585</v>
          </cell>
          <cell r="C293">
            <v>3111100000</v>
          </cell>
          <cell r="D293" t="str">
            <v>WAGES,SALARIES,ALLOWANCES AND COMMI/PERM</v>
          </cell>
          <cell r="E293">
            <v>4759</v>
          </cell>
          <cell r="F293">
            <v>2357</v>
          </cell>
          <cell r="G293">
            <v>2919</v>
          </cell>
          <cell r="H293">
            <v>2786</v>
          </cell>
          <cell r="I293">
            <v>3984</v>
          </cell>
          <cell r="J293">
            <v>10987</v>
          </cell>
          <cell r="K293">
            <v>9507</v>
          </cell>
          <cell r="L293">
            <v>4967</v>
          </cell>
          <cell r="M293">
            <v>2718</v>
          </cell>
          <cell r="N293">
            <v>1160</v>
          </cell>
          <cell r="O293">
            <v>0</v>
          </cell>
          <cell r="P293">
            <v>0</v>
          </cell>
          <cell r="Q293">
            <v>46144</v>
          </cell>
        </row>
        <row r="294">
          <cell r="A294" t="str">
            <v>US22P015903111100000</v>
          </cell>
          <cell r="B294" t="str">
            <v>US22P01590</v>
          </cell>
          <cell r="C294">
            <v>3111100000</v>
          </cell>
          <cell r="D294" t="str">
            <v>WAGES,SALARIES,ALLOWANCES AND COMMI/PERM</v>
          </cell>
          <cell r="E294">
            <v>2959</v>
          </cell>
          <cell r="F294">
            <v>2573</v>
          </cell>
          <cell r="G294">
            <v>2830</v>
          </cell>
          <cell r="H294">
            <v>2835</v>
          </cell>
          <cell r="I294">
            <v>2045</v>
          </cell>
          <cell r="J294">
            <v>-630</v>
          </cell>
          <cell r="K294">
            <v>0</v>
          </cell>
          <cell r="L294">
            <v>3345</v>
          </cell>
          <cell r="M294">
            <v>0</v>
          </cell>
          <cell r="N294">
            <v>0</v>
          </cell>
          <cell r="O294">
            <v>4424</v>
          </cell>
          <cell r="P294">
            <v>2826</v>
          </cell>
          <cell r="Q294">
            <v>23207</v>
          </cell>
        </row>
        <row r="295">
          <cell r="A295" t="str">
            <v>US22P015923111100000</v>
          </cell>
          <cell r="B295" t="str">
            <v>US22P01592</v>
          </cell>
          <cell r="C295">
            <v>3111100000</v>
          </cell>
          <cell r="D295" t="str">
            <v>WAGES,SALARIES,ALLOWANCES AND COMMI/PERM</v>
          </cell>
          <cell r="E295">
            <v>0</v>
          </cell>
          <cell r="F295">
            <v>0</v>
          </cell>
          <cell r="G295">
            <v>0</v>
          </cell>
          <cell r="H295">
            <v>0</v>
          </cell>
          <cell r="I295">
            <v>0</v>
          </cell>
          <cell r="J295">
            <v>0</v>
          </cell>
          <cell r="K295">
            <v>0</v>
          </cell>
          <cell r="L295">
            <v>0</v>
          </cell>
          <cell r="M295">
            <v>2676</v>
          </cell>
          <cell r="N295">
            <v>3077</v>
          </cell>
          <cell r="O295">
            <v>-401</v>
          </cell>
          <cell r="P295">
            <v>0</v>
          </cell>
          <cell r="Q295">
            <v>5352</v>
          </cell>
        </row>
        <row r="296">
          <cell r="A296" t="str">
            <v>US28P015013111100000</v>
          </cell>
          <cell r="B296" t="str">
            <v>US28P01501</v>
          </cell>
          <cell r="C296">
            <v>3111100000</v>
          </cell>
          <cell r="D296" t="str">
            <v>WAGES,SALARIES,ALLOWANCES AND COMMI/PERM</v>
          </cell>
          <cell r="E296">
            <v>31390</v>
          </cell>
          <cell r="F296">
            <v>30679</v>
          </cell>
          <cell r="G296">
            <v>31622</v>
          </cell>
          <cell r="H296">
            <v>32504</v>
          </cell>
          <cell r="I296">
            <v>34610</v>
          </cell>
          <cell r="J296">
            <v>31500</v>
          </cell>
          <cell r="K296">
            <v>33046</v>
          </cell>
          <cell r="L296">
            <v>34745</v>
          </cell>
          <cell r="M296">
            <v>30240</v>
          </cell>
          <cell r="N296">
            <v>34661</v>
          </cell>
          <cell r="O296">
            <v>33132</v>
          </cell>
          <cell r="P296">
            <v>31579</v>
          </cell>
          <cell r="Q296">
            <v>389708</v>
          </cell>
        </row>
        <row r="297">
          <cell r="A297" t="str">
            <v>US28P015503111100000</v>
          </cell>
          <cell r="B297" t="str">
            <v>US28P01550</v>
          </cell>
          <cell r="C297">
            <v>3111100000</v>
          </cell>
          <cell r="D297" t="str">
            <v>WAGES,SALARIES,ALLOWANCES AND COMMI/PERM</v>
          </cell>
          <cell r="E297">
            <v>0</v>
          </cell>
          <cell r="F297">
            <v>0</v>
          </cell>
          <cell r="G297">
            <v>0</v>
          </cell>
          <cell r="H297">
            <v>3550</v>
          </cell>
          <cell r="I297">
            <v>13736</v>
          </cell>
          <cell r="J297">
            <v>20162</v>
          </cell>
          <cell r="K297">
            <v>4522</v>
          </cell>
          <cell r="L297">
            <v>5625</v>
          </cell>
          <cell r="M297">
            <v>0</v>
          </cell>
          <cell r="N297">
            <v>0</v>
          </cell>
          <cell r="O297">
            <v>0</v>
          </cell>
          <cell r="P297">
            <v>0</v>
          </cell>
          <cell r="Q297">
            <v>47595</v>
          </cell>
        </row>
        <row r="298">
          <cell r="A298" t="str">
            <v>US28P015533111100000</v>
          </cell>
          <cell r="B298" t="str">
            <v>US28P01553</v>
          </cell>
          <cell r="C298">
            <v>3111100000</v>
          </cell>
          <cell r="D298" t="str">
            <v>WAGES,SALARIES,ALLOWANCES AND COMMI/PERM</v>
          </cell>
          <cell r="E298">
            <v>0</v>
          </cell>
          <cell r="F298">
            <v>0</v>
          </cell>
          <cell r="G298">
            <v>0</v>
          </cell>
          <cell r="H298">
            <v>0</v>
          </cell>
          <cell r="I298">
            <v>0</v>
          </cell>
          <cell r="J298">
            <v>0</v>
          </cell>
          <cell r="K298">
            <v>28882</v>
          </cell>
          <cell r="L298">
            <v>1852</v>
          </cell>
          <cell r="M298">
            <v>-900</v>
          </cell>
          <cell r="N298">
            <v>0</v>
          </cell>
          <cell r="O298">
            <v>0</v>
          </cell>
          <cell r="P298">
            <v>0</v>
          </cell>
          <cell r="Q298">
            <v>29834</v>
          </cell>
        </row>
        <row r="299">
          <cell r="A299" t="str">
            <v>US28P015603111100000</v>
          </cell>
          <cell r="B299" t="str">
            <v>US28P01560</v>
          </cell>
          <cell r="C299">
            <v>3111100000</v>
          </cell>
          <cell r="D299" t="str">
            <v>WAGES,SALARIES,ALLOWANCES AND COMMI/PERM</v>
          </cell>
          <cell r="E299">
            <v>18284</v>
          </cell>
          <cell r="F299">
            <v>15592</v>
          </cell>
          <cell r="G299">
            <v>20033</v>
          </cell>
          <cell r="H299">
            <v>19355</v>
          </cell>
          <cell r="I299">
            <v>14877</v>
          </cell>
          <cell r="J299">
            <v>5990</v>
          </cell>
          <cell r="K299">
            <v>2233</v>
          </cell>
          <cell r="L299">
            <v>1490</v>
          </cell>
          <cell r="M299">
            <v>15430</v>
          </cell>
          <cell r="N299">
            <v>19394</v>
          </cell>
          <cell r="O299">
            <v>20515</v>
          </cell>
          <cell r="P299">
            <v>21811</v>
          </cell>
          <cell r="Q299">
            <v>175004</v>
          </cell>
        </row>
        <row r="300">
          <cell r="A300" t="str">
            <v>US28P015643111100000</v>
          </cell>
          <cell r="B300" t="str">
            <v>US28P01564</v>
          </cell>
          <cell r="C300">
            <v>3111100000</v>
          </cell>
          <cell r="D300" t="str">
            <v>WAGES,SALARIES,ALLOWANCES AND COMMI/PERM</v>
          </cell>
          <cell r="E300">
            <v>0</v>
          </cell>
          <cell r="F300">
            <v>0</v>
          </cell>
          <cell r="G300">
            <v>0</v>
          </cell>
          <cell r="H300">
            <v>0</v>
          </cell>
          <cell r="I300">
            <v>0</v>
          </cell>
          <cell r="J300">
            <v>0</v>
          </cell>
          <cell r="K300">
            <v>0</v>
          </cell>
          <cell r="L300">
            <v>5612</v>
          </cell>
          <cell r="M300">
            <v>24238</v>
          </cell>
          <cell r="N300">
            <v>20907</v>
          </cell>
          <cell r="O300">
            <v>-4721</v>
          </cell>
          <cell r="P300">
            <v>0</v>
          </cell>
          <cell r="Q300">
            <v>46036</v>
          </cell>
        </row>
        <row r="301">
          <cell r="A301" t="str">
            <v>US28P015753111100000</v>
          </cell>
          <cell r="B301" t="str">
            <v>US28P01575</v>
          </cell>
          <cell r="C301">
            <v>3111100000</v>
          </cell>
          <cell r="D301" t="str">
            <v>WAGES,SALARIES,ALLOWANCES AND COMMI/PERM</v>
          </cell>
          <cell r="E301">
            <v>0</v>
          </cell>
          <cell r="F301">
            <v>0</v>
          </cell>
          <cell r="G301">
            <v>0</v>
          </cell>
          <cell r="H301">
            <v>0</v>
          </cell>
          <cell r="I301">
            <v>0</v>
          </cell>
          <cell r="J301">
            <v>5474</v>
          </cell>
          <cell r="K301">
            <v>2</v>
          </cell>
          <cell r="L301">
            <v>0</v>
          </cell>
          <cell r="M301">
            <v>0</v>
          </cell>
          <cell r="N301">
            <v>0</v>
          </cell>
          <cell r="O301">
            <v>0</v>
          </cell>
          <cell r="P301">
            <v>0</v>
          </cell>
          <cell r="Q301">
            <v>5476</v>
          </cell>
        </row>
        <row r="302">
          <cell r="A302" t="str">
            <v>US28P015853111100000</v>
          </cell>
          <cell r="B302" t="str">
            <v>US28P01585</v>
          </cell>
          <cell r="C302">
            <v>3111100000</v>
          </cell>
          <cell r="D302" t="str">
            <v>WAGES,SALARIES,ALLOWANCES AND COMMI/PERM</v>
          </cell>
          <cell r="E302">
            <v>7867</v>
          </cell>
          <cell r="F302">
            <v>6827</v>
          </cell>
          <cell r="G302">
            <v>7526</v>
          </cell>
          <cell r="H302">
            <v>7529</v>
          </cell>
          <cell r="I302">
            <v>8219</v>
          </cell>
          <cell r="J302">
            <v>7448</v>
          </cell>
          <cell r="K302">
            <v>-945</v>
          </cell>
          <cell r="L302">
            <v>19359</v>
          </cell>
          <cell r="M302">
            <v>-4627</v>
          </cell>
          <cell r="N302">
            <v>0</v>
          </cell>
          <cell r="O302">
            <v>10645</v>
          </cell>
          <cell r="P302">
            <v>7483</v>
          </cell>
          <cell r="Q302">
            <v>77331</v>
          </cell>
        </row>
        <row r="303">
          <cell r="A303" t="str">
            <v>US28P015903111100000</v>
          </cell>
          <cell r="B303" t="str">
            <v>US28P01590</v>
          </cell>
          <cell r="C303">
            <v>3111100000</v>
          </cell>
          <cell r="D303" t="str">
            <v>WAGES,SALARIES,ALLOWANCES AND COMMI/PERM</v>
          </cell>
          <cell r="E303">
            <v>2675</v>
          </cell>
          <cell r="F303">
            <v>2391</v>
          </cell>
          <cell r="G303">
            <v>2851</v>
          </cell>
          <cell r="H303">
            <v>2658</v>
          </cell>
          <cell r="I303">
            <v>2785</v>
          </cell>
          <cell r="J303">
            <v>2543</v>
          </cell>
          <cell r="K303">
            <v>2653</v>
          </cell>
          <cell r="L303">
            <v>2861</v>
          </cell>
          <cell r="M303">
            <v>2867</v>
          </cell>
          <cell r="N303">
            <v>2795</v>
          </cell>
          <cell r="O303">
            <v>2636</v>
          </cell>
          <cell r="P303">
            <v>2563</v>
          </cell>
          <cell r="Q303">
            <v>32278</v>
          </cell>
        </row>
        <row r="304">
          <cell r="A304" t="str">
            <v>US28P015923111100000</v>
          </cell>
          <cell r="B304" t="str">
            <v>US28P01592</v>
          </cell>
          <cell r="C304">
            <v>3111100000</v>
          </cell>
          <cell r="D304" t="str">
            <v>WAGES,SALARIES,ALLOWANCES AND COMMI/PERM</v>
          </cell>
          <cell r="E304">
            <v>0</v>
          </cell>
          <cell r="F304">
            <v>0</v>
          </cell>
          <cell r="G304">
            <v>0</v>
          </cell>
          <cell r="H304">
            <v>0</v>
          </cell>
          <cell r="I304">
            <v>0</v>
          </cell>
          <cell r="J304">
            <v>0</v>
          </cell>
          <cell r="K304">
            <v>0</v>
          </cell>
          <cell r="L304">
            <v>0</v>
          </cell>
          <cell r="M304">
            <v>3467</v>
          </cell>
          <cell r="N304">
            <v>4758</v>
          </cell>
          <cell r="O304">
            <v>793</v>
          </cell>
          <cell r="P304">
            <v>0</v>
          </cell>
          <cell r="Q304">
            <v>9018</v>
          </cell>
        </row>
        <row r="305">
          <cell r="A305" t="str">
            <v>US35P015013111100000</v>
          </cell>
          <cell r="B305" t="str">
            <v>US35P01501</v>
          </cell>
          <cell r="C305">
            <v>3111100000</v>
          </cell>
          <cell r="D305" t="str">
            <v>WAGES,SALARIES,ALLOWANCES AND COMMI/PERM</v>
          </cell>
          <cell r="E305">
            <v>41053</v>
          </cell>
          <cell r="F305">
            <v>38326</v>
          </cell>
          <cell r="G305">
            <v>39167</v>
          </cell>
          <cell r="H305">
            <v>40274</v>
          </cell>
          <cell r="I305">
            <v>44772</v>
          </cell>
          <cell r="J305">
            <v>41935</v>
          </cell>
          <cell r="K305">
            <v>43786</v>
          </cell>
          <cell r="L305">
            <v>45796</v>
          </cell>
          <cell r="M305">
            <v>37553</v>
          </cell>
          <cell r="N305">
            <v>39713</v>
          </cell>
          <cell r="O305">
            <v>38028</v>
          </cell>
          <cell r="P305">
            <v>36346</v>
          </cell>
          <cell r="Q305">
            <v>486749</v>
          </cell>
        </row>
        <row r="306">
          <cell r="A306" t="str">
            <v>US35P015503111100000</v>
          </cell>
          <cell r="B306" t="str">
            <v>US35P01550</v>
          </cell>
          <cell r="C306">
            <v>3111100000</v>
          </cell>
          <cell r="D306" t="str">
            <v>WAGES,SALARIES,ALLOWANCES AND COMMI/PERM</v>
          </cell>
          <cell r="E306">
            <v>0</v>
          </cell>
          <cell r="F306">
            <v>0</v>
          </cell>
          <cell r="G306">
            <v>0</v>
          </cell>
          <cell r="H306">
            <v>1267</v>
          </cell>
          <cell r="I306">
            <v>5650</v>
          </cell>
          <cell r="J306">
            <v>4582</v>
          </cell>
          <cell r="K306">
            <v>3160</v>
          </cell>
          <cell r="L306">
            <v>3667</v>
          </cell>
          <cell r="M306">
            <v>-1068</v>
          </cell>
          <cell r="N306">
            <v>0</v>
          </cell>
          <cell r="O306">
            <v>0</v>
          </cell>
          <cell r="P306">
            <v>0</v>
          </cell>
          <cell r="Q306">
            <v>17258</v>
          </cell>
        </row>
        <row r="307">
          <cell r="A307" t="str">
            <v>US35P015533111100000</v>
          </cell>
          <cell r="B307" t="str">
            <v>US35P01553</v>
          </cell>
          <cell r="C307">
            <v>3111100000</v>
          </cell>
          <cell r="D307" t="str">
            <v>WAGES,SALARIES,ALLOWANCES AND COMMI/PERM</v>
          </cell>
          <cell r="E307">
            <v>0</v>
          </cell>
          <cell r="F307">
            <v>0</v>
          </cell>
          <cell r="G307">
            <v>0</v>
          </cell>
          <cell r="H307">
            <v>0</v>
          </cell>
          <cell r="I307">
            <v>0</v>
          </cell>
          <cell r="J307">
            <v>0</v>
          </cell>
          <cell r="K307">
            <v>7328</v>
          </cell>
          <cell r="L307">
            <v>3128</v>
          </cell>
          <cell r="M307">
            <v>0</v>
          </cell>
          <cell r="N307">
            <v>0</v>
          </cell>
          <cell r="O307">
            <v>0</v>
          </cell>
          <cell r="P307">
            <v>0</v>
          </cell>
          <cell r="Q307">
            <v>10456</v>
          </cell>
        </row>
        <row r="308">
          <cell r="A308" t="str">
            <v>US35P015603111100000</v>
          </cell>
          <cell r="B308" t="str">
            <v>US35P01560</v>
          </cell>
          <cell r="C308">
            <v>3111100000</v>
          </cell>
          <cell r="D308" t="str">
            <v>WAGES,SALARIES,ALLOWANCES AND COMMI/PERM</v>
          </cell>
          <cell r="E308">
            <v>11301</v>
          </cell>
          <cell r="F308">
            <v>11187</v>
          </cell>
          <cell r="G308">
            <v>13621</v>
          </cell>
          <cell r="H308">
            <v>12323</v>
          </cell>
          <cell r="I308">
            <v>4404</v>
          </cell>
          <cell r="J308">
            <v>935</v>
          </cell>
          <cell r="K308">
            <v>2305</v>
          </cell>
          <cell r="L308">
            <v>2403</v>
          </cell>
          <cell r="M308">
            <v>13062</v>
          </cell>
          <cell r="N308">
            <v>16926</v>
          </cell>
          <cell r="O308">
            <v>22774</v>
          </cell>
          <cell r="P308">
            <v>13729</v>
          </cell>
          <cell r="Q308">
            <v>124970</v>
          </cell>
        </row>
        <row r="309">
          <cell r="A309" t="str">
            <v>US35P015643111100000</v>
          </cell>
          <cell r="B309" t="str">
            <v>US35P01564</v>
          </cell>
          <cell r="C309">
            <v>3111100000</v>
          </cell>
          <cell r="D309" t="str">
            <v>WAGES,SALARIES,ALLOWANCES AND COMMI/PERM</v>
          </cell>
          <cell r="E309">
            <v>0</v>
          </cell>
          <cell r="F309">
            <v>0</v>
          </cell>
          <cell r="G309">
            <v>0</v>
          </cell>
          <cell r="H309">
            <v>0</v>
          </cell>
          <cell r="I309">
            <v>0</v>
          </cell>
          <cell r="J309">
            <v>0</v>
          </cell>
          <cell r="K309">
            <v>0</v>
          </cell>
          <cell r="L309">
            <v>492</v>
          </cell>
          <cell r="M309">
            <v>17182</v>
          </cell>
          <cell r="N309">
            <v>16083</v>
          </cell>
          <cell r="O309">
            <v>-2803</v>
          </cell>
          <cell r="P309">
            <v>0</v>
          </cell>
          <cell r="Q309">
            <v>30954</v>
          </cell>
        </row>
        <row r="310">
          <cell r="A310" t="str">
            <v>US35P015753111100000</v>
          </cell>
          <cell r="B310" t="str">
            <v>US35P01575</v>
          </cell>
          <cell r="C310">
            <v>3111100000</v>
          </cell>
          <cell r="D310" t="str">
            <v>WAGES,SALARIES,ALLOWANCES AND COMMI/PERM</v>
          </cell>
          <cell r="E310">
            <v>0</v>
          </cell>
          <cell r="F310">
            <v>0</v>
          </cell>
          <cell r="G310">
            <v>0</v>
          </cell>
          <cell r="H310">
            <v>0</v>
          </cell>
          <cell r="I310">
            <v>0</v>
          </cell>
          <cell r="J310">
            <v>5345</v>
          </cell>
          <cell r="K310">
            <v>4249</v>
          </cell>
          <cell r="L310">
            <v>3519</v>
          </cell>
          <cell r="M310">
            <v>-117</v>
          </cell>
          <cell r="N310">
            <v>0</v>
          </cell>
          <cell r="O310">
            <v>0</v>
          </cell>
          <cell r="P310">
            <v>0</v>
          </cell>
          <cell r="Q310">
            <v>12996</v>
          </cell>
        </row>
        <row r="311">
          <cell r="A311" t="str">
            <v>US35P015853111100000</v>
          </cell>
          <cell r="B311" t="str">
            <v>US35P01585</v>
          </cell>
          <cell r="C311">
            <v>3111100000</v>
          </cell>
          <cell r="D311" t="str">
            <v>WAGES,SALARIES,ALLOWANCES AND COMMI/PERM</v>
          </cell>
          <cell r="E311">
            <v>5624</v>
          </cell>
          <cell r="F311">
            <v>6012</v>
          </cell>
          <cell r="G311">
            <v>7280</v>
          </cell>
          <cell r="H311">
            <v>7159</v>
          </cell>
          <cell r="I311">
            <v>7089</v>
          </cell>
          <cell r="J311">
            <v>7510</v>
          </cell>
          <cell r="K311">
            <v>7411</v>
          </cell>
          <cell r="L311">
            <v>7896</v>
          </cell>
          <cell r="M311">
            <v>6133</v>
          </cell>
          <cell r="N311">
            <v>7674</v>
          </cell>
          <cell r="O311">
            <v>4650</v>
          </cell>
          <cell r="P311">
            <v>5065</v>
          </cell>
          <cell r="Q311">
            <v>79503</v>
          </cell>
        </row>
        <row r="312">
          <cell r="A312" t="str">
            <v>US35P015903111100000</v>
          </cell>
          <cell r="B312" t="str">
            <v>US35P01590</v>
          </cell>
          <cell r="C312">
            <v>3111100000</v>
          </cell>
          <cell r="D312" t="str">
            <v>WAGES,SALARIES,ALLOWANCES AND COMMI/PERM</v>
          </cell>
          <cell r="E312">
            <v>2051</v>
          </cell>
          <cell r="F312">
            <v>1912</v>
          </cell>
          <cell r="G312">
            <v>1245</v>
          </cell>
          <cell r="H312">
            <v>1940</v>
          </cell>
          <cell r="I312">
            <v>2171</v>
          </cell>
          <cell r="J312">
            <v>1965</v>
          </cell>
          <cell r="K312">
            <v>2069</v>
          </cell>
          <cell r="L312">
            <v>2154</v>
          </cell>
          <cell r="M312">
            <v>1124</v>
          </cell>
          <cell r="N312">
            <v>1316</v>
          </cell>
          <cell r="O312">
            <v>2087</v>
          </cell>
          <cell r="P312">
            <v>1895</v>
          </cell>
          <cell r="Q312">
            <v>21929</v>
          </cell>
        </row>
        <row r="313">
          <cell r="A313" t="str">
            <v>US35P015923111100000</v>
          </cell>
          <cell r="B313" t="str">
            <v>US35P01592</v>
          </cell>
          <cell r="C313">
            <v>3111100000</v>
          </cell>
          <cell r="D313" t="str">
            <v>WAGES,SALARIES,ALLOWANCES AND COMMI/PERM</v>
          </cell>
          <cell r="E313">
            <v>0</v>
          </cell>
          <cell r="F313">
            <v>0</v>
          </cell>
          <cell r="G313">
            <v>713</v>
          </cell>
          <cell r="H313">
            <v>152</v>
          </cell>
          <cell r="I313">
            <v>0</v>
          </cell>
          <cell r="J313">
            <v>0</v>
          </cell>
          <cell r="K313">
            <v>0</v>
          </cell>
          <cell r="L313">
            <v>0</v>
          </cell>
          <cell r="M313">
            <v>749</v>
          </cell>
          <cell r="N313">
            <v>800</v>
          </cell>
          <cell r="O313">
            <v>25</v>
          </cell>
          <cell r="P313">
            <v>0</v>
          </cell>
          <cell r="Q313">
            <v>2439</v>
          </cell>
        </row>
        <row r="314">
          <cell r="A314" t="str">
            <v>USWOP015013111100000</v>
          </cell>
          <cell r="B314" t="str">
            <v>USWOP01501</v>
          </cell>
          <cell r="C314">
            <v>3111100000</v>
          </cell>
          <cell r="D314" t="str">
            <v>WAGES,SALARIES,ALLOWANCES AND COMMI/PERM</v>
          </cell>
          <cell r="E314">
            <v>33260</v>
          </cell>
          <cell r="F314">
            <v>28922</v>
          </cell>
          <cell r="G314">
            <v>31814</v>
          </cell>
          <cell r="H314">
            <v>32770</v>
          </cell>
          <cell r="I314">
            <v>34859</v>
          </cell>
          <cell r="J314">
            <v>45391</v>
          </cell>
          <cell r="K314">
            <v>43466</v>
          </cell>
          <cell r="L314">
            <v>45895</v>
          </cell>
          <cell r="M314">
            <v>33268</v>
          </cell>
          <cell r="N314">
            <v>42464</v>
          </cell>
          <cell r="O314">
            <v>36621</v>
          </cell>
          <cell r="P314">
            <v>36717</v>
          </cell>
          <cell r="Q314">
            <v>445447</v>
          </cell>
        </row>
        <row r="315">
          <cell r="A315" t="str">
            <v>USWOP015503111100000</v>
          </cell>
          <cell r="B315" t="str">
            <v>USWOP01550</v>
          </cell>
          <cell r="C315">
            <v>3111100000</v>
          </cell>
          <cell r="D315" t="str">
            <v>WAGES,SALARIES,ALLOWANCES AND COMMI/PERM</v>
          </cell>
          <cell r="E315">
            <v>0</v>
          </cell>
          <cell r="F315">
            <v>0</v>
          </cell>
          <cell r="G315">
            <v>0</v>
          </cell>
          <cell r="H315">
            <v>0</v>
          </cell>
          <cell r="I315">
            <v>18643</v>
          </cell>
          <cell r="J315">
            <v>20858</v>
          </cell>
          <cell r="K315">
            <v>22653</v>
          </cell>
          <cell r="L315">
            <v>9311</v>
          </cell>
          <cell r="M315">
            <v>0</v>
          </cell>
          <cell r="N315">
            <v>0</v>
          </cell>
          <cell r="O315">
            <v>0</v>
          </cell>
          <cell r="P315">
            <v>0</v>
          </cell>
          <cell r="Q315">
            <v>71465</v>
          </cell>
        </row>
        <row r="316">
          <cell r="A316" t="str">
            <v>USWOP015533111100000</v>
          </cell>
          <cell r="B316" t="str">
            <v>USWOP01553</v>
          </cell>
          <cell r="C316">
            <v>3111100000</v>
          </cell>
          <cell r="D316" t="str">
            <v>WAGES,SALARIES,ALLOWANCES AND COMMI/PERM</v>
          </cell>
          <cell r="E316">
            <v>0</v>
          </cell>
          <cell r="F316">
            <v>0</v>
          </cell>
          <cell r="G316">
            <v>0</v>
          </cell>
          <cell r="H316">
            <v>0</v>
          </cell>
          <cell r="I316">
            <v>0</v>
          </cell>
          <cell r="J316">
            <v>0</v>
          </cell>
          <cell r="K316">
            <v>0</v>
          </cell>
          <cell r="L316">
            <v>15201</v>
          </cell>
          <cell r="M316">
            <v>-5067</v>
          </cell>
          <cell r="N316">
            <v>0</v>
          </cell>
          <cell r="O316">
            <v>4566</v>
          </cell>
          <cell r="P316">
            <v>0</v>
          </cell>
          <cell r="Q316">
            <v>14700</v>
          </cell>
        </row>
        <row r="317">
          <cell r="A317" t="str">
            <v>USWOP015603111100000</v>
          </cell>
          <cell r="B317" t="str">
            <v>USWOP01560</v>
          </cell>
          <cell r="C317">
            <v>3111100000</v>
          </cell>
          <cell r="D317" t="str">
            <v>WAGES,SALARIES,ALLOWANCES AND COMMI/PERM</v>
          </cell>
          <cell r="E317">
            <v>21789</v>
          </cell>
          <cell r="F317">
            <v>31789</v>
          </cell>
          <cell r="G317">
            <v>34698</v>
          </cell>
          <cell r="H317">
            <v>30597</v>
          </cell>
          <cell r="I317">
            <v>17117</v>
          </cell>
          <cell r="J317">
            <v>13782</v>
          </cell>
          <cell r="K317">
            <v>14646</v>
          </cell>
          <cell r="L317">
            <v>5184</v>
          </cell>
          <cell r="M317">
            <v>0</v>
          </cell>
          <cell r="N317">
            <v>27882</v>
          </cell>
          <cell r="O317">
            <v>35709</v>
          </cell>
          <cell r="P317">
            <v>31809</v>
          </cell>
          <cell r="Q317">
            <v>265002</v>
          </cell>
        </row>
        <row r="318">
          <cell r="A318" t="str">
            <v>USWOP015643111100000</v>
          </cell>
          <cell r="B318" t="str">
            <v>USWOP01564</v>
          </cell>
          <cell r="C318">
            <v>3111100000</v>
          </cell>
          <cell r="D318" t="str">
            <v>WAGES,SALARIES,ALLOWANCES AND COMMI/PERM</v>
          </cell>
          <cell r="E318">
            <v>0</v>
          </cell>
          <cell r="F318">
            <v>0</v>
          </cell>
          <cell r="G318">
            <v>0</v>
          </cell>
          <cell r="H318">
            <v>0</v>
          </cell>
          <cell r="I318">
            <v>0</v>
          </cell>
          <cell r="J318">
            <v>0</v>
          </cell>
          <cell r="K318">
            <v>0</v>
          </cell>
          <cell r="L318">
            <v>0</v>
          </cell>
          <cell r="M318">
            <v>23341</v>
          </cell>
          <cell r="N318">
            <v>31450</v>
          </cell>
          <cell r="O318">
            <v>-405</v>
          </cell>
          <cell r="P318">
            <v>0</v>
          </cell>
          <cell r="Q318">
            <v>54386</v>
          </cell>
        </row>
        <row r="319">
          <cell r="A319" t="str">
            <v>USWOP015753111100000</v>
          </cell>
          <cell r="B319" t="str">
            <v>USWOP01575</v>
          </cell>
          <cell r="C319">
            <v>3111100000</v>
          </cell>
          <cell r="D319" t="str">
            <v>WAGES,SALARIES,ALLOWANCES AND COMMI/PERM</v>
          </cell>
          <cell r="E319">
            <v>15150</v>
          </cell>
          <cell r="F319">
            <v>0</v>
          </cell>
          <cell r="G319">
            <v>0</v>
          </cell>
          <cell r="H319">
            <v>0</v>
          </cell>
          <cell r="I319">
            <v>0</v>
          </cell>
          <cell r="J319">
            <v>0</v>
          </cell>
          <cell r="K319">
            <v>0</v>
          </cell>
          <cell r="L319">
            <v>27127</v>
          </cell>
          <cell r="M319">
            <v>28295</v>
          </cell>
          <cell r="N319">
            <v>-5285</v>
          </cell>
          <cell r="O319">
            <v>0</v>
          </cell>
          <cell r="P319">
            <v>0</v>
          </cell>
          <cell r="Q319">
            <v>65287</v>
          </cell>
        </row>
        <row r="320">
          <cell r="A320" t="str">
            <v>US59P015013111100000</v>
          </cell>
          <cell r="B320" t="str">
            <v>US59P01501</v>
          </cell>
          <cell r="C320">
            <v>3111100000</v>
          </cell>
          <cell r="D320" t="str">
            <v>WAGES,SALARIES,ALLOWANCES AND COMMI/PERM</v>
          </cell>
          <cell r="E320">
            <v>23383</v>
          </cell>
          <cell r="F320">
            <v>15832</v>
          </cell>
          <cell r="G320">
            <v>19471</v>
          </cell>
          <cell r="H320">
            <v>19611</v>
          </cell>
          <cell r="I320">
            <v>21405</v>
          </cell>
          <cell r="J320">
            <v>19467</v>
          </cell>
          <cell r="K320">
            <v>21936</v>
          </cell>
          <cell r="L320">
            <v>23274</v>
          </cell>
          <cell r="M320">
            <v>18329</v>
          </cell>
          <cell r="N320">
            <v>21350</v>
          </cell>
          <cell r="O320">
            <v>22513</v>
          </cell>
          <cell r="P320">
            <v>20659</v>
          </cell>
          <cell r="Q320">
            <v>247230</v>
          </cell>
        </row>
        <row r="321">
          <cell r="A321" t="str">
            <v>USWOP015853111100000</v>
          </cell>
          <cell r="B321" t="str">
            <v>USWOP01585</v>
          </cell>
          <cell r="C321">
            <v>3111100000</v>
          </cell>
          <cell r="D321" t="str">
            <v>WAGES,SALARIES,ALLOWANCES AND COMMI/PERM</v>
          </cell>
          <cell r="E321">
            <v>9442</v>
          </cell>
          <cell r="F321">
            <v>8151</v>
          </cell>
          <cell r="G321">
            <v>9017</v>
          </cell>
          <cell r="H321">
            <v>9973</v>
          </cell>
          <cell r="I321">
            <v>9561</v>
          </cell>
          <cell r="J321">
            <v>8758</v>
          </cell>
          <cell r="K321">
            <v>9357</v>
          </cell>
          <cell r="L321">
            <v>5473</v>
          </cell>
          <cell r="M321">
            <v>9734</v>
          </cell>
          <cell r="N321">
            <v>9579</v>
          </cell>
          <cell r="O321">
            <v>9633</v>
          </cell>
          <cell r="P321">
            <v>8771</v>
          </cell>
          <cell r="Q321">
            <v>107449</v>
          </cell>
        </row>
        <row r="322">
          <cell r="A322" t="str">
            <v>USWOP015903111100000</v>
          </cell>
          <cell r="B322" t="str">
            <v>USWOP01590</v>
          </cell>
          <cell r="C322">
            <v>3111100000</v>
          </cell>
          <cell r="D322" t="str">
            <v>WAGES,SALARIES,ALLOWANCES AND COMMI/PERM</v>
          </cell>
          <cell r="E322">
            <v>17</v>
          </cell>
          <cell r="F322">
            <v>0</v>
          </cell>
          <cell r="G322">
            <v>0</v>
          </cell>
          <cell r="H322">
            <v>0</v>
          </cell>
          <cell r="I322">
            <v>0</v>
          </cell>
          <cell r="J322">
            <v>0</v>
          </cell>
          <cell r="K322">
            <v>0</v>
          </cell>
          <cell r="L322">
            <v>0</v>
          </cell>
          <cell r="M322">
            <v>0</v>
          </cell>
          <cell r="N322">
            <v>0</v>
          </cell>
          <cell r="O322">
            <v>0</v>
          </cell>
          <cell r="P322">
            <v>0</v>
          </cell>
          <cell r="Q322">
            <v>17</v>
          </cell>
        </row>
        <row r="323">
          <cell r="A323" t="str">
            <v>USWOP015923111100000</v>
          </cell>
          <cell r="B323" t="str">
            <v>USWOP01592</v>
          </cell>
          <cell r="C323">
            <v>3111100000</v>
          </cell>
          <cell r="D323" t="str">
            <v>WAGES,SALARIES,ALLOWANCES AND COMMI/PERM</v>
          </cell>
          <cell r="E323">
            <v>0</v>
          </cell>
          <cell r="F323">
            <v>8790</v>
          </cell>
          <cell r="G323">
            <v>2197</v>
          </cell>
          <cell r="H323">
            <v>5088</v>
          </cell>
          <cell r="I323">
            <v>3888</v>
          </cell>
          <cell r="J323">
            <v>3550</v>
          </cell>
          <cell r="K323">
            <v>3719</v>
          </cell>
          <cell r="L323">
            <v>3888</v>
          </cell>
          <cell r="M323">
            <v>3381</v>
          </cell>
          <cell r="N323">
            <v>3888</v>
          </cell>
          <cell r="O323">
            <v>3719</v>
          </cell>
          <cell r="P323">
            <v>3381</v>
          </cell>
          <cell r="Q323">
            <v>45489</v>
          </cell>
        </row>
        <row r="324">
          <cell r="A324" t="str">
            <v>US59P015503111100000</v>
          </cell>
          <cell r="B324" t="str">
            <v>US59P01550</v>
          </cell>
          <cell r="C324">
            <v>3111100000</v>
          </cell>
          <cell r="D324" t="str">
            <v>WAGES,SALARIES,ALLOWANCES AND COMMI/PERM</v>
          </cell>
          <cell r="E324">
            <v>1212</v>
          </cell>
          <cell r="F324">
            <v>0</v>
          </cell>
          <cell r="G324">
            <v>0</v>
          </cell>
          <cell r="H324">
            <v>0</v>
          </cell>
          <cell r="I324">
            <v>11929</v>
          </cell>
          <cell r="J324">
            <v>8275</v>
          </cell>
          <cell r="K324">
            <v>17584</v>
          </cell>
          <cell r="L324">
            <v>26054</v>
          </cell>
          <cell r="M324">
            <v>7499</v>
          </cell>
          <cell r="N324">
            <v>2822</v>
          </cell>
          <cell r="O324">
            <v>2650</v>
          </cell>
          <cell r="P324">
            <v>2577</v>
          </cell>
          <cell r="Q324">
            <v>80602</v>
          </cell>
        </row>
        <row r="325">
          <cell r="A325" t="str">
            <v>US59P015533111100000</v>
          </cell>
          <cell r="B325" t="str">
            <v>US59P01553</v>
          </cell>
          <cell r="C325">
            <v>3111100000</v>
          </cell>
          <cell r="D325" t="str">
            <v>WAGES,SALARIES,ALLOWANCES AND COMMI/PERM</v>
          </cell>
          <cell r="E325">
            <v>0</v>
          </cell>
          <cell r="F325">
            <v>0</v>
          </cell>
          <cell r="G325">
            <v>0</v>
          </cell>
          <cell r="H325">
            <v>0</v>
          </cell>
          <cell r="I325">
            <v>0</v>
          </cell>
          <cell r="J325">
            <v>0</v>
          </cell>
          <cell r="K325">
            <v>4586</v>
          </cell>
          <cell r="L325">
            <v>8751</v>
          </cell>
          <cell r="M325">
            <v>1933</v>
          </cell>
          <cell r="N325">
            <v>0</v>
          </cell>
          <cell r="O325">
            <v>0</v>
          </cell>
          <cell r="P325">
            <v>0</v>
          </cell>
          <cell r="Q325">
            <v>15270</v>
          </cell>
        </row>
        <row r="326">
          <cell r="A326" t="str">
            <v>US59P015603111100000</v>
          </cell>
          <cell r="B326" t="str">
            <v>US59P01560</v>
          </cell>
          <cell r="C326">
            <v>3111100000</v>
          </cell>
          <cell r="D326" t="str">
            <v>WAGES,SALARIES,ALLOWANCES AND COMMI/PERM</v>
          </cell>
          <cell r="E326">
            <v>3184</v>
          </cell>
          <cell r="F326">
            <v>2774</v>
          </cell>
          <cell r="G326">
            <v>1363</v>
          </cell>
          <cell r="H326">
            <v>3166</v>
          </cell>
          <cell r="I326">
            <v>5834</v>
          </cell>
          <cell r="J326">
            <v>1774</v>
          </cell>
          <cell r="K326">
            <v>1185</v>
          </cell>
          <cell r="L326">
            <v>291</v>
          </cell>
          <cell r="M326">
            <v>11623</v>
          </cell>
          <cell r="N326">
            <v>17472</v>
          </cell>
          <cell r="O326">
            <v>24060</v>
          </cell>
          <cell r="P326">
            <v>22695</v>
          </cell>
          <cell r="Q326">
            <v>95421</v>
          </cell>
        </row>
        <row r="327">
          <cell r="A327" t="str">
            <v>US59P015643111100000</v>
          </cell>
          <cell r="B327" t="str">
            <v>US59P01564</v>
          </cell>
          <cell r="C327">
            <v>3111100000</v>
          </cell>
          <cell r="D327" t="str">
            <v>WAGES,SALARIES,ALLOWANCES AND COMMI/PERM</v>
          </cell>
          <cell r="E327">
            <v>0</v>
          </cell>
          <cell r="F327">
            <v>0</v>
          </cell>
          <cell r="G327">
            <v>0</v>
          </cell>
          <cell r="H327">
            <v>0</v>
          </cell>
          <cell r="I327">
            <v>0</v>
          </cell>
          <cell r="J327">
            <v>0</v>
          </cell>
          <cell r="K327">
            <v>0</v>
          </cell>
          <cell r="L327">
            <v>0</v>
          </cell>
          <cell r="M327">
            <v>14980</v>
          </cell>
          <cell r="N327">
            <v>25562</v>
          </cell>
          <cell r="O327">
            <v>-2636</v>
          </cell>
          <cell r="P327">
            <v>0</v>
          </cell>
          <cell r="Q327">
            <v>37906</v>
          </cell>
        </row>
        <row r="328">
          <cell r="A328" t="str">
            <v>US59P015753111100000</v>
          </cell>
          <cell r="B328" t="str">
            <v>US59P01575</v>
          </cell>
          <cell r="C328">
            <v>3111100000</v>
          </cell>
          <cell r="D328" t="str">
            <v>WAGES,SALARIES,ALLOWANCES AND COMMI/PERM</v>
          </cell>
          <cell r="E328">
            <v>4589</v>
          </cell>
          <cell r="F328">
            <v>2198</v>
          </cell>
          <cell r="G328">
            <v>6052</v>
          </cell>
          <cell r="H328">
            <v>5426</v>
          </cell>
          <cell r="I328">
            <v>5987</v>
          </cell>
          <cell r="J328">
            <v>5386</v>
          </cell>
          <cell r="K328">
            <v>2443</v>
          </cell>
          <cell r="L328">
            <v>0</v>
          </cell>
          <cell r="M328">
            <v>0</v>
          </cell>
          <cell r="N328">
            <v>0</v>
          </cell>
          <cell r="O328">
            <v>0</v>
          </cell>
          <cell r="P328">
            <v>0</v>
          </cell>
          <cell r="Q328">
            <v>32081</v>
          </cell>
        </row>
        <row r="329">
          <cell r="A329" t="str">
            <v>US59P015903111100000</v>
          </cell>
          <cell r="B329" t="str">
            <v>US59P01590</v>
          </cell>
          <cell r="C329">
            <v>3111100000</v>
          </cell>
          <cell r="D329" t="str">
            <v>WAGES,SALARIES,ALLOWANCES AND COMMI/PERM</v>
          </cell>
          <cell r="E329">
            <v>5961</v>
          </cell>
          <cell r="F329">
            <v>5063</v>
          </cell>
          <cell r="G329">
            <v>5515</v>
          </cell>
          <cell r="H329">
            <v>5383</v>
          </cell>
          <cell r="I329">
            <v>1835</v>
          </cell>
          <cell r="J329">
            <v>2421</v>
          </cell>
          <cell r="K329">
            <v>2586</v>
          </cell>
          <cell r="L329">
            <v>2682</v>
          </cell>
          <cell r="M329">
            <v>2426</v>
          </cell>
          <cell r="N329">
            <v>2685</v>
          </cell>
          <cell r="O329">
            <v>6764</v>
          </cell>
          <cell r="P329">
            <v>5444</v>
          </cell>
          <cell r="Q329">
            <v>48765</v>
          </cell>
        </row>
        <row r="330">
          <cell r="A330" t="str">
            <v>US59P3C5013111100000</v>
          </cell>
          <cell r="B330" t="str">
            <v>US59P3C501</v>
          </cell>
          <cell r="C330">
            <v>3111100000</v>
          </cell>
          <cell r="D330" t="str">
            <v>WAGES,SALARIES,ALLOWANCES AND COMMI/PERM</v>
          </cell>
          <cell r="E330">
            <v>10064</v>
          </cell>
          <cell r="F330">
            <v>8585</v>
          </cell>
          <cell r="G330">
            <v>6307</v>
          </cell>
          <cell r="H330">
            <v>6498</v>
          </cell>
          <cell r="I330">
            <v>7092</v>
          </cell>
          <cell r="J330">
            <v>10588</v>
          </cell>
          <cell r="K330">
            <v>9525</v>
          </cell>
          <cell r="L330">
            <v>8089</v>
          </cell>
          <cell r="M330">
            <v>6167</v>
          </cell>
          <cell r="N330">
            <v>7092</v>
          </cell>
          <cell r="O330">
            <v>6784</v>
          </cell>
          <cell r="P330">
            <v>6476</v>
          </cell>
          <cell r="Q330">
            <v>93267</v>
          </cell>
        </row>
        <row r="331">
          <cell r="A331" t="str">
            <v>US59P3C5503111100000</v>
          </cell>
          <cell r="B331" t="str">
            <v>US59P3C550</v>
          </cell>
          <cell r="C331">
            <v>3111100000</v>
          </cell>
          <cell r="D331" t="str">
            <v>WAGES,SALARIES,ALLOWANCES AND COMMI/PERM</v>
          </cell>
          <cell r="E331">
            <v>0</v>
          </cell>
          <cell r="F331">
            <v>0</v>
          </cell>
          <cell r="G331">
            <v>0</v>
          </cell>
          <cell r="H331">
            <v>0</v>
          </cell>
          <cell r="I331">
            <v>0</v>
          </cell>
          <cell r="J331">
            <v>0</v>
          </cell>
          <cell r="K331">
            <v>1572</v>
          </cell>
          <cell r="L331">
            <v>3014</v>
          </cell>
          <cell r="M331">
            <v>2621</v>
          </cell>
          <cell r="N331">
            <v>3014</v>
          </cell>
          <cell r="O331">
            <v>3129</v>
          </cell>
          <cell r="P331">
            <v>2752</v>
          </cell>
          <cell r="Q331">
            <v>16102</v>
          </cell>
        </row>
        <row r="332">
          <cell r="A332" t="str">
            <v>US59P3C5603111100000</v>
          </cell>
          <cell r="B332" t="str">
            <v>US59P3C560</v>
          </cell>
          <cell r="C332">
            <v>3111100000</v>
          </cell>
          <cell r="D332" t="str">
            <v>WAGES,SALARIES,ALLOWANCES AND COMMI/PERM</v>
          </cell>
          <cell r="E332">
            <v>23800</v>
          </cell>
          <cell r="F332">
            <v>21930</v>
          </cell>
          <cell r="G332">
            <v>26984</v>
          </cell>
          <cell r="H332">
            <v>24472</v>
          </cell>
          <cell r="I332">
            <v>17696</v>
          </cell>
          <cell r="J332">
            <v>16798</v>
          </cell>
          <cell r="K332">
            <v>12087</v>
          </cell>
          <cell r="L332">
            <v>7638</v>
          </cell>
          <cell r="M332">
            <v>1636</v>
          </cell>
          <cell r="N332">
            <v>0</v>
          </cell>
          <cell r="O332">
            <v>9864</v>
          </cell>
          <cell r="P332">
            <v>10846</v>
          </cell>
          <cell r="Q332">
            <v>173751</v>
          </cell>
        </row>
        <row r="333">
          <cell r="A333" t="str">
            <v>US59PZA5013111100000</v>
          </cell>
          <cell r="B333" t="str">
            <v>US59PZA501</v>
          </cell>
          <cell r="C333">
            <v>3111100000</v>
          </cell>
          <cell r="D333" t="str">
            <v>WAGES,SALARIES,ALLOWANCES AND COMMI/PERM</v>
          </cell>
          <cell r="E333">
            <v>12046</v>
          </cell>
          <cell r="F333">
            <v>10475</v>
          </cell>
          <cell r="G333">
            <v>11522</v>
          </cell>
          <cell r="H333">
            <v>11608</v>
          </cell>
          <cell r="I333">
            <v>12585</v>
          </cell>
          <cell r="J333">
            <v>12327</v>
          </cell>
          <cell r="K333">
            <v>12958</v>
          </cell>
          <cell r="L333">
            <v>13547</v>
          </cell>
          <cell r="M333">
            <v>11780</v>
          </cell>
          <cell r="N333">
            <v>13547</v>
          </cell>
          <cell r="O333">
            <v>12958</v>
          </cell>
          <cell r="P333">
            <v>12369</v>
          </cell>
          <cell r="Q333">
            <v>147722</v>
          </cell>
        </row>
        <row r="334">
          <cell r="A334" t="str">
            <v>US59PZA5503111100000</v>
          </cell>
          <cell r="B334" t="str">
            <v>US59PZA550</v>
          </cell>
          <cell r="C334">
            <v>3111100000</v>
          </cell>
          <cell r="D334" t="str">
            <v>WAGES,SALARIES,ALLOWANCES AND COMMI/PERM</v>
          </cell>
          <cell r="E334">
            <v>1617</v>
          </cell>
          <cell r="F334">
            <v>0</v>
          </cell>
          <cell r="G334">
            <v>0</v>
          </cell>
          <cell r="H334">
            <v>0</v>
          </cell>
          <cell r="I334">
            <v>0</v>
          </cell>
          <cell r="J334">
            <v>0</v>
          </cell>
          <cell r="K334">
            <v>0</v>
          </cell>
          <cell r="L334">
            <v>0</v>
          </cell>
          <cell r="M334">
            <v>0</v>
          </cell>
          <cell r="N334">
            <v>0</v>
          </cell>
          <cell r="O334">
            <v>0</v>
          </cell>
          <cell r="P334">
            <v>0</v>
          </cell>
          <cell r="Q334">
            <v>1617</v>
          </cell>
        </row>
        <row r="335">
          <cell r="A335" t="str">
            <v>USCRP015013111100000</v>
          </cell>
          <cell r="B335" t="str">
            <v>USCRP01501</v>
          </cell>
          <cell r="C335">
            <v>3111100000</v>
          </cell>
          <cell r="D335" t="str">
            <v>WAGES,SALARIES,ALLOWANCES AND COMMI/PERM</v>
          </cell>
          <cell r="E335">
            <v>35088</v>
          </cell>
          <cell r="F335">
            <v>30470</v>
          </cell>
          <cell r="G335">
            <v>33550</v>
          </cell>
          <cell r="H335">
            <v>33011</v>
          </cell>
          <cell r="I335">
            <v>34861</v>
          </cell>
          <cell r="J335">
            <v>34387</v>
          </cell>
          <cell r="K335">
            <v>33830</v>
          </cell>
          <cell r="L335">
            <v>35456</v>
          </cell>
          <cell r="M335">
            <v>30677</v>
          </cell>
          <cell r="N335">
            <v>35386</v>
          </cell>
          <cell r="O335">
            <v>29413</v>
          </cell>
          <cell r="P335">
            <v>28648</v>
          </cell>
          <cell r="Q335">
            <v>394777</v>
          </cell>
        </row>
        <row r="336">
          <cell r="A336" t="str">
            <v>USCRP015503111100000</v>
          </cell>
          <cell r="B336" t="str">
            <v>USCRP01550</v>
          </cell>
          <cell r="C336">
            <v>3111100000</v>
          </cell>
          <cell r="D336" t="str">
            <v>WAGES,SALARIES,ALLOWANCES AND COMMI/PERM</v>
          </cell>
          <cell r="E336">
            <v>0</v>
          </cell>
          <cell r="F336">
            <v>0</v>
          </cell>
          <cell r="G336">
            <v>0</v>
          </cell>
          <cell r="H336">
            <v>0</v>
          </cell>
          <cell r="I336">
            <v>7661</v>
          </cell>
          <cell r="J336">
            <v>23528</v>
          </cell>
          <cell r="K336">
            <v>22728</v>
          </cell>
          <cell r="L336">
            <v>23878</v>
          </cell>
          <cell r="M336">
            <v>-3671</v>
          </cell>
          <cell r="N336">
            <v>0</v>
          </cell>
          <cell r="O336">
            <v>0</v>
          </cell>
          <cell r="P336">
            <v>0</v>
          </cell>
          <cell r="Q336">
            <v>74124</v>
          </cell>
        </row>
        <row r="337">
          <cell r="A337" t="str">
            <v>USCRP015603111100000</v>
          </cell>
          <cell r="B337" t="str">
            <v>USCRP01560</v>
          </cell>
          <cell r="C337">
            <v>3111100000</v>
          </cell>
          <cell r="D337" t="str">
            <v>WAGES,SALARIES,ALLOWANCES AND COMMI/PERM</v>
          </cell>
          <cell r="E337">
            <v>11142</v>
          </cell>
          <cell r="F337">
            <v>3768</v>
          </cell>
          <cell r="G337">
            <v>4892</v>
          </cell>
          <cell r="H337">
            <v>13508</v>
          </cell>
          <cell r="I337">
            <v>10764</v>
          </cell>
          <cell r="J337">
            <v>-207</v>
          </cell>
          <cell r="K337">
            <v>2355</v>
          </cell>
          <cell r="L337">
            <v>2462</v>
          </cell>
          <cell r="M337">
            <v>2430</v>
          </cell>
          <cell r="N337">
            <v>2534</v>
          </cell>
          <cell r="O337">
            <v>23113</v>
          </cell>
          <cell r="P337">
            <v>26232</v>
          </cell>
          <cell r="Q337">
            <v>102993</v>
          </cell>
        </row>
        <row r="338">
          <cell r="A338" t="str">
            <v>USCRP015643111100000</v>
          </cell>
          <cell r="B338" t="str">
            <v>USCRP01564</v>
          </cell>
          <cell r="C338">
            <v>3111100000</v>
          </cell>
          <cell r="D338" t="str">
            <v>WAGES,SALARIES,ALLOWANCES AND COMMI/PERM</v>
          </cell>
          <cell r="E338">
            <v>0</v>
          </cell>
          <cell r="F338">
            <v>0</v>
          </cell>
          <cell r="G338">
            <v>0</v>
          </cell>
          <cell r="H338">
            <v>0</v>
          </cell>
          <cell r="I338">
            <v>0</v>
          </cell>
          <cell r="J338">
            <v>132</v>
          </cell>
          <cell r="K338">
            <v>0</v>
          </cell>
          <cell r="L338">
            <v>0</v>
          </cell>
          <cell r="M338">
            <v>13690</v>
          </cell>
          <cell r="N338">
            <v>50491</v>
          </cell>
          <cell r="O338">
            <v>-5355</v>
          </cell>
          <cell r="P338">
            <v>0</v>
          </cell>
          <cell r="Q338">
            <v>58958</v>
          </cell>
        </row>
        <row r="339">
          <cell r="A339" t="str">
            <v>USCRP015753111100000</v>
          </cell>
          <cell r="B339" t="str">
            <v>USCRP01575</v>
          </cell>
          <cell r="C339">
            <v>3111100000</v>
          </cell>
          <cell r="D339" t="str">
            <v>WAGES,SALARIES,ALLOWANCES AND COMMI/PERM</v>
          </cell>
          <cell r="E339">
            <v>10830</v>
          </cell>
          <cell r="F339">
            <v>10737</v>
          </cell>
          <cell r="G339">
            <v>13562</v>
          </cell>
          <cell r="H339">
            <v>10125</v>
          </cell>
          <cell r="I339">
            <v>6648</v>
          </cell>
          <cell r="J339">
            <v>4553</v>
          </cell>
          <cell r="K339">
            <v>5659</v>
          </cell>
          <cell r="L339">
            <v>7744</v>
          </cell>
          <cell r="M339">
            <v>10068</v>
          </cell>
          <cell r="N339">
            <v>-2324</v>
          </cell>
          <cell r="O339">
            <v>8891</v>
          </cell>
          <cell r="P339">
            <v>3594</v>
          </cell>
          <cell r="Q339">
            <v>90087</v>
          </cell>
        </row>
        <row r="340">
          <cell r="A340" t="str">
            <v>USCRP015853111100000</v>
          </cell>
          <cell r="B340" t="str">
            <v>USCRP01585</v>
          </cell>
          <cell r="C340">
            <v>3111100000</v>
          </cell>
          <cell r="D340" t="str">
            <v>WAGES,SALARIES,ALLOWANCES AND COMMI/PERM</v>
          </cell>
          <cell r="E340">
            <v>2927</v>
          </cell>
          <cell r="F340">
            <v>2592</v>
          </cell>
          <cell r="G340">
            <v>2931</v>
          </cell>
          <cell r="H340">
            <v>5365</v>
          </cell>
          <cell r="I340">
            <v>5878</v>
          </cell>
          <cell r="J340">
            <v>6510</v>
          </cell>
          <cell r="K340">
            <v>7150</v>
          </cell>
          <cell r="L340">
            <v>6956</v>
          </cell>
          <cell r="M340">
            <v>6259</v>
          </cell>
          <cell r="N340">
            <v>2186</v>
          </cell>
          <cell r="O340">
            <v>3067</v>
          </cell>
          <cell r="P340">
            <v>2609</v>
          </cell>
          <cell r="Q340">
            <v>54430</v>
          </cell>
        </row>
        <row r="341">
          <cell r="A341" t="str">
            <v>US22P015013111100012</v>
          </cell>
          <cell r="B341" t="str">
            <v>US22P01501</v>
          </cell>
          <cell r="C341">
            <v>3111100012</v>
          </cell>
          <cell r="D341" t="str">
            <v>OVERTIME HOURS /PERMANENTS</v>
          </cell>
          <cell r="E341">
            <v>195</v>
          </cell>
          <cell r="F341">
            <v>370</v>
          </cell>
          <cell r="G341">
            <v>176</v>
          </cell>
          <cell r="H341">
            <v>262</v>
          </cell>
          <cell r="I341">
            <v>417</v>
          </cell>
          <cell r="J341">
            <v>-125</v>
          </cell>
          <cell r="K341">
            <v>99</v>
          </cell>
          <cell r="L341">
            <v>24</v>
          </cell>
          <cell r="M341">
            <v>538</v>
          </cell>
          <cell r="N341">
            <v>225</v>
          </cell>
          <cell r="O341">
            <v>-99</v>
          </cell>
          <cell r="P341">
            <v>0</v>
          </cell>
          <cell r="Q341">
            <v>2082</v>
          </cell>
        </row>
        <row r="342">
          <cell r="A342" t="str">
            <v>US22P015503111100012</v>
          </cell>
          <cell r="B342" t="str">
            <v>US22P01550</v>
          </cell>
          <cell r="C342">
            <v>3111100012</v>
          </cell>
          <cell r="D342" t="str">
            <v>OVERTIME HOURS /PERMANENTS</v>
          </cell>
          <cell r="E342">
            <v>0</v>
          </cell>
          <cell r="F342">
            <v>0</v>
          </cell>
          <cell r="G342">
            <v>0</v>
          </cell>
          <cell r="H342">
            <v>1034</v>
          </cell>
          <cell r="I342">
            <v>16042</v>
          </cell>
          <cell r="J342">
            <v>1744</v>
          </cell>
          <cell r="K342">
            <v>19635</v>
          </cell>
          <cell r="L342">
            <v>2150</v>
          </cell>
          <cell r="M342">
            <v>1750</v>
          </cell>
          <cell r="N342">
            <v>1198</v>
          </cell>
          <cell r="O342">
            <v>200</v>
          </cell>
          <cell r="P342">
            <v>306</v>
          </cell>
          <cell r="Q342">
            <v>44059</v>
          </cell>
        </row>
        <row r="343">
          <cell r="A343" t="str">
            <v>US22P015533111100012</v>
          </cell>
          <cell r="B343" t="str">
            <v>US22P01553</v>
          </cell>
          <cell r="C343">
            <v>3111100012</v>
          </cell>
          <cell r="D343" t="str">
            <v>OVERTIME HOURS /PERMANENTS</v>
          </cell>
          <cell r="E343">
            <v>0</v>
          </cell>
          <cell r="F343">
            <v>0</v>
          </cell>
          <cell r="G343">
            <v>0</v>
          </cell>
          <cell r="H343">
            <v>0</v>
          </cell>
          <cell r="I343">
            <v>0</v>
          </cell>
          <cell r="J343">
            <v>0</v>
          </cell>
          <cell r="K343">
            <v>878</v>
          </cell>
          <cell r="L343">
            <v>670</v>
          </cell>
          <cell r="M343">
            <v>0</v>
          </cell>
          <cell r="N343">
            <v>0</v>
          </cell>
          <cell r="O343">
            <v>0</v>
          </cell>
          <cell r="P343">
            <v>0</v>
          </cell>
          <cell r="Q343">
            <v>1548</v>
          </cell>
        </row>
        <row r="344">
          <cell r="A344" t="str">
            <v>US22P015603111100012</v>
          </cell>
          <cell r="B344" t="str">
            <v>US22P01560</v>
          </cell>
          <cell r="C344">
            <v>3111100012</v>
          </cell>
          <cell r="D344" t="str">
            <v>OVERTIME HOURS /PERMANENTS</v>
          </cell>
          <cell r="E344">
            <v>511</v>
          </cell>
          <cell r="F344">
            <v>-315</v>
          </cell>
          <cell r="G344">
            <v>4438</v>
          </cell>
          <cell r="H344">
            <v>1285</v>
          </cell>
          <cell r="I344">
            <v>1202</v>
          </cell>
          <cell r="J344">
            <v>-144</v>
          </cell>
          <cell r="K344">
            <v>821</v>
          </cell>
          <cell r="L344">
            <v>-137</v>
          </cell>
          <cell r="M344">
            <v>4217</v>
          </cell>
          <cell r="N344">
            <v>14565</v>
          </cell>
          <cell r="O344">
            <v>5167</v>
          </cell>
          <cell r="P344">
            <v>1190</v>
          </cell>
          <cell r="Q344">
            <v>32800</v>
          </cell>
        </row>
        <row r="345">
          <cell r="A345" t="str">
            <v>US22P015643111100012</v>
          </cell>
          <cell r="B345" t="str">
            <v>US22P01564</v>
          </cell>
          <cell r="C345">
            <v>3111100012</v>
          </cell>
          <cell r="D345" t="str">
            <v>OVERTIME HOURS /PERMANENTS</v>
          </cell>
          <cell r="E345">
            <v>0</v>
          </cell>
          <cell r="F345">
            <v>0</v>
          </cell>
          <cell r="G345">
            <v>0</v>
          </cell>
          <cell r="H345">
            <v>0</v>
          </cell>
          <cell r="I345">
            <v>0</v>
          </cell>
          <cell r="J345">
            <v>0</v>
          </cell>
          <cell r="K345">
            <v>0</v>
          </cell>
          <cell r="L345">
            <v>0</v>
          </cell>
          <cell r="M345">
            <v>8278</v>
          </cell>
          <cell r="N345">
            <v>8286</v>
          </cell>
          <cell r="O345">
            <v>-1702</v>
          </cell>
          <cell r="P345">
            <v>0</v>
          </cell>
          <cell r="Q345">
            <v>14862</v>
          </cell>
        </row>
        <row r="346">
          <cell r="A346" t="str">
            <v>US22P015753111100012</v>
          </cell>
          <cell r="B346" t="str">
            <v>US22P01575</v>
          </cell>
          <cell r="C346">
            <v>3111100012</v>
          </cell>
          <cell r="D346" t="str">
            <v>OVERTIME HOURS /PERMANENTS</v>
          </cell>
          <cell r="E346">
            <v>5025</v>
          </cell>
          <cell r="F346">
            <v>8905</v>
          </cell>
          <cell r="G346">
            <v>3162</v>
          </cell>
          <cell r="H346">
            <v>3948</v>
          </cell>
          <cell r="I346">
            <v>960</v>
          </cell>
          <cell r="J346">
            <v>-895</v>
          </cell>
          <cell r="K346">
            <v>0</v>
          </cell>
          <cell r="L346">
            <v>6305</v>
          </cell>
          <cell r="M346">
            <v>9764</v>
          </cell>
          <cell r="N346">
            <v>-2066</v>
          </cell>
          <cell r="O346">
            <v>2462</v>
          </cell>
          <cell r="P346">
            <v>1660</v>
          </cell>
          <cell r="Q346">
            <v>39230</v>
          </cell>
        </row>
        <row r="347">
          <cell r="A347" t="str">
            <v>US22P015853111100012</v>
          </cell>
          <cell r="B347" t="str">
            <v>US22P01585</v>
          </cell>
          <cell r="C347">
            <v>3111100012</v>
          </cell>
          <cell r="D347" t="str">
            <v>OVERTIME HOURS /PERMANENTS</v>
          </cell>
          <cell r="E347">
            <v>1147</v>
          </cell>
          <cell r="F347">
            <v>1092</v>
          </cell>
          <cell r="G347">
            <v>374</v>
          </cell>
          <cell r="H347">
            <v>652</v>
          </cell>
          <cell r="I347">
            <v>1547</v>
          </cell>
          <cell r="J347">
            <v>1271</v>
          </cell>
          <cell r="K347">
            <v>3941</v>
          </cell>
          <cell r="L347">
            <v>63</v>
          </cell>
          <cell r="M347">
            <v>1623</v>
          </cell>
          <cell r="N347">
            <v>1540</v>
          </cell>
          <cell r="O347">
            <v>0</v>
          </cell>
          <cell r="P347">
            <v>0</v>
          </cell>
          <cell r="Q347">
            <v>13250</v>
          </cell>
        </row>
        <row r="348">
          <cell r="A348" t="str">
            <v>US22P015903111100012</v>
          </cell>
          <cell r="B348" t="str">
            <v>US22P01590</v>
          </cell>
          <cell r="C348">
            <v>3111100012</v>
          </cell>
          <cell r="D348" t="str">
            <v>OVERTIME HOURS /PERMANENTS</v>
          </cell>
          <cell r="E348">
            <v>1001</v>
          </cell>
          <cell r="F348">
            <v>820</v>
          </cell>
          <cell r="G348">
            <v>1241</v>
          </cell>
          <cell r="H348">
            <v>1240</v>
          </cell>
          <cell r="I348">
            <v>-346</v>
          </cell>
          <cell r="J348">
            <v>0</v>
          </cell>
          <cell r="K348">
            <v>0</v>
          </cell>
          <cell r="L348">
            <v>1312</v>
          </cell>
          <cell r="M348">
            <v>-118</v>
          </cell>
          <cell r="N348">
            <v>0</v>
          </cell>
          <cell r="O348">
            <v>1084</v>
          </cell>
          <cell r="P348">
            <v>651</v>
          </cell>
          <cell r="Q348">
            <v>6885</v>
          </cell>
        </row>
        <row r="349">
          <cell r="A349" t="str">
            <v>US22P015923111100012</v>
          </cell>
          <cell r="B349" t="str">
            <v>US22P01592</v>
          </cell>
          <cell r="C349">
            <v>3111100012</v>
          </cell>
          <cell r="D349" t="str">
            <v>OVERTIME HOURS /PERMANENTS</v>
          </cell>
          <cell r="E349">
            <v>0</v>
          </cell>
          <cell r="F349">
            <v>0</v>
          </cell>
          <cell r="G349">
            <v>0</v>
          </cell>
          <cell r="H349">
            <v>0</v>
          </cell>
          <cell r="I349">
            <v>0</v>
          </cell>
          <cell r="J349">
            <v>0</v>
          </cell>
          <cell r="K349">
            <v>0</v>
          </cell>
          <cell r="L349">
            <v>0</v>
          </cell>
          <cell r="M349">
            <v>2867</v>
          </cell>
          <cell r="N349">
            <v>1965</v>
          </cell>
          <cell r="O349">
            <v>-472</v>
          </cell>
          <cell r="P349">
            <v>0</v>
          </cell>
          <cell r="Q349">
            <v>4360</v>
          </cell>
        </row>
        <row r="350">
          <cell r="A350" t="str">
            <v>US28P015013111100012</v>
          </cell>
          <cell r="B350" t="str">
            <v>US28P01501</v>
          </cell>
          <cell r="C350">
            <v>3111100012</v>
          </cell>
          <cell r="D350" t="str">
            <v>OVERTIME HOURS /PERMANENTS</v>
          </cell>
          <cell r="E350">
            <v>106</v>
          </cell>
          <cell r="F350">
            <v>56</v>
          </cell>
          <cell r="G350">
            <v>50</v>
          </cell>
          <cell r="H350">
            <v>70</v>
          </cell>
          <cell r="I350">
            <v>-16</v>
          </cell>
          <cell r="J350">
            <v>152</v>
          </cell>
          <cell r="K350">
            <v>106</v>
          </cell>
          <cell r="L350">
            <v>-10</v>
          </cell>
          <cell r="M350">
            <v>805</v>
          </cell>
          <cell r="N350">
            <v>2599</v>
          </cell>
          <cell r="O350">
            <v>-301</v>
          </cell>
          <cell r="P350">
            <v>55</v>
          </cell>
          <cell r="Q350">
            <v>3672</v>
          </cell>
        </row>
        <row r="351">
          <cell r="A351" t="str">
            <v>US28P015503111100012</v>
          </cell>
          <cell r="B351" t="str">
            <v>US28P01550</v>
          </cell>
          <cell r="C351">
            <v>3111100012</v>
          </cell>
          <cell r="D351" t="str">
            <v>OVERTIME HOURS /PERMANENTS</v>
          </cell>
          <cell r="E351">
            <v>0</v>
          </cell>
          <cell r="F351">
            <v>0</v>
          </cell>
          <cell r="G351">
            <v>0</v>
          </cell>
          <cell r="H351">
            <v>293</v>
          </cell>
          <cell r="I351">
            <v>10135</v>
          </cell>
          <cell r="J351">
            <v>5343</v>
          </cell>
          <cell r="K351">
            <v>1627</v>
          </cell>
          <cell r="L351">
            <v>78</v>
          </cell>
          <cell r="M351">
            <v>0</v>
          </cell>
          <cell r="N351">
            <v>0</v>
          </cell>
          <cell r="O351">
            <v>0</v>
          </cell>
          <cell r="P351">
            <v>0</v>
          </cell>
          <cell r="Q351">
            <v>17476</v>
          </cell>
        </row>
        <row r="352">
          <cell r="A352" t="str">
            <v>US28P015533111100012</v>
          </cell>
          <cell r="B352" t="str">
            <v>US28P01553</v>
          </cell>
          <cell r="C352">
            <v>3111100012</v>
          </cell>
          <cell r="D352" t="str">
            <v>OVERTIME HOURS /PERMANENTS</v>
          </cell>
          <cell r="E352">
            <v>0</v>
          </cell>
          <cell r="F352">
            <v>0</v>
          </cell>
          <cell r="G352">
            <v>0</v>
          </cell>
          <cell r="H352">
            <v>0</v>
          </cell>
          <cell r="I352">
            <v>0</v>
          </cell>
          <cell r="J352">
            <v>0</v>
          </cell>
          <cell r="K352">
            <v>33213</v>
          </cell>
          <cell r="L352">
            <v>-2937</v>
          </cell>
          <cell r="M352">
            <v>-464</v>
          </cell>
          <cell r="N352">
            <v>0</v>
          </cell>
          <cell r="O352">
            <v>0</v>
          </cell>
          <cell r="P352">
            <v>0</v>
          </cell>
          <cell r="Q352">
            <v>29812</v>
          </cell>
        </row>
        <row r="353">
          <cell r="A353" t="str">
            <v>US28P015603111100012</v>
          </cell>
          <cell r="B353" t="str">
            <v>US28P01560</v>
          </cell>
          <cell r="C353">
            <v>3111100012</v>
          </cell>
          <cell r="D353" t="str">
            <v>OVERTIME HOURS /PERMANENTS</v>
          </cell>
          <cell r="E353">
            <v>4133</v>
          </cell>
          <cell r="F353">
            <v>1236</v>
          </cell>
          <cell r="G353">
            <v>3764</v>
          </cell>
          <cell r="H353">
            <v>6019</v>
          </cell>
          <cell r="I353">
            <v>706</v>
          </cell>
          <cell r="J353">
            <v>-108</v>
          </cell>
          <cell r="K353">
            <v>2</v>
          </cell>
          <cell r="L353">
            <v>214</v>
          </cell>
          <cell r="M353">
            <v>21139</v>
          </cell>
          <cell r="N353">
            <v>8499</v>
          </cell>
          <cell r="O353">
            <v>4336</v>
          </cell>
          <cell r="P353">
            <v>2542</v>
          </cell>
          <cell r="Q353">
            <v>52482</v>
          </cell>
        </row>
        <row r="354">
          <cell r="A354" t="str">
            <v>US28P015643111100012</v>
          </cell>
          <cell r="B354" t="str">
            <v>US28P01564</v>
          </cell>
          <cell r="C354">
            <v>3111100012</v>
          </cell>
          <cell r="D354" t="str">
            <v>OVERTIME HOURS /PERMANENTS</v>
          </cell>
          <cell r="E354">
            <v>0</v>
          </cell>
          <cell r="F354">
            <v>0</v>
          </cell>
          <cell r="G354">
            <v>0</v>
          </cell>
          <cell r="H354">
            <v>0</v>
          </cell>
          <cell r="I354">
            <v>0</v>
          </cell>
          <cell r="J354">
            <v>0</v>
          </cell>
          <cell r="K354">
            <v>0</v>
          </cell>
          <cell r="L354">
            <v>949</v>
          </cell>
          <cell r="M354">
            <v>29383</v>
          </cell>
          <cell r="N354">
            <v>9953</v>
          </cell>
          <cell r="O354">
            <v>-1672</v>
          </cell>
          <cell r="P354">
            <v>0</v>
          </cell>
          <cell r="Q354">
            <v>38613</v>
          </cell>
        </row>
        <row r="355">
          <cell r="A355" t="str">
            <v>US28P015753111100012</v>
          </cell>
          <cell r="B355" t="str">
            <v>US28P01575</v>
          </cell>
          <cell r="C355">
            <v>3111100012</v>
          </cell>
          <cell r="D355" t="str">
            <v>OVERTIME HOURS /PERMANENTS</v>
          </cell>
          <cell r="E355">
            <v>0</v>
          </cell>
          <cell r="F355">
            <v>0</v>
          </cell>
          <cell r="G355">
            <v>0</v>
          </cell>
          <cell r="H355">
            <v>0</v>
          </cell>
          <cell r="I355">
            <v>0</v>
          </cell>
          <cell r="J355">
            <v>196</v>
          </cell>
          <cell r="K355">
            <v>261</v>
          </cell>
          <cell r="L355">
            <v>0</v>
          </cell>
          <cell r="M355">
            <v>0</v>
          </cell>
          <cell r="N355">
            <v>0</v>
          </cell>
          <cell r="O355">
            <v>0</v>
          </cell>
          <cell r="P355">
            <v>0</v>
          </cell>
          <cell r="Q355">
            <v>457</v>
          </cell>
        </row>
        <row r="356">
          <cell r="A356" t="str">
            <v>US28P015853111100012</v>
          </cell>
          <cell r="B356" t="str">
            <v>US28P01585</v>
          </cell>
          <cell r="C356">
            <v>3111100012</v>
          </cell>
          <cell r="D356" t="str">
            <v>OVERTIME HOURS /PERMANENTS</v>
          </cell>
          <cell r="E356">
            <v>-15</v>
          </cell>
          <cell r="F356">
            <v>1276</v>
          </cell>
          <cell r="G356">
            <v>-254</v>
          </cell>
          <cell r="H356">
            <v>304</v>
          </cell>
          <cell r="I356">
            <v>196</v>
          </cell>
          <cell r="J356">
            <v>1220</v>
          </cell>
          <cell r="K356">
            <v>588</v>
          </cell>
          <cell r="L356">
            <v>2157</v>
          </cell>
          <cell r="M356">
            <v>-642</v>
          </cell>
          <cell r="N356">
            <v>0</v>
          </cell>
          <cell r="O356">
            <v>220</v>
          </cell>
          <cell r="P356">
            <v>313</v>
          </cell>
          <cell r="Q356">
            <v>5363</v>
          </cell>
        </row>
        <row r="357">
          <cell r="A357" t="str">
            <v>US28P015903111100012</v>
          </cell>
          <cell r="B357" t="str">
            <v>US28P01590</v>
          </cell>
          <cell r="C357">
            <v>3111100012</v>
          </cell>
          <cell r="D357" t="str">
            <v>OVERTIME HOURS /PERMANENTS</v>
          </cell>
          <cell r="E357">
            <v>952</v>
          </cell>
          <cell r="F357">
            <v>599</v>
          </cell>
          <cell r="G357">
            <v>201</v>
          </cell>
          <cell r="H357">
            <v>529</v>
          </cell>
          <cell r="I357">
            <v>0</v>
          </cell>
          <cell r="J357">
            <v>0</v>
          </cell>
          <cell r="K357">
            <v>231</v>
          </cell>
          <cell r="L357">
            <v>443</v>
          </cell>
          <cell r="M357">
            <v>1850</v>
          </cell>
          <cell r="N357">
            <v>732</v>
          </cell>
          <cell r="O357">
            <v>26</v>
          </cell>
          <cell r="P357">
            <v>0</v>
          </cell>
          <cell r="Q357">
            <v>5563</v>
          </cell>
        </row>
        <row r="358">
          <cell r="A358" t="str">
            <v>US28P015923111100012</v>
          </cell>
          <cell r="B358" t="str">
            <v>US28P01592</v>
          </cell>
          <cell r="C358">
            <v>3111100012</v>
          </cell>
          <cell r="D358" t="str">
            <v>OVERTIME HOURS /PERMANENTS</v>
          </cell>
          <cell r="E358">
            <v>0</v>
          </cell>
          <cell r="F358">
            <v>0</v>
          </cell>
          <cell r="G358">
            <v>0</v>
          </cell>
          <cell r="H358">
            <v>0</v>
          </cell>
          <cell r="I358">
            <v>0</v>
          </cell>
          <cell r="J358">
            <v>0</v>
          </cell>
          <cell r="K358">
            <v>0</v>
          </cell>
          <cell r="L358">
            <v>0</v>
          </cell>
          <cell r="M358">
            <v>1677</v>
          </cell>
          <cell r="N358">
            <v>1194</v>
          </cell>
          <cell r="O358">
            <v>-275</v>
          </cell>
          <cell r="P358">
            <v>0</v>
          </cell>
          <cell r="Q358">
            <v>2596</v>
          </cell>
        </row>
        <row r="359">
          <cell r="A359" t="str">
            <v>US35P015013111100012</v>
          </cell>
          <cell r="B359" t="str">
            <v>US35P01501</v>
          </cell>
          <cell r="C359">
            <v>3111100012</v>
          </cell>
          <cell r="D359" t="str">
            <v>OVERTIME HOURS /PERMANENTS</v>
          </cell>
          <cell r="E359">
            <v>388</v>
          </cell>
          <cell r="F359">
            <v>463</v>
          </cell>
          <cell r="G359">
            <v>444</v>
          </cell>
          <cell r="H359">
            <v>615</v>
          </cell>
          <cell r="I359">
            <v>446</v>
          </cell>
          <cell r="J359">
            <v>551</v>
          </cell>
          <cell r="K359">
            <v>413</v>
          </cell>
          <cell r="L359">
            <v>421</v>
          </cell>
          <cell r="M359">
            <v>676</v>
          </cell>
          <cell r="N359">
            <v>674</v>
          </cell>
          <cell r="O359">
            <v>144</v>
          </cell>
          <cell r="P359">
            <v>0</v>
          </cell>
          <cell r="Q359">
            <v>5235</v>
          </cell>
        </row>
        <row r="360">
          <cell r="A360" t="str">
            <v>US35P015503111100012</v>
          </cell>
          <cell r="B360" t="str">
            <v>US35P01550</v>
          </cell>
          <cell r="C360">
            <v>3111100012</v>
          </cell>
          <cell r="D360" t="str">
            <v>OVERTIME HOURS /PERMANENTS</v>
          </cell>
          <cell r="E360">
            <v>0</v>
          </cell>
          <cell r="F360">
            <v>0</v>
          </cell>
          <cell r="G360">
            <v>0</v>
          </cell>
          <cell r="H360">
            <v>594</v>
          </cell>
          <cell r="I360">
            <v>4658</v>
          </cell>
          <cell r="J360">
            <v>271</v>
          </cell>
          <cell r="K360">
            <v>2096</v>
          </cell>
          <cell r="L360">
            <v>587</v>
          </cell>
          <cell r="M360">
            <v>-265</v>
          </cell>
          <cell r="N360">
            <v>0</v>
          </cell>
          <cell r="O360">
            <v>0</v>
          </cell>
          <cell r="P360">
            <v>0</v>
          </cell>
          <cell r="Q360">
            <v>7941</v>
          </cell>
        </row>
        <row r="361">
          <cell r="A361" t="str">
            <v>US35P015533111100012</v>
          </cell>
          <cell r="B361" t="str">
            <v>US35P01553</v>
          </cell>
          <cell r="C361">
            <v>3111100012</v>
          </cell>
          <cell r="D361" t="str">
            <v>OVERTIME HOURS /PERMANENTS</v>
          </cell>
          <cell r="E361">
            <v>0</v>
          </cell>
          <cell r="F361">
            <v>0</v>
          </cell>
          <cell r="G361">
            <v>0</v>
          </cell>
          <cell r="H361">
            <v>0</v>
          </cell>
          <cell r="I361">
            <v>0</v>
          </cell>
          <cell r="J361">
            <v>0</v>
          </cell>
          <cell r="K361">
            <v>5480</v>
          </cell>
          <cell r="L361">
            <v>3117</v>
          </cell>
          <cell r="M361">
            <v>0</v>
          </cell>
          <cell r="N361">
            <v>0</v>
          </cell>
          <cell r="O361">
            <v>0</v>
          </cell>
          <cell r="P361">
            <v>0</v>
          </cell>
          <cell r="Q361">
            <v>8597</v>
          </cell>
        </row>
        <row r="362">
          <cell r="A362" t="str">
            <v>US35P015603111100012</v>
          </cell>
          <cell r="B362" t="str">
            <v>US35P01560</v>
          </cell>
          <cell r="C362">
            <v>3111100012</v>
          </cell>
          <cell r="D362" t="str">
            <v>OVERTIME HOURS /PERMANENTS</v>
          </cell>
          <cell r="E362">
            <v>2242</v>
          </cell>
          <cell r="F362">
            <v>6070</v>
          </cell>
          <cell r="G362">
            <v>7190</v>
          </cell>
          <cell r="H362">
            <v>4714</v>
          </cell>
          <cell r="I362">
            <v>-1265</v>
          </cell>
          <cell r="J362">
            <v>-253</v>
          </cell>
          <cell r="K362">
            <v>495</v>
          </cell>
          <cell r="L362">
            <v>299</v>
          </cell>
          <cell r="M362">
            <v>10974</v>
          </cell>
          <cell r="N362">
            <v>3586</v>
          </cell>
          <cell r="O362">
            <v>3754</v>
          </cell>
          <cell r="P362">
            <v>1019</v>
          </cell>
          <cell r="Q362">
            <v>38825</v>
          </cell>
        </row>
        <row r="363">
          <cell r="A363" t="str">
            <v>US35P015643111100012</v>
          </cell>
          <cell r="B363" t="str">
            <v>US35P01564</v>
          </cell>
          <cell r="C363">
            <v>3111100012</v>
          </cell>
          <cell r="D363" t="str">
            <v>OVERTIME HOURS /PERMANENTS</v>
          </cell>
          <cell r="E363">
            <v>0</v>
          </cell>
          <cell r="F363">
            <v>0</v>
          </cell>
          <cell r="G363">
            <v>0</v>
          </cell>
          <cell r="H363">
            <v>0</v>
          </cell>
          <cell r="I363">
            <v>0</v>
          </cell>
          <cell r="J363">
            <v>0</v>
          </cell>
          <cell r="K363">
            <v>0</v>
          </cell>
          <cell r="L363">
            <v>148</v>
          </cell>
          <cell r="M363">
            <v>16927</v>
          </cell>
          <cell r="N363">
            <v>7549</v>
          </cell>
          <cell r="O363">
            <v>-1904</v>
          </cell>
          <cell r="P363">
            <v>0</v>
          </cell>
          <cell r="Q363">
            <v>22720</v>
          </cell>
        </row>
        <row r="364">
          <cell r="A364" t="str">
            <v>US35P015753111100012</v>
          </cell>
          <cell r="B364" t="str">
            <v>US35P01575</v>
          </cell>
          <cell r="C364">
            <v>3111100012</v>
          </cell>
          <cell r="D364" t="str">
            <v>OVERTIME HOURS /PERMANENTS</v>
          </cell>
          <cell r="E364">
            <v>0</v>
          </cell>
          <cell r="F364">
            <v>0</v>
          </cell>
          <cell r="G364">
            <v>0</v>
          </cell>
          <cell r="H364">
            <v>0</v>
          </cell>
          <cell r="I364">
            <v>0</v>
          </cell>
          <cell r="J364">
            <v>1025</v>
          </cell>
          <cell r="K364">
            <v>1732</v>
          </cell>
          <cell r="L364">
            <v>1210</v>
          </cell>
          <cell r="M364">
            <v>-215</v>
          </cell>
          <cell r="N364">
            <v>0</v>
          </cell>
          <cell r="O364">
            <v>0</v>
          </cell>
          <cell r="P364">
            <v>0</v>
          </cell>
          <cell r="Q364">
            <v>3752</v>
          </cell>
        </row>
        <row r="365">
          <cell r="A365" t="str">
            <v>US35P015853111100012</v>
          </cell>
          <cell r="B365" t="str">
            <v>US35P01585</v>
          </cell>
          <cell r="C365">
            <v>3111100012</v>
          </cell>
          <cell r="D365" t="str">
            <v>OVERTIME HOURS /PERMANENTS</v>
          </cell>
          <cell r="E365">
            <v>1570</v>
          </cell>
          <cell r="F365">
            <v>163</v>
          </cell>
          <cell r="G365">
            <v>1314</v>
          </cell>
          <cell r="H365">
            <v>560</v>
          </cell>
          <cell r="I365">
            <v>2048</v>
          </cell>
          <cell r="J365">
            <v>16</v>
          </cell>
          <cell r="K365">
            <v>9358</v>
          </cell>
          <cell r="L365">
            <v>2012</v>
          </cell>
          <cell r="M365">
            <v>8271</v>
          </cell>
          <cell r="N365">
            <v>4182</v>
          </cell>
          <cell r="O365">
            <v>-720</v>
          </cell>
          <cell r="P365">
            <v>492</v>
          </cell>
          <cell r="Q365">
            <v>29266</v>
          </cell>
        </row>
        <row r="366">
          <cell r="A366" t="str">
            <v>US35P015903111100012</v>
          </cell>
          <cell r="B366" t="str">
            <v>US35P01590</v>
          </cell>
          <cell r="C366">
            <v>3111100012</v>
          </cell>
          <cell r="D366" t="str">
            <v>OVERTIME HOURS /PERMANENTS</v>
          </cell>
          <cell r="E366">
            <v>-13</v>
          </cell>
          <cell r="F366">
            <v>79</v>
          </cell>
          <cell r="G366">
            <v>376</v>
          </cell>
          <cell r="H366">
            <v>48</v>
          </cell>
          <cell r="I366">
            <v>0</v>
          </cell>
          <cell r="J366">
            <v>97</v>
          </cell>
          <cell r="K366">
            <v>506</v>
          </cell>
          <cell r="L366">
            <v>61</v>
          </cell>
          <cell r="M366">
            <v>246</v>
          </cell>
          <cell r="N366">
            <v>75</v>
          </cell>
          <cell r="O366">
            <v>9</v>
          </cell>
          <cell r="P366">
            <v>26</v>
          </cell>
          <cell r="Q366">
            <v>1510</v>
          </cell>
        </row>
        <row r="367">
          <cell r="A367" t="str">
            <v>US35P015923111100012</v>
          </cell>
          <cell r="B367" t="str">
            <v>US35P01592</v>
          </cell>
          <cell r="C367">
            <v>3111100012</v>
          </cell>
          <cell r="D367" t="str">
            <v>OVERTIME HOURS /PERMANENTS</v>
          </cell>
          <cell r="E367">
            <v>0</v>
          </cell>
          <cell r="F367">
            <v>0</v>
          </cell>
          <cell r="G367">
            <v>0</v>
          </cell>
          <cell r="H367">
            <v>0</v>
          </cell>
          <cell r="I367">
            <v>0</v>
          </cell>
          <cell r="J367">
            <v>0</v>
          </cell>
          <cell r="K367">
            <v>0</v>
          </cell>
          <cell r="L367">
            <v>0</v>
          </cell>
          <cell r="M367">
            <v>149</v>
          </cell>
          <cell r="N367">
            <v>-9</v>
          </cell>
          <cell r="O367">
            <v>0</v>
          </cell>
          <cell r="P367">
            <v>0</v>
          </cell>
          <cell r="Q367">
            <v>140</v>
          </cell>
        </row>
        <row r="368">
          <cell r="A368" t="str">
            <v>USWOP015013111100012</v>
          </cell>
          <cell r="B368" t="str">
            <v>USWOP01501</v>
          </cell>
          <cell r="C368">
            <v>3111100012</v>
          </cell>
          <cell r="D368" t="str">
            <v>OVERTIME HOURS /PERMANENTS</v>
          </cell>
          <cell r="E368">
            <v>655</v>
          </cell>
          <cell r="F368">
            <v>811</v>
          </cell>
          <cell r="G368">
            <v>770</v>
          </cell>
          <cell r="H368">
            <v>683</v>
          </cell>
          <cell r="I368">
            <v>1097</v>
          </cell>
          <cell r="J368">
            <v>249</v>
          </cell>
          <cell r="K368">
            <v>523</v>
          </cell>
          <cell r="L368">
            <v>382</v>
          </cell>
          <cell r="M368">
            <v>20</v>
          </cell>
          <cell r="N368">
            <v>0</v>
          </cell>
          <cell r="O368">
            <v>0</v>
          </cell>
          <cell r="P368">
            <v>0</v>
          </cell>
          <cell r="Q368">
            <v>5190</v>
          </cell>
        </row>
        <row r="369">
          <cell r="A369" t="str">
            <v>USWOP015503111100012</v>
          </cell>
          <cell r="B369" t="str">
            <v>USWOP01550</v>
          </cell>
          <cell r="C369">
            <v>3111100012</v>
          </cell>
          <cell r="D369" t="str">
            <v>OVERTIME HOURS /PERMANENTS</v>
          </cell>
          <cell r="E369">
            <v>0</v>
          </cell>
          <cell r="F369">
            <v>0</v>
          </cell>
          <cell r="G369">
            <v>0</v>
          </cell>
          <cell r="H369">
            <v>0</v>
          </cell>
          <cell r="I369">
            <v>6811</v>
          </cell>
          <cell r="J369">
            <v>9295</v>
          </cell>
          <cell r="K369">
            <v>11382</v>
          </cell>
          <cell r="L369">
            <v>13573</v>
          </cell>
          <cell r="M369">
            <v>0</v>
          </cell>
          <cell r="N369">
            <v>0</v>
          </cell>
          <cell r="O369">
            <v>0</v>
          </cell>
          <cell r="P369">
            <v>0</v>
          </cell>
          <cell r="Q369">
            <v>41061</v>
          </cell>
        </row>
        <row r="370">
          <cell r="A370" t="str">
            <v>USWOP015533111100012</v>
          </cell>
          <cell r="B370" t="str">
            <v>USWOP01553</v>
          </cell>
          <cell r="C370">
            <v>3111100012</v>
          </cell>
          <cell r="D370" t="str">
            <v>OVERTIME HOURS /PERMANENTS</v>
          </cell>
          <cell r="E370">
            <v>0</v>
          </cell>
          <cell r="F370">
            <v>0</v>
          </cell>
          <cell r="G370">
            <v>0</v>
          </cell>
          <cell r="H370">
            <v>0</v>
          </cell>
          <cell r="I370">
            <v>0</v>
          </cell>
          <cell r="J370">
            <v>0</v>
          </cell>
          <cell r="K370">
            <v>0</v>
          </cell>
          <cell r="L370">
            <v>15184</v>
          </cell>
          <cell r="M370">
            <v>-5062</v>
          </cell>
          <cell r="N370">
            <v>0</v>
          </cell>
          <cell r="O370">
            <v>1817</v>
          </cell>
          <cell r="P370">
            <v>0</v>
          </cell>
          <cell r="Q370">
            <v>11939</v>
          </cell>
        </row>
        <row r="371">
          <cell r="A371" t="str">
            <v>USWOP015603111100012</v>
          </cell>
          <cell r="B371" t="str">
            <v>USWOP01560</v>
          </cell>
          <cell r="C371">
            <v>3111100012</v>
          </cell>
          <cell r="D371" t="str">
            <v>OVERTIME HOURS /PERMANENTS</v>
          </cell>
          <cell r="E371">
            <v>357</v>
          </cell>
          <cell r="F371">
            <v>1031</v>
          </cell>
          <cell r="G371">
            <v>1525</v>
          </cell>
          <cell r="H371">
            <v>3927</v>
          </cell>
          <cell r="I371">
            <v>4195</v>
          </cell>
          <cell r="J371">
            <v>793</v>
          </cell>
          <cell r="K371">
            <v>980</v>
          </cell>
          <cell r="L371">
            <v>865</v>
          </cell>
          <cell r="M371">
            <v>0</v>
          </cell>
          <cell r="N371">
            <v>18022</v>
          </cell>
          <cell r="O371">
            <v>5723</v>
          </cell>
          <cell r="P371">
            <v>380</v>
          </cell>
          <cell r="Q371">
            <v>37798</v>
          </cell>
        </row>
        <row r="372">
          <cell r="A372" t="str">
            <v>USWOP015643111100012</v>
          </cell>
          <cell r="B372" t="str">
            <v>USWOP01564</v>
          </cell>
          <cell r="C372">
            <v>3111100012</v>
          </cell>
          <cell r="D372" t="str">
            <v>OVERTIME HOURS /PERMANENTS</v>
          </cell>
          <cell r="E372">
            <v>0</v>
          </cell>
          <cell r="F372">
            <v>0</v>
          </cell>
          <cell r="G372">
            <v>0</v>
          </cell>
          <cell r="H372">
            <v>0</v>
          </cell>
          <cell r="I372">
            <v>0</v>
          </cell>
          <cell r="J372">
            <v>0</v>
          </cell>
          <cell r="K372">
            <v>0</v>
          </cell>
          <cell r="L372">
            <v>0</v>
          </cell>
          <cell r="M372">
            <v>10516</v>
          </cell>
          <cell r="N372">
            <v>31021</v>
          </cell>
          <cell r="O372">
            <v>-7779</v>
          </cell>
          <cell r="P372">
            <v>0</v>
          </cell>
          <cell r="Q372">
            <v>33758</v>
          </cell>
        </row>
        <row r="373">
          <cell r="A373" t="str">
            <v>USWOP015753111100012</v>
          </cell>
          <cell r="B373" t="str">
            <v>USWOP01575</v>
          </cell>
          <cell r="C373">
            <v>3111100012</v>
          </cell>
          <cell r="D373" t="str">
            <v>OVERTIME HOURS /PERMANENTS</v>
          </cell>
          <cell r="E373">
            <v>29</v>
          </cell>
          <cell r="F373">
            <v>0</v>
          </cell>
          <cell r="G373">
            <v>0</v>
          </cell>
          <cell r="H373">
            <v>0</v>
          </cell>
          <cell r="I373">
            <v>0</v>
          </cell>
          <cell r="J373">
            <v>0</v>
          </cell>
          <cell r="K373">
            <v>0</v>
          </cell>
          <cell r="L373">
            <v>6218</v>
          </cell>
          <cell r="M373">
            <v>910</v>
          </cell>
          <cell r="N373">
            <v>-930</v>
          </cell>
          <cell r="O373">
            <v>0</v>
          </cell>
          <cell r="P373">
            <v>0</v>
          </cell>
          <cell r="Q373">
            <v>6227</v>
          </cell>
        </row>
        <row r="374">
          <cell r="A374" t="str">
            <v>US59P015013111100012</v>
          </cell>
          <cell r="B374" t="str">
            <v>US59P01501</v>
          </cell>
          <cell r="C374">
            <v>3111100012</v>
          </cell>
          <cell r="D374" t="str">
            <v>OVERTIME HOURS /PERMANENTS</v>
          </cell>
          <cell r="E374">
            <v>705</v>
          </cell>
          <cell r="F374">
            <v>389</v>
          </cell>
          <cell r="G374">
            <v>468</v>
          </cell>
          <cell r="H374">
            <v>206</v>
          </cell>
          <cell r="I374">
            <v>96</v>
          </cell>
          <cell r="J374">
            <v>376</v>
          </cell>
          <cell r="K374">
            <v>297</v>
          </cell>
          <cell r="L374">
            <v>149</v>
          </cell>
          <cell r="M374">
            <v>76</v>
          </cell>
          <cell r="N374">
            <v>381</v>
          </cell>
          <cell r="O374">
            <v>435</v>
          </cell>
          <cell r="P374">
            <v>0</v>
          </cell>
          <cell r="Q374">
            <v>3578</v>
          </cell>
        </row>
        <row r="375">
          <cell r="A375" t="str">
            <v>USWOP015853111100012</v>
          </cell>
          <cell r="B375" t="str">
            <v>USWOP01585</v>
          </cell>
          <cell r="C375">
            <v>3111100012</v>
          </cell>
          <cell r="D375" t="str">
            <v>OVERTIME HOURS /PERMANENTS</v>
          </cell>
          <cell r="E375">
            <v>187</v>
          </cell>
          <cell r="F375">
            <v>149</v>
          </cell>
          <cell r="G375">
            <v>285</v>
          </cell>
          <cell r="H375">
            <v>749</v>
          </cell>
          <cell r="I375">
            <v>-105</v>
          </cell>
          <cell r="J375">
            <v>132</v>
          </cell>
          <cell r="K375">
            <v>34</v>
          </cell>
          <cell r="L375">
            <v>1404</v>
          </cell>
          <cell r="M375">
            <v>3643</v>
          </cell>
          <cell r="N375">
            <v>7529</v>
          </cell>
          <cell r="O375">
            <v>-475</v>
          </cell>
          <cell r="P375">
            <v>176</v>
          </cell>
          <cell r="Q375">
            <v>13708</v>
          </cell>
        </row>
        <row r="376">
          <cell r="A376" t="str">
            <v>US59P015503111100012</v>
          </cell>
          <cell r="B376" t="str">
            <v>US59P01550</v>
          </cell>
          <cell r="C376">
            <v>3111100012</v>
          </cell>
          <cell r="D376" t="str">
            <v>OVERTIME HOURS /PERMANENTS</v>
          </cell>
          <cell r="E376">
            <v>27</v>
          </cell>
          <cell r="F376">
            <v>0</v>
          </cell>
          <cell r="G376">
            <v>0</v>
          </cell>
          <cell r="H376">
            <v>0</v>
          </cell>
          <cell r="I376">
            <v>2536</v>
          </cell>
          <cell r="J376">
            <v>4122</v>
          </cell>
          <cell r="K376">
            <v>10212</v>
          </cell>
          <cell r="L376">
            <v>13351</v>
          </cell>
          <cell r="M376">
            <v>1822</v>
          </cell>
          <cell r="N376">
            <v>4753</v>
          </cell>
          <cell r="O376">
            <v>-798</v>
          </cell>
          <cell r="P376">
            <v>0</v>
          </cell>
          <cell r="Q376">
            <v>36025</v>
          </cell>
        </row>
        <row r="377">
          <cell r="A377" t="str">
            <v>US59P015533111100012</v>
          </cell>
          <cell r="B377" t="str">
            <v>US59P01553</v>
          </cell>
          <cell r="C377">
            <v>3111100012</v>
          </cell>
          <cell r="D377" t="str">
            <v>OVERTIME HOURS /PERMANENTS</v>
          </cell>
          <cell r="E377">
            <v>0</v>
          </cell>
          <cell r="F377">
            <v>0</v>
          </cell>
          <cell r="G377">
            <v>0</v>
          </cell>
          <cell r="H377">
            <v>0</v>
          </cell>
          <cell r="I377">
            <v>0</v>
          </cell>
          <cell r="J377">
            <v>0</v>
          </cell>
          <cell r="K377">
            <v>3170</v>
          </cell>
          <cell r="L377">
            <v>3638</v>
          </cell>
          <cell r="M377">
            <v>33</v>
          </cell>
          <cell r="N377">
            <v>0</v>
          </cell>
          <cell r="O377">
            <v>0</v>
          </cell>
          <cell r="P377">
            <v>0</v>
          </cell>
          <cell r="Q377">
            <v>6841</v>
          </cell>
        </row>
        <row r="378">
          <cell r="A378" t="str">
            <v>US59P015603111100012</v>
          </cell>
          <cell r="B378" t="str">
            <v>US59P01560</v>
          </cell>
          <cell r="C378">
            <v>3111100012</v>
          </cell>
          <cell r="D378" t="str">
            <v>OVERTIME HOURS /PERMANENTS</v>
          </cell>
          <cell r="E378">
            <v>50</v>
          </cell>
          <cell r="F378">
            <v>651</v>
          </cell>
          <cell r="G378">
            <v>90</v>
          </cell>
          <cell r="H378">
            <v>506</v>
          </cell>
          <cell r="I378">
            <v>1061</v>
          </cell>
          <cell r="J378">
            <v>115</v>
          </cell>
          <cell r="K378">
            <v>122</v>
          </cell>
          <cell r="L378">
            <v>0</v>
          </cell>
          <cell r="M378">
            <v>1799</v>
          </cell>
          <cell r="N378">
            <v>17642</v>
          </cell>
          <cell r="O378">
            <v>595</v>
          </cell>
          <cell r="P378">
            <v>525</v>
          </cell>
          <cell r="Q378">
            <v>23156</v>
          </cell>
        </row>
        <row r="379">
          <cell r="A379" t="str">
            <v>US59P015643111100012</v>
          </cell>
          <cell r="B379" t="str">
            <v>US59P01564</v>
          </cell>
          <cell r="C379">
            <v>3111100012</v>
          </cell>
          <cell r="D379" t="str">
            <v>OVERTIME HOURS /PERMANENTS</v>
          </cell>
          <cell r="E379">
            <v>0</v>
          </cell>
          <cell r="F379">
            <v>0</v>
          </cell>
          <cell r="G379">
            <v>0</v>
          </cell>
          <cell r="H379">
            <v>0</v>
          </cell>
          <cell r="I379">
            <v>0</v>
          </cell>
          <cell r="J379">
            <v>0</v>
          </cell>
          <cell r="K379">
            <v>0</v>
          </cell>
          <cell r="L379">
            <v>0</v>
          </cell>
          <cell r="M379">
            <v>11593</v>
          </cell>
          <cell r="N379">
            <v>26861</v>
          </cell>
          <cell r="O379">
            <v>-7121</v>
          </cell>
          <cell r="P379">
            <v>0</v>
          </cell>
          <cell r="Q379">
            <v>31333</v>
          </cell>
        </row>
        <row r="380">
          <cell r="A380" t="str">
            <v>US59P015753111100012</v>
          </cell>
          <cell r="B380" t="str">
            <v>US59P01575</v>
          </cell>
          <cell r="C380">
            <v>3111100012</v>
          </cell>
          <cell r="D380" t="str">
            <v>OVERTIME HOURS /PERMANENTS</v>
          </cell>
          <cell r="E380">
            <v>82</v>
          </cell>
          <cell r="F380">
            <v>758</v>
          </cell>
          <cell r="G380">
            <v>609</v>
          </cell>
          <cell r="H380">
            <v>564</v>
          </cell>
          <cell r="I380">
            <v>-23</v>
          </cell>
          <cell r="J380">
            <v>40</v>
          </cell>
          <cell r="K380">
            <v>53</v>
          </cell>
          <cell r="L380">
            <v>0</v>
          </cell>
          <cell r="M380">
            <v>0</v>
          </cell>
          <cell r="N380">
            <v>0</v>
          </cell>
          <cell r="O380">
            <v>0</v>
          </cell>
          <cell r="P380">
            <v>0</v>
          </cell>
          <cell r="Q380">
            <v>2083</v>
          </cell>
        </row>
        <row r="381">
          <cell r="A381" t="str">
            <v>US59P015903111100012</v>
          </cell>
          <cell r="B381" t="str">
            <v>US59P01590</v>
          </cell>
          <cell r="C381">
            <v>3111100012</v>
          </cell>
          <cell r="D381" t="str">
            <v>OVERTIME HOURS /PERMANENTS</v>
          </cell>
          <cell r="E381">
            <v>409</v>
          </cell>
          <cell r="F381">
            <v>-41</v>
          </cell>
          <cell r="G381">
            <v>63</v>
          </cell>
          <cell r="H381">
            <v>69</v>
          </cell>
          <cell r="I381">
            <v>53</v>
          </cell>
          <cell r="J381">
            <v>0</v>
          </cell>
          <cell r="K381">
            <v>0</v>
          </cell>
          <cell r="L381">
            <v>0</v>
          </cell>
          <cell r="M381">
            <v>761</v>
          </cell>
          <cell r="N381">
            <v>1413</v>
          </cell>
          <cell r="O381">
            <v>2036</v>
          </cell>
          <cell r="P381">
            <v>246</v>
          </cell>
          <cell r="Q381">
            <v>5009</v>
          </cell>
        </row>
        <row r="382">
          <cell r="A382" t="str">
            <v>US59P3C5013111100012</v>
          </cell>
          <cell r="B382" t="str">
            <v>US59P3C501</v>
          </cell>
          <cell r="C382">
            <v>3111100012</v>
          </cell>
          <cell r="D382" t="str">
            <v>OVERTIME HOURS /PERMANENTS</v>
          </cell>
          <cell r="E382">
            <v>770</v>
          </cell>
          <cell r="F382">
            <v>830</v>
          </cell>
          <cell r="G382">
            <v>-89</v>
          </cell>
          <cell r="H382">
            <v>0</v>
          </cell>
          <cell r="I382">
            <v>0</v>
          </cell>
          <cell r="J382">
            <v>0</v>
          </cell>
          <cell r="K382">
            <v>0</v>
          </cell>
          <cell r="L382">
            <v>0</v>
          </cell>
          <cell r="M382">
            <v>0</v>
          </cell>
          <cell r="N382">
            <v>0</v>
          </cell>
          <cell r="O382">
            <v>0</v>
          </cell>
          <cell r="P382">
            <v>0</v>
          </cell>
          <cell r="Q382">
            <v>1511</v>
          </cell>
        </row>
        <row r="383">
          <cell r="A383" t="str">
            <v>US59P3C5503111100012</v>
          </cell>
          <cell r="B383" t="str">
            <v>US59P3C550</v>
          </cell>
          <cell r="C383">
            <v>3111100012</v>
          </cell>
          <cell r="D383" t="str">
            <v>OVERTIME HOURS /PERMANENTS</v>
          </cell>
          <cell r="E383">
            <v>0</v>
          </cell>
          <cell r="F383">
            <v>0</v>
          </cell>
          <cell r="G383">
            <v>0</v>
          </cell>
          <cell r="H383">
            <v>0</v>
          </cell>
          <cell r="I383">
            <v>0</v>
          </cell>
          <cell r="J383">
            <v>0</v>
          </cell>
          <cell r="K383">
            <v>693</v>
          </cell>
          <cell r="L383">
            <v>2655</v>
          </cell>
          <cell r="M383">
            <v>2144</v>
          </cell>
          <cell r="N383">
            <v>1946</v>
          </cell>
          <cell r="O383">
            <v>671</v>
          </cell>
          <cell r="P383">
            <v>971</v>
          </cell>
          <cell r="Q383">
            <v>9080</v>
          </cell>
        </row>
        <row r="384">
          <cell r="A384" t="str">
            <v>US59P3C5603111100012</v>
          </cell>
          <cell r="B384" t="str">
            <v>US59P3C560</v>
          </cell>
          <cell r="C384">
            <v>3111100012</v>
          </cell>
          <cell r="D384" t="str">
            <v>OVERTIME HOURS /PERMANENTS</v>
          </cell>
          <cell r="E384">
            <v>3386</v>
          </cell>
          <cell r="F384">
            <v>1232</v>
          </cell>
          <cell r="G384">
            <v>2225</v>
          </cell>
          <cell r="H384">
            <v>1586</v>
          </cell>
          <cell r="I384">
            <v>1634</v>
          </cell>
          <cell r="J384">
            <v>2022</v>
          </cell>
          <cell r="K384">
            <v>818</v>
          </cell>
          <cell r="L384">
            <v>501</v>
          </cell>
          <cell r="M384">
            <v>-67</v>
          </cell>
          <cell r="N384">
            <v>0</v>
          </cell>
          <cell r="O384">
            <v>1498</v>
          </cell>
          <cell r="P384">
            <v>1792</v>
          </cell>
          <cell r="Q384">
            <v>16627</v>
          </cell>
        </row>
        <row r="385">
          <cell r="A385" t="str">
            <v>US59PZA5503111100012</v>
          </cell>
          <cell r="B385" t="str">
            <v>US59PZA550</v>
          </cell>
          <cell r="C385">
            <v>3111100012</v>
          </cell>
          <cell r="D385" t="str">
            <v>OVERTIME HOURS /PERMANENTS</v>
          </cell>
          <cell r="E385">
            <v>670</v>
          </cell>
          <cell r="F385">
            <v>0</v>
          </cell>
          <cell r="G385">
            <v>0</v>
          </cell>
          <cell r="H385">
            <v>0</v>
          </cell>
          <cell r="I385">
            <v>0</v>
          </cell>
          <cell r="J385">
            <v>0</v>
          </cell>
          <cell r="K385">
            <v>0</v>
          </cell>
          <cell r="L385">
            <v>0</v>
          </cell>
          <cell r="M385">
            <v>0</v>
          </cell>
          <cell r="N385">
            <v>0</v>
          </cell>
          <cell r="O385">
            <v>0</v>
          </cell>
          <cell r="P385">
            <v>0</v>
          </cell>
          <cell r="Q385">
            <v>670</v>
          </cell>
        </row>
        <row r="386">
          <cell r="A386" t="str">
            <v>USCRP015013111100012</v>
          </cell>
          <cell r="B386" t="str">
            <v>USCRP01501</v>
          </cell>
          <cell r="C386">
            <v>3111100012</v>
          </cell>
          <cell r="D386" t="str">
            <v>OVERTIME HOURS /PERMANENTS</v>
          </cell>
          <cell r="E386">
            <v>57</v>
          </cell>
          <cell r="F386">
            <v>73</v>
          </cell>
          <cell r="G386">
            <v>91</v>
          </cell>
          <cell r="H386">
            <v>6</v>
          </cell>
          <cell r="I386">
            <v>819</v>
          </cell>
          <cell r="J386">
            <v>68</v>
          </cell>
          <cell r="K386">
            <v>501</v>
          </cell>
          <cell r="L386">
            <v>60</v>
          </cell>
          <cell r="M386">
            <v>682</v>
          </cell>
          <cell r="N386">
            <v>229</v>
          </cell>
          <cell r="O386">
            <v>153</v>
          </cell>
          <cell r="P386">
            <v>260</v>
          </cell>
          <cell r="Q386">
            <v>2999</v>
          </cell>
        </row>
        <row r="387">
          <cell r="A387" t="str">
            <v>USCRP015503111100012</v>
          </cell>
          <cell r="B387" t="str">
            <v>USCRP01550</v>
          </cell>
          <cell r="C387">
            <v>3111100012</v>
          </cell>
          <cell r="D387" t="str">
            <v>OVERTIME HOURS /PERMANENTS</v>
          </cell>
          <cell r="E387">
            <v>0</v>
          </cell>
          <cell r="F387">
            <v>0</v>
          </cell>
          <cell r="G387">
            <v>0</v>
          </cell>
          <cell r="H387">
            <v>0</v>
          </cell>
          <cell r="I387">
            <v>1600</v>
          </cell>
          <cell r="J387">
            <v>11734</v>
          </cell>
          <cell r="K387">
            <v>9911</v>
          </cell>
          <cell r="L387">
            <v>27398</v>
          </cell>
          <cell r="M387">
            <v>-4074</v>
          </cell>
          <cell r="N387">
            <v>0</v>
          </cell>
          <cell r="O387">
            <v>0</v>
          </cell>
          <cell r="P387">
            <v>0</v>
          </cell>
          <cell r="Q387">
            <v>46569</v>
          </cell>
        </row>
        <row r="388">
          <cell r="A388" t="str">
            <v>USCRP015603111100012</v>
          </cell>
          <cell r="B388" t="str">
            <v>USCRP01560</v>
          </cell>
          <cell r="C388">
            <v>3111100012</v>
          </cell>
          <cell r="D388" t="str">
            <v>OVERTIME HOURS /PERMANENTS</v>
          </cell>
          <cell r="E388">
            <v>53</v>
          </cell>
          <cell r="F388">
            <v>890</v>
          </cell>
          <cell r="G388">
            <v>526</v>
          </cell>
          <cell r="H388">
            <v>3827</v>
          </cell>
          <cell r="I388">
            <v>633</v>
          </cell>
          <cell r="J388">
            <v>-86</v>
          </cell>
          <cell r="K388">
            <v>586</v>
          </cell>
          <cell r="L388">
            <v>759</v>
          </cell>
          <cell r="M388">
            <v>346</v>
          </cell>
          <cell r="N388">
            <v>3495</v>
          </cell>
          <cell r="O388">
            <v>4735</v>
          </cell>
          <cell r="P388">
            <v>1780</v>
          </cell>
          <cell r="Q388">
            <v>17544</v>
          </cell>
        </row>
        <row r="389">
          <cell r="A389" t="str">
            <v>USCRP015643111100012</v>
          </cell>
          <cell r="B389" t="str">
            <v>USCRP01564</v>
          </cell>
          <cell r="C389">
            <v>3111100012</v>
          </cell>
          <cell r="D389" t="str">
            <v>OVERTIME HOURS /PERMANENTS</v>
          </cell>
          <cell r="E389">
            <v>0</v>
          </cell>
          <cell r="F389">
            <v>0</v>
          </cell>
          <cell r="G389">
            <v>0</v>
          </cell>
          <cell r="H389">
            <v>0</v>
          </cell>
          <cell r="I389">
            <v>0</v>
          </cell>
          <cell r="J389">
            <v>0</v>
          </cell>
          <cell r="K389">
            <v>0</v>
          </cell>
          <cell r="L389">
            <v>0</v>
          </cell>
          <cell r="M389">
            <v>9499</v>
          </cell>
          <cell r="N389">
            <v>49276</v>
          </cell>
          <cell r="O389">
            <v>-9158</v>
          </cell>
          <cell r="P389">
            <v>0</v>
          </cell>
          <cell r="Q389">
            <v>49617</v>
          </cell>
        </row>
        <row r="390">
          <cell r="A390" t="str">
            <v>USCRP015753111100012</v>
          </cell>
          <cell r="B390" t="str">
            <v>USCRP01575</v>
          </cell>
          <cell r="C390">
            <v>3111100012</v>
          </cell>
          <cell r="D390" t="str">
            <v>OVERTIME HOURS /PERMANENTS</v>
          </cell>
          <cell r="E390">
            <v>601</v>
          </cell>
          <cell r="F390">
            <v>2716</v>
          </cell>
          <cell r="G390">
            <v>466</v>
          </cell>
          <cell r="H390">
            <v>219</v>
          </cell>
          <cell r="I390">
            <v>143</v>
          </cell>
          <cell r="J390">
            <v>79</v>
          </cell>
          <cell r="K390">
            <v>591</v>
          </cell>
          <cell r="L390">
            <v>1660</v>
          </cell>
          <cell r="M390">
            <v>2091</v>
          </cell>
          <cell r="N390">
            <v>-488</v>
          </cell>
          <cell r="O390">
            <v>638</v>
          </cell>
          <cell r="P390">
            <v>307</v>
          </cell>
          <cell r="Q390">
            <v>9023</v>
          </cell>
        </row>
        <row r="391">
          <cell r="A391" t="str">
            <v>USCRP015853111100012</v>
          </cell>
          <cell r="B391" t="str">
            <v>USCRP01585</v>
          </cell>
          <cell r="C391">
            <v>3111100012</v>
          </cell>
          <cell r="D391" t="str">
            <v>OVERTIME HOURS /PERMANENTS</v>
          </cell>
          <cell r="E391">
            <v>0</v>
          </cell>
          <cell r="F391">
            <v>424</v>
          </cell>
          <cell r="G391">
            <v>249</v>
          </cell>
          <cell r="H391">
            <v>-83</v>
          </cell>
          <cell r="I391">
            <v>12</v>
          </cell>
          <cell r="J391">
            <v>138</v>
          </cell>
          <cell r="K391">
            <v>894</v>
          </cell>
          <cell r="L391">
            <v>1297</v>
          </cell>
          <cell r="M391">
            <v>1816</v>
          </cell>
          <cell r="N391">
            <v>897</v>
          </cell>
          <cell r="O391">
            <v>19</v>
          </cell>
          <cell r="P391">
            <v>71</v>
          </cell>
          <cell r="Q391">
            <v>5734</v>
          </cell>
        </row>
        <row r="392">
          <cell r="A392" t="str">
            <v>US22P015013111100020</v>
          </cell>
          <cell r="B392" t="str">
            <v>US22P01501</v>
          </cell>
          <cell r="C392">
            <v>3111100020</v>
          </cell>
          <cell r="D392" t="str">
            <v>INCENTIVE PLAN (functions)</v>
          </cell>
          <cell r="E392">
            <v>1903</v>
          </cell>
          <cell r="F392">
            <v>-1903</v>
          </cell>
          <cell r="G392">
            <v>0</v>
          </cell>
          <cell r="H392">
            <v>0</v>
          </cell>
          <cell r="I392">
            <v>0</v>
          </cell>
          <cell r="J392">
            <v>0</v>
          </cell>
          <cell r="K392">
            <v>0</v>
          </cell>
          <cell r="L392">
            <v>0</v>
          </cell>
          <cell r="M392">
            <v>0</v>
          </cell>
          <cell r="N392">
            <v>0</v>
          </cell>
          <cell r="O392">
            <v>0</v>
          </cell>
          <cell r="P392">
            <v>0</v>
          </cell>
          <cell r="Q392">
            <v>0</v>
          </cell>
        </row>
        <row r="393">
          <cell r="A393" t="str">
            <v>US22P015503111100020</v>
          </cell>
          <cell r="B393" t="str">
            <v>US22P01550</v>
          </cell>
          <cell r="C393">
            <v>3111100020</v>
          </cell>
          <cell r="D393" t="str">
            <v>INCENTIVE PLAN (functions)</v>
          </cell>
          <cell r="E393">
            <v>123</v>
          </cell>
          <cell r="F393">
            <v>-123</v>
          </cell>
          <cell r="G393">
            <v>0</v>
          </cell>
          <cell r="H393">
            <v>0</v>
          </cell>
          <cell r="I393">
            <v>0</v>
          </cell>
          <cell r="J393">
            <v>0</v>
          </cell>
          <cell r="K393">
            <v>0</v>
          </cell>
          <cell r="L393">
            <v>0</v>
          </cell>
          <cell r="M393">
            <v>0</v>
          </cell>
          <cell r="N393">
            <v>0</v>
          </cell>
          <cell r="O393">
            <v>0</v>
          </cell>
          <cell r="P393">
            <v>0</v>
          </cell>
          <cell r="Q393">
            <v>0</v>
          </cell>
        </row>
        <row r="394">
          <cell r="A394" t="str">
            <v>US22P015603111100020</v>
          </cell>
          <cell r="B394" t="str">
            <v>US22P01560</v>
          </cell>
          <cell r="C394">
            <v>3111100020</v>
          </cell>
          <cell r="D394" t="str">
            <v>INCENTIVE PLAN (functions)</v>
          </cell>
          <cell r="E394">
            <v>688</v>
          </cell>
          <cell r="F394">
            <v>-688</v>
          </cell>
          <cell r="G394">
            <v>0</v>
          </cell>
          <cell r="H394">
            <v>0</v>
          </cell>
          <cell r="I394">
            <v>0</v>
          </cell>
          <cell r="J394">
            <v>0</v>
          </cell>
          <cell r="K394">
            <v>0</v>
          </cell>
          <cell r="L394">
            <v>0</v>
          </cell>
          <cell r="M394">
            <v>0</v>
          </cell>
          <cell r="N394">
            <v>0</v>
          </cell>
          <cell r="O394">
            <v>0</v>
          </cell>
          <cell r="P394">
            <v>0</v>
          </cell>
          <cell r="Q394">
            <v>0</v>
          </cell>
        </row>
        <row r="395">
          <cell r="A395" t="str">
            <v>US22P015753111100020</v>
          </cell>
          <cell r="B395" t="str">
            <v>US22P01575</v>
          </cell>
          <cell r="C395">
            <v>3111100020</v>
          </cell>
          <cell r="D395" t="str">
            <v>INCENTIVE PLAN (functions)</v>
          </cell>
          <cell r="E395">
            <v>107</v>
          </cell>
          <cell r="F395">
            <v>-107</v>
          </cell>
          <cell r="G395">
            <v>0</v>
          </cell>
          <cell r="H395">
            <v>0</v>
          </cell>
          <cell r="I395">
            <v>0</v>
          </cell>
          <cell r="J395">
            <v>0</v>
          </cell>
          <cell r="K395">
            <v>0</v>
          </cell>
          <cell r="L395">
            <v>0</v>
          </cell>
          <cell r="M395">
            <v>0</v>
          </cell>
          <cell r="N395">
            <v>0</v>
          </cell>
          <cell r="O395">
            <v>0</v>
          </cell>
          <cell r="P395">
            <v>0</v>
          </cell>
          <cell r="Q395">
            <v>0</v>
          </cell>
        </row>
        <row r="396">
          <cell r="A396" t="str">
            <v>US22P015903111100020</v>
          </cell>
          <cell r="B396" t="str">
            <v>US22P01590</v>
          </cell>
          <cell r="C396">
            <v>3111100020</v>
          </cell>
          <cell r="D396" t="str">
            <v>INCENTIVE PLAN (functions)</v>
          </cell>
          <cell r="E396">
            <v>139</v>
          </cell>
          <cell r="F396">
            <v>-139</v>
          </cell>
          <cell r="G396">
            <v>0</v>
          </cell>
          <cell r="H396">
            <v>0</v>
          </cell>
          <cell r="I396">
            <v>0</v>
          </cell>
          <cell r="J396">
            <v>0</v>
          </cell>
          <cell r="K396">
            <v>0</v>
          </cell>
          <cell r="L396">
            <v>0</v>
          </cell>
          <cell r="M396">
            <v>0</v>
          </cell>
          <cell r="N396">
            <v>0</v>
          </cell>
          <cell r="O396">
            <v>0</v>
          </cell>
          <cell r="P396">
            <v>0</v>
          </cell>
          <cell r="Q396">
            <v>0</v>
          </cell>
        </row>
        <row r="397">
          <cell r="A397" t="str">
            <v>US28P015013111100020</v>
          </cell>
          <cell r="B397" t="str">
            <v>US28P01501</v>
          </cell>
          <cell r="C397">
            <v>3111100020</v>
          </cell>
          <cell r="D397" t="str">
            <v>INCENTIVE PLAN (functions)</v>
          </cell>
          <cell r="E397">
            <v>1955</v>
          </cell>
          <cell r="F397">
            <v>-1955</v>
          </cell>
          <cell r="G397">
            <v>0</v>
          </cell>
          <cell r="H397">
            <v>0</v>
          </cell>
          <cell r="I397">
            <v>0</v>
          </cell>
          <cell r="J397">
            <v>0</v>
          </cell>
          <cell r="K397">
            <v>0</v>
          </cell>
          <cell r="L397">
            <v>0</v>
          </cell>
          <cell r="M397">
            <v>0</v>
          </cell>
          <cell r="N397">
            <v>0</v>
          </cell>
          <cell r="O397">
            <v>0</v>
          </cell>
          <cell r="P397">
            <v>0</v>
          </cell>
          <cell r="Q397">
            <v>0</v>
          </cell>
        </row>
        <row r="398">
          <cell r="A398" t="str">
            <v>US28P015503111100020</v>
          </cell>
          <cell r="B398" t="str">
            <v>US28P01550</v>
          </cell>
          <cell r="C398">
            <v>3111100020</v>
          </cell>
          <cell r="D398" t="str">
            <v>INCENTIVE PLAN (functions)</v>
          </cell>
          <cell r="E398">
            <v>450</v>
          </cell>
          <cell r="F398">
            <v>-450</v>
          </cell>
          <cell r="G398">
            <v>0</v>
          </cell>
          <cell r="H398">
            <v>0</v>
          </cell>
          <cell r="I398">
            <v>0</v>
          </cell>
          <cell r="J398">
            <v>0</v>
          </cell>
          <cell r="K398">
            <v>0</v>
          </cell>
          <cell r="L398">
            <v>0</v>
          </cell>
          <cell r="M398">
            <v>0</v>
          </cell>
          <cell r="N398">
            <v>0</v>
          </cell>
          <cell r="O398">
            <v>0</v>
          </cell>
          <cell r="P398">
            <v>0</v>
          </cell>
          <cell r="Q398">
            <v>0</v>
          </cell>
        </row>
        <row r="399">
          <cell r="A399" t="str">
            <v>US28P015603111100020</v>
          </cell>
          <cell r="B399" t="str">
            <v>US28P01560</v>
          </cell>
          <cell r="C399">
            <v>3111100020</v>
          </cell>
          <cell r="D399" t="str">
            <v>INCENTIVE PLAN (functions)</v>
          </cell>
          <cell r="E399">
            <v>966</v>
          </cell>
          <cell r="F399">
            <v>-966</v>
          </cell>
          <cell r="G399">
            <v>0</v>
          </cell>
          <cell r="H399">
            <v>0</v>
          </cell>
          <cell r="I399">
            <v>0</v>
          </cell>
          <cell r="J399">
            <v>0</v>
          </cell>
          <cell r="K399">
            <v>0</v>
          </cell>
          <cell r="L399">
            <v>0</v>
          </cell>
          <cell r="M399">
            <v>0</v>
          </cell>
          <cell r="N399">
            <v>0</v>
          </cell>
          <cell r="O399">
            <v>0</v>
          </cell>
          <cell r="P399">
            <v>0</v>
          </cell>
          <cell r="Q399">
            <v>0</v>
          </cell>
        </row>
        <row r="400">
          <cell r="A400" t="str">
            <v>US28P015903111100020</v>
          </cell>
          <cell r="B400" t="str">
            <v>US28P01590</v>
          </cell>
          <cell r="C400">
            <v>3111100020</v>
          </cell>
          <cell r="D400" t="str">
            <v>INCENTIVE PLAN (functions)</v>
          </cell>
          <cell r="E400">
            <v>125</v>
          </cell>
          <cell r="F400">
            <v>-125</v>
          </cell>
          <cell r="G400">
            <v>0</v>
          </cell>
          <cell r="H400">
            <v>0</v>
          </cell>
          <cell r="I400">
            <v>0</v>
          </cell>
          <cell r="J400">
            <v>0</v>
          </cell>
          <cell r="K400">
            <v>0</v>
          </cell>
          <cell r="L400">
            <v>0</v>
          </cell>
          <cell r="M400">
            <v>0</v>
          </cell>
          <cell r="N400">
            <v>0</v>
          </cell>
          <cell r="O400">
            <v>0</v>
          </cell>
          <cell r="P400">
            <v>0</v>
          </cell>
          <cell r="Q400">
            <v>0</v>
          </cell>
        </row>
        <row r="401">
          <cell r="A401" t="str">
            <v>US35P015013111100020</v>
          </cell>
          <cell r="B401" t="str">
            <v>US35P01501</v>
          </cell>
          <cell r="C401">
            <v>3111100020</v>
          </cell>
          <cell r="D401" t="str">
            <v>INCENTIVE PLAN (functions)</v>
          </cell>
          <cell r="E401">
            <v>2150</v>
          </cell>
          <cell r="F401">
            <v>-2150</v>
          </cell>
          <cell r="G401">
            <v>0</v>
          </cell>
          <cell r="H401">
            <v>0</v>
          </cell>
          <cell r="I401">
            <v>0</v>
          </cell>
          <cell r="J401">
            <v>0</v>
          </cell>
          <cell r="K401">
            <v>0</v>
          </cell>
          <cell r="L401">
            <v>0</v>
          </cell>
          <cell r="M401">
            <v>0</v>
          </cell>
          <cell r="N401">
            <v>0</v>
          </cell>
          <cell r="O401">
            <v>0</v>
          </cell>
          <cell r="P401">
            <v>0</v>
          </cell>
          <cell r="Q401">
            <v>0</v>
          </cell>
        </row>
        <row r="402">
          <cell r="A402" t="str">
            <v>US35P015603111100020</v>
          </cell>
          <cell r="B402" t="str">
            <v>US35P01560</v>
          </cell>
          <cell r="C402">
            <v>3111100020</v>
          </cell>
          <cell r="D402" t="str">
            <v>INCENTIVE PLAN (functions)</v>
          </cell>
          <cell r="E402">
            <v>1244</v>
          </cell>
          <cell r="F402">
            <v>-1244</v>
          </cell>
          <cell r="G402">
            <v>0</v>
          </cell>
          <cell r="H402">
            <v>0</v>
          </cell>
          <cell r="I402">
            <v>0</v>
          </cell>
          <cell r="J402">
            <v>0</v>
          </cell>
          <cell r="K402">
            <v>0</v>
          </cell>
          <cell r="L402">
            <v>0</v>
          </cell>
          <cell r="M402">
            <v>0</v>
          </cell>
          <cell r="N402">
            <v>0</v>
          </cell>
          <cell r="O402">
            <v>0</v>
          </cell>
          <cell r="P402">
            <v>0</v>
          </cell>
          <cell r="Q402">
            <v>0</v>
          </cell>
        </row>
        <row r="403">
          <cell r="A403" t="str">
            <v>US35P015903111100020</v>
          </cell>
          <cell r="B403" t="str">
            <v>US35P01590</v>
          </cell>
          <cell r="C403">
            <v>3111100020</v>
          </cell>
          <cell r="D403" t="str">
            <v>INCENTIVE PLAN (functions)</v>
          </cell>
          <cell r="E403">
            <v>96</v>
          </cell>
          <cell r="F403">
            <v>-96</v>
          </cell>
          <cell r="G403">
            <v>0</v>
          </cell>
          <cell r="H403">
            <v>0</v>
          </cell>
          <cell r="I403">
            <v>0</v>
          </cell>
          <cell r="J403">
            <v>0</v>
          </cell>
          <cell r="K403">
            <v>0</v>
          </cell>
          <cell r="L403">
            <v>0</v>
          </cell>
          <cell r="M403">
            <v>0</v>
          </cell>
          <cell r="N403">
            <v>0</v>
          </cell>
          <cell r="O403">
            <v>0</v>
          </cell>
          <cell r="P403">
            <v>0</v>
          </cell>
          <cell r="Q403">
            <v>0</v>
          </cell>
        </row>
        <row r="404">
          <cell r="A404" t="str">
            <v>USWOP015013111100020</v>
          </cell>
          <cell r="B404" t="str">
            <v>USWOP01501</v>
          </cell>
          <cell r="C404">
            <v>3111100020</v>
          </cell>
          <cell r="D404" t="str">
            <v>INCENTIVE PLAN (functions)</v>
          </cell>
          <cell r="E404">
            <v>5295</v>
          </cell>
          <cell r="F404">
            <v>-5295</v>
          </cell>
          <cell r="G404">
            <v>0</v>
          </cell>
          <cell r="H404">
            <v>0</v>
          </cell>
          <cell r="I404">
            <v>0</v>
          </cell>
          <cell r="J404">
            <v>0</v>
          </cell>
          <cell r="K404">
            <v>0</v>
          </cell>
          <cell r="L404">
            <v>0</v>
          </cell>
          <cell r="M404">
            <v>0</v>
          </cell>
          <cell r="N404">
            <v>0</v>
          </cell>
          <cell r="O404">
            <v>0</v>
          </cell>
          <cell r="P404">
            <v>0</v>
          </cell>
          <cell r="Q404">
            <v>0</v>
          </cell>
        </row>
        <row r="405">
          <cell r="A405" t="str">
            <v>US59P015013111100020</v>
          </cell>
          <cell r="B405" t="str">
            <v>US59P01501</v>
          </cell>
          <cell r="C405">
            <v>3111100020</v>
          </cell>
          <cell r="D405" t="str">
            <v>INCENTIVE PLAN (functions)</v>
          </cell>
          <cell r="E405">
            <v>840</v>
          </cell>
          <cell r="F405">
            <v>-840</v>
          </cell>
          <cell r="G405">
            <v>0</v>
          </cell>
          <cell r="H405">
            <v>0</v>
          </cell>
          <cell r="I405">
            <v>0</v>
          </cell>
          <cell r="J405">
            <v>0</v>
          </cell>
          <cell r="K405">
            <v>0</v>
          </cell>
          <cell r="L405">
            <v>0</v>
          </cell>
          <cell r="M405">
            <v>0</v>
          </cell>
          <cell r="N405">
            <v>0</v>
          </cell>
          <cell r="O405">
            <v>0</v>
          </cell>
          <cell r="P405">
            <v>0</v>
          </cell>
          <cell r="Q405">
            <v>0</v>
          </cell>
        </row>
        <row r="406">
          <cell r="A406" t="str">
            <v>US59P015503111100020</v>
          </cell>
          <cell r="B406" t="str">
            <v>US59P01550</v>
          </cell>
          <cell r="C406">
            <v>3111100020</v>
          </cell>
          <cell r="D406" t="str">
            <v>INCENTIVE PLAN (functions)</v>
          </cell>
          <cell r="E406">
            <v>139</v>
          </cell>
          <cell r="F406">
            <v>-139</v>
          </cell>
          <cell r="G406">
            <v>0</v>
          </cell>
          <cell r="H406">
            <v>0</v>
          </cell>
          <cell r="I406">
            <v>0</v>
          </cell>
          <cell r="J406">
            <v>0</v>
          </cell>
          <cell r="K406">
            <v>0</v>
          </cell>
          <cell r="L406">
            <v>0</v>
          </cell>
          <cell r="M406">
            <v>0</v>
          </cell>
          <cell r="N406">
            <v>0</v>
          </cell>
          <cell r="O406">
            <v>0</v>
          </cell>
          <cell r="P406">
            <v>0</v>
          </cell>
          <cell r="Q406">
            <v>0</v>
          </cell>
        </row>
        <row r="407">
          <cell r="A407" t="str">
            <v>US59P015603111100020</v>
          </cell>
          <cell r="B407" t="str">
            <v>US59P01560</v>
          </cell>
          <cell r="C407">
            <v>3111100020</v>
          </cell>
          <cell r="D407" t="str">
            <v>INCENTIVE PLAN (functions)</v>
          </cell>
          <cell r="E407">
            <v>800</v>
          </cell>
          <cell r="F407">
            <v>-800</v>
          </cell>
          <cell r="G407">
            <v>0</v>
          </cell>
          <cell r="H407">
            <v>0</v>
          </cell>
          <cell r="I407">
            <v>0</v>
          </cell>
          <cell r="J407">
            <v>0</v>
          </cell>
          <cell r="K407">
            <v>0</v>
          </cell>
          <cell r="L407">
            <v>0</v>
          </cell>
          <cell r="M407">
            <v>0</v>
          </cell>
          <cell r="N407">
            <v>0</v>
          </cell>
          <cell r="O407">
            <v>0</v>
          </cell>
          <cell r="P407">
            <v>0</v>
          </cell>
          <cell r="Q407">
            <v>0</v>
          </cell>
        </row>
        <row r="408">
          <cell r="A408" t="str">
            <v>US59P015753111100020</v>
          </cell>
          <cell r="B408" t="str">
            <v>US59P01575</v>
          </cell>
          <cell r="C408">
            <v>3111100020</v>
          </cell>
          <cell r="D408" t="str">
            <v>INCENTIVE PLAN (functions)</v>
          </cell>
          <cell r="E408">
            <v>231</v>
          </cell>
          <cell r="F408">
            <v>-231</v>
          </cell>
          <cell r="G408">
            <v>0</v>
          </cell>
          <cell r="H408">
            <v>0</v>
          </cell>
          <cell r="I408">
            <v>0</v>
          </cell>
          <cell r="J408">
            <v>0</v>
          </cell>
          <cell r="K408">
            <v>0</v>
          </cell>
          <cell r="L408">
            <v>0</v>
          </cell>
          <cell r="M408">
            <v>0</v>
          </cell>
          <cell r="N408">
            <v>0</v>
          </cell>
          <cell r="O408">
            <v>0</v>
          </cell>
          <cell r="P408">
            <v>0</v>
          </cell>
          <cell r="Q408">
            <v>0</v>
          </cell>
        </row>
        <row r="409">
          <cell r="A409" t="str">
            <v>US59P015903111100020</v>
          </cell>
          <cell r="B409" t="str">
            <v>US59P01590</v>
          </cell>
          <cell r="C409">
            <v>3111100020</v>
          </cell>
          <cell r="D409" t="str">
            <v>INCENTIVE PLAN (functions)</v>
          </cell>
          <cell r="E409">
            <v>272</v>
          </cell>
          <cell r="F409">
            <v>-272</v>
          </cell>
          <cell r="G409">
            <v>0</v>
          </cell>
          <cell r="H409">
            <v>0</v>
          </cell>
          <cell r="I409">
            <v>0</v>
          </cell>
          <cell r="J409">
            <v>0</v>
          </cell>
          <cell r="K409">
            <v>0</v>
          </cell>
          <cell r="L409">
            <v>0</v>
          </cell>
          <cell r="M409">
            <v>0</v>
          </cell>
          <cell r="N409">
            <v>0</v>
          </cell>
          <cell r="O409">
            <v>0</v>
          </cell>
          <cell r="P409">
            <v>0</v>
          </cell>
          <cell r="Q409">
            <v>0</v>
          </cell>
        </row>
        <row r="410">
          <cell r="A410" t="str">
            <v>US59P3C5013111100020</v>
          </cell>
          <cell r="B410" t="str">
            <v>US59P3C501</v>
          </cell>
          <cell r="C410">
            <v>3111100020</v>
          </cell>
          <cell r="D410" t="str">
            <v>INCENTIVE PLAN (functions)</v>
          </cell>
          <cell r="E410">
            <v>315</v>
          </cell>
          <cell r="F410">
            <v>-315</v>
          </cell>
          <cell r="G410">
            <v>0</v>
          </cell>
          <cell r="H410">
            <v>0</v>
          </cell>
          <cell r="I410">
            <v>0</v>
          </cell>
          <cell r="J410">
            <v>0</v>
          </cell>
          <cell r="K410">
            <v>0</v>
          </cell>
          <cell r="L410">
            <v>0</v>
          </cell>
          <cell r="M410">
            <v>0</v>
          </cell>
          <cell r="N410">
            <v>0</v>
          </cell>
          <cell r="O410">
            <v>0</v>
          </cell>
          <cell r="P410">
            <v>0</v>
          </cell>
          <cell r="Q410">
            <v>0</v>
          </cell>
        </row>
        <row r="411">
          <cell r="A411" t="str">
            <v>US59PZA5013111100020</v>
          </cell>
          <cell r="B411" t="str">
            <v>US59PZA501</v>
          </cell>
          <cell r="C411">
            <v>3111100020</v>
          </cell>
          <cell r="D411" t="str">
            <v>INCENTIVE PLAN (functions)</v>
          </cell>
          <cell r="E411">
            <v>1734</v>
          </cell>
          <cell r="F411">
            <v>-1734</v>
          </cell>
          <cell r="G411">
            <v>0</v>
          </cell>
          <cell r="H411">
            <v>0</v>
          </cell>
          <cell r="I411">
            <v>0</v>
          </cell>
          <cell r="J411">
            <v>0</v>
          </cell>
          <cell r="K411">
            <v>0</v>
          </cell>
          <cell r="L411">
            <v>0</v>
          </cell>
          <cell r="M411">
            <v>0</v>
          </cell>
          <cell r="N411">
            <v>0</v>
          </cell>
          <cell r="O411">
            <v>0</v>
          </cell>
          <cell r="P411">
            <v>0</v>
          </cell>
          <cell r="Q411">
            <v>0</v>
          </cell>
        </row>
        <row r="412">
          <cell r="A412" t="str">
            <v>US59PZA5503111100020</v>
          </cell>
          <cell r="B412" t="str">
            <v>US59PZA550</v>
          </cell>
          <cell r="C412">
            <v>3111100020</v>
          </cell>
          <cell r="D412" t="str">
            <v>INCENTIVE PLAN (functions)</v>
          </cell>
          <cell r="E412">
            <v>267</v>
          </cell>
          <cell r="F412">
            <v>-267</v>
          </cell>
          <cell r="G412">
            <v>0</v>
          </cell>
          <cell r="H412">
            <v>0</v>
          </cell>
          <cell r="I412">
            <v>0</v>
          </cell>
          <cell r="J412">
            <v>0</v>
          </cell>
          <cell r="K412">
            <v>0</v>
          </cell>
          <cell r="L412">
            <v>0</v>
          </cell>
          <cell r="M412">
            <v>0</v>
          </cell>
          <cell r="N412">
            <v>0</v>
          </cell>
          <cell r="O412">
            <v>0</v>
          </cell>
          <cell r="P412">
            <v>0</v>
          </cell>
          <cell r="Q412">
            <v>0</v>
          </cell>
        </row>
        <row r="413">
          <cell r="A413" t="str">
            <v>US59PZA5603111100020</v>
          </cell>
          <cell r="B413" t="str">
            <v>US59PZA560</v>
          </cell>
          <cell r="C413">
            <v>3111100020</v>
          </cell>
          <cell r="D413" t="str">
            <v>INCENTIVE PLAN (functions)</v>
          </cell>
          <cell r="E413">
            <v>593</v>
          </cell>
          <cell r="F413">
            <v>-593</v>
          </cell>
          <cell r="G413">
            <v>0</v>
          </cell>
          <cell r="H413">
            <v>0</v>
          </cell>
          <cell r="I413">
            <v>0</v>
          </cell>
          <cell r="J413">
            <v>0</v>
          </cell>
          <cell r="K413">
            <v>0</v>
          </cell>
          <cell r="L413">
            <v>0</v>
          </cell>
          <cell r="M413">
            <v>0</v>
          </cell>
          <cell r="N413">
            <v>0</v>
          </cell>
          <cell r="O413">
            <v>0</v>
          </cell>
          <cell r="P413">
            <v>0</v>
          </cell>
          <cell r="Q413">
            <v>0</v>
          </cell>
        </row>
        <row r="414">
          <cell r="A414" t="str">
            <v>USCRP015013111100020</v>
          </cell>
          <cell r="B414" t="str">
            <v>USCRP01501</v>
          </cell>
          <cell r="C414">
            <v>3111100020</v>
          </cell>
          <cell r="D414" t="str">
            <v>INCENTIVE PLAN (functions)</v>
          </cell>
          <cell r="E414">
            <v>3829</v>
          </cell>
          <cell r="F414">
            <v>-3829</v>
          </cell>
          <cell r="G414">
            <v>0</v>
          </cell>
          <cell r="H414">
            <v>0</v>
          </cell>
          <cell r="I414">
            <v>0</v>
          </cell>
          <cell r="J414">
            <v>0</v>
          </cell>
          <cell r="K414">
            <v>0</v>
          </cell>
          <cell r="L414">
            <v>0</v>
          </cell>
          <cell r="M414">
            <v>0</v>
          </cell>
          <cell r="N414">
            <v>0</v>
          </cell>
          <cell r="O414">
            <v>0</v>
          </cell>
          <cell r="P414">
            <v>0</v>
          </cell>
          <cell r="Q414">
            <v>0</v>
          </cell>
        </row>
        <row r="415">
          <cell r="A415" t="str">
            <v>USCRP015503111100020</v>
          </cell>
          <cell r="B415" t="str">
            <v>USCRP01550</v>
          </cell>
          <cell r="C415">
            <v>3111100020</v>
          </cell>
          <cell r="D415" t="str">
            <v>INCENTIVE PLAN (functions)</v>
          </cell>
          <cell r="E415">
            <v>121</v>
          </cell>
          <cell r="F415">
            <v>-121</v>
          </cell>
          <cell r="G415">
            <v>0</v>
          </cell>
          <cell r="H415">
            <v>0</v>
          </cell>
          <cell r="I415">
            <v>0</v>
          </cell>
          <cell r="J415">
            <v>0</v>
          </cell>
          <cell r="K415">
            <v>0</v>
          </cell>
          <cell r="L415">
            <v>0</v>
          </cell>
          <cell r="M415">
            <v>0</v>
          </cell>
          <cell r="N415">
            <v>0</v>
          </cell>
          <cell r="O415">
            <v>0</v>
          </cell>
          <cell r="P415">
            <v>0</v>
          </cell>
          <cell r="Q415">
            <v>0</v>
          </cell>
        </row>
        <row r="416">
          <cell r="A416" t="str">
            <v>USCRP015853111100020</v>
          </cell>
          <cell r="B416" t="str">
            <v>USCRP01585</v>
          </cell>
          <cell r="C416">
            <v>3111100020</v>
          </cell>
          <cell r="D416" t="str">
            <v>INCENTIVE PLAN (functions)</v>
          </cell>
          <cell r="E416">
            <v>137</v>
          </cell>
          <cell r="F416">
            <v>-137</v>
          </cell>
          <cell r="G416">
            <v>0</v>
          </cell>
          <cell r="H416">
            <v>0</v>
          </cell>
          <cell r="I416">
            <v>0</v>
          </cell>
          <cell r="J416">
            <v>0</v>
          </cell>
          <cell r="K416">
            <v>0</v>
          </cell>
          <cell r="L416">
            <v>0</v>
          </cell>
          <cell r="M416">
            <v>0</v>
          </cell>
          <cell r="N416">
            <v>0</v>
          </cell>
          <cell r="O416">
            <v>0</v>
          </cell>
          <cell r="P416">
            <v>0</v>
          </cell>
          <cell r="Q416">
            <v>0</v>
          </cell>
        </row>
        <row r="417">
          <cell r="A417" t="str">
            <v>USWOP015013111100063</v>
          </cell>
          <cell r="B417" t="str">
            <v>USWOP01501</v>
          </cell>
          <cell r="C417">
            <v>3111100063</v>
          </cell>
          <cell r="D417" t="str">
            <v>INCENTIVE PLAN (functions)</v>
          </cell>
          <cell r="E417">
            <v>1200</v>
          </cell>
          <cell r="F417">
            <v>0</v>
          </cell>
          <cell r="G417">
            <v>0</v>
          </cell>
          <cell r="H417">
            <v>0</v>
          </cell>
          <cell r="I417">
            <v>0</v>
          </cell>
          <cell r="J417">
            <v>0</v>
          </cell>
          <cell r="K417">
            <v>0</v>
          </cell>
          <cell r="L417">
            <v>0</v>
          </cell>
          <cell r="M417">
            <v>0</v>
          </cell>
          <cell r="N417">
            <v>0</v>
          </cell>
          <cell r="O417">
            <v>0</v>
          </cell>
          <cell r="P417">
            <v>0</v>
          </cell>
          <cell r="Q417">
            <v>1200</v>
          </cell>
        </row>
        <row r="418">
          <cell r="A418" t="str">
            <v>US22P015753111100900</v>
          </cell>
          <cell r="B418" t="str">
            <v>US22P01575</v>
          </cell>
          <cell r="C418">
            <v>3111100900</v>
          </cell>
          <cell r="D418" t="str">
            <v>WAGES &amp; SALARIES / SEASONALS</v>
          </cell>
          <cell r="E418">
            <v>160</v>
          </cell>
          <cell r="F418">
            <v>0</v>
          </cell>
          <cell r="G418">
            <v>0</v>
          </cell>
          <cell r="H418">
            <v>0</v>
          </cell>
          <cell r="I418">
            <v>0</v>
          </cell>
          <cell r="J418">
            <v>0</v>
          </cell>
          <cell r="K418">
            <v>0</v>
          </cell>
          <cell r="L418">
            <v>0</v>
          </cell>
          <cell r="M418">
            <v>0</v>
          </cell>
          <cell r="N418">
            <v>0</v>
          </cell>
          <cell r="O418">
            <v>0</v>
          </cell>
          <cell r="P418">
            <v>0</v>
          </cell>
          <cell r="Q418">
            <v>160</v>
          </cell>
        </row>
        <row r="419">
          <cell r="A419" t="str">
            <v>US22P015853111100900</v>
          </cell>
          <cell r="B419" t="str">
            <v>US22P01585</v>
          </cell>
          <cell r="C419">
            <v>3111100900</v>
          </cell>
          <cell r="D419" t="str">
            <v>WAGES &amp; SALARIES / SEASONALS</v>
          </cell>
          <cell r="E419">
            <v>224</v>
          </cell>
          <cell r="F419">
            <v>0</v>
          </cell>
          <cell r="G419">
            <v>0</v>
          </cell>
          <cell r="H419">
            <v>0</v>
          </cell>
          <cell r="I419">
            <v>0</v>
          </cell>
          <cell r="J419">
            <v>0</v>
          </cell>
          <cell r="K419">
            <v>0</v>
          </cell>
          <cell r="L419">
            <v>0</v>
          </cell>
          <cell r="M419">
            <v>0</v>
          </cell>
          <cell r="N419">
            <v>0</v>
          </cell>
          <cell r="O419">
            <v>0</v>
          </cell>
          <cell r="P419">
            <v>0</v>
          </cell>
          <cell r="Q419">
            <v>224</v>
          </cell>
        </row>
        <row r="420">
          <cell r="A420" t="str">
            <v>US35P015013121300031</v>
          </cell>
          <cell r="B420" t="str">
            <v>US35P01501</v>
          </cell>
          <cell r="C420">
            <v>3121300031</v>
          </cell>
          <cell r="D420" t="str">
            <v>CAFETERIA</v>
          </cell>
          <cell r="E420">
            <v>-1535</v>
          </cell>
          <cell r="F420">
            <v>1275</v>
          </cell>
          <cell r="G420">
            <v>849</v>
          </cell>
          <cell r="H420">
            <v>0</v>
          </cell>
          <cell r="I420">
            <v>0</v>
          </cell>
          <cell r="J420">
            <v>0</v>
          </cell>
          <cell r="K420">
            <v>0</v>
          </cell>
          <cell r="L420">
            <v>0</v>
          </cell>
          <cell r="M420">
            <v>0</v>
          </cell>
          <cell r="N420">
            <v>0</v>
          </cell>
          <cell r="O420">
            <v>0</v>
          </cell>
          <cell r="P420">
            <v>0</v>
          </cell>
          <cell r="Q420">
            <v>589</v>
          </cell>
        </row>
        <row r="421">
          <cell r="A421" t="str">
            <v>USCRP015013121300037</v>
          </cell>
          <cell r="B421" t="str">
            <v>USCRP01501</v>
          </cell>
          <cell r="C421">
            <v>3121300037</v>
          </cell>
          <cell r="D421" t="str">
            <v>PAYROLL TAX</v>
          </cell>
          <cell r="E421">
            <v>0</v>
          </cell>
          <cell r="F421">
            <v>0</v>
          </cell>
          <cell r="G421">
            <v>0</v>
          </cell>
          <cell r="H421">
            <v>0</v>
          </cell>
          <cell r="I421">
            <v>0</v>
          </cell>
          <cell r="J421">
            <v>8</v>
          </cell>
          <cell r="K421">
            <v>0</v>
          </cell>
          <cell r="L421">
            <v>0</v>
          </cell>
          <cell r="M421">
            <v>0</v>
          </cell>
          <cell r="N421">
            <v>0</v>
          </cell>
          <cell r="O421">
            <v>0</v>
          </cell>
          <cell r="P421">
            <v>0</v>
          </cell>
          <cell r="Q421">
            <v>8</v>
          </cell>
        </row>
        <row r="422">
          <cell r="A422" t="str">
            <v>US35P015603121300045</v>
          </cell>
          <cell r="B422" t="str">
            <v>US35P01560</v>
          </cell>
          <cell r="C422">
            <v>3121300045</v>
          </cell>
          <cell r="D422" t="str">
            <v>HEALTH &amp; DENTAL INSURANCE</v>
          </cell>
          <cell r="E422">
            <v>0</v>
          </cell>
          <cell r="F422">
            <v>0</v>
          </cell>
          <cell r="G422">
            <v>0</v>
          </cell>
          <cell r="H422">
            <v>0</v>
          </cell>
          <cell r="I422">
            <v>0</v>
          </cell>
          <cell r="J422">
            <v>0</v>
          </cell>
          <cell r="K422">
            <v>0</v>
          </cell>
          <cell r="L422">
            <v>0</v>
          </cell>
          <cell r="M422">
            <v>0</v>
          </cell>
          <cell r="N422">
            <v>0</v>
          </cell>
          <cell r="O422">
            <v>150</v>
          </cell>
          <cell r="P422">
            <v>0</v>
          </cell>
          <cell r="Q422">
            <v>150</v>
          </cell>
        </row>
        <row r="423">
          <cell r="A423" t="str">
            <v>US22P015013131100005</v>
          </cell>
          <cell r="B423" t="str">
            <v>US22P01501</v>
          </cell>
          <cell r="C423">
            <v>3131100005</v>
          </cell>
          <cell r="D423" t="str">
            <v>MOVINGS</v>
          </cell>
          <cell r="E423">
            <v>0</v>
          </cell>
          <cell r="F423">
            <v>0</v>
          </cell>
          <cell r="G423">
            <v>108</v>
          </cell>
          <cell r="H423">
            <v>170</v>
          </cell>
          <cell r="I423">
            <v>0</v>
          </cell>
          <cell r="J423">
            <v>1323</v>
          </cell>
          <cell r="K423">
            <v>0</v>
          </cell>
          <cell r="L423">
            <v>0</v>
          </cell>
          <cell r="M423">
            <v>0</v>
          </cell>
          <cell r="N423">
            <v>-1800</v>
          </cell>
          <cell r="O423">
            <v>0</v>
          </cell>
          <cell r="P423">
            <v>-375</v>
          </cell>
          <cell r="Q423">
            <v>-574</v>
          </cell>
        </row>
        <row r="424">
          <cell r="A424" t="str">
            <v>US28P015503131100005</v>
          </cell>
          <cell r="B424" t="str">
            <v>US28P01550</v>
          </cell>
          <cell r="C424">
            <v>3131100005</v>
          </cell>
          <cell r="D424" t="str">
            <v>MOVINGS</v>
          </cell>
          <cell r="E424">
            <v>0</v>
          </cell>
          <cell r="F424">
            <v>0</v>
          </cell>
          <cell r="G424">
            <v>0</v>
          </cell>
          <cell r="H424">
            <v>0</v>
          </cell>
          <cell r="I424">
            <v>0</v>
          </cell>
          <cell r="J424">
            <v>500</v>
          </cell>
          <cell r="K424">
            <v>0</v>
          </cell>
          <cell r="L424">
            <v>0</v>
          </cell>
          <cell r="M424">
            <v>0</v>
          </cell>
          <cell r="N424">
            <v>0</v>
          </cell>
          <cell r="O424">
            <v>0</v>
          </cell>
          <cell r="P424">
            <v>0</v>
          </cell>
          <cell r="Q424">
            <v>500</v>
          </cell>
        </row>
        <row r="425">
          <cell r="A425" t="str">
            <v>US35P015013131100005</v>
          </cell>
          <cell r="B425" t="str">
            <v>US35P01501</v>
          </cell>
          <cell r="C425">
            <v>3131100005</v>
          </cell>
          <cell r="D425" t="str">
            <v>MOVINGS</v>
          </cell>
          <cell r="E425">
            <v>0</v>
          </cell>
          <cell r="F425">
            <v>0</v>
          </cell>
          <cell r="G425">
            <v>0</v>
          </cell>
          <cell r="H425">
            <v>0</v>
          </cell>
          <cell r="I425">
            <v>500</v>
          </cell>
          <cell r="J425">
            <v>0</v>
          </cell>
          <cell r="K425">
            <v>0</v>
          </cell>
          <cell r="L425">
            <v>0</v>
          </cell>
          <cell r="M425">
            <v>0</v>
          </cell>
          <cell r="N425">
            <v>0</v>
          </cell>
          <cell r="O425">
            <v>0</v>
          </cell>
          <cell r="P425">
            <v>0</v>
          </cell>
          <cell r="Q425">
            <v>500</v>
          </cell>
        </row>
        <row r="426">
          <cell r="A426" t="str">
            <v>USWOP015013131100005</v>
          </cell>
          <cell r="B426" t="str">
            <v>USWOP01501</v>
          </cell>
          <cell r="C426">
            <v>3131100005</v>
          </cell>
          <cell r="D426" t="str">
            <v>MOVINGS</v>
          </cell>
          <cell r="E426">
            <v>0</v>
          </cell>
          <cell r="F426">
            <v>0</v>
          </cell>
          <cell r="G426">
            <v>0</v>
          </cell>
          <cell r="H426">
            <v>0</v>
          </cell>
          <cell r="I426">
            <v>0</v>
          </cell>
          <cell r="J426">
            <v>500</v>
          </cell>
          <cell r="K426">
            <v>0</v>
          </cell>
          <cell r="L426">
            <v>0</v>
          </cell>
          <cell r="M426">
            <v>0</v>
          </cell>
          <cell r="N426">
            <v>0</v>
          </cell>
          <cell r="O426">
            <v>0</v>
          </cell>
          <cell r="P426">
            <v>0</v>
          </cell>
          <cell r="Q426">
            <v>500</v>
          </cell>
        </row>
        <row r="427">
          <cell r="A427" t="str">
            <v>US59P015013131100005</v>
          </cell>
          <cell r="B427" t="str">
            <v>US59P01501</v>
          </cell>
          <cell r="C427">
            <v>3131100005</v>
          </cell>
          <cell r="D427" t="str">
            <v>MOVINGS</v>
          </cell>
          <cell r="E427">
            <v>0</v>
          </cell>
          <cell r="F427">
            <v>0</v>
          </cell>
          <cell r="G427">
            <v>9750</v>
          </cell>
          <cell r="H427">
            <v>380</v>
          </cell>
          <cell r="I427">
            <v>5565</v>
          </cell>
          <cell r="J427">
            <v>23470</v>
          </cell>
          <cell r="K427">
            <v>22472</v>
          </cell>
          <cell r="L427">
            <v>2973</v>
          </cell>
          <cell r="M427">
            <v>25260</v>
          </cell>
          <cell r="N427">
            <v>3387</v>
          </cell>
          <cell r="O427">
            <v>0</v>
          </cell>
          <cell r="P427">
            <v>-1773</v>
          </cell>
          <cell r="Q427">
            <v>91484</v>
          </cell>
        </row>
        <row r="428">
          <cell r="A428" t="str">
            <v>USCRP015013131100005</v>
          </cell>
          <cell r="B428" t="str">
            <v>USCRP01501</v>
          </cell>
          <cell r="C428">
            <v>3131100005</v>
          </cell>
          <cell r="D428" t="str">
            <v>MOVINGS</v>
          </cell>
          <cell r="E428">
            <v>0</v>
          </cell>
          <cell r="F428">
            <v>0</v>
          </cell>
          <cell r="G428">
            <v>0</v>
          </cell>
          <cell r="H428">
            <v>0</v>
          </cell>
          <cell r="I428">
            <v>3775</v>
          </cell>
          <cell r="J428">
            <v>0</v>
          </cell>
          <cell r="K428">
            <v>700</v>
          </cell>
          <cell r="L428">
            <v>700</v>
          </cell>
          <cell r="M428">
            <v>2438</v>
          </cell>
          <cell r="N428">
            <v>0</v>
          </cell>
          <cell r="O428">
            <v>0</v>
          </cell>
          <cell r="P428">
            <v>-262</v>
          </cell>
          <cell r="Q428">
            <v>7351</v>
          </cell>
        </row>
        <row r="429">
          <cell r="A429" t="str">
            <v>USCRP015503131100005</v>
          </cell>
          <cell r="B429" t="str">
            <v>USCRP01550</v>
          </cell>
          <cell r="C429">
            <v>3131100005</v>
          </cell>
          <cell r="D429" t="str">
            <v>MOVINGS</v>
          </cell>
          <cell r="E429">
            <v>0</v>
          </cell>
          <cell r="F429">
            <v>0</v>
          </cell>
          <cell r="G429">
            <v>0</v>
          </cell>
          <cell r="H429">
            <v>0</v>
          </cell>
          <cell r="I429">
            <v>0</v>
          </cell>
          <cell r="J429">
            <v>500</v>
          </cell>
          <cell r="K429">
            <v>0</v>
          </cell>
          <cell r="L429">
            <v>0</v>
          </cell>
          <cell r="M429">
            <v>0</v>
          </cell>
          <cell r="N429">
            <v>0</v>
          </cell>
          <cell r="O429">
            <v>0</v>
          </cell>
          <cell r="P429">
            <v>0</v>
          </cell>
          <cell r="Q429">
            <v>500</v>
          </cell>
        </row>
        <row r="430">
          <cell r="A430" t="str">
            <v>US28P015013131100006</v>
          </cell>
          <cell r="B430" t="str">
            <v>US28P01501</v>
          </cell>
          <cell r="C430">
            <v>3131100006</v>
          </cell>
          <cell r="D430" t="str">
            <v>RECRUITMENT</v>
          </cell>
          <cell r="E430">
            <v>0</v>
          </cell>
          <cell r="F430">
            <v>3750</v>
          </cell>
          <cell r="G430">
            <v>0</v>
          </cell>
          <cell r="H430">
            <v>0</v>
          </cell>
          <cell r="I430">
            <v>0</v>
          </cell>
          <cell r="J430">
            <v>0</v>
          </cell>
          <cell r="K430">
            <v>0</v>
          </cell>
          <cell r="L430">
            <v>0</v>
          </cell>
          <cell r="M430">
            <v>0</v>
          </cell>
          <cell r="N430">
            <v>0</v>
          </cell>
          <cell r="O430">
            <v>0</v>
          </cell>
          <cell r="P430">
            <v>0</v>
          </cell>
          <cell r="Q430">
            <v>3750</v>
          </cell>
        </row>
        <row r="431">
          <cell r="A431" t="str">
            <v>USWOP015013131100006</v>
          </cell>
          <cell r="B431" t="str">
            <v>USWOP01501</v>
          </cell>
          <cell r="C431">
            <v>3131100006</v>
          </cell>
          <cell r="D431" t="str">
            <v>RECRUITMENT</v>
          </cell>
          <cell r="E431">
            <v>0</v>
          </cell>
          <cell r="F431">
            <v>0</v>
          </cell>
          <cell r="G431">
            <v>0</v>
          </cell>
          <cell r="H431">
            <v>497</v>
          </cell>
          <cell r="I431">
            <v>0</v>
          </cell>
          <cell r="J431">
            <v>0</v>
          </cell>
          <cell r="K431">
            <v>0</v>
          </cell>
          <cell r="L431">
            <v>0</v>
          </cell>
          <cell r="M431">
            <v>0</v>
          </cell>
          <cell r="N431">
            <v>0</v>
          </cell>
          <cell r="O431">
            <v>0</v>
          </cell>
          <cell r="P431">
            <v>0</v>
          </cell>
          <cell r="Q431">
            <v>497</v>
          </cell>
        </row>
        <row r="432">
          <cell r="A432" t="str">
            <v>US59P015013131100006</v>
          </cell>
          <cell r="B432" t="str">
            <v>US59P01501</v>
          </cell>
          <cell r="C432">
            <v>3131100006</v>
          </cell>
          <cell r="D432" t="str">
            <v>RECRUITMENT</v>
          </cell>
          <cell r="E432">
            <v>0</v>
          </cell>
          <cell r="F432">
            <v>0</v>
          </cell>
          <cell r="G432">
            <v>0</v>
          </cell>
          <cell r="H432">
            <v>995</v>
          </cell>
          <cell r="I432">
            <v>0</v>
          </cell>
          <cell r="J432">
            <v>0</v>
          </cell>
          <cell r="K432">
            <v>0</v>
          </cell>
          <cell r="L432">
            <v>0</v>
          </cell>
          <cell r="M432">
            <v>0</v>
          </cell>
          <cell r="N432">
            <v>0</v>
          </cell>
          <cell r="O432">
            <v>0</v>
          </cell>
          <cell r="P432">
            <v>0</v>
          </cell>
          <cell r="Q432">
            <v>995</v>
          </cell>
        </row>
        <row r="433">
          <cell r="A433" t="str">
            <v>US22P015013131100007</v>
          </cell>
          <cell r="B433" t="str">
            <v>US22P01501</v>
          </cell>
          <cell r="C433">
            <v>3131100007</v>
          </cell>
          <cell r="D433" t="str">
            <v>EXTERNAL TRAINING</v>
          </cell>
          <cell r="E433">
            <v>280</v>
          </cell>
          <cell r="F433">
            <v>198</v>
          </cell>
          <cell r="G433">
            <v>130</v>
          </cell>
          <cell r="H433">
            <v>90</v>
          </cell>
          <cell r="I433">
            <v>180</v>
          </cell>
          <cell r="J433">
            <v>240</v>
          </cell>
          <cell r="K433">
            <v>190</v>
          </cell>
          <cell r="L433">
            <v>60</v>
          </cell>
          <cell r="M433">
            <v>135</v>
          </cell>
          <cell r="N433">
            <v>110</v>
          </cell>
          <cell r="O433">
            <v>431</v>
          </cell>
          <cell r="P433">
            <v>230</v>
          </cell>
          <cell r="Q433">
            <v>2274</v>
          </cell>
        </row>
        <row r="434">
          <cell r="A434" t="str">
            <v>US22P015503131100007</v>
          </cell>
          <cell r="B434" t="str">
            <v>US22P01550</v>
          </cell>
          <cell r="C434">
            <v>3131100007</v>
          </cell>
          <cell r="D434" t="str">
            <v>EXTERNAL TRAINING</v>
          </cell>
          <cell r="E434">
            <v>0</v>
          </cell>
          <cell r="F434">
            <v>0</v>
          </cell>
          <cell r="G434">
            <v>0</v>
          </cell>
          <cell r="H434">
            <v>0</v>
          </cell>
          <cell r="I434">
            <v>0</v>
          </cell>
          <cell r="J434">
            <v>0</v>
          </cell>
          <cell r="K434">
            <v>20</v>
          </cell>
          <cell r="L434">
            <v>0</v>
          </cell>
          <cell r="M434">
            <v>0</v>
          </cell>
          <cell r="N434">
            <v>0</v>
          </cell>
          <cell r="O434">
            <v>0</v>
          </cell>
          <cell r="P434">
            <v>0</v>
          </cell>
          <cell r="Q434">
            <v>20</v>
          </cell>
        </row>
        <row r="435">
          <cell r="A435" t="str">
            <v>US28P015013131100007</v>
          </cell>
          <cell r="B435" t="str">
            <v>US28P01501</v>
          </cell>
          <cell r="C435">
            <v>3131100007</v>
          </cell>
          <cell r="D435" t="str">
            <v>EXTERNAL TRAINING</v>
          </cell>
          <cell r="E435">
            <v>291</v>
          </cell>
          <cell r="F435">
            <v>0</v>
          </cell>
          <cell r="G435">
            <v>0</v>
          </cell>
          <cell r="H435">
            <v>0</v>
          </cell>
          <cell r="I435">
            <v>0</v>
          </cell>
          <cell r="J435">
            <v>0</v>
          </cell>
          <cell r="K435">
            <v>0</v>
          </cell>
          <cell r="L435">
            <v>0</v>
          </cell>
          <cell r="M435">
            <v>0</v>
          </cell>
          <cell r="N435">
            <v>0</v>
          </cell>
          <cell r="O435">
            <v>0</v>
          </cell>
          <cell r="P435">
            <v>40</v>
          </cell>
          <cell r="Q435">
            <v>331</v>
          </cell>
        </row>
        <row r="436">
          <cell r="A436" t="str">
            <v>US28P015503131100007</v>
          </cell>
          <cell r="B436" t="str">
            <v>US28P01550</v>
          </cell>
          <cell r="C436">
            <v>3131100007</v>
          </cell>
          <cell r="D436" t="str">
            <v>EXTERNAL TRAINING</v>
          </cell>
          <cell r="E436">
            <v>0</v>
          </cell>
          <cell r="F436">
            <v>0</v>
          </cell>
          <cell r="G436">
            <v>0</v>
          </cell>
          <cell r="H436">
            <v>0</v>
          </cell>
          <cell r="I436">
            <v>0</v>
          </cell>
          <cell r="J436">
            <v>0</v>
          </cell>
          <cell r="K436">
            <v>0</v>
          </cell>
          <cell r="L436">
            <v>0</v>
          </cell>
          <cell r="M436">
            <v>0</v>
          </cell>
          <cell r="N436">
            <v>12</v>
          </cell>
          <cell r="O436">
            <v>0</v>
          </cell>
          <cell r="P436">
            <v>0</v>
          </cell>
          <cell r="Q436">
            <v>12</v>
          </cell>
        </row>
        <row r="437">
          <cell r="A437" t="str">
            <v>US35P015013131100007</v>
          </cell>
          <cell r="B437" t="str">
            <v>US35P01501</v>
          </cell>
          <cell r="C437">
            <v>3131100007</v>
          </cell>
          <cell r="D437" t="str">
            <v>EXTERNAL TRAINING</v>
          </cell>
          <cell r="E437">
            <v>0</v>
          </cell>
          <cell r="F437">
            <v>0</v>
          </cell>
          <cell r="G437">
            <v>0</v>
          </cell>
          <cell r="H437">
            <v>0</v>
          </cell>
          <cell r="I437">
            <v>0</v>
          </cell>
          <cell r="J437">
            <v>0</v>
          </cell>
          <cell r="K437">
            <v>1481</v>
          </cell>
          <cell r="L437">
            <v>0</v>
          </cell>
          <cell r="M437">
            <v>0</v>
          </cell>
          <cell r="N437">
            <v>200</v>
          </cell>
          <cell r="O437">
            <v>0</v>
          </cell>
          <cell r="P437">
            <v>350</v>
          </cell>
          <cell r="Q437">
            <v>2031</v>
          </cell>
        </row>
        <row r="438">
          <cell r="A438" t="str">
            <v>US35P015503131100007</v>
          </cell>
          <cell r="B438" t="str">
            <v>US35P01550</v>
          </cell>
          <cell r="C438">
            <v>3131100007</v>
          </cell>
          <cell r="D438" t="str">
            <v>EXTERNAL TRAINING</v>
          </cell>
          <cell r="E438">
            <v>0</v>
          </cell>
          <cell r="F438">
            <v>0</v>
          </cell>
          <cell r="G438">
            <v>335</v>
          </cell>
          <cell r="H438">
            <v>0</v>
          </cell>
          <cell r="I438">
            <v>0</v>
          </cell>
          <cell r="J438">
            <v>0</v>
          </cell>
          <cell r="K438">
            <v>0</v>
          </cell>
          <cell r="L438">
            <v>0</v>
          </cell>
          <cell r="M438">
            <v>0</v>
          </cell>
          <cell r="N438">
            <v>0</v>
          </cell>
          <cell r="O438">
            <v>425</v>
          </cell>
          <cell r="P438">
            <v>0</v>
          </cell>
          <cell r="Q438">
            <v>760</v>
          </cell>
        </row>
        <row r="439">
          <cell r="A439" t="str">
            <v>USWOP015013131100007</v>
          </cell>
          <cell r="B439" t="str">
            <v>USWOP01501</v>
          </cell>
          <cell r="C439">
            <v>3131100007</v>
          </cell>
          <cell r="D439" t="str">
            <v>EXTERNAL TRAINING</v>
          </cell>
          <cell r="E439">
            <v>0</v>
          </cell>
          <cell r="F439">
            <v>0</v>
          </cell>
          <cell r="G439">
            <v>400</v>
          </cell>
          <cell r="H439">
            <v>325</v>
          </cell>
          <cell r="I439">
            <v>0</v>
          </cell>
          <cell r="J439">
            <v>0</v>
          </cell>
          <cell r="K439">
            <v>0</v>
          </cell>
          <cell r="L439">
            <v>0</v>
          </cell>
          <cell r="M439">
            <v>0</v>
          </cell>
          <cell r="N439">
            <v>0</v>
          </cell>
          <cell r="O439">
            <v>0</v>
          </cell>
          <cell r="P439">
            <v>0</v>
          </cell>
          <cell r="Q439">
            <v>725</v>
          </cell>
        </row>
        <row r="440">
          <cell r="A440" t="str">
            <v>US59P015013131100007</v>
          </cell>
          <cell r="B440" t="str">
            <v>US59P01501</v>
          </cell>
          <cell r="C440">
            <v>3131100007</v>
          </cell>
          <cell r="D440" t="str">
            <v>EXTERNAL TRAINING</v>
          </cell>
          <cell r="E440">
            <v>1355</v>
          </cell>
          <cell r="F440">
            <v>0</v>
          </cell>
          <cell r="G440">
            <v>0</v>
          </cell>
          <cell r="H440">
            <v>0</v>
          </cell>
          <cell r="I440">
            <v>0</v>
          </cell>
          <cell r="J440">
            <v>0</v>
          </cell>
          <cell r="K440">
            <v>0</v>
          </cell>
          <cell r="L440">
            <v>300</v>
          </cell>
          <cell r="M440">
            <v>1050</v>
          </cell>
          <cell r="N440">
            <v>258</v>
          </cell>
          <cell r="O440">
            <v>0</v>
          </cell>
          <cell r="P440">
            <v>0</v>
          </cell>
          <cell r="Q440">
            <v>2963</v>
          </cell>
        </row>
        <row r="441">
          <cell r="A441" t="str">
            <v>USCRP015013131100007</v>
          </cell>
          <cell r="B441" t="str">
            <v>USCRP01501</v>
          </cell>
          <cell r="C441">
            <v>3131100007</v>
          </cell>
          <cell r="D441" t="str">
            <v>EXTERNAL TRAINING</v>
          </cell>
          <cell r="E441">
            <v>0</v>
          </cell>
          <cell r="F441">
            <v>155</v>
          </cell>
          <cell r="G441">
            <v>0</v>
          </cell>
          <cell r="H441">
            <v>0</v>
          </cell>
          <cell r="I441">
            <v>0</v>
          </cell>
          <cell r="J441">
            <v>0</v>
          </cell>
          <cell r="K441">
            <v>0</v>
          </cell>
          <cell r="L441">
            <v>0</v>
          </cell>
          <cell r="M441">
            <v>0</v>
          </cell>
          <cell r="N441">
            <v>850</v>
          </cell>
          <cell r="O441">
            <v>140</v>
          </cell>
          <cell r="P441">
            <v>55</v>
          </cell>
          <cell r="Q441">
            <v>1200</v>
          </cell>
        </row>
        <row r="442">
          <cell r="A442" t="str">
            <v>US22P015013131100025</v>
          </cell>
          <cell r="B442" t="str">
            <v>US22P01501</v>
          </cell>
          <cell r="C442">
            <v>3131100025</v>
          </cell>
          <cell r="D442" t="str">
            <v>OTHER PERSONNEL EXPENSES</v>
          </cell>
          <cell r="E442">
            <v>0</v>
          </cell>
          <cell r="F442">
            <v>0</v>
          </cell>
          <cell r="G442">
            <v>2636</v>
          </cell>
          <cell r="H442">
            <v>5266</v>
          </cell>
          <cell r="I442">
            <v>4840</v>
          </cell>
          <cell r="J442">
            <v>22</v>
          </cell>
          <cell r="K442">
            <v>2092</v>
          </cell>
          <cell r="L442">
            <v>0</v>
          </cell>
          <cell r="M442">
            <v>23</v>
          </cell>
          <cell r="N442">
            <v>938</v>
          </cell>
          <cell r="O442">
            <v>0</v>
          </cell>
          <cell r="P442">
            <v>420</v>
          </cell>
          <cell r="Q442">
            <v>16237</v>
          </cell>
        </row>
        <row r="443">
          <cell r="A443" t="str">
            <v>US28P015013131100025</v>
          </cell>
          <cell r="B443" t="str">
            <v>US28P01501</v>
          </cell>
          <cell r="C443">
            <v>3131100025</v>
          </cell>
          <cell r="D443" t="str">
            <v>OTHER PERSONNEL EXPENSES</v>
          </cell>
          <cell r="E443">
            <v>3719</v>
          </cell>
          <cell r="F443">
            <v>-45</v>
          </cell>
          <cell r="G443">
            <v>1473</v>
          </cell>
          <cell r="H443">
            <v>610</v>
          </cell>
          <cell r="I443">
            <v>484</v>
          </cell>
          <cell r="J443">
            <v>1288</v>
          </cell>
          <cell r="K443">
            <v>3528</v>
          </cell>
          <cell r="L443">
            <v>594</v>
          </cell>
          <cell r="M443">
            <v>6641</v>
          </cell>
          <cell r="N443">
            <v>1343</v>
          </cell>
          <cell r="O443">
            <v>496</v>
          </cell>
          <cell r="P443">
            <v>4129</v>
          </cell>
          <cell r="Q443">
            <v>24260</v>
          </cell>
        </row>
        <row r="444">
          <cell r="A444" t="str">
            <v>US28P015643131100025</v>
          </cell>
          <cell r="B444" t="str">
            <v>US28P01564</v>
          </cell>
          <cell r="C444">
            <v>3131100025</v>
          </cell>
          <cell r="D444" t="str">
            <v>OTHER PERSONNEL EXPENSES</v>
          </cell>
          <cell r="E444">
            <v>0</v>
          </cell>
          <cell r="F444">
            <v>0</v>
          </cell>
          <cell r="G444">
            <v>0</v>
          </cell>
          <cell r="H444">
            <v>0</v>
          </cell>
          <cell r="I444">
            <v>0</v>
          </cell>
          <cell r="J444">
            <v>0</v>
          </cell>
          <cell r="K444">
            <v>0</v>
          </cell>
          <cell r="L444">
            <v>0</v>
          </cell>
          <cell r="M444">
            <v>0</v>
          </cell>
          <cell r="N444">
            <v>17716</v>
          </cell>
          <cell r="O444">
            <v>1253</v>
          </cell>
          <cell r="P444">
            <v>0</v>
          </cell>
          <cell r="Q444">
            <v>18969</v>
          </cell>
        </row>
        <row r="445">
          <cell r="A445" t="str">
            <v>US28P015853131100025</v>
          </cell>
          <cell r="B445" t="str">
            <v>US28P01585</v>
          </cell>
          <cell r="C445">
            <v>3131100025</v>
          </cell>
          <cell r="D445" t="str">
            <v>OTHER PERSONNEL EXPENSES</v>
          </cell>
          <cell r="E445">
            <v>0</v>
          </cell>
          <cell r="F445">
            <v>0</v>
          </cell>
          <cell r="G445">
            <v>0</v>
          </cell>
          <cell r="H445">
            <v>0</v>
          </cell>
          <cell r="I445">
            <v>312</v>
          </cell>
          <cell r="J445">
            <v>0</v>
          </cell>
          <cell r="K445">
            <v>0</v>
          </cell>
          <cell r="L445">
            <v>0</v>
          </cell>
          <cell r="M445">
            <v>0</v>
          </cell>
          <cell r="N445">
            <v>0</v>
          </cell>
          <cell r="O445">
            <v>0</v>
          </cell>
          <cell r="P445">
            <v>0</v>
          </cell>
          <cell r="Q445">
            <v>312</v>
          </cell>
        </row>
        <row r="446">
          <cell r="A446" t="str">
            <v>US35P015013131100025</v>
          </cell>
          <cell r="B446" t="str">
            <v>US35P01501</v>
          </cell>
          <cell r="C446">
            <v>3131100025</v>
          </cell>
          <cell r="D446" t="str">
            <v>OTHER PERSONNEL EXPENSES</v>
          </cell>
          <cell r="E446">
            <v>549</v>
          </cell>
          <cell r="F446">
            <v>0</v>
          </cell>
          <cell r="G446">
            <v>0</v>
          </cell>
          <cell r="H446">
            <v>0</v>
          </cell>
          <cell r="I446">
            <v>0</v>
          </cell>
          <cell r="J446">
            <v>0</v>
          </cell>
          <cell r="K446">
            <v>0</v>
          </cell>
          <cell r="L446">
            <v>0</v>
          </cell>
          <cell r="M446">
            <v>0</v>
          </cell>
          <cell r="N446">
            <v>40</v>
          </cell>
          <cell r="O446">
            <v>0</v>
          </cell>
          <cell r="P446">
            <v>40</v>
          </cell>
          <cell r="Q446">
            <v>629</v>
          </cell>
        </row>
        <row r="447">
          <cell r="A447" t="str">
            <v>US59P015013131100025</v>
          </cell>
          <cell r="B447" t="str">
            <v>US59P01501</v>
          </cell>
          <cell r="C447">
            <v>3131100025</v>
          </cell>
          <cell r="D447" t="str">
            <v>OTHER PERSONNEL EXPENSES</v>
          </cell>
          <cell r="E447">
            <v>2722</v>
          </cell>
          <cell r="F447">
            <v>0</v>
          </cell>
          <cell r="G447">
            <v>0</v>
          </cell>
          <cell r="H447">
            <v>12500</v>
          </cell>
          <cell r="I447">
            <v>0</v>
          </cell>
          <cell r="J447">
            <v>0</v>
          </cell>
          <cell r="K447">
            <v>0</v>
          </cell>
          <cell r="L447">
            <v>0</v>
          </cell>
          <cell r="M447">
            <v>473</v>
          </cell>
          <cell r="N447">
            <v>0</v>
          </cell>
          <cell r="O447">
            <v>0</v>
          </cell>
          <cell r="P447">
            <v>0</v>
          </cell>
          <cell r="Q447">
            <v>15695</v>
          </cell>
        </row>
        <row r="448">
          <cell r="A448" t="str">
            <v>USCRP015013131100025</v>
          </cell>
          <cell r="B448" t="str">
            <v>USCRP01501</v>
          </cell>
          <cell r="C448">
            <v>3131100025</v>
          </cell>
          <cell r="D448" t="str">
            <v>OTHER PERSONNEL EXPENSES</v>
          </cell>
          <cell r="E448">
            <v>-505</v>
          </cell>
          <cell r="F448">
            <v>113</v>
          </cell>
          <cell r="G448">
            <v>120</v>
          </cell>
          <cell r="H448">
            <v>110</v>
          </cell>
          <cell r="I448">
            <v>1232</v>
          </cell>
          <cell r="J448">
            <v>1315</v>
          </cell>
          <cell r="K448">
            <v>393</v>
          </cell>
          <cell r="L448">
            <v>507</v>
          </cell>
          <cell r="M448">
            <v>78</v>
          </cell>
          <cell r="N448">
            <v>1318</v>
          </cell>
          <cell r="O448">
            <v>12754</v>
          </cell>
          <cell r="P448">
            <v>229</v>
          </cell>
          <cell r="Q448">
            <v>17664</v>
          </cell>
        </row>
        <row r="449">
          <cell r="A449" t="str">
            <v>USCRP015603131100025</v>
          </cell>
          <cell r="B449" t="str">
            <v>USCRP01560</v>
          </cell>
          <cell r="C449">
            <v>3131100025</v>
          </cell>
          <cell r="D449" t="str">
            <v>OTHER PERSONNEL EXPENSES</v>
          </cell>
          <cell r="E449">
            <v>0</v>
          </cell>
          <cell r="F449">
            <v>0</v>
          </cell>
          <cell r="G449">
            <v>0</v>
          </cell>
          <cell r="H449">
            <v>0</v>
          </cell>
          <cell r="I449">
            <v>0</v>
          </cell>
          <cell r="J449">
            <v>0</v>
          </cell>
          <cell r="K449">
            <v>0</v>
          </cell>
          <cell r="L449">
            <v>0</v>
          </cell>
          <cell r="M449">
            <v>100</v>
          </cell>
          <cell r="N449">
            <v>0</v>
          </cell>
          <cell r="O449">
            <v>0</v>
          </cell>
          <cell r="P449">
            <v>0</v>
          </cell>
          <cell r="Q449">
            <v>100</v>
          </cell>
        </row>
        <row r="450">
          <cell r="A450" t="str">
            <v>USCRP015643131100025</v>
          </cell>
          <cell r="B450" t="str">
            <v>USCRP01564</v>
          </cell>
          <cell r="C450">
            <v>3131100025</v>
          </cell>
          <cell r="D450" t="str">
            <v>OTHER PERSONNEL EXPENSES</v>
          </cell>
          <cell r="E450">
            <v>0</v>
          </cell>
          <cell r="F450">
            <v>0</v>
          </cell>
          <cell r="G450">
            <v>0</v>
          </cell>
          <cell r="H450">
            <v>0</v>
          </cell>
          <cell r="I450">
            <v>0</v>
          </cell>
          <cell r="J450">
            <v>0</v>
          </cell>
          <cell r="K450">
            <v>0</v>
          </cell>
          <cell r="L450">
            <v>0</v>
          </cell>
          <cell r="M450">
            <v>1124</v>
          </cell>
          <cell r="N450">
            <v>0</v>
          </cell>
          <cell r="O450">
            <v>0</v>
          </cell>
          <cell r="P450">
            <v>0</v>
          </cell>
          <cell r="Q450">
            <v>1124</v>
          </cell>
        </row>
        <row r="451">
          <cell r="A451" t="str">
            <v>US22P015013131100031</v>
          </cell>
          <cell r="B451" t="str">
            <v>US22P01501</v>
          </cell>
          <cell r="C451">
            <v>3131100031</v>
          </cell>
          <cell r="D451" t="str">
            <v>TUITION REIMBERSEMENT</v>
          </cell>
          <cell r="E451">
            <v>902</v>
          </cell>
          <cell r="F451">
            <v>0</v>
          </cell>
          <cell r="G451">
            <v>957</v>
          </cell>
          <cell r="H451">
            <v>1033</v>
          </cell>
          <cell r="I451">
            <v>0</v>
          </cell>
          <cell r="J451">
            <v>993</v>
          </cell>
          <cell r="K451">
            <v>0</v>
          </cell>
          <cell r="L451">
            <v>0</v>
          </cell>
          <cell r="M451">
            <v>0</v>
          </cell>
          <cell r="N451">
            <v>1062</v>
          </cell>
          <cell r="O451">
            <v>914</v>
          </cell>
          <cell r="P451">
            <v>0</v>
          </cell>
          <cell r="Q451">
            <v>5861</v>
          </cell>
        </row>
        <row r="452">
          <cell r="A452" t="str">
            <v>US28P015923131100031</v>
          </cell>
          <cell r="B452" t="str">
            <v>US28P01592</v>
          </cell>
          <cell r="C452">
            <v>3131100031</v>
          </cell>
          <cell r="D452" t="str">
            <v>TUITION REIMBERSEMENT</v>
          </cell>
          <cell r="E452">
            <v>0</v>
          </cell>
          <cell r="F452">
            <v>0</v>
          </cell>
          <cell r="G452">
            <v>0</v>
          </cell>
          <cell r="H452">
            <v>0</v>
          </cell>
          <cell r="I452">
            <v>0</v>
          </cell>
          <cell r="J452">
            <v>0</v>
          </cell>
          <cell r="K452">
            <v>0</v>
          </cell>
          <cell r="L452">
            <v>0</v>
          </cell>
          <cell r="M452">
            <v>390</v>
          </cell>
          <cell r="N452">
            <v>0</v>
          </cell>
          <cell r="O452">
            <v>0</v>
          </cell>
          <cell r="P452">
            <v>0</v>
          </cell>
          <cell r="Q452">
            <v>390</v>
          </cell>
        </row>
        <row r="453">
          <cell r="A453" t="str">
            <v>USWOP015503201100002</v>
          </cell>
          <cell r="B453" t="str">
            <v>USWOP01550</v>
          </cell>
          <cell r="C453">
            <v>3201100002</v>
          </cell>
          <cell r="D453" t="str">
            <v>GROWER PURCHASES - PAID</v>
          </cell>
          <cell r="E453">
            <v>0</v>
          </cell>
          <cell r="F453">
            <v>0</v>
          </cell>
          <cell r="G453">
            <v>1953</v>
          </cell>
          <cell r="H453">
            <v>0</v>
          </cell>
          <cell r="I453">
            <v>0</v>
          </cell>
          <cell r="J453">
            <v>0</v>
          </cell>
          <cell r="K453">
            <v>0</v>
          </cell>
          <cell r="L453">
            <v>0</v>
          </cell>
          <cell r="M453">
            <v>0</v>
          </cell>
          <cell r="N453">
            <v>0</v>
          </cell>
          <cell r="O453">
            <v>0</v>
          </cell>
          <cell r="P453">
            <v>0</v>
          </cell>
          <cell r="Q453">
            <v>1953</v>
          </cell>
        </row>
        <row r="454">
          <cell r="A454" t="str">
            <v>US22P015503201300001</v>
          </cell>
          <cell r="B454" t="str">
            <v>US22P01550</v>
          </cell>
          <cell r="C454">
            <v>3201300001</v>
          </cell>
          <cell r="D454" t="str">
            <v>HIRED PERSONNEL FROM 3RD PARTIES</v>
          </cell>
          <cell r="E454">
            <v>0</v>
          </cell>
          <cell r="F454">
            <v>0</v>
          </cell>
          <cell r="G454">
            <v>0</v>
          </cell>
          <cell r="H454">
            <v>0</v>
          </cell>
          <cell r="I454">
            <v>3386</v>
          </cell>
          <cell r="J454">
            <v>27212</v>
          </cell>
          <cell r="K454">
            <v>278400</v>
          </cell>
          <cell r="L454">
            <v>55488</v>
          </cell>
          <cell r="M454">
            <v>27366</v>
          </cell>
          <cell r="N454">
            <v>11431</v>
          </cell>
          <cell r="O454">
            <v>1972</v>
          </cell>
          <cell r="P454">
            <v>0</v>
          </cell>
          <cell r="Q454">
            <v>405255</v>
          </cell>
        </row>
        <row r="455">
          <cell r="A455" t="str">
            <v>US22P015533201300001</v>
          </cell>
          <cell r="B455" t="str">
            <v>US22P01553</v>
          </cell>
          <cell r="C455">
            <v>3201300001</v>
          </cell>
          <cell r="D455" t="str">
            <v>HIRED PERSONNEL FROM 3RD PARTIES</v>
          </cell>
          <cell r="E455">
            <v>0</v>
          </cell>
          <cell r="F455">
            <v>0</v>
          </cell>
          <cell r="G455">
            <v>0</v>
          </cell>
          <cell r="H455">
            <v>0</v>
          </cell>
          <cell r="I455">
            <v>15000</v>
          </cell>
          <cell r="J455">
            <v>12200</v>
          </cell>
          <cell r="K455">
            <v>1504215</v>
          </cell>
          <cell r="L455">
            <v>76305</v>
          </cell>
          <cell r="M455">
            <v>170106</v>
          </cell>
          <cell r="N455">
            <v>0</v>
          </cell>
          <cell r="O455">
            <v>0</v>
          </cell>
          <cell r="P455">
            <v>0</v>
          </cell>
          <cell r="Q455">
            <v>1777826</v>
          </cell>
        </row>
        <row r="456">
          <cell r="A456" t="str">
            <v>US22P015603201300001</v>
          </cell>
          <cell r="B456" t="str">
            <v>US22P01560</v>
          </cell>
          <cell r="C456">
            <v>3201300001</v>
          </cell>
          <cell r="D456" t="str">
            <v>HIRED PERSONNEL FROM 3RD PARTIES</v>
          </cell>
          <cell r="E456">
            <v>0</v>
          </cell>
          <cell r="F456">
            <v>0</v>
          </cell>
          <cell r="G456">
            <v>34614</v>
          </cell>
          <cell r="H456">
            <v>18510</v>
          </cell>
          <cell r="I456">
            <v>11861</v>
          </cell>
          <cell r="J456">
            <v>0</v>
          </cell>
          <cell r="K456">
            <v>0</v>
          </cell>
          <cell r="L456">
            <v>0</v>
          </cell>
          <cell r="M456">
            <v>10182</v>
          </cell>
          <cell r="N456">
            <v>57705</v>
          </cell>
          <cell r="O456">
            <v>41920</v>
          </cell>
          <cell r="P456">
            <v>18163</v>
          </cell>
          <cell r="Q456">
            <v>192955</v>
          </cell>
        </row>
        <row r="457">
          <cell r="A457" t="str">
            <v>US22P015643201300001</v>
          </cell>
          <cell r="B457" t="str">
            <v>US22P01564</v>
          </cell>
          <cell r="C457">
            <v>3201300001</v>
          </cell>
          <cell r="D457" t="str">
            <v>HIRED PERSONNEL FROM 3RD PARTIES</v>
          </cell>
          <cell r="E457">
            <v>0</v>
          </cell>
          <cell r="F457">
            <v>0</v>
          </cell>
          <cell r="G457">
            <v>0</v>
          </cell>
          <cell r="H457">
            <v>0</v>
          </cell>
          <cell r="I457">
            <v>0</v>
          </cell>
          <cell r="J457">
            <v>0</v>
          </cell>
          <cell r="K457">
            <v>0</v>
          </cell>
          <cell r="L457">
            <v>0</v>
          </cell>
          <cell r="M457">
            <v>304967</v>
          </cell>
          <cell r="N457">
            <v>306048</v>
          </cell>
          <cell r="O457">
            <v>0</v>
          </cell>
          <cell r="P457">
            <v>0</v>
          </cell>
          <cell r="Q457">
            <v>611015</v>
          </cell>
        </row>
        <row r="458">
          <cell r="A458" t="str">
            <v>US22P015753201300001</v>
          </cell>
          <cell r="B458" t="str">
            <v>US22P01575</v>
          </cell>
          <cell r="C458">
            <v>3201300001</v>
          </cell>
          <cell r="D458" t="str">
            <v>HIRED PERSONNEL FROM 3RD PARTIES</v>
          </cell>
          <cell r="E458">
            <v>50497</v>
          </cell>
          <cell r="F458">
            <v>53656</v>
          </cell>
          <cell r="G458">
            <v>26582</v>
          </cell>
          <cell r="H458">
            <v>23751</v>
          </cell>
          <cell r="I458">
            <v>9657</v>
          </cell>
          <cell r="J458">
            <v>0</v>
          </cell>
          <cell r="K458">
            <v>9764</v>
          </cell>
          <cell r="L458">
            <v>30432</v>
          </cell>
          <cell r="M458">
            <v>23604</v>
          </cell>
          <cell r="N458">
            <v>0</v>
          </cell>
          <cell r="O458">
            <v>10144</v>
          </cell>
          <cell r="P458">
            <v>15310</v>
          </cell>
          <cell r="Q458">
            <v>253397</v>
          </cell>
        </row>
        <row r="459">
          <cell r="A459" t="str">
            <v>US22P015853201300001</v>
          </cell>
          <cell r="B459" t="str">
            <v>US22P01585</v>
          </cell>
          <cell r="C459">
            <v>3201300001</v>
          </cell>
          <cell r="D459" t="str">
            <v>HIRED PERSONNEL FROM 3RD PARTIES</v>
          </cell>
          <cell r="E459">
            <v>3122</v>
          </cell>
          <cell r="F459">
            <v>0</v>
          </cell>
          <cell r="G459">
            <v>0</v>
          </cell>
          <cell r="H459">
            <v>0</v>
          </cell>
          <cell r="I459">
            <v>21203</v>
          </cell>
          <cell r="J459">
            <v>17995</v>
          </cell>
          <cell r="K459">
            <v>38833</v>
          </cell>
          <cell r="L459">
            <v>46682</v>
          </cell>
          <cell r="M459">
            <v>19450</v>
          </cell>
          <cell r="N459">
            <v>37105</v>
          </cell>
          <cell r="O459">
            <v>23206</v>
          </cell>
          <cell r="P459">
            <v>6379</v>
          </cell>
          <cell r="Q459">
            <v>213975</v>
          </cell>
        </row>
        <row r="460">
          <cell r="A460" t="str">
            <v>US22P015903201300001</v>
          </cell>
          <cell r="B460" t="str">
            <v>US22P01590</v>
          </cell>
          <cell r="C460">
            <v>3201300001</v>
          </cell>
          <cell r="D460" t="str">
            <v>HIRED PERSONNEL FROM 3RD PARTIES</v>
          </cell>
          <cell r="E460">
            <v>2394</v>
          </cell>
          <cell r="F460">
            <v>0</v>
          </cell>
          <cell r="G460">
            <v>1522</v>
          </cell>
          <cell r="H460">
            <v>0</v>
          </cell>
          <cell r="I460">
            <v>0</v>
          </cell>
          <cell r="J460">
            <v>0</v>
          </cell>
          <cell r="K460">
            <v>0</v>
          </cell>
          <cell r="L460">
            <v>1143</v>
          </cell>
          <cell r="M460">
            <v>923</v>
          </cell>
          <cell r="N460">
            <v>0</v>
          </cell>
          <cell r="O460">
            <v>1923</v>
          </cell>
          <cell r="P460">
            <v>2252</v>
          </cell>
          <cell r="Q460">
            <v>10157</v>
          </cell>
        </row>
        <row r="461">
          <cell r="A461" t="str">
            <v>US22P015923201300001</v>
          </cell>
          <cell r="B461" t="str">
            <v>US22P01592</v>
          </cell>
          <cell r="C461">
            <v>3201300001</v>
          </cell>
          <cell r="D461" t="str">
            <v>HIRED PERSONNEL FROM 3RD PARTIES</v>
          </cell>
          <cell r="E461">
            <v>0</v>
          </cell>
          <cell r="F461">
            <v>0</v>
          </cell>
          <cell r="G461">
            <v>0</v>
          </cell>
          <cell r="H461">
            <v>0</v>
          </cell>
          <cell r="I461">
            <v>0</v>
          </cell>
          <cell r="J461">
            <v>0</v>
          </cell>
          <cell r="K461">
            <v>0</v>
          </cell>
          <cell r="L461">
            <v>0</v>
          </cell>
          <cell r="M461">
            <v>4093</v>
          </cell>
          <cell r="N461">
            <v>9091</v>
          </cell>
          <cell r="O461">
            <v>0</v>
          </cell>
          <cell r="P461">
            <v>0</v>
          </cell>
          <cell r="Q461">
            <v>13184</v>
          </cell>
        </row>
        <row r="462">
          <cell r="A462" t="str">
            <v>US28P015013201300001</v>
          </cell>
          <cell r="B462" t="str">
            <v>US28P01501</v>
          </cell>
          <cell r="C462">
            <v>3201300001</v>
          </cell>
          <cell r="D462" t="str">
            <v>HIRED PERSONNEL FROM 3RD PARTIES</v>
          </cell>
          <cell r="E462">
            <v>4090</v>
          </cell>
          <cell r="F462">
            <v>2931</v>
          </cell>
          <cell r="G462">
            <v>4961</v>
          </cell>
          <cell r="H462">
            <v>4206</v>
          </cell>
          <cell r="I462">
            <v>3637</v>
          </cell>
          <cell r="J462">
            <v>4092</v>
          </cell>
          <cell r="K462">
            <v>4248</v>
          </cell>
          <cell r="L462">
            <v>2717</v>
          </cell>
          <cell r="M462">
            <v>5212</v>
          </cell>
          <cell r="N462">
            <v>7158</v>
          </cell>
          <cell r="O462">
            <v>2671</v>
          </cell>
          <cell r="P462">
            <v>7250</v>
          </cell>
          <cell r="Q462">
            <v>53173</v>
          </cell>
        </row>
        <row r="463">
          <cell r="A463" t="str">
            <v>US28P015503201300001</v>
          </cell>
          <cell r="B463" t="str">
            <v>US28P01550</v>
          </cell>
          <cell r="C463">
            <v>3201300001</v>
          </cell>
          <cell r="D463" t="str">
            <v>HIRED PERSONNEL FROM 3RD PARTIES</v>
          </cell>
          <cell r="E463">
            <v>0</v>
          </cell>
          <cell r="F463">
            <v>0</v>
          </cell>
          <cell r="G463">
            <v>0</v>
          </cell>
          <cell r="H463">
            <v>0</v>
          </cell>
          <cell r="I463">
            <v>817</v>
          </cell>
          <cell r="J463">
            <v>3869</v>
          </cell>
          <cell r="K463">
            <v>4586</v>
          </cell>
          <cell r="L463">
            <v>2112</v>
          </cell>
          <cell r="M463">
            <v>16564</v>
          </cell>
          <cell r="N463">
            <v>0</v>
          </cell>
          <cell r="O463">
            <v>0</v>
          </cell>
          <cell r="P463">
            <v>0</v>
          </cell>
          <cell r="Q463">
            <v>27948</v>
          </cell>
        </row>
        <row r="464">
          <cell r="A464" t="str">
            <v>US28P015533201300001</v>
          </cell>
          <cell r="B464" t="str">
            <v>US28P01553</v>
          </cell>
          <cell r="C464">
            <v>3201300001</v>
          </cell>
          <cell r="D464" t="str">
            <v>HIRED PERSONNEL FROM 3RD PARTIES</v>
          </cell>
          <cell r="E464">
            <v>0</v>
          </cell>
          <cell r="F464">
            <v>0</v>
          </cell>
          <cell r="G464">
            <v>0</v>
          </cell>
          <cell r="H464">
            <v>0</v>
          </cell>
          <cell r="I464">
            <v>0</v>
          </cell>
          <cell r="J464">
            <v>0</v>
          </cell>
          <cell r="K464">
            <v>68852</v>
          </cell>
          <cell r="L464">
            <v>840</v>
          </cell>
          <cell r="M464">
            <v>0</v>
          </cell>
          <cell r="N464">
            <v>0</v>
          </cell>
          <cell r="O464">
            <v>0</v>
          </cell>
          <cell r="P464">
            <v>0</v>
          </cell>
          <cell r="Q464">
            <v>69692</v>
          </cell>
        </row>
        <row r="465">
          <cell r="A465" t="str">
            <v>US28P015603201300001</v>
          </cell>
          <cell r="B465" t="str">
            <v>US28P01560</v>
          </cell>
          <cell r="C465">
            <v>3201300001</v>
          </cell>
          <cell r="D465" t="str">
            <v>HIRED PERSONNEL FROM 3RD PARTIES</v>
          </cell>
          <cell r="E465">
            <v>34230</v>
          </cell>
          <cell r="F465">
            <v>22965</v>
          </cell>
          <cell r="G465">
            <v>33493</v>
          </cell>
          <cell r="H465">
            <v>27333</v>
          </cell>
          <cell r="I465">
            <v>13750</v>
          </cell>
          <cell r="J465">
            <v>0</v>
          </cell>
          <cell r="K465">
            <v>0</v>
          </cell>
          <cell r="L465">
            <v>0</v>
          </cell>
          <cell r="M465">
            <v>2936</v>
          </cell>
          <cell r="N465">
            <v>66949</v>
          </cell>
          <cell r="O465">
            <v>33530</v>
          </cell>
          <cell r="P465">
            <v>40712</v>
          </cell>
          <cell r="Q465">
            <v>275898</v>
          </cell>
        </row>
        <row r="466">
          <cell r="A466" t="str">
            <v>US28P015643201300001</v>
          </cell>
          <cell r="B466" t="str">
            <v>US28P01564</v>
          </cell>
          <cell r="C466">
            <v>3201300001</v>
          </cell>
          <cell r="D466" t="str">
            <v>HIRED PERSONNEL FROM 3RD PARTIES</v>
          </cell>
          <cell r="E466">
            <v>0</v>
          </cell>
          <cell r="F466">
            <v>1227</v>
          </cell>
          <cell r="G466">
            <v>0</v>
          </cell>
          <cell r="H466">
            <v>0</v>
          </cell>
          <cell r="I466">
            <v>0</v>
          </cell>
          <cell r="J466">
            <v>0</v>
          </cell>
          <cell r="K466">
            <v>3820</v>
          </cell>
          <cell r="L466">
            <v>41684</v>
          </cell>
          <cell r="M466">
            <v>279458</v>
          </cell>
          <cell r="N466">
            <v>185508</v>
          </cell>
          <cell r="O466">
            <v>2753</v>
          </cell>
          <cell r="P466">
            <v>0</v>
          </cell>
          <cell r="Q466">
            <v>514450</v>
          </cell>
        </row>
        <row r="467">
          <cell r="A467" t="str">
            <v>US28P015753201300001</v>
          </cell>
          <cell r="B467" t="str">
            <v>US28P01575</v>
          </cell>
          <cell r="C467">
            <v>3201300001</v>
          </cell>
          <cell r="D467" t="str">
            <v>HIRED PERSONNEL FROM 3RD PARTIES</v>
          </cell>
          <cell r="E467">
            <v>0</v>
          </cell>
          <cell r="F467">
            <v>0</v>
          </cell>
          <cell r="G467">
            <v>0</v>
          </cell>
          <cell r="H467">
            <v>0</v>
          </cell>
          <cell r="I467">
            <v>0</v>
          </cell>
          <cell r="J467">
            <v>11367</v>
          </cell>
          <cell r="K467">
            <v>5864</v>
          </cell>
          <cell r="L467">
            <v>0</v>
          </cell>
          <cell r="M467">
            <v>0</v>
          </cell>
          <cell r="N467">
            <v>0</v>
          </cell>
          <cell r="O467">
            <v>0</v>
          </cell>
          <cell r="P467">
            <v>0</v>
          </cell>
          <cell r="Q467">
            <v>17231</v>
          </cell>
        </row>
        <row r="468">
          <cell r="A468" t="str">
            <v>US28P015853201300001</v>
          </cell>
          <cell r="B468" t="str">
            <v>US28P01585</v>
          </cell>
          <cell r="C468">
            <v>3201300001</v>
          </cell>
          <cell r="D468" t="str">
            <v>HIRED PERSONNEL FROM 3RD PARTIES</v>
          </cell>
          <cell r="E468">
            <v>4593</v>
          </cell>
          <cell r="F468">
            <v>2084</v>
          </cell>
          <cell r="G468">
            <v>3021</v>
          </cell>
          <cell r="H468">
            <v>2757</v>
          </cell>
          <cell r="I468">
            <v>2246</v>
          </cell>
          <cell r="J468">
            <v>2683</v>
          </cell>
          <cell r="K468">
            <v>2608</v>
          </cell>
          <cell r="L468">
            <v>3492</v>
          </cell>
          <cell r="M468">
            <v>8509</v>
          </cell>
          <cell r="N468">
            <v>1091</v>
          </cell>
          <cell r="O468">
            <v>1724</v>
          </cell>
          <cell r="P468">
            <v>0</v>
          </cell>
          <cell r="Q468">
            <v>34808</v>
          </cell>
        </row>
        <row r="469">
          <cell r="A469" t="str">
            <v>US28P015903201300001</v>
          </cell>
          <cell r="B469" t="str">
            <v>US28P01590</v>
          </cell>
          <cell r="C469">
            <v>3201300001</v>
          </cell>
          <cell r="D469" t="str">
            <v>HIRED PERSONNEL FROM 3RD PARTIES</v>
          </cell>
          <cell r="E469">
            <v>1853</v>
          </cell>
          <cell r="F469">
            <v>1665</v>
          </cell>
          <cell r="G469">
            <v>2948</v>
          </cell>
          <cell r="H469">
            <v>2940</v>
          </cell>
          <cell r="I469">
            <v>2511</v>
          </cell>
          <cell r="J469">
            <v>2903</v>
          </cell>
          <cell r="K469">
            <v>3203</v>
          </cell>
          <cell r="L469">
            <v>1815</v>
          </cell>
          <cell r="M469">
            <v>4200</v>
          </cell>
          <cell r="N469">
            <v>4521</v>
          </cell>
          <cell r="O469">
            <v>1757</v>
          </cell>
          <cell r="P469">
            <v>2341</v>
          </cell>
          <cell r="Q469">
            <v>32657</v>
          </cell>
        </row>
        <row r="470">
          <cell r="A470" t="str">
            <v>US28P015923201300001</v>
          </cell>
          <cell r="B470" t="str">
            <v>US28P01592</v>
          </cell>
          <cell r="C470">
            <v>3201300001</v>
          </cell>
          <cell r="D470" t="str">
            <v>HIRED PERSONNEL FROM 3RD PARTIES</v>
          </cell>
          <cell r="E470">
            <v>0</v>
          </cell>
          <cell r="F470">
            <v>0</v>
          </cell>
          <cell r="G470">
            <v>0</v>
          </cell>
          <cell r="H470">
            <v>0</v>
          </cell>
          <cell r="I470">
            <v>0</v>
          </cell>
          <cell r="J470">
            <v>0</v>
          </cell>
          <cell r="K470">
            <v>0</v>
          </cell>
          <cell r="L470">
            <v>0</v>
          </cell>
          <cell r="M470">
            <v>4549</v>
          </cell>
          <cell r="N470">
            <v>7634</v>
          </cell>
          <cell r="O470">
            <v>0</v>
          </cell>
          <cell r="P470">
            <v>0</v>
          </cell>
          <cell r="Q470">
            <v>12183</v>
          </cell>
        </row>
        <row r="471">
          <cell r="A471" t="str">
            <v>US35P015503201300001</v>
          </cell>
          <cell r="B471" t="str">
            <v>US35P01550</v>
          </cell>
          <cell r="C471">
            <v>3201300001</v>
          </cell>
          <cell r="D471" t="str">
            <v>HIRED PERSONNEL FROM 3RD PARTIES</v>
          </cell>
          <cell r="E471">
            <v>0</v>
          </cell>
          <cell r="F471">
            <v>0</v>
          </cell>
          <cell r="G471">
            <v>0</v>
          </cell>
          <cell r="H471">
            <v>0</v>
          </cell>
          <cell r="I471">
            <v>1636</v>
          </cell>
          <cell r="J471">
            <v>10328</v>
          </cell>
          <cell r="K471">
            <v>143254</v>
          </cell>
          <cell r="L471">
            <v>100256</v>
          </cell>
          <cell r="M471">
            <v>0</v>
          </cell>
          <cell r="N471">
            <v>0</v>
          </cell>
          <cell r="O471">
            <v>0</v>
          </cell>
          <cell r="P471">
            <v>0</v>
          </cell>
          <cell r="Q471">
            <v>255474</v>
          </cell>
        </row>
        <row r="472">
          <cell r="A472" t="str">
            <v>US35P015533201300001</v>
          </cell>
          <cell r="B472" t="str">
            <v>US35P01553</v>
          </cell>
          <cell r="C472">
            <v>3201300001</v>
          </cell>
          <cell r="D472" t="str">
            <v>HIRED PERSONNEL FROM 3RD PARTIES</v>
          </cell>
          <cell r="E472">
            <v>0</v>
          </cell>
          <cell r="F472">
            <v>0</v>
          </cell>
          <cell r="G472">
            <v>0</v>
          </cell>
          <cell r="H472">
            <v>0</v>
          </cell>
          <cell r="I472">
            <v>5100</v>
          </cell>
          <cell r="J472">
            <v>16392</v>
          </cell>
          <cell r="K472">
            <v>727605</v>
          </cell>
          <cell r="L472">
            <v>264243</v>
          </cell>
          <cell r="M472">
            <v>0</v>
          </cell>
          <cell r="N472">
            <v>0</v>
          </cell>
          <cell r="O472">
            <v>0</v>
          </cell>
          <cell r="P472">
            <v>0</v>
          </cell>
          <cell r="Q472">
            <v>1013340</v>
          </cell>
        </row>
        <row r="473">
          <cell r="A473" t="str">
            <v>US35P015603201300001</v>
          </cell>
          <cell r="B473" t="str">
            <v>US35P01560</v>
          </cell>
          <cell r="C473">
            <v>3201300001</v>
          </cell>
          <cell r="D473" t="str">
            <v>HIRED PERSONNEL FROM 3RD PARTIES</v>
          </cell>
          <cell r="E473">
            <v>66639</v>
          </cell>
          <cell r="F473">
            <v>50373</v>
          </cell>
          <cell r="G473">
            <v>52705</v>
          </cell>
          <cell r="H473">
            <v>44255</v>
          </cell>
          <cell r="I473">
            <v>47661</v>
          </cell>
          <cell r="J473">
            <v>537</v>
          </cell>
          <cell r="K473">
            <v>0</v>
          </cell>
          <cell r="L473">
            <v>0</v>
          </cell>
          <cell r="M473">
            <v>92513</v>
          </cell>
          <cell r="N473">
            <v>111044</v>
          </cell>
          <cell r="O473">
            <v>63181</v>
          </cell>
          <cell r="P473">
            <v>30411</v>
          </cell>
          <cell r="Q473">
            <v>559319</v>
          </cell>
        </row>
        <row r="474">
          <cell r="A474" t="str">
            <v>US35P015643201300001</v>
          </cell>
          <cell r="B474" t="str">
            <v>US35P01564</v>
          </cell>
          <cell r="C474">
            <v>3201300001</v>
          </cell>
          <cell r="D474" t="str">
            <v>HIRED PERSONNEL FROM 3RD PARTIES</v>
          </cell>
          <cell r="E474">
            <v>0</v>
          </cell>
          <cell r="F474">
            <v>0</v>
          </cell>
          <cell r="G474">
            <v>0</v>
          </cell>
          <cell r="H474">
            <v>0</v>
          </cell>
          <cell r="I474">
            <v>0</v>
          </cell>
          <cell r="J474">
            <v>0</v>
          </cell>
          <cell r="K474">
            <v>0</v>
          </cell>
          <cell r="L474">
            <v>0</v>
          </cell>
          <cell r="M474">
            <v>260461</v>
          </cell>
          <cell r="N474">
            <v>327007</v>
          </cell>
          <cell r="O474">
            <v>13595</v>
          </cell>
          <cell r="P474">
            <v>4402</v>
          </cell>
          <cell r="Q474">
            <v>605465</v>
          </cell>
        </row>
        <row r="475">
          <cell r="A475" t="str">
            <v>US35P015753201300001</v>
          </cell>
          <cell r="B475" t="str">
            <v>US35P01575</v>
          </cell>
          <cell r="C475">
            <v>3201300001</v>
          </cell>
          <cell r="D475" t="str">
            <v>HIRED PERSONNEL FROM 3RD PARTIES</v>
          </cell>
          <cell r="E475">
            <v>28583</v>
          </cell>
          <cell r="F475">
            <v>38776</v>
          </cell>
          <cell r="G475">
            <v>37265</v>
          </cell>
          <cell r="H475">
            <v>27418</v>
          </cell>
          <cell r="I475">
            <v>7947</v>
          </cell>
          <cell r="J475">
            <v>41773</v>
          </cell>
          <cell r="K475">
            <v>61398</v>
          </cell>
          <cell r="L475">
            <v>61561</v>
          </cell>
          <cell r="M475">
            <v>1065</v>
          </cell>
          <cell r="N475">
            <v>0</v>
          </cell>
          <cell r="O475">
            <v>0</v>
          </cell>
          <cell r="P475">
            <v>0</v>
          </cell>
          <cell r="Q475">
            <v>305786</v>
          </cell>
        </row>
        <row r="476">
          <cell r="A476" t="str">
            <v>US35P015853201300001</v>
          </cell>
          <cell r="B476" t="str">
            <v>US35P01585</v>
          </cell>
          <cell r="C476">
            <v>3201300001</v>
          </cell>
          <cell r="D476" t="str">
            <v>HIRED PERSONNEL FROM 3RD PARTIES</v>
          </cell>
          <cell r="E476">
            <v>15369</v>
          </cell>
          <cell r="F476">
            <v>8129</v>
          </cell>
          <cell r="G476">
            <v>8420</v>
          </cell>
          <cell r="H476">
            <v>8897</v>
          </cell>
          <cell r="I476">
            <v>12185</v>
          </cell>
          <cell r="J476">
            <v>15490</v>
          </cell>
          <cell r="K476">
            <v>18815</v>
          </cell>
          <cell r="L476">
            <v>13102</v>
          </cell>
          <cell r="M476">
            <v>21561</v>
          </cell>
          <cell r="N476">
            <v>16510</v>
          </cell>
          <cell r="O476">
            <v>6390</v>
          </cell>
          <cell r="P476">
            <v>6165</v>
          </cell>
          <cell r="Q476">
            <v>151033</v>
          </cell>
        </row>
        <row r="477">
          <cell r="A477" t="str">
            <v>US35P015903201300001</v>
          </cell>
          <cell r="B477" t="str">
            <v>US35P01590</v>
          </cell>
          <cell r="C477">
            <v>3201300001</v>
          </cell>
          <cell r="D477" t="str">
            <v>HIRED PERSONNEL FROM 3RD PARTIES</v>
          </cell>
          <cell r="E477">
            <v>3334</v>
          </cell>
          <cell r="F477">
            <v>2251</v>
          </cell>
          <cell r="G477">
            <v>2609</v>
          </cell>
          <cell r="H477">
            <v>1699</v>
          </cell>
          <cell r="I477">
            <v>2141</v>
          </cell>
          <cell r="J477">
            <v>923</v>
          </cell>
          <cell r="K477">
            <v>1239</v>
          </cell>
          <cell r="L477">
            <v>1824</v>
          </cell>
          <cell r="M477">
            <v>3936</v>
          </cell>
          <cell r="N477">
            <v>5499</v>
          </cell>
          <cell r="O477">
            <v>3020</v>
          </cell>
          <cell r="P477">
            <v>1587</v>
          </cell>
          <cell r="Q477">
            <v>30062</v>
          </cell>
        </row>
        <row r="478">
          <cell r="A478" t="str">
            <v>US35P015923201300001</v>
          </cell>
          <cell r="B478" t="str">
            <v>US35P01592</v>
          </cell>
          <cell r="C478">
            <v>3201300001</v>
          </cell>
          <cell r="D478" t="str">
            <v>HIRED PERSONNEL FROM 3RD PARTIES</v>
          </cell>
          <cell r="E478">
            <v>0</v>
          </cell>
          <cell r="F478">
            <v>0</v>
          </cell>
          <cell r="G478">
            <v>521</v>
          </cell>
          <cell r="H478">
            <v>615</v>
          </cell>
          <cell r="I478">
            <v>0</v>
          </cell>
          <cell r="J478">
            <v>0</v>
          </cell>
          <cell r="K478">
            <v>0</v>
          </cell>
          <cell r="L478">
            <v>0</v>
          </cell>
          <cell r="M478">
            <v>0</v>
          </cell>
          <cell r="N478">
            <v>0</v>
          </cell>
          <cell r="O478">
            <v>0</v>
          </cell>
          <cell r="P478">
            <v>0</v>
          </cell>
          <cell r="Q478">
            <v>1136</v>
          </cell>
        </row>
        <row r="479">
          <cell r="A479" t="str">
            <v>USWOP015013201300001</v>
          </cell>
          <cell r="B479" t="str">
            <v>USWOP01501</v>
          </cell>
          <cell r="C479">
            <v>3201300001</v>
          </cell>
          <cell r="D479" t="str">
            <v>HIRED PERSONNEL FROM 3RD PARTIES</v>
          </cell>
          <cell r="E479">
            <v>0</v>
          </cell>
          <cell r="F479">
            <v>0</v>
          </cell>
          <cell r="G479">
            <v>0</v>
          </cell>
          <cell r="H479">
            <v>2192</v>
          </cell>
          <cell r="I479">
            <v>0</v>
          </cell>
          <cell r="J479">
            <v>0</v>
          </cell>
          <cell r="K479">
            <v>0</v>
          </cell>
          <cell r="L479">
            <v>0</v>
          </cell>
          <cell r="M479">
            <v>0</v>
          </cell>
          <cell r="N479">
            <v>0</v>
          </cell>
          <cell r="O479">
            <v>0</v>
          </cell>
          <cell r="P479">
            <v>0</v>
          </cell>
          <cell r="Q479">
            <v>2192</v>
          </cell>
        </row>
        <row r="480">
          <cell r="A480" t="str">
            <v>USWOP015503201300001</v>
          </cell>
          <cell r="B480" t="str">
            <v>USWOP01550</v>
          </cell>
          <cell r="C480">
            <v>3201300001</v>
          </cell>
          <cell r="D480" t="str">
            <v>HIRED PERSONNEL FROM 3RD PARTIES</v>
          </cell>
          <cell r="E480">
            <v>0</v>
          </cell>
          <cell r="F480">
            <v>0</v>
          </cell>
          <cell r="G480">
            <v>0</v>
          </cell>
          <cell r="H480">
            <v>0</v>
          </cell>
          <cell r="I480">
            <v>1138</v>
          </cell>
          <cell r="J480">
            <v>15445</v>
          </cell>
          <cell r="K480">
            <v>3494</v>
          </cell>
          <cell r="L480">
            <v>2016</v>
          </cell>
          <cell r="M480">
            <v>0</v>
          </cell>
          <cell r="N480">
            <v>0</v>
          </cell>
          <cell r="O480">
            <v>0</v>
          </cell>
          <cell r="P480">
            <v>0</v>
          </cell>
          <cell r="Q480">
            <v>22093</v>
          </cell>
        </row>
        <row r="481">
          <cell r="A481" t="str">
            <v>USWOP015533201300001</v>
          </cell>
          <cell r="B481" t="str">
            <v>USWOP01553</v>
          </cell>
          <cell r="C481">
            <v>3201300001</v>
          </cell>
          <cell r="D481" t="str">
            <v>HIRED PERSONNEL FROM 3RD PARTIES</v>
          </cell>
          <cell r="E481">
            <v>0</v>
          </cell>
          <cell r="F481">
            <v>0</v>
          </cell>
          <cell r="G481">
            <v>0</v>
          </cell>
          <cell r="H481">
            <v>0</v>
          </cell>
          <cell r="I481">
            <v>0</v>
          </cell>
          <cell r="J481">
            <v>0</v>
          </cell>
          <cell r="K481">
            <v>20553</v>
          </cell>
          <cell r="L481">
            <v>24643</v>
          </cell>
          <cell r="M481">
            <v>8398</v>
          </cell>
          <cell r="N481">
            <v>0</v>
          </cell>
          <cell r="O481">
            <v>0</v>
          </cell>
          <cell r="P481">
            <v>0</v>
          </cell>
          <cell r="Q481">
            <v>53594</v>
          </cell>
        </row>
        <row r="482">
          <cell r="A482" t="str">
            <v>USWOP015603201300001</v>
          </cell>
          <cell r="B482" t="str">
            <v>USWOP01560</v>
          </cell>
          <cell r="C482">
            <v>3201300001</v>
          </cell>
          <cell r="D482" t="str">
            <v>HIRED PERSONNEL FROM 3RD PARTIES</v>
          </cell>
          <cell r="E482">
            <v>5432</v>
          </cell>
          <cell r="F482">
            <v>0</v>
          </cell>
          <cell r="G482">
            <v>0</v>
          </cell>
          <cell r="H482">
            <v>8683</v>
          </cell>
          <cell r="I482">
            <v>3382</v>
          </cell>
          <cell r="J482">
            <v>0</v>
          </cell>
          <cell r="K482">
            <v>0</v>
          </cell>
          <cell r="L482">
            <v>0</v>
          </cell>
          <cell r="M482">
            <v>26282</v>
          </cell>
          <cell r="N482">
            <v>40513</v>
          </cell>
          <cell r="O482">
            <v>33638</v>
          </cell>
          <cell r="P482">
            <v>13006</v>
          </cell>
          <cell r="Q482">
            <v>130936</v>
          </cell>
        </row>
        <row r="483">
          <cell r="A483" t="str">
            <v>USWOP015643201300001</v>
          </cell>
          <cell r="B483" t="str">
            <v>USWOP01564</v>
          </cell>
          <cell r="C483">
            <v>3201300001</v>
          </cell>
          <cell r="D483" t="str">
            <v>HIRED PERSONNEL FROM 3RD PARTIES</v>
          </cell>
          <cell r="E483">
            <v>0</v>
          </cell>
          <cell r="F483">
            <v>0</v>
          </cell>
          <cell r="G483">
            <v>0</v>
          </cell>
          <cell r="H483">
            <v>0</v>
          </cell>
          <cell r="I483">
            <v>0</v>
          </cell>
          <cell r="J483">
            <v>0</v>
          </cell>
          <cell r="K483">
            <v>253</v>
          </cell>
          <cell r="L483">
            <v>0</v>
          </cell>
          <cell r="M483">
            <v>309752</v>
          </cell>
          <cell r="N483">
            <v>350960</v>
          </cell>
          <cell r="O483">
            <v>20102</v>
          </cell>
          <cell r="P483">
            <v>0</v>
          </cell>
          <cell r="Q483">
            <v>681067</v>
          </cell>
        </row>
        <row r="484">
          <cell r="A484" t="str">
            <v>USWOP015753201300001</v>
          </cell>
          <cell r="B484" t="str">
            <v>USWOP01575</v>
          </cell>
          <cell r="C484">
            <v>3201300001</v>
          </cell>
          <cell r="D484" t="str">
            <v>HIRED PERSONNEL FROM 3RD PARTIES</v>
          </cell>
          <cell r="E484">
            <v>6509</v>
          </cell>
          <cell r="F484">
            <v>18597</v>
          </cell>
          <cell r="G484">
            <v>17652</v>
          </cell>
          <cell r="H484">
            <v>2800</v>
          </cell>
          <cell r="I484">
            <v>1734</v>
          </cell>
          <cell r="J484">
            <v>5843</v>
          </cell>
          <cell r="K484">
            <v>16200</v>
          </cell>
          <cell r="L484">
            <v>42923</v>
          </cell>
          <cell r="M484">
            <v>2842</v>
          </cell>
          <cell r="N484">
            <v>0</v>
          </cell>
          <cell r="O484">
            <v>0</v>
          </cell>
          <cell r="P484">
            <v>0</v>
          </cell>
          <cell r="Q484">
            <v>115100</v>
          </cell>
        </row>
        <row r="485">
          <cell r="A485" t="str">
            <v>US59P015013201300001</v>
          </cell>
          <cell r="B485" t="str">
            <v>US59P01501</v>
          </cell>
          <cell r="C485">
            <v>3201300001</v>
          </cell>
          <cell r="D485" t="str">
            <v>HIRED PERSONNEL FROM 3RD PARTIES</v>
          </cell>
          <cell r="E485">
            <v>768</v>
          </cell>
          <cell r="F485">
            <v>3465</v>
          </cell>
          <cell r="G485">
            <v>2529</v>
          </cell>
          <cell r="H485">
            <v>5105</v>
          </cell>
          <cell r="I485">
            <v>857</v>
          </cell>
          <cell r="J485">
            <v>400</v>
          </cell>
          <cell r="K485">
            <v>0</v>
          </cell>
          <cell r="L485">
            <v>0</v>
          </cell>
          <cell r="M485">
            <v>0</v>
          </cell>
          <cell r="N485">
            <v>0</v>
          </cell>
          <cell r="O485">
            <v>0</v>
          </cell>
          <cell r="P485">
            <v>0</v>
          </cell>
          <cell r="Q485">
            <v>13124</v>
          </cell>
        </row>
        <row r="486">
          <cell r="A486" t="str">
            <v>USWOP015853201300001</v>
          </cell>
          <cell r="B486" t="str">
            <v>USWOP01585</v>
          </cell>
          <cell r="C486">
            <v>3201300001</v>
          </cell>
          <cell r="D486" t="str">
            <v>HIRED PERSONNEL FROM 3RD PARTIES</v>
          </cell>
          <cell r="E486">
            <v>0</v>
          </cell>
          <cell r="F486">
            <v>0</v>
          </cell>
          <cell r="G486">
            <v>0</v>
          </cell>
          <cell r="H486">
            <v>0</v>
          </cell>
          <cell r="I486">
            <v>650</v>
          </cell>
          <cell r="J486">
            <v>1025</v>
          </cell>
          <cell r="K486">
            <v>0</v>
          </cell>
          <cell r="L486">
            <v>0</v>
          </cell>
          <cell r="M486">
            <v>0</v>
          </cell>
          <cell r="N486">
            <v>0</v>
          </cell>
          <cell r="O486">
            <v>0</v>
          </cell>
          <cell r="P486">
            <v>0</v>
          </cell>
          <cell r="Q486">
            <v>1675</v>
          </cell>
        </row>
        <row r="487">
          <cell r="A487" t="str">
            <v>USWOP015903201300001</v>
          </cell>
          <cell r="B487" t="str">
            <v>USWOP01590</v>
          </cell>
          <cell r="C487">
            <v>3201300001</v>
          </cell>
          <cell r="D487" t="str">
            <v>HIRED PERSONNEL FROM 3RD PARTIES</v>
          </cell>
          <cell r="E487">
            <v>312</v>
          </cell>
          <cell r="F487">
            <v>0</v>
          </cell>
          <cell r="G487">
            <v>0</v>
          </cell>
          <cell r="H487">
            <v>0</v>
          </cell>
          <cell r="I487">
            <v>0</v>
          </cell>
          <cell r="J487">
            <v>0</v>
          </cell>
          <cell r="K487">
            <v>0</v>
          </cell>
          <cell r="L487">
            <v>0</v>
          </cell>
          <cell r="M487">
            <v>0</v>
          </cell>
          <cell r="N487">
            <v>0</v>
          </cell>
          <cell r="O487">
            <v>0</v>
          </cell>
          <cell r="P487">
            <v>0</v>
          </cell>
          <cell r="Q487">
            <v>312</v>
          </cell>
        </row>
        <row r="488">
          <cell r="A488" t="str">
            <v>USWOP015923201300001</v>
          </cell>
          <cell r="B488" t="str">
            <v>USWOP01592</v>
          </cell>
          <cell r="C488">
            <v>3201300001</v>
          </cell>
          <cell r="D488" t="str">
            <v>HIRED PERSONNEL FROM 3RD PARTIES</v>
          </cell>
          <cell r="E488">
            <v>1838</v>
          </cell>
          <cell r="F488">
            <v>0</v>
          </cell>
          <cell r="G488">
            <v>0</v>
          </cell>
          <cell r="H488">
            <v>0</v>
          </cell>
          <cell r="I488">
            <v>0</v>
          </cell>
          <cell r="J488">
            <v>0</v>
          </cell>
          <cell r="K488">
            <v>0</v>
          </cell>
          <cell r="L488">
            <v>0</v>
          </cell>
          <cell r="M488">
            <v>0</v>
          </cell>
          <cell r="N488">
            <v>4245</v>
          </cell>
          <cell r="O488">
            <v>0</v>
          </cell>
          <cell r="P488">
            <v>4542</v>
          </cell>
          <cell r="Q488">
            <v>10625</v>
          </cell>
        </row>
        <row r="489">
          <cell r="A489" t="str">
            <v>US59P015503201300001</v>
          </cell>
          <cell r="B489" t="str">
            <v>US59P01550</v>
          </cell>
          <cell r="C489">
            <v>3201300001</v>
          </cell>
          <cell r="D489" t="str">
            <v>HIRED PERSONNEL FROM 3RD PARTIES</v>
          </cell>
          <cell r="E489">
            <v>1719</v>
          </cell>
          <cell r="F489">
            <v>9782</v>
          </cell>
          <cell r="G489">
            <v>1602</v>
          </cell>
          <cell r="H489">
            <v>1898</v>
          </cell>
          <cell r="I489">
            <v>604</v>
          </cell>
          <cell r="J489">
            <v>8608</v>
          </cell>
          <cell r="K489">
            <v>14304</v>
          </cell>
          <cell r="L489">
            <v>19607</v>
          </cell>
          <cell r="M489">
            <v>10771</v>
          </cell>
          <cell r="N489">
            <v>7325</v>
          </cell>
          <cell r="O489">
            <v>904</v>
          </cell>
          <cell r="P489">
            <v>3159</v>
          </cell>
          <cell r="Q489">
            <v>80283</v>
          </cell>
        </row>
        <row r="490">
          <cell r="A490" t="str">
            <v>US59P015533201300001</v>
          </cell>
          <cell r="B490" t="str">
            <v>US59P01553</v>
          </cell>
          <cell r="C490">
            <v>3201300001</v>
          </cell>
          <cell r="D490" t="str">
            <v>HIRED PERSONNEL FROM 3RD PARTIES</v>
          </cell>
          <cell r="E490">
            <v>0</v>
          </cell>
          <cell r="F490">
            <v>0</v>
          </cell>
          <cell r="G490">
            <v>0</v>
          </cell>
          <cell r="H490">
            <v>0</v>
          </cell>
          <cell r="I490">
            <v>0</v>
          </cell>
          <cell r="J490">
            <v>0</v>
          </cell>
          <cell r="K490">
            <v>10303</v>
          </cell>
          <cell r="L490">
            <v>14838</v>
          </cell>
          <cell r="M490">
            <v>0</v>
          </cell>
          <cell r="N490">
            <v>4231</v>
          </cell>
          <cell r="O490">
            <v>0</v>
          </cell>
          <cell r="P490">
            <v>0</v>
          </cell>
          <cell r="Q490">
            <v>29372</v>
          </cell>
        </row>
        <row r="491">
          <cell r="A491" t="str">
            <v>US59P015603201300001</v>
          </cell>
          <cell r="B491" t="str">
            <v>US59P01560</v>
          </cell>
          <cell r="C491">
            <v>3201300001</v>
          </cell>
          <cell r="D491" t="str">
            <v>HIRED PERSONNEL FROM 3RD PARTIES</v>
          </cell>
          <cell r="E491">
            <v>30063</v>
          </cell>
          <cell r="F491">
            <v>8555</v>
          </cell>
          <cell r="G491">
            <v>9406</v>
          </cell>
          <cell r="H491">
            <v>7240</v>
          </cell>
          <cell r="I491">
            <v>7102</v>
          </cell>
          <cell r="J491">
            <v>6294</v>
          </cell>
          <cell r="K491">
            <v>2998</v>
          </cell>
          <cell r="L491">
            <v>0</v>
          </cell>
          <cell r="M491">
            <v>0</v>
          </cell>
          <cell r="N491">
            <v>16283</v>
          </cell>
          <cell r="O491">
            <v>22701</v>
          </cell>
          <cell r="P491">
            <v>27462</v>
          </cell>
          <cell r="Q491">
            <v>138104</v>
          </cell>
        </row>
        <row r="492">
          <cell r="A492" t="str">
            <v>US59P015643201300001</v>
          </cell>
          <cell r="B492" t="str">
            <v>US59P01564</v>
          </cell>
          <cell r="C492">
            <v>3201300001</v>
          </cell>
          <cell r="D492" t="str">
            <v>HIRED PERSONNEL FROM 3RD PARTIES</v>
          </cell>
          <cell r="E492">
            <v>344</v>
          </cell>
          <cell r="F492">
            <v>0</v>
          </cell>
          <cell r="G492">
            <v>0</v>
          </cell>
          <cell r="H492">
            <v>0</v>
          </cell>
          <cell r="I492">
            <v>0</v>
          </cell>
          <cell r="J492">
            <v>0</v>
          </cell>
          <cell r="K492">
            <v>0</v>
          </cell>
          <cell r="L492">
            <v>-69</v>
          </cell>
          <cell r="M492">
            <v>4788</v>
          </cell>
          <cell r="N492">
            <v>69325</v>
          </cell>
          <cell r="O492">
            <v>11185</v>
          </cell>
          <cell r="P492">
            <v>6413</v>
          </cell>
          <cell r="Q492">
            <v>91986</v>
          </cell>
        </row>
        <row r="493">
          <cell r="A493" t="str">
            <v>US59P015753201300001</v>
          </cell>
          <cell r="B493" t="str">
            <v>US59P01575</v>
          </cell>
          <cell r="C493">
            <v>3201300001</v>
          </cell>
          <cell r="D493" t="str">
            <v>HIRED PERSONNEL FROM 3RD PARTIES</v>
          </cell>
          <cell r="E493">
            <v>2147</v>
          </cell>
          <cell r="F493">
            <v>11158</v>
          </cell>
          <cell r="G493">
            <v>8861</v>
          </cell>
          <cell r="H493">
            <v>5593</v>
          </cell>
          <cell r="I493">
            <v>0</v>
          </cell>
          <cell r="J493">
            <v>0</v>
          </cell>
          <cell r="K493">
            <v>0</v>
          </cell>
          <cell r="L493">
            <v>0</v>
          </cell>
          <cell r="M493">
            <v>0</v>
          </cell>
          <cell r="N493">
            <v>0</v>
          </cell>
          <cell r="O493">
            <v>0</v>
          </cell>
          <cell r="P493">
            <v>0</v>
          </cell>
          <cell r="Q493">
            <v>27759</v>
          </cell>
        </row>
        <row r="494">
          <cell r="A494" t="str">
            <v>US59P015903201300001</v>
          </cell>
          <cell r="B494" t="str">
            <v>US59P01590</v>
          </cell>
          <cell r="C494">
            <v>3201300001</v>
          </cell>
          <cell r="D494" t="str">
            <v>HIRED PERSONNEL FROM 3RD PARTIES</v>
          </cell>
          <cell r="E494">
            <v>254</v>
          </cell>
          <cell r="F494">
            <v>0</v>
          </cell>
          <cell r="G494">
            <v>0</v>
          </cell>
          <cell r="H494">
            <v>0</v>
          </cell>
          <cell r="I494">
            <v>0</v>
          </cell>
          <cell r="J494">
            <v>0</v>
          </cell>
          <cell r="K494">
            <v>0</v>
          </cell>
          <cell r="L494">
            <v>0</v>
          </cell>
          <cell r="M494">
            <v>0</v>
          </cell>
          <cell r="N494">
            <v>0</v>
          </cell>
          <cell r="O494">
            <v>0</v>
          </cell>
          <cell r="P494">
            <v>0</v>
          </cell>
          <cell r="Q494">
            <v>254</v>
          </cell>
        </row>
        <row r="495">
          <cell r="A495" t="str">
            <v>US59P3C5013201300001</v>
          </cell>
          <cell r="B495" t="str">
            <v>US59P3C501</v>
          </cell>
          <cell r="C495">
            <v>3201300001</v>
          </cell>
          <cell r="D495" t="str">
            <v>HIRED PERSONNEL FROM 3RD PARTIES</v>
          </cell>
          <cell r="E495">
            <v>579</v>
          </cell>
          <cell r="F495">
            <v>497</v>
          </cell>
          <cell r="G495">
            <v>0</v>
          </cell>
          <cell r="H495">
            <v>3954</v>
          </cell>
          <cell r="I495">
            <v>652</v>
          </cell>
          <cell r="J495">
            <v>0</v>
          </cell>
          <cell r="K495">
            <v>0</v>
          </cell>
          <cell r="L495">
            <v>0</v>
          </cell>
          <cell r="M495">
            <v>0</v>
          </cell>
          <cell r="N495">
            <v>1530</v>
          </cell>
          <cell r="O495">
            <v>2786</v>
          </cell>
          <cell r="P495">
            <v>4967</v>
          </cell>
          <cell r="Q495">
            <v>14965</v>
          </cell>
        </row>
        <row r="496">
          <cell r="A496" t="str">
            <v>US59P3C5503201300001</v>
          </cell>
          <cell r="B496" t="str">
            <v>US59P3C550</v>
          </cell>
          <cell r="C496">
            <v>3201300001</v>
          </cell>
          <cell r="D496" t="str">
            <v>HIRED PERSONNEL FROM 3RD PARTIES</v>
          </cell>
          <cell r="E496">
            <v>2274</v>
          </cell>
          <cell r="F496">
            <v>2145</v>
          </cell>
          <cell r="G496">
            <v>1201</v>
          </cell>
          <cell r="H496">
            <v>28</v>
          </cell>
          <cell r="I496">
            <v>0</v>
          </cell>
          <cell r="J496">
            <v>0</v>
          </cell>
          <cell r="K496">
            <v>0</v>
          </cell>
          <cell r="L496">
            <v>0</v>
          </cell>
          <cell r="M496">
            <v>0</v>
          </cell>
          <cell r="N496">
            <v>685</v>
          </cell>
          <cell r="O496">
            <v>1117</v>
          </cell>
          <cell r="P496">
            <v>0</v>
          </cell>
          <cell r="Q496">
            <v>7450</v>
          </cell>
        </row>
        <row r="497">
          <cell r="A497" t="str">
            <v>US59P3C5603201300001</v>
          </cell>
          <cell r="B497" t="str">
            <v>US59P3C560</v>
          </cell>
          <cell r="C497">
            <v>3201300001</v>
          </cell>
          <cell r="D497" t="str">
            <v>HIRED PERSONNEL FROM 3RD PARTIES</v>
          </cell>
          <cell r="E497">
            <v>20449</v>
          </cell>
          <cell r="F497">
            <v>18935</v>
          </cell>
          <cell r="G497">
            <v>11867</v>
          </cell>
          <cell r="H497">
            <v>13927</v>
          </cell>
          <cell r="I497">
            <v>4332</v>
          </cell>
          <cell r="J497">
            <v>7163</v>
          </cell>
          <cell r="K497">
            <v>1576</v>
          </cell>
          <cell r="L497">
            <v>3189</v>
          </cell>
          <cell r="M497">
            <v>1969</v>
          </cell>
          <cell r="N497">
            <v>0</v>
          </cell>
          <cell r="O497">
            <v>21646</v>
          </cell>
          <cell r="P497">
            <v>21088</v>
          </cell>
          <cell r="Q497">
            <v>126141</v>
          </cell>
        </row>
        <row r="498">
          <cell r="A498" t="str">
            <v>USCRP015503201300001</v>
          </cell>
          <cell r="B498" t="str">
            <v>USCRP01550</v>
          </cell>
          <cell r="C498">
            <v>3201300001</v>
          </cell>
          <cell r="D498" t="str">
            <v>HIRED PERSONNEL FROM 3RD PARTIES</v>
          </cell>
          <cell r="E498">
            <v>0</v>
          </cell>
          <cell r="F498">
            <v>0</v>
          </cell>
          <cell r="G498">
            <v>0</v>
          </cell>
          <cell r="H498">
            <v>0</v>
          </cell>
          <cell r="I498">
            <v>0</v>
          </cell>
          <cell r="J498">
            <v>31</v>
          </cell>
          <cell r="K498">
            <v>33764</v>
          </cell>
          <cell r="L498">
            <v>63892</v>
          </cell>
          <cell r="M498">
            <v>2839</v>
          </cell>
          <cell r="N498">
            <v>0</v>
          </cell>
          <cell r="O498">
            <v>0</v>
          </cell>
          <cell r="P498">
            <v>0</v>
          </cell>
          <cell r="Q498">
            <v>100526</v>
          </cell>
        </row>
        <row r="499">
          <cell r="A499" t="str">
            <v>USCRP015533201300001</v>
          </cell>
          <cell r="B499" t="str">
            <v>USCRP01553</v>
          </cell>
          <cell r="C499">
            <v>3201300001</v>
          </cell>
          <cell r="D499" t="str">
            <v>HIRED PERSONNEL FROM 3RD PARTIES</v>
          </cell>
          <cell r="E499">
            <v>0</v>
          </cell>
          <cell r="F499">
            <v>0</v>
          </cell>
          <cell r="G499">
            <v>0</v>
          </cell>
          <cell r="H499">
            <v>0</v>
          </cell>
          <cell r="I499">
            <v>0</v>
          </cell>
          <cell r="J499">
            <v>0</v>
          </cell>
          <cell r="K499">
            <v>5966</v>
          </cell>
          <cell r="L499">
            <v>10893</v>
          </cell>
          <cell r="M499">
            <v>0</v>
          </cell>
          <cell r="N499">
            <v>4230</v>
          </cell>
          <cell r="O499">
            <v>0</v>
          </cell>
          <cell r="P499">
            <v>0</v>
          </cell>
          <cell r="Q499">
            <v>21089</v>
          </cell>
        </row>
        <row r="500">
          <cell r="A500" t="str">
            <v>USCRP015603201300001</v>
          </cell>
          <cell r="B500" t="str">
            <v>USCRP01560</v>
          </cell>
          <cell r="C500">
            <v>3201300001</v>
          </cell>
          <cell r="D500" t="str">
            <v>HIRED PERSONNEL FROM 3RD PARTIES</v>
          </cell>
          <cell r="E500">
            <v>7714</v>
          </cell>
          <cell r="F500">
            <v>11804</v>
          </cell>
          <cell r="G500">
            <v>6987</v>
          </cell>
          <cell r="H500">
            <v>15754</v>
          </cell>
          <cell r="I500">
            <v>12543</v>
          </cell>
          <cell r="J500">
            <v>7255</v>
          </cell>
          <cell r="K500">
            <v>8760</v>
          </cell>
          <cell r="L500">
            <v>8493</v>
          </cell>
          <cell r="M500">
            <v>13712</v>
          </cell>
          <cell r="N500">
            <v>23906</v>
          </cell>
          <cell r="O500">
            <v>32500</v>
          </cell>
          <cell r="P500">
            <v>34913</v>
          </cell>
          <cell r="Q500">
            <v>184341</v>
          </cell>
        </row>
        <row r="501">
          <cell r="A501" t="str">
            <v>USCRP015643201300001</v>
          </cell>
          <cell r="B501" t="str">
            <v>USCRP01564</v>
          </cell>
          <cell r="C501">
            <v>3201300001</v>
          </cell>
          <cell r="D501" t="str">
            <v>HIRED PERSONNEL FROM 3RD PARTIES</v>
          </cell>
          <cell r="E501">
            <v>0</v>
          </cell>
          <cell r="F501">
            <v>0</v>
          </cell>
          <cell r="G501">
            <v>0</v>
          </cell>
          <cell r="H501">
            <v>0</v>
          </cell>
          <cell r="I501">
            <v>0</v>
          </cell>
          <cell r="J501">
            <v>0</v>
          </cell>
          <cell r="K501">
            <v>0</v>
          </cell>
          <cell r="L501">
            <v>0</v>
          </cell>
          <cell r="M501">
            <v>192620</v>
          </cell>
          <cell r="N501">
            <v>315658</v>
          </cell>
          <cell r="O501">
            <v>1489</v>
          </cell>
          <cell r="P501">
            <v>6675</v>
          </cell>
          <cell r="Q501">
            <v>516442</v>
          </cell>
        </row>
        <row r="502">
          <cell r="A502" t="str">
            <v>USCRP015753201300001</v>
          </cell>
          <cell r="B502" t="str">
            <v>USCRP01575</v>
          </cell>
          <cell r="C502">
            <v>3201300001</v>
          </cell>
          <cell r="D502" t="str">
            <v>HIRED PERSONNEL FROM 3RD PARTIES</v>
          </cell>
          <cell r="E502">
            <v>19588</v>
          </cell>
          <cell r="F502">
            <v>21008</v>
          </cell>
          <cell r="G502">
            <v>13258</v>
          </cell>
          <cell r="H502">
            <v>10517</v>
          </cell>
          <cell r="I502">
            <v>5614</v>
          </cell>
          <cell r="J502">
            <v>5456</v>
          </cell>
          <cell r="K502">
            <v>10578</v>
          </cell>
          <cell r="L502">
            <v>5329</v>
          </cell>
          <cell r="M502">
            <v>17446</v>
          </cell>
          <cell r="N502">
            <v>1964</v>
          </cell>
          <cell r="O502">
            <v>9950</v>
          </cell>
          <cell r="P502">
            <v>8851</v>
          </cell>
          <cell r="Q502">
            <v>129559</v>
          </cell>
        </row>
        <row r="503">
          <cell r="A503" t="str">
            <v>USCRP015853201300001</v>
          </cell>
          <cell r="B503" t="str">
            <v>USCRP01585</v>
          </cell>
          <cell r="C503">
            <v>3201300001</v>
          </cell>
          <cell r="D503" t="str">
            <v>HIRED PERSONNEL FROM 3RD PARTIES</v>
          </cell>
          <cell r="E503">
            <v>3280</v>
          </cell>
          <cell r="F503">
            <v>2629</v>
          </cell>
          <cell r="G503">
            <v>3854</v>
          </cell>
          <cell r="H503">
            <v>6445</v>
          </cell>
          <cell r="I503">
            <v>12525</v>
          </cell>
          <cell r="J503">
            <v>30378</v>
          </cell>
          <cell r="K503">
            <v>22252</v>
          </cell>
          <cell r="L503">
            <v>15280</v>
          </cell>
          <cell r="M503">
            <v>13780</v>
          </cell>
          <cell r="N503">
            <v>7857</v>
          </cell>
          <cell r="O503">
            <v>4041</v>
          </cell>
          <cell r="P503">
            <v>4143</v>
          </cell>
          <cell r="Q503">
            <v>126464</v>
          </cell>
        </row>
        <row r="504">
          <cell r="A504" t="str">
            <v>US22P015013201300002</v>
          </cell>
          <cell r="B504" t="str">
            <v>US22P01501</v>
          </cell>
          <cell r="C504">
            <v>3201300002</v>
          </cell>
          <cell r="D504" t="str">
            <v>O/S SERVICES</v>
          </cell>
          <cell r="E504">
            <v>0</v>
          </cell>
          <cell r="F504">
            <v>0</v>
          </cell>
          <cell r="G504">
            <v>0</v>
          </cell>
          <cell r="H504">
            <v>0</v>
          </cell>
          <cell r="I504">
            <v>27</v>
          </cell>
          <cell r="J504">
            <v>643</v>
          </cell>
          <cell r="K504">
            <v>0</v>
          </cell>
          <cell r="L504">
            <v>0</v>
          </cell>
          <cell r="M504">
            <v>1413</v>
          </cell>
          <cell r="N504">
            <v>515</v>
          </cell>
          <cell r="O504">
            <v>0</v>
          </cell>
          <cell r="P504">
            <v>166</v>
          </cell>
          <cell r="Q504">
            <v>2764</v>
          </cell>
        </row>
        <row r="505">
          <cell r="A505" t="str">
            <v>US22P015503201300002</v>
          </cell>
          <cell r="B505" t="str">
            <v>US22P01550</v>
          </cell>
          <cell r="C505">
            <v>3201300002</v>
          </cell>
          <cell r="D505" t="str">
            <v>O/S SERVICES</v>
          </cell>
          <cell r="E505">
            <v>0</v>
          </cell>
          <cell r="F505">
            <v>0</v>
          </cell>
          <cell r="G505">
            <v>0</v>
          </cell>
          <cell r="H505">
            <v>0</v>
          </cell>
          <cell r="I505">
            <v>0</v>
          </cell>
          <cell r="J505">
            <v>0</v>
          </cell>
          <cell r="K505">
            <v>147</v>
          </cell>
          <cell r="L505">
            <v>0</v>
          </cell>
          <cell r="M505">
            <v>0</v>
          </cell>
          <cell r="N505">
            <v>0</v>
          </cell>
          <cell r="O505">
            <v>0</v>
          </cell>
          <cell r="P505">
            <v>0</v>
          </cell>
          <cell r="Q505">
            <v>147</v>
          </cell>
        </row>
        <row r="506">
          <cell r="A506" t="str">
            <v>US22P015533201300002</v>
          </cell>
          <cell r="B506" t="str">
            <v>US22P01553</v>
          </cell>
          <cell r="C506">
            <v>3201300002</v>
          </cell>
          <cell r="D506" t="str">
            <v>O/S SERVICES</v>
          </cell>
          <cell r="E506">
            <v>0</v>
          </cell>
          <cell r="F506">
            <v>0</v>
          </cell>
          <cell r="G506">
            <v>0</v>
          </cell>
          <cell r="H506">
            <v>391</v>
          </cell>
          <cell r="I506">
            <v>0</v>
          </cell>
          <cell r="J506">
            <v>0</v>
          </cell>
          <cell r="K506">
            <v>0</v>
          </cell>
          <cell r="L506">
            <v>0</v>
          </cell>
          <cell r="M506">
            <v>0</v>
          </cell>
          <cell r="N506">
            <v>0</v>
          </cell>
          <cell r="O506">
            <v>0</v>
          </cell>
          <cell r="P506">
            <v>0</v>
          </cell>
          <cell r="Q506">
            <v>391</v>
          </cell>
        </row>
        <row r="507">
          <cell r="A507" t="str">
            <v>US22P015603201300002</v>
          </cell>
          <cell r="B507" t="str">
            <v>US22P01560</v>
          </cell>
          <cell r="C507">
            <v>3201300002</v>
          </cell>
          <cell r="D507" t="str">
            <v>O/S SERVICES</v>
          </cell>
          <cell r="E507">
            <v>0</v>
          </cell>
          <cell r="F507">
            <v>0</v>
          </cell>
          <cell r="G507">
            <v>312</v>
          </cell>
          <cell r="H507">
            <v>1524</v>
          </cell>
          <cell r="I507">
            <v>0</v>
          </cell>
          <cell r="J507">
            <v>0</v>
          </cell>
          <cell r="K507">
            <v>0</v>
          </cell>
          <cell r="L507">
            <v>0</v>
          </cell>
          <cell r="M507">
            <v>87</v>
          </cell>
          <cell r="N507">
            <v>0</v>
          </cell>
          <cell r="O507">
            <v>0</v>
          </cell>
          <cell r="P507">
            <v>0</v>
          </cell>
          <cell r="Q507">
            <v>1923</v>
          </cell>
        </row>
        <row r="508">
          <cell r="A508" t="str">
            <v>US22P015753201300002</v>
          </cell>
          <cell r="B508" t="str">
            <v>US22P01575</v>
          </cell>
          <cell r="C508">
            <v>3201300002</v>
          </cell>
          <cell r="D508" t="str">
            <v>O/S SERVICES</v>
          </cell>
          <cell r="E508">
            <v>0</v>
          </cell>
          <cell r="F508">
            <v>0</v>
          </cell>
          <cell r="G508">
            <v>90</v>
          </cell>
          <cell r="H508">
            <v>381</v>
          </cell>
          <cell r="I508">
            <v>0</v>
          </cell>
          <cell r="J508">
            <v>300</v>
          </cell>
          <cell r="K508">
            <v>0</v>
          </cell>
          <cell r="L508">
            <v>0</v>
          </cell>
          <cell r="M508">
            <v>0</v>
          </cell>
          <cell r="N508">
            <v>0</v>
          </cell>
          <cell r="O508">
            <v>0</v>
          </cell>
          <cell r="P508">
            <v>0</v>
          </cell>
          <cell r="Q508">
            <v>771</v>
          </cell>
        </row>
        <row r="509">
          <cell r="A509" t="str">
            <v>US28P015013201300002</v>
          </cell>
          <cell r="B509" t="str">
            <v>US28P01501</v>
          </cell>
          <cell r="C509">
            <v>3201300002</v>
          </cell>
          <cell r="D509" t="str">
            <v>O/S SERVICES</v>
          </cell>
          <cell r="E509">
            <v>0</v>
          </cell>
          <cell r="F509">
            <v>0</v>
          </cell>
          <cell r="G509">
            <v>1015</v>
          </cell>
          <cell r="H509">
            <v>381</v>
          </cell>
          <cell r="I509">
            <v>0</v>
          </cell>
          <cell r="J509">
            <v>0</v>
          </cell>
          <cell r="K509">
            <v>77</v>
          </cell>
          <cell r="L509">
            <v>18</v>
          </cell>
          <cell r="M509">
            <v>77</v>
          </cell>
          <cell r="N509">
            <v>77</v>
          </cell>
          <cell r="O509">
            <v>0</v>
          </cell>
          <cell r="P509">
            <v>0</v>
          </cell>
          <cell r="Q509">
            <v>1645</v>
          </cell>
        </row>
        <row r="510">
          <cell r="A510" t="str">
            <v>US28P015503201300002</v>
          </cell>
          <cell r="B510" t="str">
            <v>US28P01550</v>
          </cell>
          <cell r="C510">
            <v>3201300002</v>
          </cell>
          <cell r="D510" t="str">
            <v>O/S SERVICES</v>
          </cell>
          <cell r="E510">
            <v>0</v>
          </cell>
          <cell r="F510">
            <v>0</v>
          </cell>
          <cell r="G510">
            <v>0</v>
          </cell>
          <cell r="H510">
            <v>0</v>
          </cell>
          <cell r="I510">
            <v>0</v>
          </cell>
          <cell r="J510">
            <v>0</v>
          </cell>
          <cell r="K510">
            <v>70</v>
          </cell>
          <cell r="L510">
            <v>262</v>
          </cell>
          <cell r="M510">
            <v>116</v>
          </cell>
          <cell r="N510">
            <v>0</v>
          </cell>
          <cell r="O510">
            <v>0</v>
          </cell>
          <cell r="P510">
            <v>0</v>
          </cell>
          <cell r="Q510">
            <v>448</v>
          </cell>
        </row>
        <row r="511">
          <cell r="A511" t="str">
            <v>US28P015603201300002</v>
          </cell>
          <cell r="B511" t="str">
            <v>US28P01560</v>
          </cell>
          <cell r="C511">
            <v>3201300002</v>
          </cell>
          <cell r="D511" t="str">
            <v>O/S SERVICES</v>
          </cell>
          <cell r="E511">
            <v>0</v>
          </cell>
          <cell r="F511">
            <v>0</v>
          </cell>
          <cell r="G511">
            <v>0</v>
          </cell>
          <cell r="H511">
            <v>0</v>
          </cell>
          <cell r="I511">
            <v>0</v>
          </cell>
          <cell r="J511">
            <v>0</v>
          </cell>
          <cell r="K511">
            <v>0</v>
          </cell>
          <cell r="L511">
            <v>0</v>
          </cell>
          <cell r="M511">
            <v>25</v>
          </cell>
          <cell r="N511">
            <v>0</v>
          </cell>
          <cell r="O511">
            <v>0</v>
          </cell>
          <cell r="P511">
            <v>0</v>
          </cell>
          <cell r="Q511">
            <v>25</v>
          </cell>
        </row>
        <row r="512">
          <cell r="A512" t="str">
            <v>US35P015013201300002</v>
          </cell>
          <cell r="B512" t="str">
            <v>US35P01501</v>
          </cell>
          <cell r="C512">
            <v>3201300002</v>
          </cell>
          <cell r="D512" t="str">
            <v>O/S SERVICES</v>
          </cell>
          <cell r="E512">
            <v>25</v>
          </cell>
          <cell r="F512">
            <v>0</v>
          </cell>
          <cell r="G512">
            <v>1427</v>
          </cell>
          <cell r="H512">
            <v>381</v>
          </cell>
          <cell r="I512">
            <v>25</v>
          </cell>
          <cell r="J512">
            <v>21</v>
          </cell>
          <cell r="K512">
            <v>105</v>
          </cell>
          <cell r="L512">
            <v>0</v>
          </cell>
          <cell r="M512">
            <v>0</v>
          </cell>
          <cell r="N512">
            <v>0</v>
          </cell>
          <cell r="O512">
            <v>0</v>
          </cell>
          <cell r="P512">
            <v>0</v>
          </cell>
          <cell r="Q512">
            <v>1984</v>
          </cell>
        </row>
        <row r="513">
          <cell r="A513" t="str">
            <v>US35P015533201300002</v>
          </cell>
          <cell r="B513" t="str">
            <v>US35P01553</v>
          </cell>
          <cell r="C513">
            <v>3201300002</v>
          </cell>
          <cell r="D513" t="str">
            <v>O/S SERVICES</v>
          </cell>
          <cell r="E513">
            <v>0</v>
          </cell>
          <cell r="F513">
            <v>0</v>
          </cell>
          <cell r="G513">
            <v>0</v>
          </cell>
          <cell r="H513">
            <v>231</v>
          </cell>
          <cell r="I513">
            <v>0</v>
          </cell>
          <cell r="J513">
            <v>0</v>
          </cell>
          <cell r="K513">
            <v>0</v>
          </cell>
          <cell r="L513">
            <v>0</v>
          </cell>
          <cell r="M513">
            <v>0</v>
          </cell>
          <cell r="N513">
            <v>0</v>
          </cell>
          <cell r="O513">
            <v>0</v>
          </cell>
          <cell r="P513">
            <v>0</v>
          </cell>
          <cell r="Q513">
            <v>231</v>
          </cell>
        </row>
        <row r="514">
          <cell r="A514" t="str">
            <v>US35P015603201300002</v>
          </cell>
          <cell r="B514" t="str">
            <v>US35P01560</v>
          </cell>
          <cell r="C514">
            <v>3201300002</v>
          </cell>
          <cell r="D514" t="str">
            <v>O/S SERVICES</v>
          </cell>
          <cell r="E514">
            <v>0</v>
          </cell>
          <cell r="F514">
            <v>0</v>
          </cell>
          <cell r="G514">
            <v>0</v>
          </cell>
          <cell r="H514">
            <v>0</v>
          </cell>
          <cell r="I514">
            <v>0</v>
          </cell>
          <cell r="J514">
            <v>0</v>
          </cell>
          <cell r="K514">
            <v>0</v>
          </cell>
          <cell r="L514">
            <v>0</v>
          </cell>
          <cell r="M514">
            <v>0</v>
          </cell>
          <cell r="N514">
            <v>0</v>
          </cell>
          <cell r="O514">
            <v>0</v>
          </cell>
          <cell r="P514">
            <v>454</v>
          </cell>
          <cell r="Q514">
            <v>454</v>
          </cell>
        </row>
        <row r="515">
          <cell r="A515" t="str">
            <v>US35P015643201300002</v>
          </cell>
          <cell r="B515" t="str">
            <v>US35P01564</v>
          </cell>
          <cell r="C515">
            <v>3201300002</v>
          </cell>
          <cell r="D515" t="str">
            <v>O/S SERVICES</v>
          </cell>
          <cell r="E515">
            <v>0</v>
          </cell>
          <cell r="F515">
            <v>0</v>
          </cell>
          <cell r="G515">
            <v>0</v>
          </cell>
          <cell r="H515">
            <v>0</v>
          </cell>
          <cell r="I515">
            <v>0</v>
          </cell>
          <cell r="J515">
            <v>709</v>
          </cell>
          <cell r="K515">
            <v>0</v>
          </cell>
          <cell r="L515">
            <v>0</v>
          </cell>
          <cell r="M515">
            <v>0</v>
          </cell>
          <cell r="N515">
            <v>0</v>
          </cell>
          <cell r="O515">
            <v>0</v>
          </cell>
          <cell r="P515">
            <v>0</v>
          </cell>
          <cell r="Q515">
            <v>709</v>
          </cell>
        </row>
        <row r="516">
          <cell r="A516" t="str">
            <v>USWOP015013201300002</v>
          </cell>
          <cell r="B516" t="str">
            <v>USWOP01501</v>
          </cell>
          <cell r="C516">
            <v>3201300002</v>
          </cell>
          <cell r="D516" t="str">
            <v>O/S SERVICES</v>
          </cell>
          <cell r="E516">
            <v>0</v>
          </cell>
          <cell r="F516">
            <v>318</v>
          </cell>
          <cell r="G516">
            <v>384</v>
          </cell>
          <cell r="H516">
            <v>169</v>
          </cell>
          <cell r="I516">
            <v>-91</v>
          </cell>
          <cell r="J516">
            <v>211</v>
          </cell>
          <cell r="K516">
            <v>923</v>
          </cell>
          <cell r="L516">
            <v>177</v>
          </cell>
          <cell r="M516">
            <v>536</v>
          </cell>
          <cell r="N516">
            <v>63</v>
          </cell>
          <cell r="O516">
            <v>4593</v>
          </cell>
          <cell r="P516">
            <v>1758</v>
          </cell>
          <cell r="Q516">
            <v>9041</v>
          </cell>
        </row>
        <row r="517">
          <cell r="A517" t="str">
            <v>USWOP015503201300002</v>
          </cell>
          <cell r="B517" t="str">
            <v>USWOP01550</v>
          </cell>
          <cell r="C517">
            <v>3201300002</v>
          </cell>
          <cell r="D517" t="str">
            <v>O/S SERVICES</v>
          </cell>
          <cell r="E517">
            <v>0</v>
          </cell>
          <cell r="F517">
            <v>0</v>
          </cell>
          <cell r="G517">
            <v>0</v>
          </cell>
          <cell r="H517">
            <v>0</v>
          </cell>
          <cell r="I517">
            <v>0</v>
          </cell>
          <cell r="J517">
            <v>0</v>
          </cell>
          <cell r="K517">
            <v>180</v>
          </cell>
          <cell r="L517">
            <v>0</v>
          </cell>
          <cell r="M517">
            <v>0</v>
          </cell>
          <cell r="N517">
            <v>0</v>
          </cell>
          <cell r="O517">
            <v>0</v>
          </cell>
          <cell r="P517">
            <v>0</v>
          </cell>
          <cell r="Q517">
            <v>180</v>
          </cell>
        </row>
        <row r="518">
          <cell r="A518" t="str">
            <v>USWOP015603201300002</v>
          </cell>
          <cell r="B518" t="str">
            <v>USWOP01560</v>
          </cell>
          <cell r="C518">
            <v>3201300002</v>
          </cell>
          <cell r="D518" t="str">
            <v>O/S SERVICES</v>
          </cell>
          <cell r="E518">
            <v>0</v>
          </cell>
          <cell r="F518">
            <v>0</v>
          </cell>
          <cell r="G518">
            <v>0</v>
          </cell>
          <cell r="H518">
            <v>0</v>
          </cell>
          <cell r="I518">
            <v>0</v>
          </cell>
          <cell r="J518">
            <v>823</v>
          </cell>
          <cell r="K518">
            <v>-40</v>
          </cell>
          <cell r="L518">
            <v>3</v>
          </cell>
          <cell r="M518">
            <v>0</v>
          </cell>
          <cell r="N518">
            <v>0</v>
          </cell>
          <cell r="O518">
            <v>0</v>
          </cell>
          <cell r="P518">
            <v>0</v>
          </cell>
          <cell r="Q518">
            <v>786</v>
          </cell>
        </row>
        <row r="519">
          <cell r="A519" t="str">
            <v>USWOP015643201300002</v>
          </cell>
          <cell r="B519" t="str">
            <v>USWOP01564</v>
          </cell>
          <cell r="C519">
            <v>3201300002</v>
          </cell>
          <cell r="D519" t="str">
            <v>O/S SERVICES</v>
          </cell>
          <cell r="E519">
            <v>0</v>
          </cell>
          <cell r="F519">
            <v>0</v>
          </cell>
          <cell r="G519">
            <v>0</v>
          </cell>
          <cell r="H519">
            <v>0</v>
          </cell>
          <cell r="I519">
            <v>0</v>
          </cell>
          <cell r="J519">
            <v>1028</v>
          </cell>
          <cell r="K519">
            <v>0</v>
          </cell>
          <cell r="L519">
            <v>9</v>
          </cell>
          <cell r="M519">
            <v>0</v>
          </cell>
          <cell r="N519">
            <v>0</v>
          </cell>
          <cell r="O519">
            <v>0</v>
          </cell>
          <cell r="P519">
            <v>3364</v>
          </cell>
          <cell r="Q519">
            <v>4401</v>
          </cell>
        </row>
        <row r="520">
          <cell r="A520" t="str">
            <v>US59P015013201300002</v>
          </cell>
          <cell r="B520" t="str">
            <v>US59P01501</v>
          </cell>
          <cell r="C520">
            <v>3201300002</v>
          </cell>
          <cell r="D520" t="str">
            <v>O/S SERVICES</v>
          </cell>
          <cell r="E520">
            <v>197</v>
          </cell>
          <cell r="F520">
            <v>6</v>
          </cell>
          <cell r="G520">
            <v>66</v>
          </cell>
          <cell r="H520">
            <v>613</v>
          </cell>
          <cell r="I520">
            <v>78</v>
          </cell>
          <cell r="J520">
            <v>167</v>
          </cell>
          <cell r="K520">
            <v>312</v>
          </cell>
          <cell r="L520">
            <v>368</v>
          </cell>
          <cell r="M520">
            <v>42</v>
          </cell>
          <cell r="N520">
            <v>390</v>
          </cell>
          <cell r="O520">
            <v>2003</v>
          </cell>
          <cell r="P520">
            <v>3054</v>
          </cell>
          <cell r="Q520">
            <v>7296</v>
          </cell>
        </row>
        <row r="521">
          <cell r="A521" t="str">
            <v>US59P015503201300002</v>
          </cell>
          <cell r="B521" t="str">
            <v>US59P01550</v>
          </cell>
          <cell r="C521">
            <v>3201300002</v>
          </cell>
          <cell r="D521" t="str">
            <v>O/S SERVICES</v>
          </cell>
          <cell r="E521">
            <v>0</v>
          </cell>
          <cell r="F521">
            <v>162</v>
          </cell>
          <cell r="G521">
            <v>0</v>
          </cell>
          <cell r="H521">
            <v>0</v>
          </cell>
          <cell r="I521">
            <v>1</v>
          </cell>
          <cell r="J521">
            <v>59</v>
          </cell>
          <cell r="K521">
            <v>555</v>
          </cell>
          <cell r="L521">
            <v>0</v>
          </cell>
          <cell r="M521">
            <v>149</v>
          </cell>
          <cell r="N521">
            <v>13</v>
          </cell>
          <cell r="O521">
            <v>8313</v>
          </cell>
          <cell r="P521">
            <v>0</v>
          </cell>
          <cell r="Q521">
            <v>9252</v>
          </cell>
        </row>
        <row r="522">
          <cell r="A522" t="str">
            <v>US59P015533201300002</v>
          </cell>
          <cell r="B522" t="str">
            <v>US59P01553</v>
          </cell>
          <cell r="C522">
            <v>3201300002</v>
          </cell>
          <cell r="D522" t="str">
            <v>O/S SERVICES</v>
          </cell>
          <cell r="E522">
            <v>0</v>
          </cell>
          <cell r="F522">
            <v>0</v>
          </cell>
          <cell r="G522">
            <v>0</v>
          </cell>
          <cell r="H522">
            <v>0</v>
          </cell>
          <cell r="I522">
            <v>0</v>
          </cell>
          <cell r="J522">
            <v>0</v>
          </cell>
          <cell r="K522">
            <v>0</v>
          </cell>
          <cell r="L522">
            <v>660</v>
          </cell>
          <cell r="M522">
            <v>2730</v>
          </cell>
          <cell r="N522">
            <v>4900</v>
          </cell>
          <cell r="O522">
            <v>0</v>
          </cell>
          <cell r="P522">
            <v>0</v>
          </cell>
          <cell r="Q522">
            <v>8290</v>
          </cell>
        </row>
        <row r="523">
          <cell r="A523" t="str">
            <v>US59P015603201300002</v>
          </cell>
          <cell r="B523" t="str">
            <v>US59P01560</v>
          </cell>
          <cell r="C523">
            <v>3201300002</v>
          </cell>
          <cell r="D523" t="str">
            <v>O/S SERVICES</v>
          </cell>
          <cell r="E523">
            <v>2781</v>
          </cell>
          <cell r="F523">
            <v>78</v>
          </cell>
          <cell r="G523">
            <v>0</v>
          </cell>
          <cell r="H523">
            <v>0</v>
          </cell>
          <cell r="I523">
            <v>0</v>
          </cell>
          <cell r="J523">
            <v>0</v>
          </cell>
          <cell r="K523">
            <v>0</v>
          </cell>
          <cell r="L523">
            <v>323</v>
          </cell>
          <cell r="M523">
            <v>91</v>
          </cell>
          <cell r="N523">
            <v>283</v>
          </cell>
          <cell r="O523">
            <v>0</v>
          </cell>
          <cell r="P523">
            <v>0</v>
          </cell>
          <cell r="Q523">
            <v>3556</v>
          </cell>
        </row>
        <row r="524">
          <cell r="A524" t="str">
            <v>US59P015643201300002</v>
          </cell>
          <cell r="B524" t="str">
            <v>US59P01564</v>
          </cell>
          <cell r="C524">
            <v>3201300002</v>
          </cell>
          <cell r="D524" t="str">
            <v>O/S SERVICES</v>
          </cell>
          <cell r="E524">
            <v>0</v>
          </cell>
          <cell r="F524">
            <v>0</v>
          </cell>
          <cell r="G524">
            <v>0</v>
          </cell>
          <cell r="H524">
            <v>0</v>
          </cell>
          <cell r="I524">
            <v>0</v>
          </cell>
          <cell r="J524">
            <v>0</v>
          </cell>
          <cell r="K524">
            <v>0</v>
          </cell>
          <cell r="L524">
            <v>0</v>
          </cell>
          <cell r="M524">
            <v>26483</v>
          </cell>
          <cell r="N524">
            <v>38484</v>
          </cell>
          <cell r="O524">
            <v>0</v>
          </cell>
          <cell r="P524">
            <v>0</v>
          </cell>
          <cell r="Q524">
            <v>64967</v>
          </cell>
        </row>
        <row r="525">
          <cell r="A525" t="str">
            <v>US59P015753201300002</v>
          </cell>
          <cell r="B525" t="str">
            <v>US59P01575</v>
          </cell>
          <cell r="C525">
            <v>3201300002</v>
          </cell>
          <cell r="D525" t="str">
            <v>O/S SERVICES</v>
          </cell>
          <cell r="E525">
            <v>0</v>
          </cell>
          <cell r="F525">
            <v>779</v>
          </cell>
          <cell r="G525">
            <v>461</v>
          </cell>
          <cell r="H525">
            <v>219</v>
          </cell>
          <cell r="I525">
            <v>219</v>
          </cell>
          <cell r="J525">
            <v>219</v>
          </cell>
          <cell r="K525">
            <v>219</v>
          </cell>
          <cell r="L525">
            <v>219</v>
          </cell>
          <cell r="M525">
            <v>329</v>
          </cell>
          <cell r="N525">
            <v>219</v>
          </cell>
          <cell r="O525">
            <v>219</v>
          </cell>
          <cell r="P525">
            <v>0</v>
          </cell>
          <cell r="Q525">
            <v>3102</v>
          </cell>
        </row>
        <row r="526">
          <cell r="A526" t="str">
            <v>US59P3C5013201300002</v>
          </cell>
          <cell r="B526" t="str">
            <v>US59P3C501</v>
          </cell>
          <cell r="C526">
            <v>3201300002</v>
          </cell>
          <cell r="D526" t="str">
            <v>O/S SERVICES</v>
          </cell>
          <cell r="E526">
            <v>0</v>
          </cell>
          <cell r="F526">
            <v>0</v>
          </cell>
          <cell r="G526">
            <v>62</v>
          </cell>
          <cell r="H526">
            <v>381</v>
          </cell>
          <cell r="I526">
            <v>0</v>
          </cell>
          <cell r="J526">
            <v>0</v>
          </cell>
          <cell r="K526">
            <v>242</v>
          </cell>
          <cell r="L526">
            <v>0</v>
          </cell>
          <cell r="M526">
            <v>0</v>
          </cell>
          <cell r="N526">
            <v>0</v>
          </cell>
          <cell r="O526">
            <v>0</v>
          </cell>
          <cell r="P526">
            <v>2984</v>
          </cell>
          <cell r="Q526">
            <v>3669</v>
          </cell>
        </row>
        <row r="527">
          <cell r="A527" t="str">
            <v>US59P3C5503201300002</v>
          </cell>
          <cell r="B527" t="str">
            <v>US59P3C550</v>
          </cell>
          <cell r="C527">
            <v>3201300002</v>
          </cell>
          <cell r="D527" t="str">
            <v>O/S SERVICES</v>
          </cell>
          <cell r="E527">
            <v>0</v>
          </cell>
          <cell r="F527">
            <v>0</v>
          </cell>
          <cell r="G527">
            <v>0</v>
          </cell>
          <cell r="H527">
            <v>0</v>
          </cell>
          <cell r="I527">
            <v>0</v>
          </cell>
          <cell r="J527">
            <v>0</v>
          </cell>
          <cell r="K527">
            <v>1535</v>
          </cell>
          <cell r="L527">
            <v>250</v>
          </cell>
          <cell r="M527">
            <v>1471</v>
          </cell>
          <cell r="N527">
            <v>0</v>
          </cell>
          <cell r="O527">
            <v>4800</v>
          </cell>
          <cell r="P527">
            <v>3112</v>
          </cell>
          <cell r="Q527">
            <v>11168</v>
          </cell>
        </row>
        <row r="528">
          <cell r="A528" t="str">
            <v>US59P3C5603201300002</v>
          </cell>
          <cell r="B528" t="str">
            <v>US59P3C560</v>
          </cell>
          <cell r="C528">
            <v>3201300002</v>
          </cell>
          <cell r="D528" t="str">
            <v>O/S SERVICES</v>
          </cell>
          <cell r="E528">
            <v>156</v>
          </cell>
          <cell r="F528">
            <v>78</v>
          </cell>
          <cell r="G528">
            <v>0</v>
          </cell>
          <cell r="H528">
            <v>1736</v>
          </cell>
          <cell r="I528">
            <v>1266</v>
          </cell>
          <cell r="J528">
            <v>0</v>
          </cell>
          <cell r="K528">
            <v>0</v>
          </cell>
          <cell r="L528">
            <v>151</v>
          </cell>
          <cell r="M528">
            <v>133</v>
          </cell>
          <cell r="N528">
            <v>349</v>
          </cell>
          <cell r="O528">
            <v>352</v>
          </cell>
          <cell r="P528">
            <v>750</v>
          </cell>
          <cell r="Q528">
            <v>4971</v>
          </cell>
        </row>
        <row r="529">
          <cell r="A529" t="str">
            <v>USCRP015013201300002</v>
          </cell>
          <cell r="B529" t="str">
            <v>USCRP01501</v>
          </cell>
          <cell r="C529">
            <v>3201300002</v>
          </cell>
          <cell r="D529" t="str">
            <v>O/S SERVICES</v>
          </cell>
          <cell r="E529">
            <v>0</v>
          </cell>
          <cell r="F529">
            <v>0</v>
          </cell>
          <cell r="G529">
            <v>0</v>
          </cell>
          <cell r="H529">
            <v>150</v>
          </cell>
          <cell r="I529">
            <v>0</v>
          </cell>
          <cell r="J529">
            <v>100</v>
          </cell>
          <cell r="K529">
            <v>0</v>
          </cell>
          <cell r="L529">
            <v>0</v>
          </cell>
          <cell r="M529">
            <v>0</v>
          </cell>
          <cell r="N529">
            <v>0</v>
          </cell>
          <cell r="O529">
            <v>228</v>
          </cell>
          <cell r="P529">
            <v>-262</v>
          </cell>
          <cell r="Q529">
            <v>216</v>
          </cell>
        </row>
        <row r="530">
          <cell r="A530" t="str">
            <v>USCRP015503201300002</v>
          </cell>
          <cell r="B530" t="str">
            <v>USCRP01550</v>
          </cell>
          <cell r="C530">
            <v>3201300002</v>
          </cell>
          <cell r="D530" t="str">
            <v>O/S SERVICES</v>
          </cell>
          <cell r="E530">
            <v>0</v>
          </cell>
          <cell r="F530">
            <v>0</v>
          </cell>
          <cell r="G530">
            <v>0</v>
          </cell>
          <cell r="H530">
            <v>0</v>
          </cell>
          <cell r="I530">
            <v>0</v>
          </cell>
          <cell r="J530">
            <v>0</v>
          </cell>
          <cell r="K530">
            <v>168</v>
          </cell>
          <cell r="L530">
            <v>0</v>
          </cell>
          <cell r="M530">
            <v>0</v>
          </cell>
          <cell r="N530">
            <v>0</v>
          </cell>
          <cell r="O530">
            <v>0</v>
          </cell>
          <cell r="P530">
            <v>0</v>
          </cell>
          <cell r="Q530">
            <v>168</v>
          </cell>
        </row>
        <row r="531">
          <cell r="A531" t="str">
            <v>USCRP015533201300002</v>
          </cell>
          <cell r="B531" t="str">
            <v>USCRP01553</v>
          </cell>
          <cell r="C531">
            <v>3201300002</v>
          </cell>
          <cell r="D531" t="str">
            <v>O/S SERVICES</v>
          </cell>
          <cell r="E531">
            <v>0</v>
          </cell>
          <cell r="F531">
            <v>0</v>
          </cell>
          <cell r="G531">
            <v>0</v>
          </cell>
          <cell r="H531">
            <v>0</v>
          </cell>
          <cell r="I531">
            <v>0</v>
          </cell>
          <cell r="J531">
            <v>0</v>
          </cell>
          <cell r="K531">
            <v>84</v>
          </cell>
          <cell r="L531">
            <v>0</v>
          </cell>
          <cell r="M531">
            <v>0</v>
          </cell>
          <cell r="N531">
            <v>0</v>
          </cell>
          <cell r="O531">
            <v>0</v>
          </cell>
          <cell r="P531">
            <v>0</v>
          </cell>
          <cell r="Q531">
            <v>84</v>
          </cell>
        </row>
        <row r="532">
          <cell r="A532" t="str">
            <v>USCRP015603201300002</v>
          </cell>
          <cell r="B532" t="str">
            <v>USCRP01560</v>
          </cell>
          <cell r="C532">
            <v>3201300002</v>
          </cell>
          <cell r="D532" t="str">
            <v>O/S SERVICES</v>
          </cell>
          <cell r="E532">
            <v>0</v>
          </cell>
          <cell r="F532">
            <v>630</v>
          </cell>
          <cell r="G532">
            <v>0</v>
          </cell>
          <cell r="H532">
            <v>0</v>
          </cell>
          <cell r="I532">
            <v>0</v>
          </cell>
          <cell r="J532">
            <v>0</v>
          </cell>
          <cell r="K532">
            <v>882</v>
          </cell>
          <cell r="L532">
            <v>0</v>
          </cell>
          <cell r="M532">
            <v>0</v>
          </cell>
          <cell r="N532">
            <v>0</v>
          </cell>
          <cell r="O532">
            <v>0</v>
          </cell>
          <cell r="P532">
            <v>400</v>
          </cell>
          <cell r="Q532">
            <v>1912</v>
          </cell>
        </row>
        <row r="533">
          <cell r="A533" t="str">
            <v>USCRP015643201300002</v>
          </cell>
          <cell r="B533" t="str">
            <v>USCRP01564</v>
          </cell>
          <cell r="C533">
            <v>3201300002</v>
          </cell>
          <cell r="D533" t="str">
            <v>O/S SERVICES</v>
          </cell>
          <cell r="E533">
            <v>0</v>
          </cell>
          <cell r="F533">
            <v>0</v>
          </cell>
          <cell r="G533">
            <v>0</v>
          </cell>
          <cell r="H533">
            <v>0</v>
          </cell>
          <cell r="I533">
            <v>0</v>
          </cell>
          <cell r="J533">
            <v>0</v>
          </cell>
          <cell r="K533">
            <v>0</v>
          </cell>
          <cell r="L533">
            <v>0</v>
          </cell>
          <cell r="M533">
            <v>82</v>
          </cell>
          <cell r="N533">
            <v>18</v>
          </cell>
          <cell r="O533">
            <v>0</v>
          </cell>
          <cell r="P533">
            <v>-95</v>
          </cell>
          <cell r="Q533">
            <v>5</v>
          </cell>
        </row>
        <row r="534">
          <cell r="A534" t="str">
            <v>USCRP015853201300002</v>
          </cell>
          <cell r="B534" t="str">
            <v>USCRP01585</v>
          </cell>
          <cell r="C534">
            <v>3201300002</v>
          </cell>
          <cell r="D534" t="str">
            <v>O/S SERVICES</v>
          </cell>
          <cell r="E534">
            <v>0</v>
          </cell>
          <cell r="F534">
            <v>0</v>
          </cell>
          <cell r="G534">
            <v>72</v>
          </cell>
          <cell r="H534">
            <v>0</v>
          </cell>
          <cell r="I534">
            <v>0</v>
          </cell>
          <cell r="J534">
            <v>0</v>
          </cell>
          <cell r="K534">
            <v>0</v>
          </cell>
          <cell r="L534">
            <v>0</v>
          </cell>
          <cell r="M534">
            <v>0</v>
          </cell>
          <cell r="N534">
            <v>0</v>
          </cell>
          <cell r="O534">
            <v>0</v>
          </cell>
          <cell r="P534">
            <v>0</v>
          </cell>
          <cell r="Q534">
            <v>72</v>
          </cell>
        </row>
        <row r="535">
          <cell r="A535" t="str">
            <v>US28P015643201300003</v>
          </cell>
          <cell r="B535" t="str">
            <v>US28P01564</v>
          </cell>
          <cell r="C535">
            <v>3201300003</v>
          </cell>
          <cell r="D535" t="str">
            <v>O/S SERVICES - COLLECTION AGENCY</v>
          </cell>
          <cell r="E535">
            <v>0</v>
          </cell>
          <cell r="F535">
            <v>0</v>
          </cell>
          <cell r="G535">
            <v>0</v>
          </cell>
          <cell r="H535">
            <v>0</v>
          </cell>
          <cell r="I535">
            <v>0</v>
          </cell>
          <cell r="J535">
            <v>0</v>
          </cell>
          <cell r="K535">
            <v>0</v>
          </cell>
          <cell r="L535">
            <v>0</v>
          </cell>
          <cell r="M535">
            <v>0</v>
          </cell>
          <cell r="N535">
            <v>736</v>
          </cell>
          <cell r="O535">
            <v>-736</v>
          </cell>
          <cell r="P535">
            <v>0</v>
          </cell>
          <cell r="Q535">
            <v>0</v>
          </cell>
        </row>
        <row r="536">
          <cell r="A536" t="str">
            <v>US22P015503201300004</v>
          </cell>
          <cell r="B536" t="str">
            <v>US22P01550</v>
          </cell>
          <cell r="C536">
            <v>3201300004</v>
          </cell>
          <cell r="D536" t="str">
            <v>O/S SERVICES - COMPUTER PROGRAMMING</v>
          </cell>
          <cell r="E536">
            <v>0</v>
          </cell>
          <cell r="F536">
            <v>100</v>
          </cell>
          <cell r="G536">
            <v>0</v>
          </cell>
          <cell r="H536">
            <v>0</v>
          </cell>
          <cell r="I536">
            <v>0</v>
          </cell>
          <cell r="J536">
            <v>300</v>
          </cell>
          <cell r="K536">
            <v>0</v>
          </cell>
          <cell r="L536">
            <v>0</v>
          </cell>
          <cell r="M536">
            <v>0</v>
          </cell>
          <cell r="N536">
            <v>0</v>
          </cell>
          <cell r="O536">
            <v>0</v>
          </cell>
          <cell r="P536">
            <v>1350</v>
          </cell>
          <cell r="Q536">
            <v>1750</v>
          </cell>
        </row>
        <row r="537">
          <cell r="A537" t="str">
            <v>US35P015603201300004</v>
          </cell>
          <cell r="B537" t="str">
            <v>US35P01560</v>
          </cell>
          <cell r="C537">
            <v>3201300004</v>
          </cell>
          <cell r="D537" t="str">
            <v>O/S SERVICES - COMPUTER PROGRAMMING</v>
          </cell>
          <cell r="E537">
            <v>2325</v>
          </cell>
          <cell r="F537">
            <v>0</v>
          </cell>
          <cell r="G537">
            <v>0</v>
          </cell>
          <cell r="H537">
            <v>0</v>
          </cell>
          <cell r="I537">
            <v>0</v>
          </cell>
          <cell r="J537">
            <v>0</v>
          </cell>
          <cell r="K537">
            <v>0</v>
          </cell>
          <cell r="L537">
            <v>0</v>
          </cell>
          <cell r="M537">
            <v>0</v>
          </cell>
          <cell r="N537">
            <v>0</v>
          </cell>
          <cell r="O537">
            <v>0</v>
          </cell>
          <cell r="P537">
            <v>0</v>
          </cell>
          <cell r="Q537">
            <v>2325</v>
          </cell>
        </row>
        <row r="538">
          <cell r="A538" t="str">
            <v>USWOP015013201300004</v>
          </cell>
          <cell r="B538" t="str">
            <v>USWOP01501</v>
          </cell>
          <cell r="C538">
            <v>3201300004</v>
          </cell>
          <cell r="D538" t="str">
            <v>O/S SERVICES - COMPUTER PROGRAMMING</v>
          </cell>
          <cell r="E538">
            <v>0</v>
          </cell>
          <cell r="F538">
            <v>0</v>
          </cell>
          <cell r="G538">
            <v>0</v>
          </cell>
          <cell r="H538">
            <v>0</v>
          </cell>
          <cell r="I538">
            <v>0</v>
          </cell>
          <cell r="J538">
            <v>0</v>
          </cell>
          <cell r="K538">
            <v>0</v>
          </cell>
          <cell r="L538">
            <v>0</v>
          </cell>
          <cell r="M538">
            <v>2500</v>
          </cell>
          <cell r="N538">
            <v>0</v>
          </cell>
          <cell r="O538">
            <v>0</v>
          </cell>
          <cell r="P538">
            <v>0</v>
          </cell>
          <cell r="Q538">
            <v>2500</v>
          </cell>
        </row>
        <row r="539">
          <cell r="A539" t="str">
            <v>US59P015503201300004</v>
          </cell>
          <cell r="B539" t="str">
            <v>US59P01550</v>
          </cell>
          <cell r="C539">
            <v>3201300004</v>
          </cell>
          <cell r="D539" t="str">
            <v>O/S SERVICES - COMPUTER PROGRAMMING</v>
          </cell>
          <cell r="E539">
            <v>0</v>
          </cell>
          <cell r="F539">
            <v>0</v>
          </cell>
          <cell r="G539">
            <v>0</v>
          </cell>
          <cell r="H539">
            <v>0</v>
          </cell>
          <cell r="I539">
            <v>0</v>
          </cell>
          <cell r="J539">
            <v>0</v>
          </cell>
          <cell r="K539">
            <v>0</v>
          </cell>
          <cell r="L539">
            <v>0</v>
          </cell>
          <cell r="M539">
            <v>0</v>
          </cell>
          <cell r="N539">
            <v>0</v>
          </cell>
          <cell r="O539">
            <v>0</v>
          </cell>
          <cell r="P539">
            <v>2895</v>
          </cell>
          <cell r="Q539">
            <v>2895</v>
          </cell>
        </row>
        <row r="540">
          <cell r="A540" t="str">
            <v>US28P015013201300005</v>
          </cell>
          <cell r="B540" t="str">
            <v>US28P01501</v>
          </cell>
          <cell r="C540">
            <v>3201300005</v>
          </cell>
          <cell r="D540" t="str">
            <v>O/S SERVICES - COMPUTER LIC. &amp; SUPPORT</v>
          </cell>
          <cell r="E540">
            <v>0</v>
          </cell>
          <cell r="F540">
            <v>0</v>
          </cell>
          <cell r="G540">
            <v>0</v>
          </cell>
          <cell r="H540">
            <v>0</v>
          </cell>
          <cell r="I540">
            <v>0</v>
          </cell>
          <cell r="J540">
            <v>300</v>
          </cell>
          <cell r="K540">
            <v>1389</v>
          </cell>
          <cell r="L540">
            <v>0</v>
          </cell>
          <cell r="M540">
            <v>0</v>
          </cell>
          <cell r="N540">
            <v>0</v>
          </cell>
          <cell r="O540">
            <v>0</v>
          </cell>
          <cell r="P540">
            <v>450</v>
          </cell>
          <cell r="Q540">
            <v>2139</v>
          </cell>
        </row>
        <row r="541">
          <cell r="A541" t="str">
            <v>US28P015603201300005</v>
          </cell>
          <cell r="B541" t="str">
            <v>US28P01560</v>
          </cell>
          <cell r="C541">
            <v>3201300005</v>
          </cell>
          <cell r="D541" t="str">
            <v>O/S SERVICES - COMPUTER LIC. &amp; SUPPORT</v>
          </cell>
          <cell r="E541">
            <v>0</v>
          </cell>
          <cell r="F541">
            <v>0</v>
          </cell>
          <cell r="G541">
            <v>2119</v>
          </cell>
          <cell r="H541">
            <v>0</v>
          </cell>
          <cell r="I541">
            <v>0</v>
          </cell>
          <cell r="J541">
            <v>0</v>
          </cell>
          <cell r="K541">
            <v>0</v>
          </cell>
          <cell r="L541">
            <v>0</v>
          </cell>
          <cell r="M541">
            <v>0</v>
          </cell>
          <cell r="N541">
            <v>0</v>
          </cell>
          <cell r="O541">
            <v>0</v>
          </cell>
          <cell r="P541">
            <v>0</v>
          </cell>
          <cell r="Q541">
            <v>2119</v>
          </cell>
        </row>
        <row r="542">
          <cell r="A542" t="str">
            <v>US35P015013201300005</v>
          </cell>
          <cell r="B542" t="str">
            <v>US35P01501</v>
          </cell>
          <cell r="C542">
            <v>3201300005</v>
          </cell>
          <cell r="D542" t="str">
            <v>O/S SERVICES - COMPUTER LIC. &amp; SUPPORT</v>
          </cell>
          <cell r="E542">
            <v>0</v>
          </cell>
          <cell r="F542">
            <v>0</v>
          </cell>
          <cell r="G542">
            <v>0</v>
          </cell>
          <cell r="H542">
            <v>0</v>
          </cell>
          <cell r="I542">
            <v>3050</v>
          </cell>
          <cell r="J542">
            <v>0</v>
          </cell>
          <cell r="K542">
            <v>730</v>
          </cell>
          <cell r="L542">
            <v>0</v>
          </cell>
          <cell r="M542">
            <v>0</v>
          </cell>
          <cell r="N542">
            <v>0</v>
          </cell>
          <cell r="O542">
            <v>1082</v>
          </cell>
          <cell r="P542">
            <v>0</v>
          </cell>
          <cell r="Q542">
            <v>4862</v>
          </cell>
        </row>
        <row r="543">
          <cell r="A543" t="str">
            <v>USWOP015013201300005</v>
          </cell>
          <cell r="B543" t="str">
            <v>USWOP01501</v>
          </cell>
          <cell r="C543">
            <v>3201300005</v>
          </cell>
          <cell r="D543" t="str">
            <v>O/S SERVICES - COMPUTER LIC. &amp; SUPPORT</v>
          </cell>
          <cell r="E543">
            <v>0</v>
          </cell>
          <cell r="F543">
            <v>0</v>
          </cell>
          <cell r="G543">
            <v>0</v>
          </cell>
          <cell r="H543">
            <v>0</v>
          </cell>
          <cell r="I543">
            <v>0</v>
          </cell>
          <cell r="J543">
            <v>0</v>
          </cell>
          <cell r="K543">
            <v>0</v>
          </cell>
          <cell r="L543">
            <v>0</v>
          </cell>
          <cell r="M543">
            <v>0</v>
          </cell>
          <cell r="N543">
            <v>1610</v>
          </cell>
          <cell r="O543">
            <v>0</v>
          </cell>
          <cell r="P543">
            <v>2605</v>
          </cell>
          <cell r="Q543">
            <v>4215</v>
          </cell>
        </row>
        <row r="544">
          <cell r="A544" t="str">
            <v>USWOP015603201300005</v>
          </cell>
          <cell r="B544" t="str">
            <v>USWOP01560</v>
          </cell>
          <cell r="C544">
            <v>3201300005</v>
          </cell>
          <cell r="D544" t="str">
            <v>O/S SERVICES - COMPUTER LIC. &amp; SUPPORT</v>
          </cell>
          <cell r="E544">
            <v>0</v>
          </cell>
          <cell r="F544">
            <v>0</v>
          </cell>
          <cell r="G544">
            <v>0</v>
          </cell>
          <cell r="H544">
            <v>50</v>
          </cell>
          <cell r="I544">
            <v>0</v>
          </cell>
          <cell r="J544">
            <v>0</v>
          </cell>
          <cell r="K544">
            <v>0</v>
          </cell>
          <cell r="L544">
            <v>0</v>
          </cell>
          <cell r="M544">
            <v>17982</v>
          </cell>
          <cell r="N544">
            <v>5814</v>
          </cell>
          <cell r="O544">
            <v>0</v>
          </cell>
          <cell r="P544">
            <v>0</v>
          </cell>
          <cell r="Q544">
            <v>23846</v>
          </cell>
        </row>
        <row r="545">
          <cell r="A545" t="str">
            <v>USWOP015643201300005</v>
          </cell>
          <cell r="B545" t="str">
            <v>USWOP01564</v>
          </cell>
          <cell r="C545">
            <v>3201300005</v>
          </cell>
          <cell r="D545" t="str">
            <v>O/S SERVICES - COMPUTER LIC. &amp; SUPPORT</v>
          </cell>
          <cell r="E545">
            <v>0</v>
          </cell>
          <cell r="F545">
            <v>0</v>
          </cell>
          <cell r="G545">
            <v>0</v>
          </cell>
          <cell r="H545">
            <v>0</v>
          </cell>
          <cell r="I545">
            <v>0</v>
          </cell>
          <cell r="J545">
            <v>0</v>
          </cell>
          <cell r="K545">
            <v>0</v>
          </cell>
          <cell r="L545">
            <v>2604</v>
          </cell>
          <cell r="M545">
            <v>0</v>
          </cell>
          <cell r="N545">
            <v>0</v>
          </cell>
          <cell r="O545">
            <v>0</v>
          </cell>
          <cell r="P545">
            <v>0</v>
          </cell>
          <cell r="Q545">
            <v>2604</v>
          </cell>
        </row>
        <row r="546">
          <cell r="A546" t="str">
            <v>US59P015013201300005</v>
          </cell>
          <cell r="B546" t="str">
            <v>US59P01501</v>
          </cell>
          <cell r="C546">
            <v>3201300005</v>
          </cell>
          <cell r="D546" t="str">
            <v>O/S SERVICES - COMPUTER LIC. &amp; SUPPORT</v>
          </cell>
          <cell r="E546">
            <v>0</v>
          </cell>
          <cell r="F546">
            <v>0</v>
          </cell>
          <cell r="G546">
            <v>0</v>
          </cell>
          <cell r="H546">
            <v>0</v>
          </cell>
          <cell r="I546">
            <v>0</v>
          </cell>
          <cell r="J546">
            <v>0</v>
          </cell>
          <cell r="K546">
            <v>0</v>
          </cell>
          <cell r="L546">
            <v>0</v>
          </cell>
          <cell r="M546">
            <v>0</v>
          </cell>
          <cell r="N546">
            <v>0</v>
          </cell>
          <cell r="O546">
            <v>0</v>
          </cell>
          <cell r="P546">
            <v>104</v>
          </cell>
          <cell r="Q546">
            <v>104</v>
          </cell>
        </row>
        <row r="547">
          <cell r="A547" t="str">
            <v>US59P015603201300005</v>
          </cell>
          <cell r="B547" t="str">
            <v>US59P01560</v>
          </cell>
          <cell r="C547">
            <v>3201300005</v>
          </cell>
          <cell r="D547" t="str">
            <v>O/S SERVICES - COMPUTER LIC. &amp; SUPPORT</v>
          </cell>
          <cell r="E547">
            <v>0</v>
          </cell>
          <cell r="F547">
            <v>0</v>
          </cell>
          <cell r="G547">
            <v>0</v>
          </cell>
          <cell r="H547">
            <v>0</v>
          </cell>
          <cell r="I547">
            <v>0</v>
          </cell>
          <cell r="J547">
            <v>0</v>
          </cell>
          <cell r="K547">
            <v>0</v>
          </cell>
          <cell r="L547">
            <v>0</v>
          </cell>
          <cell r="M547">
            <v>0</v>
          </cell>
          <cell r="N547">
            <v>513</v>
          </cell>
          <cell r="O547">
            <v>0</v>
          </cell>
          <cell r="P547">
            <v>0</v>
          </cell>
          <cell r="Q547">
            <v>513</v>
          </cell>
        </row>
        <row r="548">
          <cell r="A548" t="str">
            <v>USCRP015013201300005</v>
          </cell>
          <cell r="B548" t="str">
            <v>USCRP01501</v>
          </cell>
          <cell r="C548">
            <v>3201300005</v>
          </cell>
          <cell r="D548" t="str">
            <v>O/S SERVICES - COMPUTER LIC. &amp; SUPPORT</v>
          </cell>
          <cell r="E548">
            <v>37</v>
          </cell>
          <cell r="F548">
            <v>5616</v>
          </cell>
          <cell r="G548">
            <v>0</v>
          </cell>
          <cell r="H548">
            <v>0</v>
          </cell>
          <cell r="I548">
            <v>0</v>
          </cell>
          <cell r="J548">
            <v>268</v>
          </cell>
          <cell r="K548">
            <v>0</v>
          </cell>
          <cell r="L548">
            <v>0</v>
          </cell>
          <cell r="M548">
            <v>0</v>
          </cell>
          <cell r="N548">
            <v>0</v>
          </cell>
          <cell r="O548">
            <v>0</v>
          </cell>
          <cell r="P548">
            <v>0</v>
          </cell>
          <cell r="Q548">
            <v>5921</v>
          </cell>
        </row>
        <row r="549">
          <cell r="A549" t="str">
            <v>USCRP015503201300005</v>
          </cell>
          <cell r="B549" t="str">
            <v>USCRP01550</v>
          </cell>
          <cell r="C549">
            <v>3201300005</v>
          </cell>
          <cell r="D549" t="str">
            <v>O/S SERVICES - COMPUTER LIC. &amp; SUPPORT</v>
          </cell>
          <cell r="E549">
            <v>0</v>
          </cell>
          <cell r="F549">
            <v>0</v>
          </cell>
          <cell r="G549">
            <v>0</v>
          </cell>
          <cell r="H549">
            <v>0</v>
          </cell>
          <cell r="I549">
            <v>0</v>
          </cell>
          <cell r="J549">
            <v>0</v>
          </cell>
          <cell r="K549">
            <v>0</v>
          </cell>
          <cell r="L549">
            <v>0</v>
          </cell>
          <cell r="M549">
            <v>0</v>
          </cell>
          <cell r="N549">
            <v>0</v>
          </cell>
          <cell r="O549">
            <v>0</v>
          </cell>
          <cell r="P549">
            <v>482</v>
          </cell>
          <cell r="Q549">
            <v>482</v>
          </cell>
        </row>
        <row r="550">
          <cell r="A550" t="str">
            <v>USWOP015643201300006</v>
          </cell>
          <cell r="B550" t="str">
            <v>USWOP01564</v>
          </cell>
          <cell r="C550">
            <v>3201300006</v>
          </cell>
          <cell r="D550" t="str">
            <v>O/S SERVICES - CONSULTING</v>
          </cell>
          <cell r="E550">
            <v>0</v>
          </cell>
          <cell r="F550">
            <v>0</v>
          </cell>
          <cell r="G550">
            <v>0</v>
          </cell>
          <cell r="H550">
            <v>0</v>
          </cell>
          <cell r="I550">
            <v>0</v>
          </cell>
          <cell r="J550">
            <v>0</v>
          </cell>
          <cell r="K550">
            <v>0</v>
          </cell>
          <cell r="L550">
            <v>0</v>
          </cell>
          <cell r="M550">
            <v>0</v>
          </cell>
          <cell r="N550">
            <v>245</v>
          </cell>
          <cell r="O550">
            <v>0</v>
          </cell>
          <cell r="P550">
            <v>0</v>
          </cell>
          <cell r="Q550">
            <v>245</v>
          </cell>
        </row>
        <row r="551">
          <cell r="A551" t="str">
            <v>USWOP015013201300007</v>
          </cell>
          <cell r="B551" t="str">
            <v>USWOP01501</v>
          </cell>
          <cell r="C551">
            <v>3201300007</v>
          </cell>
          <cell r="D551" t="str">
            <v>O/S SERVICES - LEGAL</v>
          </cell>
          <cell r="E551">
            <v>0</v>
          </cell>
          <cell r="F551">
            <v>19143</v>
          </cell>
          <cell r="G551">
            <v>0</v>
          </cell>
          <cell r="H551">
            <v>0</v>
          </cell>
          <cell r="I551">
            <v>0</v>
          </cell>
          <cell r="J551">
            <v>0</v>
          </cell>
          <cell r="K551">
            <v>0</v>
          </cell>
          <cell r="L551">
            <v>0</v>
          </cell>
          <cell r="M551">
            <v>0</v>
          </cell>
          <cell r="N551">
            <v>0</v>
          </cell>
          <cell r="O551">
            <v>0</v>
          </cell>
          <cell r="P551">
            <v>0</v>
          </cell>
          <cell r="Q551">
            <v>19143</v>
          </cell>
        </row>
        <row r="552">
          <cell r="A552" t="str">
            <v>US22P015533201300012</v>
          </cell>
          <cell r="B552" t="str">
            <v>US22P01553</v>
          </cell>
          <cell r="C552">
            <v>3201300012</v>
          </cell>
          <cell r="D552" t="str">
            <v>HIRED PERSONNEL THIRD PARTY - ROUGING</v>
          </cell>
          <cell r="E552">
            <v>0</v>
          </cell>
          <cell r="F552">
            <v>0</v>
          </cell>
          <cell r="G552">
            <v>0</v>
          </cell>
          <cell r="H552">
            <v>12000</v>
          </cell>
          <cell r="I552">
            <v>0</v>
          </cell>
          <cell r="J552">
            <v>0</v>
          </cell>
          <cell r="K552">
            <v>0</v>
          </cell>
          <cell r="L552">
            <v>0</v>
          </cell>
          <cell r="M552">
            <v>0</v>
          </cell>
          <cell r="N552">
            <v>0</v>
          </cell>
          <cell r="O552">
            <v>0</v>
          </cell>
          <cell r="P552">
            <v>0</v>
          </cell>
          <cell r="Q552">
            <v>12000</v>
          </cell>
        </row>
        <row r="553">
          <cell r="A553" t="str">
            <v>US28P015503201300012</v>
          </cell>
          <cell r="B553" t="str">
            <v>US28P01550</v>
          </cell>
          <cell r="C553">
            <v>3201300012</v>
          </cell>
          <cell r="D553" t="str">
            <v>HIRED PERSONNEL THIRD PARTY - ROUGING</v>
          </cell>
          <cell r="E553">
            <v>0</v>
          </cell>
          <cell r="F553">
            <v>0</v>
          </cell>
          <cell r="G553">
            <v>0</v>
          </cell>
          <cell r="H553">
            <v>0</v>
          </cell>
          <cell r="I553">
            <v>0</v>
          </cell>
          <cell r="J553">
            <v>40000</v>
          </cell>
          <cell r="K553">
            <v>79914</v>
          </cell>
          <cell r="L553">
            <v>10490</v>
          </cell>
          <cell r="M553">
            <v>0</v>
          </cell>
          <cell r="N553">
            <v>0</v>
          </cell>
          <cell r="O553">
            <v>0</v>
          </cell>
          <cell r="P553">
            <v>0</v>
          </cell>
          <cell r="Q553">
            <v>130404</v>
          </cell>
        </row>
        <row r="554">
          <cell r="A554" t="str">
            <v>US28P015533201300012</v>
          </cell>
          <cell r="B554" t="str">
            <v>US28P01553</v>
          </cell>
          <cell r="C554">
            <v>3201300012</v>
          </cell>
          <cell r="D554" t="str">
            <v>HIRED PERSONNEL THIRD PARTY - ROUGING</v>
          </cell>
          <cell r="E554">
            <v>0</v>
          </cell>
          <cell r="F554">
            <v>0</v>
          </cell>
          <cell r="G554">
            <v>30000</v>
          </cell>
          <cell r="H554">
            <v>0</v>
          </cell>
          <cell r="I554">
            <v>0</v>
          </cell>
          <cell r="J554">
            <v>15000</v>
          </cell>
          <cell r="K554">
            <v>638764</v>
          </cell>
          <cell r="L554">
            <v>84820</v>
          </cell>
          <cell r="M554">
            <v>0</v>
          </cell>
          <cell r="N554">
            <v>0</v>
          </cell>
          <cell r="O554">
            <v>0</v>
          </cell>
          <cell r="P554">
            <v>0</v>
          </cell>
          <cell r="Q554">
            <v>768584</v>
          </cell>
        </row>
        <row r="555">
          <cell r="A555" t="str">
            <v>USWOP015503201300012</v>
          </cell>
          <cell r="B555" t="str">
            <v>USWOP01550</v>
          </cell>
          <cell r="C555">
            <v>3201300012</v>
          </cell>
          <cell r="D555" t="str">
            <v>HIRED PERSONNEL THIRD PARTY - ROUGING</v>
          </cell>
          <cell r="E555">
            <v>0</v>
          </cell>
          <cell r="F555">
            <v>0</v>
          </cell>
          <cell r="G555">
            <v>0</v>
          </cell>
          <cell r="H555">
            <v>0</v>
          </cell>
          <cell r="I555">
            <v>0</v>
          </cell>
          <cell r="J555">
            <v>0</v>
          </cell>
          <cell r="K555">
            <v>105549</v>
          </cell>
          <cell r="L555">
            <v>13097</v>
          </cell>
          <cell r="M555">
            <v>0</v>
          </cell>
          <cell r="N555">
            <v>0</v>
          </cell>
          <cell r="O555">
            <v>0</v>
          </cell>
          <cell r="P555">
            <v>0</v>
          </cell>
          <cell r="Q555">
            <v>118646</v>
          </cell>
        </row>
        <row r="556">
          <cell r="A556" t="str">
            <v>USWOP015533201300012</v>
          </cell>
          <cell r="B556" t="str">
            <v>USWOP01553</v>
          </cell>
          <cell r="C556">
            <v>3201300012</v>
          </cell>
          <cell r="D556" t="str">
            <v>HIRED PERSONNEL THIRD PARTY - ROUGING</v>
          </cell>
          <cell r="E556">
            <v>0</v>
          </cell>
          <cell r="F556">
            <v>0</v>
          </cell>
          <cell r="G556">
            <v>0</v>
          </cell>
          <cell r="H556">
            <v>0</v>
          </cell>
          <cell r="I556">
            <v>0</v>
          </cell>
          <cell r="J556">
            <v>0</v>
          </cell>
          <cell r="K556">
            <v>543974</v>
          </cell>
          <cell r="L556">
            <v>667613</v>
          </cell>
          <cell r="M556">
            <v>0</v>
          </cell>
          <cell r="N556">
            <v>0</v>
          </cell>
          <cell r="O556">
            <v>0</v>
          </cell>
          <cell r="P556">
            <v>0</v>
          </cell>
          <cell r="Q556">
            <v>1211587</v>
          </cell>
        </row>
        <row r="557">
          <cell r="A557" t="str">
            <v>US59P015503201300012</v>
          </cell>
          <cell r="B557" t="str">
            <v>US59P01550</v>
          </cell>
          <cell r="C557">
            <v>3201300012</v>
          </cell>
          <cell r="D557" t="str">
            <v>HIRED PERSONNEL THIRD PARTY - ROUGING</v>
          </cell>
          <cell r="E557">
            <v>0</v>
          </cell>
          <cell r="F557">
            <v>0</v>
          </cell>
          <cell r="G557">
            <v>0</v>
          </cell>
          <cell r="H557">
            <v>0</v>
          </cell>
          <cell r="I557">
            <v>0</v>
          </cell>
          <cell r="J557">
            <v>0</v>
          </cell>
          <cell r="K557">
            <v>94609</v>
          </cell>
          <cell r="L557">
            <v>0</v>
          </cell>
          <cell r="M557">
            <v>0</v>
          </cell>
          <cell r="N557">
            <v>0</v>
          </cell>
          <cell r="O557">
            <v>0</v>
          </cell>
          <cell r="P557">
            <v>0</v>
          </cell>
          <cell r="Q557">
            <v>94609</v>
          </cell>
        </row>
        <row r="558">
          <cell r="A558" t="str">
            <v>US59P015533201300012</v>
          </cell>
          <cell r="B558" t="str">
            <v>US59P01553</v>
          </cell>
          <cell r="C558">
            <v>3201300012</v>
          </cell>
          <cell r="D558" t="str">
            <v>HIRED PERSONNEL THIRD PARTY - ROUGING</v>
          </cell>
          <cell r="E558">
            <v>0</v>
          </cell>
          <cell r="F558">
            <v>0</v>
          </cell>
          <cell r="G558">
            <v>0</v>
          </cell>
          <cell r="H558">
            <v>7500</v>
          </cell>
          <cell r="I558">
            <v>0</v>
          </cell>
          <cell r="J558">
            <v>0</v>
          </cell>
          <cell r="K558">
            <v>0</v>
          </cell>
          <cell r="L558">
            <v>0</v>
          </cell>
          <cell r="M558">
            <v>0</v>
          </cell>
          <cell r="N558">
            <v>0</v>
          </cell>
          <cell r="O558">
            <v>0</v>
          </cell>
          <cell r="P558">
            <v>0</v>
          </cell>
          <cell r="Q558">
            <v>7500</v>
          </cell>
        </row>
        <row r="559">
          <cell r="A559" t="str">
            <v>USWOP015603201400000</v>
          </cell>
          <cell r="B559" t="str">
            <v>USWOP01560</v>
          </cell>
          <cell r="C559">
            <v>3201400000</v>
          </cell>
          <cell r="D559" t="str">
            <v>MAINTENANCE OF CONSTRUCTIONS</v>
          </cell>
          <cell r="E559">
            <v>0</v>
          </cell>
          <cell r="F559">
            <v>0</v>
          </cell>
          <cell r="G559">
            <v>0</v>
          </cell>
          <cell r="H559">
            <v>0</v>
          </cell>
          <cell r="I559">
            <v>0</v>
          </cell>
          <cell r="J559">
            <v>0</v>
          </cell>
          <cell r="K559">
            <v>0</v>
          </cell>
          <cell r="L559">
            <v>0</v>
          </cell>
          <cell r="M559">
            <v>0</v>
          </cell>
          <cell r="N559">
            <v>0</v>
          </cell>
          <cell r="O559">
            <v>0</v>
          </cell>
          <cell r="P559">
            <v>4071</v>
          </cell>
          <cell r="Q559">
            <v>4071</v>
          </cell>
        </row>
        <row r="560">
          <cell r="A560" t="str">
            <v>USWOP015643201400000</v>
          </cell>
          <cell r="B560" t="str">
            <v>USWOP01564</v>
          </cell>
          <cell r="C560">
            <v>3201400000</v>
          </cell>
          <cell r="D560" t="str">
            <v>MAINTENANCE OF CONSTRUCTIONS</v>
          </cell>
          <cell r="E560">
            <v>0</v>
          </cell>
          <cell r="F560">
            <v>0</v>
          </cell>
          <cell r="G560">
            <v>0</v>
          </cell>
          <cell r="H560">
            <v>0</v>
          </cell>
          <cell r="I560">
            <v>0</v>
          </cell>
          <cell r="J560">
            <v>0</v>
          </cell>
          <cell r="K560">
            <v>0</v>
          </cell>
          <cell r="L560">
            <v>0</v>
          </cell>
          <cell r="M560">
            <v>0</v>
          </cell>
          <cell r="N560">
            <v>0</v>
          </cell>
          <cell r="O560">
            <v>0</v>
          </cell>
          <cell r="P560">
            <v>893</v>
          </cell>
          <cell r="Q560">
            <v>893</v>
          </cell>
        </row>
        <row r="561">
          <cell r="A561" t="str">
            <v>US59P3C5603201400000</v>
          </cell>
          <cell r="B561" t="str">
            <v>US59P3C560</v>
          </cell>
          <cell r="C561">
            <v>3201400000</v>
          </cell>
          <cell r="D561" t="str">
            <v>MAINTENANCE OF CONSTRUCTIONS</v>
          </cell>
          <cell r="E561">
            <v>0</v>
          </cell>
          <cell r="F561">
            <v>0</v>
          </cell>
          <cell r="G561">
            <v>0</v>
          </cell>
          <cell r="H561">
            <v>0</v>
          </cell>
          <cell r="I561">
            <v>0</v>
          </cell>
          <cell r="J561">
            <v>0</v>
          </cell>
          <cell r="K561">
            <v>0</v>
          </cell>
          <cell r="L561">
            <v>0</v>
          </cell>
          <cell r="M561">
            <v>0</v>
          </cell>
          <cell r="N561">
            <v>0</v>
          </cell>
          <cell r="O561">
            <v>2464</v>
          </cell>
          <cell r="P561">
            <v>26560</v>
          </cell>
          <cell r="Q561">
            <v>29024</v>
          </cell>
        </row>
        <row r="562">
          <cell r="A562" t="str">
            <v>US22P015013201400002</v>
          </cell>
          <cell r="B562" t="str">
            <v>US22P01501</v>
          </cell>
          <cell r="C562">
            <v>3201400002</v>
          </cell>
          <cell r="D562" t="str">
            <v>MAINTENANCE OF VEHICLES</v>
          </cell>
          <cell r="E562">
            <v>28</v>
          </cell>
          <cell r="F562">
            <v>98</v>
          </cell>
          <cell r="G562">
            <v>1039</v>
          </cell>
          <cell r="H562">
            <v>1768</v>
          </cell>
          <cell r="I562">
            <v>622</v>
          </cell>
          <cell r="J562">
            <v>646</v>
          </cell>
          <cell r="K562">
            <v>592</v>
          </cell>
          <cell r="L562">
            <v>74</v>
          </cell>
          <cell r="M562">
            <v>207</v>
          </cell>
          <cell r="N562">
            <v>164</v>
          </cell>
          <cell r="O562">
            <v>41</v>
          </cell>
          <cell r="P562">
            <v>68</v>
          </cell>
          <cell r="Q562">
            <v>5347</v>
          </cell>
        </row>
        <row r="563">
          <cell r="A563" t="str">
            <v>US22P015503201400002</v>
          </cell>
          <cell r="B563" t="str">
            <v>US22P01550</v>
          </cell>
          <cell r="C563">
            <v>3201400002</v>
          </cell>
          <cell r="D563" t="str">
            <v>MAINTENANCE OF VEHICLES</v>
          </cell>
          <cell r="E563">
            <v>1326</v>
          </cell>
          <cell r="F563">
            <v>624</v>
          </cell>
          <cell r="G563">
            <v>204</v>
          </cell>
          <cell r="H563">
            <v>2287</v>
          </cell>
          <cell r="I563">
            <v>1397</v>
          </cell>
          <cell r="J563">
            <v>5369</v>
          </cell>
          <cell r="K563">
            <v>2232</v>
          </cell>
          <cell r="L563">
            <v>11099</v>
          </cell>
          <cell r="M563">
            <v>1311</v>
          </cell>
          <cell r="N563">
            <v>3116</v>
          </cell>
          <cell r="O563">
            <v>6511</v>
          </cell>
          <cell r="P563">
            <v>630</v>
          </cell>
          <cell r="Q563">
            <v>36106</v>
          </cell>
        </row>
        <row r="564">
          <cell r="A564" t="str">
            <v>US22P015533201400002</v>
          </cell>
          <cell r="B564" t="str">
            <v>US22P01553</v>
          </cell>
          <cell r="C564">
            <v>3201400002</v>
          </cell>
          <cell r="D564" t="str">
            <v>MAINTENANCE OF VEHICLES</v>
          </cell>
          <cell r="E564">
            <v>0</v>
          </cell>
          <cell r="F564">
            <v>0</v>
          </cell>
          <cell r="G564">
            <v>0</v>
          </cell>
          <cell r="H564">
            <v>0</v>
          </cell>
          <cell r="I564">
            <v>0</v>
          </cell>
          <cell r="J564">
            <v>523</v>
          </cell>
          <cell r="K564">
            <v>808</v>
          </cell>
          <cell r="L564">
            <v>3057</v>
          </cell>
          <cell r="M564">
            <v>1675</v>
          </cell>
          <cell r="N564">
            <v>0</v>
          </cell>
          <cell r="O564">
            <v>897</v>
          </cell>
          <cell r="P564">
            <v>0</v>
          </cell>
          <cell r="Q564">
            <v>6960</v>
          </cell>
        </row>
        <row r="565">
          <cell r="A565" t="str">
            <v>US22P015643201400002</v>
          </cell>
          <cell r="B565" t="str">
            <v>US22P01564</v>
          </cell>
          <cell r="C565">
            <v>3201400002</v>
          </cell>
          <cell r="D565" t="str">
            <v>MAINTENANCE OF VEHICLES</v>
          </cell>
          <cell r="E565">
            <v>0</v>
          </cell>
          <cell r="F565">
            <v>136</v>
          </cell>
          <cell r="G565">
            <v>0</v>
          </cell>
          <cell r="H565">
            <v>0</v>
          </cell>
          <cell r="I565">
            <v>0</v>
          </cell>
          <cell r="J565">
            <v>404</v>
          </cell>
          <cell r="K565">
            <v>1628</v>
          </cell>
          <cell r="L565">
            <v>885</v>
          </cell>
          <cell r="M565">
            <v>156</v>
          </cell>
          <cell r="N565">
            <v>1061</v>
          </cell>
          <cell r="O565">
            <v>126</v>
          </cell>
          <cell r="P565">
            <v>465</v>
          </cell>
          <cell r="Q565">
            <v>4861</v>
          </cell>
        </row>
        <row r="566">
          <cell r="A566" t="str">
            <v>US22P015753201400002</v>
          </cell>
          <cell r="B566" t="str">
            <v>US22P01575</v>
          </cell>
          <cell r="C566">
            <v>3201400002</v>
          </cell>
          <cell r="D566" t="str">
            <v>MAINTENANCE OF VEHICLES</v>
          </cell>
          <cell r="E566">
            <v>46</v>
          </cell>
          <cell r="F566">
            <v>0</v>
          </cell>
          <cell r="G566">
            <v>0</v>
          </cell>
          <cell r="H566">
            <v>0</v>
          </cell>
          <cell r="I566">
            <v>0</v>
          </cell>
          <cell r="J566">
            <v>0</v>
          </cell>
          <cell r="K566">
            <v>0</v>
          </cell>
          <cell r="L566">
            <v>0</v>
          </cell>
          <cell r="M566">
            <v>0</v>
          </cell>
          <cell r="N566">
            <v>0</v>
          </cell>
          <cell r="O566">
            <v>0</v>
          </cell>
          <cell r="P566">
            <v>0</v>
          </cell>
          <cell r="Q566">
            <v>46</v>
          </cell>
        </row>
        <row r="567">
          <cell r="A567" t="str">
            <v>US28P015013201400002</v>
          </cell>
          <cell r="B567" t="str">
            <v>US28P01501</v>
          </cell>
          <cell r="C567">
            <v>3201400002</v>
          </cell>
          <cell r="D567" t="str">
            <v>MAINTENANCE OF VEHICLES</v>
          </cell>
          <cell r="E567">
            <v>0</v>
          </cell>
          <cell r="F567">
            <v>121</v>
          </cell>
          <cell r="G567">
            <v>1216</v>
          </cell>
          <cell r="H567">
            <v>2022</v>
          </cell>
          <cell r="I567">
            <v>4196</v>
          </cell>
          <cell r="J567">
            <v>204</v>
          </cell>
          <cell r="K567">
            <v>585</v>
          </cell>
          <cell r="L567">
            <v>40</v>
          </cell>
          <cell r="M567">
            <v>678</v>
          </cell>
          <cell r="N567">
            <v>82</v>
          </cell>
          <cell r="O567">
            <v>1317</v>
          </cell>
          <cell r="P567">
            <v>141</v>
          </cell>
          <cell r="Q567">
            <v>10602</v>
          </cell>
        </row>
        <row r="568">
          <cell r="A568" t="str">
            <v>US28P015503201400002</v>
          </cell>
          <cell r="B568" t="str">
            <v>US28P01550</v>
          </cell>
          <cell r="C568">
            <v>3201400002</v>
          </cell>
          <cell r="D568" t="str">
            <v>MAINTENANCE OF VEHICLES</v>
          </cell>
          <cell r="E568">
            <v>24</v>
          </cell>
          <cell r="F568">
            <v>1719</v>
          </cell>
          <cell r="G568">
            <v>347</v>
          </cell>
          <cell r="H568">
            <v>59</v>
          </cell>
          <cell r="I568">
            <v>260</v>
          </cell>
          <cell r="J568">
            <v>201</v>
          </cell>
          <cell r="K568">
            <v>0</v>
          </cell>
          <cell r="L568">
            <v>65</v>
          </cell>
          <cell r="M568">
            <v>70</v>
          </cell>
          <cell r="N568">
            <v>128</v>
          </cell>
          <cell r="O568">
            <v>1606</v>
          </cell>
          <cell r="P568">
            <v>232</v>
          </cell>
          <cell r="Q568">
            <v>4711</v>
          </cell>
        </row>
        <row r="569">
          <cell r="A569" t="str">
            <v>US28P015533201400002</v>
          </cell>
          <cell r="B569" t="str">
            <v>US28P01553</v>
          </cell>
          <cell r="C569">
            <v>3201400002</v>
          </cell>
          <cell r="D569" t="str">
            <v>MAINTENANCE OF VEHICLES</v>
          </cell>
          <cell r="E569">
            <v>37</v>
          </cell>
          <cell r="F569">
            <v>418</v>
          </cell>
          <cell r="G569">
            <v>233</v>
          </cell>
          <cell r="H569">
            <v>52</v>
          </cell>
          <cell r="I569">
            <v>206</v>
          </cell>
          <cell r="J569">
            <v>920</v>
          </cell>
          <cell r="K569">
            <v>1173</v>
          </cell>
          <cell r="L569">
            <v>-313</v>
          </cell>
          <cell r="M569">
            <v>9</v>
          </cell>
          <cell r="N569">
            <v>0</v>
          </cell>
          <cell r="O569">
            <v>0</v>
          </cell>
          <cell r="P569">
            <v>56</v>
          </cell>
          <cell r="Q569">
            <v>2791</v>
          </cell>
        </row>
        <row r="570">
          <cell r="A570" t="str">
            <v>US28P015603201400002</v>
          </cell>
          <cell r="B570" t="str">
            <v>US28P01560</v>
          </cell>
          <cell r="C570">
            <v>3201400002</v>
          </cell>
          <cell r="D570" t="str">
            <v>MAINTENANCE OF VEHICLES</v>
          </cell>
          <cell r="E570">
            <v>1346</v>
          </cell>
          <cell r="F570">
            <v>368</v>
          </cell>
          <cell r="G570">
            <v>131</v>
          </cell>
          <cell r="H570">
            <v>0</v>
          </cell>
          <cell r="I570">
            <v>0</v>
          </cell>
          <cell r="J570">
            <v>26</v>
          </cell>
          <cell r="K570">
            <v>0</v>
          </cell>
          <cell r="L570">
            <v>0</v>
          </cell>
          <cell r="M570">
            <v>0</v>
          </cell>
          <cell r="N570">
            <v>27</v>
          </cell>
          <cell r="O570">
            <v>1229</v>
          </cell>
          <cell r="P570">
            <v>0</v>
          </cell>
          <cell r="Q570">
            <v>3127</v>
          </cell>
        </row>
        <row r="571">
          <cell r="A571" t="str">
            <v>US28P015643201400002</v>
          </cell>
          <cell r="B571" t="str">
            <v>US28P01564</v>
          </cell>
          <cell r="C571">
            <v>3201400002</v>
          </cell>
          <cell r="D571" t="str">
            <v>MAINTENANCE OF VEHICLES</v>
          </cell>
          <cell r="E571">
            <v>0</v>
          </cell>
          <cell r="F571">
            <v>0</v>
          </cell>
          <cell r="G571">
            <v>1757</v>
          </cell>
          <cell r="H571">
            <v>91</v>
          </cell>
          <cell r="I571">
            <v>0</v>
          </cell>
          <cell r="J571">
            <v>0</v>
          </cell>
          <cell r="K571">
            <v>150</v>
          </cell>
          <cell r="L571">
            <v>425</v>
          </cell>
          <cell r="M571">
            <v>69</v>
          </cell>
          <cell r="N571">
            <v>391</v>
          </cell>
          <cell r="O571">
            <v>1954</v>
          </cell>
          <cell r="P571">
            <v>0</v>
          </cell>
          <cell r="Q571">
            <v>4837</v>
          </cell>
        </row>
        <row r="572">
          <cell r="A572" t="str">
            <v>US28P015753201400002</v>
          </cell>
          <cell r="B572" t="str">
            <v>US28P01575</v>
          </cell>
          <cell r="C572">
            <v>3201400002</v>
          </cell>
          <cell r="D572" t="str">
            <v>MAINTENANCE OF VEHICLES</v>
          </cell>
          <cell r="E572">
            <v>0</v>
          </cell>
          <cell r="F572">
            <v>0</v>
          </cell>
          <cell r="G572">
            <v>0</v>
          </cell>
          <cell r="H572">
            <v>228</v>
          </cell>
          <cell r="I572">
            <v>0</v>
          </cell>
          <cell r="J572">
            <v>0</v>
          </cell>
          <cell r="K572">
            <v>0</v>
          </cell>
          <cell r="L572">
            <v>0</v>
          </cell>
          <cell r="M572">
            <v>224</v>
          </cell>
          <cell r="N572">
            <v>0</v>
          </cell>
          <cell r="O572">
            <v>0</v>
          </cell>
          <cell r="P572">
            <v>232</v>
          </cell>
          <cell r="Q572">
            <v>684</v>
          </cell>
        </row>
        <row r="573">
          <cell r="A573" t="str">
            <v>US35P015013201400002</v>
          </cell>
          <cell r="B573" t="str">
            <v>US35P01501</v>
          </cell>
          <cell r="C573">
            <v>3201400002</v>
          </cell>
          <cell r="D573" t="str">
            <v>MAINTENANCE OF VEHICLES</v>
          </cell>
          <cell r="E573">
            <v>658</v>
          </cell>
          <cell r="F573">
            <v>844</v>
          </cell>
          <cell r="G573">
            <v>152</v>
          </cell>
          <cell r="H573">
            <v>152</v>
          </cell>
          <cell r="I573">
            <v>345</v>
          </cell>
          <cell r="J573">
            <v>317</v>
          </cell>
          <cell r="K573">
            <v>0</v>
          </cell>
          <cell r="L573">
            <v>328</v>
          </cell>
          <cell r="M573">
            <v>6</v>
          </cell>
          <cell r="N573">
            <v>987</v>
          </cell>
          <cell r="O573">
            <v>2029</v>
          </cell>
          <cell r="P573">
            <v>377</v>
          </cell>
          <cell r="Q573">
            <v>6195</v>
          </cell>
        </row>
        <row r="574">
          <cell r="A574" t="str">
            <v>US35P015503201400002</v>
          </cell>
          <cell r="B574" t="str">
            <v>US35P01550</v>
          </cell>
          <cell r="C574">
            <v>3201400002</v>
          </cell>
          <cell r="D574" t="str">
            <v>MAINTENANCE OF VEHICLES</v>
          </cell>
          <cell r="E574">
            <v>23</v>
          </cell>
          <cell r="F574">
            <v>1303</v>
          </cell>
          <cell r="G574">
            <v>1038</v>
          </cell>
          <cell r="H574">
            <v>1384</v>
          </cell>
          <cell r="I574">
            <v>2629</v>
          </cell>
          <cell r="J574">
            <v>3242</v>
          </cell>
          <cell r="K574">
            <v>541</v>
          </cell>
          <cell r="L574">
            <v>1480</v>
          </cell>
          <cell r="M574">
            <v>631</v>
          </cell>
          <cell r="N574">
            <v>1101</v>
          </cell>
          <cell r="O574">
            <v>4149</v>
          </cell>
          <cell r="P574">
            <v>957</v>
          </cell>
          <cell r="Q574">
            <v>18478</v>
          </cell>
        </row>
        <row r="575">
          <cell r="A575" t="str">
            <v>US35P015533201400002</v>
          </cell>
          <cell r="B575" t="str">
            <v>US35P01553</v>
          </cell>
          <cell r="C575">
            <v>3201400002</v>
          </cell>
          <cell r="D575" t="str">
            <v>MAINTENANCE OF VEHICLES</v>
          </cell>
          <cell r="E575">
            <v>21</v>
          </cell>
          <cell r="F575">
            <v>52</v>
          </cell>
          <cell r="G575">
            <v>196</v>
          </cell>
          <cell r="H575">
            <v>25</v>
          </cell>
          <cell r="I575">
            <v>134</v>
          </cell>
          <cell r="J575">
            <v>1727</v>
          </cell>
          <cell r="K575">
            <v>142</v>
          </cell>
          <cell r="L575">
            <v>1660</v>
          </cell>
          <cell r="M575">
            <v>860</v>
          </cell>
          <cell r="N575">
            <v>0</v>
          </cell>
          <cell r="O575">
            <v>0</v>
          </cell>
          <cell r="P575">
            <v>0</v>
          </cell>
          <cell r="Q575">
            <v>4817</v>
          </cell>
        </row>
        <row r="576">
          <cell r="A576" t="str">
            <v>US35P015603201400002</v>
          </cell>
          <cell r="B576" t="str">
            <v>US35P01560</v>
          </cell>
          <cell r="C576">
            <v>3201400002</v>
          </cell>
          <cell r="D576" t="str">
            <v>MAINTENANCE OF VEHICLES</v>
          </cell>
          <cell r="E576">
            <v>959</v>
          </cell>
          <cell r="F576">
            <v>571</v>
          </cell>
          <cell r="G576">
            <v>361</v>
          </cell>
          <cell r="H576">
            <v>14</v>
          </cell>
          <cell r="I576">
            <v>228</v>
          </cell>
          <cell r="J576">
            <v>14</v>
          </cell>
          <cell r="K576">
            <v>600</v>
          </cell>
          <cell r="L576">
            <v>365</v>
          </cell>
          <cell r="M576">
            <v>469</v>
          </cell>
          <cell r="N576">
            <v>0</v>
          </cell>
          <cell r="O576">
            <v>831</v>
          </cell>
          <cell r="P576">
            <v>81</v>
          </cell>
          <cell r="Q576">
            <v>4493</v>
          </cell>
        </row>
        <row r="577">
          <cell r="A577" t="str">
            <v>US35P015643201400002</v>
          </cell>
          <cell r="B577" t="str">
            <v>US35P01564</v>
          </cell>
          <cell r="C577">
            <v>3201400002</v>
          </cell>
          <cell r="D577" t="str">
            <v>MAINTENANCE OF VEHICLES</v>
          </cell>
          <cell r="E577">
            <v>0</v>
          </cell>
          <cell r="F577">
            <v>0</v>
          </cell>
          <cell r="G577">
            <v>0</v>
          </cell>
          <cell r="H577">
            <v>0</v>
          </cell>
          <cell r="I577">
            <v>321</v>
          </cell>
          <cell r="J577">
            <v>2</v>
          </cell>
          <cell r="K577">
            <v>0</v>
          </cell>
          <cell r="L577">
            <v>0</v>
          </cell>
          <cell r="M577">
            <v>103</v>
          </cell>
          <cell r="N577">
            <v>33</v>
          </cell>
          <cell r="O577">
            <v>0</v>
          </cell>
          <cell r="P577">
            <v>0</v>
          </cell>
          <cell r="Q577">
            <v>459</v>
          </cell>
        </row>
        <row r="578">
          <cell r="A578" t="str">
            <v>USWOP015013201400002</v>
          </cell>
          <cell r="B578" t="str">
            <v>USWOP01501</v>
          </cell>
          <cell r="C578">
            <v>3201400002</v>
          </cell>
          <cell r="D578" t="str">
            <v>MAINTENANCE OF VEHICLES</v>
          </cell>
          <cell r="E578">
            <v>0</v>
          </cell>
          <cell r="F578">
            <v>363</v>
          </cell>
          <cell r="G578">
            <v>4013</v>
          </cell>
          <cell r="H578">
            <v>576</v>
          </cell>
          <cell r="I578">
            <v>1058</v>
          </cell>
          <cell r="J578">
            <v>9098</v>
          </cell>
          <cell r="K578">
            <v>780</v>
          </cell>
          <cell r="L578">
            <v>1816</v>
          </cell>
          <cell r="M578">
            <v>2827</v>
          </cell>
          <cell r="N578">
            <v>987</v>
          </cell>
          <cell r="O578">
            <v>1566</v>
          </cell>
          <cell r="P578">
            <v>451</v>
          </cell>
          <cell r="Q578">
            <v>23535</v>
          </cell>
        </row>
        <row r="579">
          <cell r="A579" t="str">
            <v>USWOP015503201400002</v>
          </cell>
          <cell r="B579" t="str">
            <v>USWOP01550</v>
          </cell>
          <cell r="C579">
            <v>3201400002</v>
          </cell>
          <cell r="D579" t="str">
            <v>MAINTENANCE OF VEHICLES</v>
          </cell>
          <cell r="E579">
            <v>0</v>
          </cell>
          <cell r="F579">
            <v>0</v>
          </cell>
          <cell r="G579">
            <v>0</v>
          </cell>
          <cell r="H579">
            <v>253</v>
          </cell>
          <cell r="I579">
            <v>56</v>
          </cell>
          <cell r="J579">
            <v>26</v>
          </cell>
          <cell r="K579">
            <v>0</v>
          </cell>
          <cell r="L579">
            <v>1761</v>
          </cell>
          <cell r="M579">
            <v>0</v>
          </cell>
          <cell r="N579">
            <v>0</v>
          </cell>
          <cell r="O579">
            <v>0</v>
          </cell>
          <cell r="P579">
            <v>0</v>
          </cell>
          <cell r="Q579">
            <v>2096</v>
          </cell>
        </row>
        <row r="580">
          <cell r="A580" t="str">
            <v>USWOP015603201400002</v>
          </cell>
          <cell r="B580" t="str">
            <v>USWOP01560</v>
          </cell>
          <cell r="C580">
            <v>3201400002</v>
          </cell>
          <cell r="D580" t="str">
            <v>MAINTENANCE OF VEHICLES</v>
          </cell>
          <cell r="E580">
            <v>0</v>
          </cell>
          <cell r="F580">
            <v>0</v>
          </cell>
          <cell r="G580">
            <v>0</v>
          </cell>
          <cell r="H580">
            <v>0</v>
          </cell>
          <cell r="I580">
            <v>35</v>
          </cell>
          <cell r="J580">
            <v>132</v>
          </cell>
          <cell r="K580">
            <v>0</v>
          </cell>
          <cell r="L580">
            <v>0</v>
          </cell>
          <cell r="M580">
            <v>0</v>
          </cell>
          <cell r="N580">
            <v>0</v>
          </cell>
          <cell r="O580">
            <v>0</v>
          </cell>
          <cell r="P580">
            <v>0</v>
          </cell>
          <cell r="Q580">
            <v>167</v>
          </cell>
        </row>
        <row r="581">
          <cell r="A581" t="str">
            <v>USWOP015643201400002</v>
          </cell>
          <cell r="B581" t="str">
            <v>USWOP01564</v>
          </cell>
          <cell r="C581">
            <v>3201400002</v>
          </cell>
          <cell r="D581" t="str">
            <v>MAINTENANCE OF VEHICLES</v>
          </cell>
          <cell r="E581">
            <v>0</v>
          </cell>
          <cell r="F581">
            <v>0</v>
          </cell>
          <cell r="G581">
            <v>0</v>
          </cell>
          <cell r="H581">
            <v>0</v>
          </cell>
          <cell r="I581">
            <v>0</v>
          </cell>
          <cell r="J581">
            <v>30</v>
          </cell>
          <cell r="K581">
            <v>0</v>
          </cell>
          <cell r="L581">
            <v>92</v>
          </cell>
          <cell r="M581">
            <v>0</v>
          </cell>
          <cell r="N581">
            <v>0</v>
          </cell>
          <cell r="O581">
            <v>0</v>
          </cell>
          <cell r="P581">
            <v>0</v>
          </cell>
          <cell r="Q581">
            <v>122</v>
          </cell>
        </row>
        <row r="582">
          <cell r="A582" t="str">
            <v>US59P015013201400002</v>
          </cell>
          <cell r="B582" t="str">
            <v>US59P01501</v>
          </cell>
          <cell r="C582">
            <v>3201400002</v>
          </cell>
          <cell r="D582" t="str">
            <v>MAINTENANCE OF VEHICLES</v>
          </cell>
          <cell r="E582">
            <v>0</v>
          </cell>
          <cell r="F582">
            <v>262</v>
          </cell>
          <cell r="G582">
            <v>195</v>
          </cell>
          <cell r="H582">
            <v>1132</v>
          </cell>
          <cell r="I582">
            <v>273</v>
          </cell>
          <cell r="J582">
            <v>2843</v>
          </cell>
          <cell r="K582">
            <v>0</v>
          </cell>
          <cell r="L582">
            <v>1306</v>
          </cell>
          <cell r="M582">
            <v>365</v>
          </cell>
          <cell r="N582">
            <v>1225</v>
          </cell>
          <cell r="O582">
            <v>1434</v>
          </cell>
          <cell r="P582">
            <v>118</v>
          </cell>
          <cell r="Q582">
            <v>9153</v>
          </cell>
        </row>
        <row r="583">
          <cell r="A583" t="str">
            <v>US59P015503201400002</v>
          </cell>
          <cell r="B583" t="str">
            <v>US59P01550</v>
          </cell>
          <cell r="C583">
            <v>3201400002</v>
          </cell>
          <cell r="D583" t="str">
            <v>MAINTENANCE OF VEHICLES</v>
          </cell>
          <cell r="E583">
            <v>0</v>
          </cell>
          <cell r="F583">
            <v>184</v>
          </cell>
          <cell r="G583">
            <v>0</v>
          </cell>
          <cell r="H583">
            <v>0</v>
          </cell>
          <cell r="I583">
            <v>1401</v>
          </cell>
          <cell r="J583">
            <v>923</v>
          </cell>
          <cell r="K583">
            <v>845</v>
          </cell>
          <cell r="L583">
            <v>896</v>
          </cell>
          <cell r="M583">
            <v>332</v>
          </cell>
          <cell r="N583">
            <v>331</v>
          </cell>
          <cell r="O583">
            <v>270</v>
          </cell>
          <cell r="P583">
            <v>35</v>
          </cell>
          <cell r="Q583">
            <v>5217</v>
          </cell>
        </row>
        <row r="584">
          <cell r="A584" t="str">
            <v>US59P015533201400002</v>
          </cell>
          <cell r="B584" t="str">
            <v>US59P01553</v>
          </cell>
          <cell r="C584">
            <v>3201400002</v>
          </cell>
          <cell r="D584" t="str">
            <v>MAINTENANCE OF VEHICLES</v>
          </cell>
          <cell r="E584">
            <v>0</v>
          </cell>
          <cell r="F584">
            <v>0</v>
          </cell>
          <cell r="G584">
            <v>0</v>
          </cell>
          <cell r="H584">
            <v>0</v>
          </cell>
          <cell r="I584">
            <v>10</v>
          </cell>
          <cell r="J584">
            <v>250</v>
          </cell>
          <cell r="K584">
            <v>337</v>
          </cell>
          <cell r="L584">
            <v>38</v>
          </cell>
          <cell r="M584">
            <v>0</v>
          </cell>
          <cell r="N584">
            <v>0</v>
          </cell>
          <cell r="O584">
            <v>0</v>
          </cell>
          <cell r="P584">
            <v>492</v>
          </cell>
          <cell r="Q584">
            <v>1127</v>
          </cell>
        </row>
        <row r="585">
          <cell r="A585" t="str">
            <v>US59P015603201400002</v>
          </cell>
          <cell r="B585" t="str">
            <v>US59P01560</v>
          </cell>
          <cell r="C585">
            <v>3201400002</v>
          </cell>
          <cell r="D585" t="str">
            <v>MAINTENANCE OF VEHICLES</v>
          </cell>
          <cell r="E585">
            <v>0</v>
          </cell>
          <cell r="F585">
            <v>0</v>
          </cell>
          <cell r="G585">
            <v>0</v>
          </cell>
          <cell r="H585">
            <v>0</v>
          </cell>
          <cell r="I585">
            <v>24</v>
          </cell>
          <cell r="J585">
            <v>23</v>
          </cell>
          <cell r="K585">
            <v>0</v>
          </cell>
          <cell r="L585">
            <v>0</v>
          </cell>
          <cell r="M585">
            <v>69</v>
          </cell>
          <cell r="N585">
            <v>0</v>
          </cell>
          <cell r="O585">
            <v>1341</v>
          </cell>
          <cell r="P585">
            <v>20</v>
          </cell>
          <cell r="Q585">
            <v>1477</v>
          </cell>
        </row>
        <row r="586">
          <cell r="A586" t="str">
            <v>US59P015643201400002</v>
          </cell>
          <cell r="B586" t="str">
            <v>US59P01564</v>
          </cell>
          <cell r="C586">
            <v>3201400002</v>
          </cell>
          <cell r="D586" t="str">
            <v>MAINTENANCE OF VEHICLES</v>
          </cell>
          <cell r="E586">
            <v>0</v>
          </cell>
          <cell r="F586">
            <v>0</v>
          </cell>
          <cell r="G586">
            <v>0</v>
          </cell>
          <cell r="H586">
            <v>0</v>
          </cell>
          <cell r="I586">
            <v>0</v>
          </cell>
          <cell r="J586">
            <v>0</v>
          </cell>
          <cell r="K586">
            <v>0</v>
          </cell>
          <cell r="L586">
            <v>234</v>
          </cell>
          <cell r="M586">
            <v>655</v>
          </cell>
          <cell r="N586">
            <v>129</v>
          </cell>
          <cell r="O586">
            <v>0</v>
          </cell>
          <cell r="P586">
            <v>0</v>
          </cell>
          <cell r="Q586">
            <v>1018</v>
          </cell>
        </row>
        <row r="587">
          <cell r="A587" t="str">
            <v>US59P3C5013201400002</v>
          </cell>
          <cell r="B587" t="str">
            <v>US59P3C501</v>
          </cell>
          <cell r="C587">
            <v>3201400002</v>
          </cell>
          <cell r="D587" t="str">
            <v>MAINTENANCE OF VEHICLES</v>
          </cell>
          <cell r="E587">
            <v>0</v>
          </cell>
          <cell r="F587">
            <v>0</v>
          </cell>
          <cell r="G587">
            <v>0</v>
          </cell>
          <cell r="H587">
            <v>0</v>
          </cell>
          <cell r="I587">
            <v>0</v>
          </cell>
          <cell r="J587">
            <v>0</v>
          </cell>
          <cell r="K587">
            <v>0</v>
          </cell>
          <cell r="L587">
            <v>21</v>
          </cell>
          <cell r="M587">
            <v>0</v>
          </cell>
          <cell r="N587">
            <v>39</v>
          </cell>
          <cell r="O587">
            <v>21</v>
          </cell>
          <cell r="P587">
            <v>0</v>
          </cell>
          <cell r="Q587">
            <v>81</v>
          </cell>
        </row>
        <row r="588">
          <cell r="A588" t="str">
            <v>US59P3C5503201400002</v>
          </cell>
          <cell r="B588" t="str">
            <v>US59P3C550</v>
          </cell>
          <cell r="C588">
            <v>3201400002</v>
          </cell>
          <cell r="D588" t="str">
            <v>MAINTENANCE OF VEHICLES</v>
          </cell>
          <cell r="E588">
            <v>0</v>
          </cell>
          <cell r="F588">
            <v>50</v>
          </cell>
          <cell r="G588">
            <v>0</v>
          </cell>
          <cell r="H588">
            <v>0</v>
          </cell>
          <cell r="I588">
            <v>0</v>
          </cell>
          <cell r="J588">
            <v>0</v>
          </cell>
          <cell r="K588">
            <v>0</v>
          </cell>
          <cell r="L588">
            <v>0</v>
          </cell>
          <cell r="M588">
            <v>0</v>
          </cell>
          <cell r="N588">
            <v>1514</v>
          </cell>
          <cell r="O588">
            <v>587</v>
          </cell>
          <cell r="P588">
            <v>0</v>
          </cell>
          <cell r="Q588">
            <v>2151</v>
          </cell>
        </row>
        <row r="589">
          <cell r="A589" t="str">
            <v>US59P3C5603201400002</v>
          </cell>
          <cell r="B589" t="str">
            <v>US59P3C560</v>
          </cell>
          <cell r="C589">
            <v>3201400002</v>
          </cell>
          <cell r="D589" t="str">
            <v>MAINTENANCE OF VEHICLES</v>
          </cell>
          <cell r="E589">
            <v>0</v>
          </cell>
          <cell r="F589">
            <v>91</v>
          </cell>
          <cell r="G589">
            <v>90</v>
          </cell>
          <cell r="H589">
            <v>0</v>
          </cell>
          <cell r="I589">
            <v>0</v>
          </cell>
          <cell r="J589">
            <v>0</v>
          </cell>
          <cell r="K589">
            <v>0</v>
          </cell>
          <cell r="L589">
            <v>0</v>
          </cell>
          <cell r="M589">
            <v>438</v>
          </cell>
          <cell r="N589">
            <v>75</v>
          </cell>
          <cell r="O589">
            <v>0</v>
          </cell>
          <cell r="P589">
            <v>0</v>
          </cell>
          <cell r="Q589">
            <v>694</v>
          </cell>
        </row>
        <row r="590">
          <cell r="A590" t="str">
            <v>USCRP015013201400002</v>
          </cell>
          <cell r="B590" t="str">
            <v>USCRP01501</v>
          </cell>
          <cell r="C590">
            <v>3201400002</v>
          </cell>
          <cell r="D590" t="str">
            <v>MAINTENANCE OF VEHICLES</v>
          </cell>
          <cell r="E590">
            <v>0</v>
          </cell>
          <cell r="F590">
            <v>552</v>
          </cell>
          <cell r="G590">
            <v>1213</v>
          </cell>
          <cell r="H590">
            <v>4675</v>
          </cell>
          <cell r="I590">
            <v>1005</v>
          </cell>
          <cell r="J590">
            <v>2083</v>
          </cell>
          <cell r="K590">
            <v>53</v>
          </cell>
          <cell r="L590">
            <v>1281</v>
          </cell>
          <cell r="M590">
            <v>2093</v>
          </cell>
          <cell r="N590">
            <v>3544</v>
          </cell>
          <cell r="O590">
            <v>3873</v>
          </cell>
          <cell r="P590">
            <v>-157</v>
          </cell>
          <cell r="Q590">
            <v>20215</v>
          </cell>
        </row>
        <row r="591">
          <cell r="A591" t="str">
            <v>USCRP015503201400002</v>
          </cell>
          <cell r="B591" t="str">
            <v>USCRP01550</v>
          </cell>
          <cell r="C591">
            <v>3201400002</v>
          </cell>
          <cell r="D591" t="str">
            <v>MAINTENANCE OF VEHICLES</v>
          </cell>
          <cell r="E591">
            <v>0</v>
          </cell>
          <cell r="F591">
            <v>0</v>
          </cell>
          <cell r="G591">
            <v>11</v>
          </cell>
          <cell r="H591">
            <v>0</v>
          </cell>
          <cell r="I591">
            <v>325</v>
          </cell>
          <cell r="J591">
            <v>9</v>
          </cell>
          <cell r="K591">
            <v>43</v>
          </cell>
          <cell r="L591">
            <v>0</v>
          </cell>
          <cell r="M591">
            <v>22</v>
          </cell>
          <cell r="N591">
            <v>0</v>
          </cell>
          <cell r="O591">
            <v>0</v>
          </cell>
          <cell r="P591">
            <v>0</v>
          </cell>
          <cell r="Q591">
            <v>410</v>
          </cell>
        </row>
        <row r="592">
          <cell r="A592" t="str">
            <v>USCRP015533201400002</v>
          </cell>
          <cell r="B592" t="str">
            <v>USCRP01553</v>
          </cell>
          <cell r="C592">
            <v>3201400002</v>
          </cell>
          <cell r="D592" t="str">
            <v>MAINTENANCE OF VEHICLES</v>
          </cell>
          <cell r="E592">
            <v>0</v>
          </cell>
          <cell r="F592">
            <v>0</v>
          </cell>
          <cell r="G592">
            <v>0</v>
          </cell>
          <cell r="H592">
            <v>108</v>
          </cell>
          <cell r="I592">
            <v>258</v>
          </cell>
          <cell r="J592">
            <v>456</v>
          </cell>
          <cell r="K592">
            <v>-522</v>
          </cell>
          <cell r="L592">
            <v>413</v>
          </cell>
          <cell r="M592">
            <v>99</v>
          </cell>
          <cell r="N592">
            <v>0</v>
          </cell>
          <cell r="O592">
            <v>0</v>
          </cell>
          <cell r="P592">
            <v>0</v>
          </cell>
          <cell r="Q592">
            <v>812</v>
          </cell>
        </row>
        <row r="593">
          <cell r="A593" t="str">
            <v>USCRP015603201400002</v>
          </cell>
          <cell r="B593" t="str">
            <v>USCRP01560</v>
          </cell>
          <cell r="C593">
            <v>3201400002</v>
          </cell>
          <cell r="D593" t="str">
            <v>MAINTENANCE OF VEHICLES</v>
          </cell>
          <cell r="E593">
            <v>0</v>
          </cell>
          <cell r="F593">
            <v>32</v>
          </cell>
          <cell r="G593">
            <v>16</v>
          </cell>
          <cell r="H593">
            <v>29</v>
          </cell>
          <cell r="I593">
            <v>0</v>
          </cell>
          <cell r="J593">
            <v>0</v>
          </cell>
          <cell r="K593">
            <v>0</v>
          </cell>
          <cell r="L593">
            <v>0</v>
          </cell>
          <cell r="M593">
            <v>0</v>
          </cell>
          <cell r="N593">
            <v>0</v>
          </cell>
          <cell r="O593">
            <v>488</v>
          </cell>
          <cell r="P593">
            <v>-77</v>
          </cell>
          <cell r="Q593">
            <v>488</v>
          </cell>
        </row>
        <row r="594">
          <cell r="A594" t="str">
            <v>USCRP015643201400002</v>
          </cell>
          <cell r="B594" t="str">
            <v>USCRP01564</v>
          </cell>
          <cell r="C594">
            <v>3201400002</v>
          </cell>
          <cell r="D594" t="str">
            <v>MAINTENANCE OF VEHICLES</v>
          </cell>
          <cell r="E594">
            <v>0</v>
          </cell>
          <cell r="F594">
            <v>0</v>
          </cell>
          <cell r="G594">
            <v>0</v>
          </cell>
          <cell r="H594">
            <v>0</v>
          </cell>
          <cell r="I594">
            <v>247</v>
          </cell>
          <cell r="J594">
            <v>-135</v>
          </cell>
          <cell r="K594">
            <v>0</v>
          </cell>
          <cell r="L594">
            <v>0</v>
          </cell>
          <cell r="M594">
            <v>90</v>
          </cell>
          <cell r="N594">
            <v>81</v>
          </cell>
          <cell r="O594">
            <v>547</v>
          </cell>
          <cell r="P594">
            <v>-535</v>
          </cell>
          <cell r="Q594">
            <v>295</v>
          </cell>
        </row>
        <row r="595">
          <cell r="A595" t="str">
            <v>USCRP015753201400002</v>
          </cell>
          <cell r="B595" t="str">
            <v>USCRP01575</v>
          </cell>
          <cell r="C595">
            <v>3201400002</v>
          </cell>
          <cell r="D595" t="str">
            <v>MAINTENANCE OF VEHICLES</v>
          </cell>
          <cell r="E595">
            <v>0</v>
          </cell>
          <cell r="F595">
            <v>0</v>
          </cell>
          <cell r="G595">
            <v>0</v>
          </cell>
          <cell r="H595">
            <v>0</v>
          </cell>
          <cell r="I595">
            <v>0</v>
          </cell>
          <cell r="J595">
            <v>0</v>
          </cell>
          <cell r="K595">
            <v>64</v>
          </cell>
          <cell r="L595">
            <v>-64</v>
          </cell>
          <cell r="M595">
            <v>0</v>
          </cell>
          <cell r="N595">
            <v>0</v>
          </cell>
          <cell r="O595">
            <v>0</v>
          </cell>
          <cell r="P595">
            <v>0</v>
          </cell>
          <cell r="Q595">
            <v>0</v>
          </cell>
        </row>
        <row r="596">
          <cell r="A596" t="str">
            <v>US59P015013201400003</v>
          </cell>
          <cell r="B596" t="str">
            <v>US59P01501</v>
          </cell>
          <cell r="C596">
            <v>3201400003</v>
          </cell>
          <cell r="D596" t="str">
            <v>MAINTENANCE OF OFFICE EQUIPMENT AND FURN</v>
          </cell>
          <cell r="E596">
            <v>0</v>
          </cell>
          <cell r="F596">
            <v>140</v>
          </cell>
          <cell r="G596">
            <v>0</v>
          </cell>
          <cell r="H596">
            <v>0</v>
          </cell>
          <cell r="I596">
            <v>0</v>
          </cell>
          <cell r="J596">
            <v>130</v>
          </cell>
          <cell r="K596">
            <v>242</v>
          </cell>
          <cell r="L596">
            <v>124</v>
          </cell>
          <cell r="M596">
            <v>229</v>
          </cell>
          <cell r="N596">
            <v>0</v>
          </cell>
          <cell r="O596">
            <v>0</v>
          </cell>
          <cell r="P596">
            <v>0</v>
          </cell>
          <cell r="Q596">
            <v>865</v>
          </cell>
        </row>
        <row r="597">
          <cell r="A597" t="str">
            <v>US59P015503201400003</v>
          </cell>
          <cell r="B597" t="str">
            <v>US59P01550</v>
          </cell>
          <cell r="C597">
            <v>3201400003</v>
          </cell>
          <cell r="D597" t="str">
            <v>MAINTENANCE OF OFFICE EQUIPMENT AND FURN</v>
          </cell>
          <cell r="E597">
            <v>0</v>
          </cell>
          <cell r="F597">
            <v>0</v>
          </cell>
          <cell r="G597">
            <v>0</v>
          </cell>
          <cell r="H597">
            <v>0</v>
          </cell>
          <cell r="I597">
            <v>0</v>
          </cell>
          <cell r="J597">
            <v>0</v>
          </cell>
          <cell r="K597">
            <v>4977</v>
          </cell>
          <cell r="L597">
            <v>0</v>
          </cell>
          <cell r="M597">
            <v>0</v>
          </cell>
          <cell r="N597">
            <v>0</v>
          </cell>
          <cell r="O597">
            <v>0</v>
          </cell>
          <cell r="P597">
            <v>0</v>
          </cell>
          <cell r="Q597">
            <v>4977</v>
          </cell>
        </row>
        <row r="598">
          <cell r="A598" t="str">
            <v>US59P015603201400003</v>
          </cell>
          <cell r="B598" t="str">
            <v>US59P01560</v>
          </cell>
          <cell r="C598">
            <v>3201400003</v>
          </cell>
          <cell r="D598" t="str">
            <v>MAINTENANCE OF OFFICE EQUIPMENT AND FURN</v>
          </cell>
          <cell r="E598">
            <v>0</v>
          </cell>
          <cell r="F598">
            <v>0</v>
          </cell>
          <cell r="G598">
            <v>0</v>
          </cell>
          <cell r="H598">
            <v>0</v>
          </cell>
          <cell r="I598">
            <v>124</v>
          </cell>
          <cell r="J598">
            <v>0</v>
          </cell>
          <cell r="K598">
            <v>1617</v>
          </cell>
          <cell r="L598">
            <v>0</v>
          </cell>
          <cell r="M598">
            <v>0</v>
          </cell>
          <cell r="N598">
            <v>0</v>
          </cell>
          <cell r="O598">
            <v>0</v>
          </cell>
          <cell r="P598">
            <v>0</v>
          </cell>
          <cell r="Q598">
            <v>1741</v>
          </cell>
        </row>
        <row r="599">
          <cell r="A599" t="str">
            <v>US59P3C5603201400003</v>
          </cell>
          <cell r="B599" t="str">
            <v>US59P3C560</v>
          </cell>
          <cell r="C599">
            <v>3201400003</v>
          </cell>
          <cell r="D599" t="str">
            <v>MAINTENANCE OF OFFICE EQUIPMENT AND FURN</v>
          </cell>
          <cell r="E599">
            <v>0</v>
          </cell>
          <cell r="F599">
            <v>0</v>
          </cell>
          <cell r="G599">
            <v>0</v>
          </cell>
          <cell r="H599">
            <v>0</v>
          </cell>
          <cell r="I599">
            <v>124</v>
          </cell>
          <cell r="J599">
            <v>0</v>
          </cell>
          <cell r="K599">
            <v>1189</v>
          </cell>
          <cell r="L599">
            <v>124</v>
          </cell>
          <cell r="M599">
            <v>218</v>
          </cell>
          <cell r="N599">
            <v>0</v>
          </cell>
          <cell r="O599">
            <v>0</v>
          </cell>
          <cell r="P599">
            <v>0</v>
          </cell>
          <cell r="Q599">
            <v>1655</v>
          </cell>
        </row>
        <row r="600">
          <cell r="A600" t="str">
            <v>US35P015643201400004</v>
          </cell>
          <cell r="B600" t="str">
            <v>US35P01564</v>
          </cell>
          <cell r="C600">
            <v>3201400004</v>
          </cell>
          <cell r="D600" t="str">
            <v>MAINTENANCE OF TECHNICAL EQUIPMENT</v>
          </cell>
          <cell r="E600">
            <v>0</v>
          </cell>
          <cell r="F600">
            <v>0</v>
          </cell>
          <cell r="G600">
            <v>0</v>
          </cell>
          <cell r="H600">
            <v>0</v>
          </cell>
          <cell r="I600">
            <v>0</v>
          </cell>
          <cell r="J600">
            <v>0</v>
          </cell>
          <cell r="K600">
            <v>152</v>
          </cell>
          <cell r="L600">
            <v>0</v>
          </cell>
          <cell r="M600">
            <v>0</v>
          </cell>
          <cell r="N600">
            <v>0</v>
          </cell>
          <cell r="O600">
            <v>0</v>
          </cell>
          <cell r="P600">
            <v>0</v>
          </cell>
          <cell r="Q600">
            <v>152</v>
          </cell>
        </row>
        <row r="601">
          <cell r="A601" t="str">
            <v>US59P015013201400006</v>
          </cell>
          <cell r="B601" t="str">
            <v>US59P01501</v>
          </cell>
          <cell r="C601">
            <v>3201400006</v>
          </cell>
          <cell r="D601" t="str">
            <v>MAINTENANCE OF GREEN AREAS</v>
          </cell>
          <cell r="E601">
            <v>2000</v>
          </cell>
          <cell r="F601">
            <v>0</v>
          </cell>
          <cell r="G601">
            <v>0</v>
          </cell>
          <cell r="H601">
            <v>0</v>
          </cell>
          <cell r="I601">
            <v>0</v>
          </cell>
          <cell r="J601">
            <v>938</v>
          </cell>
          <cell r="K601">
            <v>0</v>
          </cell>
          <cell r="L601">
            <v>0</v>
          </cell>
          <cell r="M601">
            <v>0</v>
          </cell>
          <cell r="N601">
            <v>0</v>
          </cell>
          <cell r="O601">
            <v>0</v>
          </cell>
          <cell r="P601">
            <v>0</v>
          </cell>
          <cell r="Q601">
            <v>2938</v>
          </cell>
        </row>
        <row r="602">
          <cell r="A602" t="str">
            <v>US59P3C5013201400006</v>
          </cell>
          <cell r="B602" t="str">
            <v>US59P3C501</v>
          </cell>
          <cell r="C602">
            <v>3201400006</v>
          </cell>
          <cell r="D602" t="str">
            <v>MAINTENANCE OF GREEN AREAS</v>
          </cell>
          <cell r="E602">
            <v>0</v>
          </cell>
          <cell r="F602">
            <v>0</v>
          </cell>
          <cell r="G602">
            <v>0</v>
          </cell>
          <cell r="H602">
            <v>0</v>
          </cell>
          <cell r="I602">
            <v>0</v>
          </cell>
          <cell r="J602">
            <v>938</v>
          </cell>
          <cell r="K602">
            <v>0</v>
          </cell>
          <cell r="L602">
            <v>0</v>
          </cell>
          <cell r="M602">
            <v>0</v>
          </cell>
          <cell r="N602">
            <v>0</v>
          </cell>
          <cell r="O602">
            <v>0</v>
          </cell>
          <cell r="P602">
            <v>0</v>
          </cell>
          <cell r="Q602">
            <v>938</v>
          </cell>
        </row>
        <row r="603">
          <cell r="A603" t="str">
            <v>US59P3C5603201400006</v>
          </cell>
          <cell r="B603" t="str">
            <v>US59P3C560</v>
          </cell>
          <cell r="C603">
            <v>3201400006</v>
          </cell>
          <cell r="D603" t="str">
            <v>MAINTENANCE OF GREEN AREAS</v>
          </cell>
          <cell r="E603">
            <v>120</v>
          </cell>
          <cell r="F603">
            <v>0</v>
          </cell>
          <cell r="G603">
            <v>0</v>
          </cell>
          <cell r="H603">
            <v>0</v>
          </cell>
          <cell r="I603">
            <v>0</v>
          </cell>
          <cell r="J603">
            <v>0</v>
          </cell>
          <cell r="K603">
            <v>0</v>
          </cell>
          <cell r="L603">
            <v>0</v>
          </cell>
          <cell r="M603">
            <v>0</v>
          </cell>
          <cell r="N603">
            <v>0</v>
          </cell>
          <cell r="O603">
            <v>0</v>
          </cell>
          <cell r="P603">
            <v>0</v>
          </cell>
          <cell r="Q603">
            <v>120</v>
          </cell>
        </row>
        <row r="604">
          <cell r="A604" t="str">
            <v>US22P015013201400025</v>
          </cell>
          <cell r="B604" t="str">
            <v>US22P01501</v>
          </cell>
          <cell r="C604">
            <v>3201400025</v>
          </cell>
          <cell r="D604" t="str">
            <v>CLEANING EXPENSES</v>
          </cell>
          <cell r="E604">
            <v>1575</v>
          </cell>
          <cell r="F604">
            <v>0</v>
          </cell>
          <cell r="G604">
            <v>3780</v>
          </cell>
          <cell r="H604">
            <v>1575</v>
          </cell>
          <cell r="I604">
            <v>1785</v>
          </cell>
          <cell r="J604">
            <v>2205</v>
          </cell>
          <cell r="K604">
            <v>1776</v>
          </cell>
          <cell r="L604">
            <v>2120</v>
          </cell>
          <cell r="M604">
            <v>0</v>
          </cell>
          <cell r="N604">
            <v>3710</v>
          </cell>
          <cell r="O604">
            <v>2491</v>
          </cell>
          <cell r="P604">
            <v>1590</v>
          </cell>
          <cell r="Q604">
            <v>22607</v>
          </cell>
        </row>
        <row r="605">
          <cell r="A605" t="str">
            <v>US35P015013201400025</v>
          </cell>
          <cell r="B605" t="str">
            <v>US35P01501</v>
          </cell>
          <cell r="C605">
            <v>3201400025</v>
          </cell>
          <cell r="D605" t="str">
            <v>CLEANING EXPENSES</v>
          </cell>
          <cell r="E605">
            <v>1911</v>
          </cell>
          <cell r="F605">
            <v>1661</v>
          </cell>
          <cell r="G605">
            <v>1661</v>
          </cell>
          <cell r="H605">
            <v>1411</v>
          </cell>
          <cell r="I605">
            <v>1911</v>
          </cell>
          <cell r="J605">
            <v>1411</v>
          </cell>
          <cell r="K605">
            <v>2161</v>
          </cell>
          <cell r="L605">
            <v>1661</v>
          </cell>
          <cell r="M605">
            <v>1661</v>
          </cell>
          <cell r="N605">
            <v>1661</v>
          </cell>
          <cell r="O605">
            <v>1411</v>
          </cell>
          <cell r="P605">
            <v>3229</v>
          </cell>
          <cell r="Q605">
            <v>21750</v>
          </cell>
        </row>
        <row r="606">
          <cell r="A606" t="str">
            <v>USWOP015013201400025</v>
          </cell>
          <cell r="B606" t="str">
            <v>USWOP01501</v>
          </cell>
          <cell r="C606">
            <v>3201400025</v>
          </cell>
          <cell r="D606" t="str">
            <v>CLEANING EXPENSES</v>
          </cell>
          <cell r="E606">
            <v>1219</v>
          </cell>
          <cell r="F606">
            <v>1219</v>
          </cell>
          <cell r="G606">
            <v>1219</v>
          </cell>
          <cell r="H606">
            <v>1219</v>
          </cell>
          <cell r="I606">
            <v>1219</v>
          </cell>
          <cell r="J606">
            <v>1219</v>
          </cell>
          <cell r="K606">
            <v>1219</v>
          </cell>
          <cell r="L606">
            <v>1219</v>
          </cell>
          <cell r="M606">
            <v>345</v>
          </cell>
          <cell r="N606">
            <v>1219</v>
          </cell>
          <cell r="O606">
            <v>1225</v>
          </cell>
          <cell r="P606">
            <v>1225</v>
          </cell>
          <cell r="Q606">
            <v>13766</v>
          </cell>
        </row>
        <row r="607">
          <cell r="A607" t="str">
            <v>US59P015013201400025</v>
          </cell>
          <cell r="B607" t="str">
            <v>US59P01501</v>
          </cell>
          <cell r="C607">
            <v>3201400025</v>
          </cell>
          <cell r="D607" t="str">
            <v>CLEANING EXPENSES</v>
          </cell>
          <cell r="E607">
            <v>736</v>
          </cell>
          <cell r="F607">
            <v>0</v>
          </cell>
          <cell r="G607">
            <v>1732</v>
          </cell>
          <cell r="H607">
            <v>733</v>
          </cell>
          <cell r="I607">
            <v>368</v>
          </cell>
          <cell r="J607">
            <v>1273</v>
          </cell>
          <cell r="K607">
            <v>821</v>
          </cell>
          <cell r="L607">
            <v>1189</v>
          </cell>
          <cell r="M607">
            <v>821</v>
          </cell>
          <cell r="N607">
            <v>821</v>
          </cell>
          <cell r="O607">
            <v>821</v>
          </cell>
          <cell r="P607">
            <v>821</v>
          </cell>
          <cell r="Q607">
            <v>10136</v>
          </cell>
        </row>
        <row r="608">
          <cell r="A608" t="str">
            <v>US59P3C5013201400025</v>
          </cell>
          <cell r="B608" t="str">
            <v>US59P3C501</v>
          </cell>
          <cell r="C608">
            <v>3201400025</v>
          </cell>
          <cell r="D608" t="str">
            <v>CLEANING EXPENSES</v>
          </cell>
          <cell r="E608">
            <v>0</v>
          </cell>
          <cell r="F608">
            <v>730</v>
          </cell>
          <cell r="G608">
            <v>0</v>
          </cell>
          <cell r="H608">
            <v>0</v>
          </cell>
          <cell r="I608">
            <v>0</v>
          </cell>
          <cell r="J608">
            <v>0</v>
          </cell>
          <cell r="K608">
            <v>0</v>
          </cell>
          <cell r="L608">
            <v>0</v>
          </cell>
          <cell r="M608">
            <v>0</v>
          </cell>
          <cell r="N608">
            <v>0</v>
          </cell>
          <cell r="O608">
            <v>0</v>
          </cell>
          <cell r="P608">
            <v>368</v>
          </cell>
          <cell r="Q608">
            <v>1098</v>
          </cell>
        </row>
        <row r="609">
          <cell r="A609" t="str">
            <v>US59P3C5603201400025</v>
          </cell>
          <cell r="B609" t="str">
            <v>US59P3C560</v>
          </cell>
          <cell r="C609">
            <v>3201400025</v>
          </cell>
          <cell r="D609" t="str">
            <v>CLEANING EXPENSES</v>
          </cell>
          <cell r="E609">
            <v>0</v>
          </cell>
          <cell r="F609">
            <v>0</v>
          </cell>
          <cell r="G609">
            <v>0</v>
          </cell>
          <cell r="H609">
            <v>733</v>
          </cell>
          <cell r="I609">
            <v>1098</v>
          </cell>
          <cell r="J609">
            <v>368</v>
          </cell>
          <cell r="K609">
            <v>821</v>
          </cell>
          <cell r="L609">
            <v>453</v>
          </cell>
          <cell r="M609">
            <v>821</v>
          </cell>
          <cell r="N609">
            <v>821</v>
          </cell>
          <cell r="O609">
            <v>821</v>
          </cell>
          <cell r="P609">
            <v>453</v>
          </cell>
          <cell r="Q609">
            <v>6389</v>
          </cell>
        </row>
        <row r="610">
          <cell r="A610" t="str">
            <v>USCRP015013201400025</v>
          </cell>
          <cell r="B610" t="str">
            <v>USCRP01501</v>
          </cell>
          <cell r="C610">
            <v>3201400025</v>
          </cell>
          <cell r="D610" t="str">
            <v>CLEANING EXPENSES</v>
          </cell>
          <cell r="E610">
            <v>3429</v>
          </cell>
          <cell r="F610">
            <v>2084</v>
          </cell>
          <cell r="G610">
            <v>2215</v>
          </cell>
          <cell r="H610">
            <v>2215</v>
          </cell>
          <cell r="I610">
            <v>1726</v>
          </cell>
          <cell r="J610">
            <v>3921</v>
          </cell>
          <cell r="K610">
            <v>2803</v>
          </cell>
          <cell r="L610">
            <v>2234</v>
          </cell>
          <cell r="M610">
            <v>3109</v>
          </cell>
          <cell r="N610">
            <v>3181</v>
          </cell>
          <cell r="O610">
            <v>2314</v>
          </cell>
          <cell r="P610">
            <v>2535</v>
          </cell>
          <cell r="Q610">
            <v>31766</v>
          </cell>
        </row>
        <row r="611">
          <cell r="A611" t="str">
            <v>USCRP015643201400025</v>
          </cell>
          <cell r="B611" t="str">
            <v>USCRP01564</v>
          </cell>
          <cell r="C611">
            <v>3201400025</v>
          </cell>
          <cell r="D611" t="str">
            <v>CLEANING EXPENSES</v>
          </cell>
          <cell r="E611">
            <v>0</v>
          </cell>
          <cell r="F611">
            <v>0</v>
          </cell>
          <cell r="G611">
            <v>0</v>
          </cell>
          <cell r="H611">
            <v>0</v>
          </cell>
          <cell r="I611">
            <v>0</v>
          </cell>
          <cell r="J611">
            <v>0</v>
          </cell>
          <cell r="K611">
            <v>0</v>
          </cell>
          <cell r="L611">
            <v>0</v>
          </cell>
          <cell r="M611">
            <v>630</v>
          </cell>
          <cell r="N611">
            <v>301</v>
          </cell>
          <cell r="O611">
            <v>0</v>
          </cell>
          <cell r="P611">
            <v>0</v>
          </cell>
          <cell r="Q611">
            <v>931</v>
          </cell>
        </row>
        <row r="612">
          <cell r="A612" t="str">
            <v>US22P015013201400029</v>
          </cell>
          <cell r="B612" t="str">
            <v>US22P01501</v>
          </cell>
          <cell r="C612">
            <v>3201400029</v>
          </cell>
          <cell r="D612" t="str">
            <v>OTH OUTSIDE SERVICES OTHER</v>
          </cell>
          <cell r="E612">
            <v>2061</v>
          </cell>
          <cell r="F612">
            <v>2335</v>
          </cell>
          <cell r="G612">
            <v>3218</v>
          </cell>
          <cell r="H612">
            <v>2701</v>
          </cell>
          <cell r="I612">
            <v>5406</v>
          </cell>
          <cell r="J612">
            <v>4656</v>
          </cell>
          <cell r="K612">
            <v>4740</v>
          </cell>
          <cell r="L612">
            <v>4827</v>
          </cell>
          <cell r="M612">
            <v>5021</v>
          </cell>
          <cell r="N612">
            <v>7361</v>
          </cell>
          <cell r="O612">
            <v>3761</v>
          </cell>
          <cell r="P612">
            <v>7952</v>
          </cell>
          <cell r="Q612">
            <v>54039</v>
          </cell>
        </row>
        <row r="613">
          <cell r="A613" t="str">
            <v>US22P015503201400029</v>
          </cell>
          <cell r="B613" t="str">
            <v>US22P01550</v>
          </cell>
          <cell r="C613">
            <v>3201400029</v>
          </cell>
          <cell r="D613" t="str">
            <v>OTH OUTSIDE SERVICES OTHER</v>
          </cell>
          <cell r="E613">
            <v>597</v>
          </cell>
          <cell r="F613">
            <v>75</v>
          </cell>
          <cell r="G613">
            <v>262</v>
          </cell>
          <cell r="H613">
            <v>198</v>
          </cell>
          <cell r="I613">
            <v>498</v>
          </cell>
          <cell r="J613">
            <v>64</v>
          </cell>
          <cell r="K613">
            <v>368</v>
          </cell>
          <cell r="L613">
            <v>624</v>
          </cell>
          <cell r="M613">
            <v>90881</v>
          </cell>
          <cell r="N613">
            <v>276623</v>
          </cell>
          <cell r="O613">
            <v>115870</v>
          </cell>
          <cell r="P613">
            <v>243</v>
          </cell>
          <cell r="Q613">
            <v>486303</v>
          </cell>
        </row>
        <row r="614">
          <cell r="A614" t="str">
            <v>US22P015533201400029</v>
          </cell>
          <cell r="B614" t="str">
            <v>US22P01553</v>
          </cell>
          <cell r="C614">
            <v>3201400029</v>
          </cell>
          <cell r="D614" t="str">
            <v>OTH OUTSIDE SERVICES OTHER</v>
          </cell>
          <cell r="E614">
            <v>0</v>
          </cell>
          <cell r="F614">
            <v>0</v>
          </cell>
          <cell r="G614">
            <v>0</v>
          </cell>
          <cell r="H614">
            <v>0</v>
          </cell>
          <cell r="I614">
            <v>0</v>
          </cell>
          <cell r="J614">
            <v>0</v>
          </cell>
          <cell r="K614">
            <v>436</v>
          </cell>
          <cell r="L614">
            <v>598</v>
          </cell>
          <cell r="M614">
            <v>0</v>
          </cell>
          <cell r="N614">
            <v>0</v>
          </cell>
          <cell r="O614">
            <v>0</v>
          </cell>
          <cell r="P614">
            <v>0</v>
          </cell>
          <cell r="Q614">
            <v>1034</v>
          </cell>
        </row>
        <row r="615">
          <cell r="A615" t="str">
            <v>US22P015603201400029</v>
          </cell>
          <cell r="B615" t="str">
            <v>US22P01560</v>
          </cell>
          <cell r="C615">
            <v>3201400029</v>
          </cell>
          <cell r="D615" t="str">
            <v>OTH OUTSIDE SERVICES OTHER</v>
          </cell>
          <cell r="E615">
            <v>158</v>
          </cell>
          <cell r="F615">
            <v>0</v>
          </cell>
          <cell r="G615">
            <v>0</v>
          </cell>
          <cell r="H615">
            <v>100</v>
          </cell>
          <cell r="I615">
            <v>132</v>
          </cell>
          <cell r="J615">
            <v>470</v>
          </cell>
          <cell r="K615">
            <v>584</v>
          </cell>
          <cell r="L615">
            <v>529</v>
          </cell>
          <cell r="M615">
            <v>391</v>
          </cell>
          <cell r="N615">
            <v>0</v>
          </cell>
          <cell r="O615">
            <v>0</v>
          </cell>
          <cell r="P615">
            <v>0</v>
          </cell>
          <cell r="Q615">
            <v>2364</v>
          </cell>
        </row>
        <row r="616">
          <cell r="A616" t="str">
            <v>US22P015643201400029</v>
          </cell>
          <cell r="B616" t="str">
            <v>US22P01564</v>
          </cell>
          <cell r="C616">
            <v>3201400029</v>
          </cell>
          <cell r="D616" t="str">
            <v>OTH OUTSIDE SERVICES OTHER</v>
          </cell>
          <cell r="E616">
            <v>0</v>
          </cell>
          <cell r="F616">
            <v>0</v>
          </cell>
          <cell r="G616">
            <v>0</v>
          </cell>
          <cell r="H616">
            <v>0</v>
          </cell>
          <cell r="I616">
            <v>0</v>
          </cell>
          <cell r="J616">
            <v>1976</v>
          </cell>
          <cell r="K616">
            <v>0</v>
          </cell>
          <cell r="L616">
            <v>734</v>
          </cell>
          <cell r="M616">
            <v>931</v>
          </cell>
          <cell r="N616">
            <v>935</v>
          </cell>
          <cell r="O616">
            <v>3616</v>
          </cell>
          <cell r="P616">
            <v>568</v>
          </cell>
          <cell r="Q616">
            <v>8760</v>
          </cell>
        </row>
        <row r="617">
          <cell r="A617" t="str">
            <v>US22P015753201400029</v>
          </cell>
          <cell r="B617" t="str">
            <v>US22P01575</v>
          </cell>
          <cell r="C617">
            <v>3201400029</v>
          </cell>
          <cell r="D617" t="str">
            <v>OTH OUTSIDE SERVICES OTHER</v>
          </cell>
          <cell r="E617">
            <v>2096</v>
          </cell>
          <cell r="F617">
            <v>696</v>
          </cell>
          <cell r="G617">
            <v>882</v>
          </cell>
          <cell r="H617">
            <v>69</v>
          </cell>
          <cell r="I617">
            <v>1436</v>
          </cell>
          <cell r="J617">
            <v>447</v>
          </cell>
          <cell r="K617">
            <v>0</v>
          </cell>
          <cell r="L617">
            <v>875</v>
          </cell>
          <cell r="M617">
            <v>0</v>
          </cell>
          <cell r="N617">
            <v>224</v>
          </cell>
          <cell r="O617">
            <v>875</v>
          </cell>
          <cell r="P617">
            <v>0</v>
          </cell>
          <cell r="Q617">
            <v>7600</v>
          </cell>
        </row>
        <row r="618">
          <cell r="A618" t="str">
            <v>US28P015013201400029</v>
          </cell>
          <cell r="B618" t="str">
            <v>US28P01501</v>
          </cell>
          <cell r="C618">
            <v>3201400029</v>
          </cell>
          <cell r="D618" t="str">
            <v>OTH OUTSIDE SERVICES OTHER</v>
          </cell>
          <cell r="E618">
            <v>756</v>
          </cell>
          <cell r="F618">
            <v>395</v>
          </cell>
          <cell r="G618">
            <v>605</v>
          </cell>
          <cell r="H618">
            <v>1917</v>
          </cell>
          <cell r="I618">
            <v>116</v>
          </cell>
          <cell r="J618">
            <v>297</v>
          </cell>
          <cell r="K618">
            <v>576</v>
          </cell>
          <cell r="L618">
            <v>807</v>
          </cell>
          <cell r="M618">
            <v>862</v>
          </cell>
          <cell r="N618">
            <v>581</v>
          </cell>
          <cell r="O618">
            <v>415</v>
          </cell>
          <cell r="P618">
            <v>529</v>
          </cell>
          <cell r="Q618">
            <v>7856</v>
          </cell>
        </row>
        <row r="619">
          <cell r="A619" t="str">
            <v>US28P015503201400029</v>
          </cell>
          <cell r="B619" t="str">
            <v>US28P01550</v>
          </cell>
          <cell r="C619">
            <v>3201400029</v>
          </cell>
          <cell r="D619" t="str">
            <v>OTH OUTSIDE SERVICES OTHER</v>
          </cell>
          <cell r="E619">
            <v>0</v>
          </cell>
          <cell r="F619">
            <v>70</v>
          </cell>
          <cell r="G619">
            <v>0</v>
          </cell>
          <cell r="H619">
            <v>249</v>
          </cell>
          <cell r="I619">
            <v>0</v>
          </cell>
          <cell r="J619">
            <v>2730</v>
          </cell>
          <cell r="K619">
            <v>0</v>
          </cell>
          <cell r="L619">
            <v>0</v>
          </cell>
          <cell r="M619">
            <v>47600</v>
          </cell>
          <cell r="N619">
            <v>87161</v>
          </cell>
          <cell r="O619">
            <v>27270</v>
          </cell>
          <cell r="P619">
            <v>113579</v>
          </cell>
          <cell r="Q619">
            <v>278659</v>
          </cell>
        </row>
        <row r="620">
          <cell r="A620" t="str">
            <v>US28P015533201400029</v>
          </cell>
          <cell r="B620" t="str">
            <v>US28P01553</v>
          </cell>
          <cell r="C620">
            <v>3201400029</v>
          </cell>
          <cell r="D620" t="str">
            <v>OTH OUTSIDE SERVICES OTHER</v>
          </cell>
          <cell r="E620">
            <v>0</v>
          </cell>
          <cell r="F620">
            <v>3003</v>
          </cell>
          <cell r="G620">
            <v>0</v>
          </cell>
          <cell r="H620">
            <v>0</v>
          </cell>
          <cell r="I620">
            <v>0</v>
          </cell>
          <cell r="J620">
            <v>12000</v>
          </cell>
          <cell r="K620">
            <v>12</v>
          </cell>
          <cell r="L620">
            <v>138</v>
          </cell>
          <cell r="M620">
            <v>0</v>
          </cell>
          <cell r="N620">
            <v>0</v>
          </cell>
          <cell r="O620">
            <v>56</v>
          </cell>
          <cell r="P620">
            <v>92</v>
          </cell>
          <cell r="Q620">
            <v>15301</v>
          </cell>
        </row>
        <row r="621">
          <cell r="A621" t="str">
            <v>US28P015603201400029</v>
          </cell>
          <cell r="B621" t="str">
            <v>US28P01560</v>
          </cell>
          <cell r="C621">
            <v>3201400029</v>
          </cell>
          <cell r="D621" t="str">
            <v>OTH OUTSIDE SERVICES OTHER</v>
          </cell>
          <cell r="E621">
            <v>3746</v>
          </cell>
          <cell r="F621">
            <v>1300</v>
          </cell>
          <cell r="G621">
            <v>1250</v>
          </cell>
          <cell r="H621">
            <v>0</v>
          </cell>
          <cell r="I621">
            <v>1352</v>
          </cell>
          <cell r="J621">
            <v>0</v>
          </cell>
          <cell r="K621">
            <v>0</v>
          </cell>
          <cell r="L621">
            <v>0</v>
          </cell>
          <cell r="M621">
            <v>0</v>
          </cell>
          <cell r="N621">
            <v>0</v>
          </cell>
          <cell r="O621">
            <v>1250</v>
          </cell>
          <cell r="P621">
            <v>1800</v>
          </cell>
          <cell r="Q621">
            <v>10698</v>
          </cell>
        </row>
        <row r="622">
          <cell r="A622" t="str">
            <v>US28P015643201400029</v>
          </cell>
          <cell r="B622" t="str">
            <v>US28P01564</v>
          </cell>
          <cell r="C622">
            <v>3201400029</v>
          </cell>
          <cell r="D622" t="str">
            <v>OTH OUTSIDE SERVICES OTHER</v>
          </cell>
          <cell r="E622">
            <v>0</v>
          </cell>
          <cell r="F622">
            <v>0</v>
          </cell>
          <cell r="G622">
            <v>0</v>
          </cell>
          <cell r="H622">
            <v>4871</v>
          </cell>
          <cell r="I622">
            <v>0</v>
          </cell>
          <cell r="J622">
            <v>0</v>
          </cell>
          <cell r="K622">
            <v>10599</v>
          </cell>
          <cell r="L622">
            <v>0</v>
          </cell>
          <cell r="M622">
            <v>1870</v>
          </cell>
          <cell r="N622">
            <v>7687</v>
          </cell>
          <cell r="O622">
            <v>583</v>
          </cell>
          <cell r="P622">
            <v>0</v>
          </cell>
          <cell r="Q622">
            <v>25610</v>
          </cell>
        </row>
        <row r="623">
          <cell r="A623" t="str">
            <v>US28P015753201400029</v>
          </cell>
          <cell r="B623" t="str">
            <v>US28P01575</v>
          </cell>
          <cell r="C623">
            <v>3201400029</v>
          </cell>
          <cell r="D623" t="str">
            <v>OTH OUTSIDE SERVICES OTHER</v>
          </cell>
          <cell r="E623">
            <v>0</v>
          </cell>
          <cell r="F623">
            <v>0</v>
          </cell>
          <cell r="G623">
            <v>0</v>
          </cell>
          <cell r="H623">
            <v>0</v>
          </cell>
          <cell r="I623">
            <v>0</v>
          </cell>
          <cell r="J623">
            <v>0</v>
          </cell>
          <cell r="K623">
            <v>0</v>
          </cell>
          <cell r="L623">
            <v>7200</v>
          </cell>
          <cell r="M623">
            <v>0</v>
          </cell>
          <cell r="N623">
            <v>0</v>
          </cell>
          <cell r="O623">
            <v>0</v>
          </cell>
          <cell r="P623">
            <v>1525</v>
          </cell>
          <cell r="Q623">
            <v>8725</v>
          </cell>
        </row>
        <row r="624">
          <cell r="A624" t="str">
            <v>US35P015013201400029</v>
          </cell>
          <cell r="B624" t="str">
            <v>US35P01501</v>
          </cell>
          <cell r="C624">
            <v>3201400029</v>
          </cell>
          <cell r="D624" t="str">
            <v>OTH OUTSIDE SERVICES OTHER</v>
          </cell>
          <cell r="E624">
            <v>1171</v>
          </cell>
          <cell r="F624">
            <v>743</v>
          </cell>
          <cell r="G624">
            <v>2854</v>
          </cell>
          <cell r="H624">
            <v>2036</v>
          </cell>
          <cell r="I624">
            <v>1714</v>
          </cell>
          <cell r="J624">
            <v>524</v>
          </cell>
          <cell r="K624">
            <v>867</v>
          </cell>
          <cell r="L624">
            <v>969</v>
          </cell>
          <cell r="M624">
            <v>1234</v>
          </cell>
          <cell r="N624">
            <v>2775</v>
          </cell>
          <cell r="O624">
            <v>7518</v>
          </cell>
          <cell r="P624">
            <v>1414</v>
          </cell>
          <cell r="Q624">
            <v>23819</v>
          </cell>
        </row>
        <row r="625">
          <cell r="A625" t="str">
            <v>US35P015503201400029</v>
          </cell>
          <cell r="B625" t="str">
            <v>US35P01550</v>
          </cell>
          <cell r="C625">
            <v>3201400029</v>
          </cell>
          <cell r="D625" t="str">
            <v>OTH OUTSIDE SERVICES OTHER</v>
          </cell>
          <cell r="E625">
            <v>0</v>
          </cell>
          <cell r="F625">
            <v>0</v>
          </cell>
          <cell r="G625">
            <v>335</v>
          </cell>
          <cell r="H625">
            <v>0</v>
          </cell>
          <cell r="I625">
            <v>329</v>
          </cell>
          <cell r="J625">
            <v>35</v>
          </cell>
          <cell r="K625">
            <v>0</v>
          </cell>
          <cell r="L625">
            <v>93</v>
          </cell>
          <cell r="M625">
            <v>187</v>
          </cell>
          <cell r="N625">
            <v>384300</v>
          </cell>
          <cell r="O625">
            <v>0</v>
          </cell>
          <cell r="P625">
            <v>0</v>
          </cell>
          <cell r="Q625">
            <v>385279</v>
          </cell>
        </row>
        <row r="626">
          <cell r="A626" t="str">
            <v>US35P015533201400029</v>
          </cell>
          <cell r="B626" t="str">
            <v>US35P01553</v>
          </cell>
          <cell r="C626">
            <v>3201400029</v>
          </cell>
          <cell r="D626" t="str">
            <v>OTH OUTSIDE SERVICES OTHER</v>
          </cell>
          <cell r="E626">
            <v>0</v>
          </cell>
          <cell r="F626">
            <v>0</v>
          </cell>
          <cell r="G626">
            <v>0</v>
          </cell>
          <cell r="H626">
            <v>0</v>
          </cell>
          <cell r="I626">
            <v>0</v>
          </cell>
          <cell r="J626">
            <v>274</v>
          </cell>
          <cell r="K626">
            <v>2095</v>
          </cell>
          <cell r="L626">
            <v>269</v>
          </cell>
          <cell r="M626">
            <v>250</v>
          </cell>
          <cell r="N626">
            <v>0</v>
          </cell>
          <cell r="O626">
            <v>0</v>
          </cell>
          <cell r="P626">
            <v>0</v>
          </cell>
          <cell r="Q626">
            <v>2888</v>
          </cell>
        </row>
        <row r="627">
          <cell r="A627" t="str">
            <v>US35P015603201400029</v>
          </cell>
          <cell r="B627" t="str">
            <v>US35P01560</v>
          </cell>
          <cell r="C627">
            <v>3201400029</v>
          </cell>
          <cell r="D627" t="str">
            <v>OTH OUTSIDE SERVICES OTHER</v>
          </cell>
          <cell r="E627">
            <v>13355</v>
          </cell>
          <cell r="F627">
            <v>1958</v>
          </cell>
          <cell r="G627">
            <v>1521</v>
          </cell>
          <cell r="H627">
            <v>2463</v>
          </cell>
          <cell r="I627">
            <v>1461</v>
          </cell>
          <cell r="J627">
            <v>1116</v>
          </cell>
          <cell r="K627">
            <v>3561</v>
          </cell>
          <cell r="L627">
            <v>1637</v>
          </cell>
          <cell r="M627">
            <v>8666</v>
          </cell>
          <cell r="N627">
            <v>3229</v>
          </cell>
          <cell r="O627">
            <v>8154</v>
          </cell>
          <cell r="P627">
            <v>5780</v>
          </cell>
          <cell r="Q627">
            <v>52901</v>
          </cell>
        </row>
        <row r="628">
          <cell r="A628" t="str">
            <v>US35P015643201400029</v>
          </cell>
          <cell r="B628" t="str">
            <v>US35P01564</v>
          </cell>
          <cell r="C628">
            <v>3201400029</v>
          </cell>
          <cell r="D628" t="str">
            <v>OTH OUTSIDE SERVICES OTHER</v>
          </cell>
          <cell r="E628">
            <v>3518</v>
          </cell>
          <cell r="F628">
            <v>0</v>
          </cell>
          <cell r="G628">
            <v>0</v>
          </cell>
          <cell r="H628">
            <v>7059</v>
          </cell>
          <cell r="I628">
            <v>4615</v>
          </cell>
          <cell r="J628">
            <v>17632</v>
          </cell>
          <cell r="K628">
            <v>13461</v>
          </cell>
          <cell r="L628">
            <v>4841</v>
          </cell>
          <cell r="M628">
            <v>36336</v>
          </cell>
          <cell r="N628">
            <v>6358</v>
          </cell>
          <cell r="O628">
            <v>194047</v>
          </cell>
          <cell r="P628">
            <v>8670</v>
          </cell>
          <cell r="Q628">
            <v>296537</v>
          </cell>
        </row>
        <row r="629">
          <cell r="A629" t="str">
            <v>US35P015753201400029</v>
          </cell>
          <cell r="B629" t="str">
            <v>US35P01575</v>
          </cell>
          <cell r="C629">
            <v>3201400029</v>
          </cell>
          <cell r="D629" t="str">
            <v>OTH OUTSIDE SERVICES OTHER</v>
          </cell>
          <cell r="E629">
            <v>13450</v>
          </cell>
          <cell r="F629">
            <v>1712</v>
          </cell>
          <cell r="G629">
            <v>7498</v>
          </cell>
          <cell r="H629">
            <v>1093</v>
          </cell>
          <cell r="I629">
            <v>3236</v>
          </cell>
          <cell r="J629">
            <v>0</v>
          </cell>
          <cell r="K629">
            <v>1114</v>
          </cell>
          <cell r="L629">
            <v>1083</v>
          </cell>
          <cell r="M629">
            <v>0</v>
          </cell>
          <cell r="N629">
            <v>0</v>
          </cell>
          <cell r="O629">
            <v>0</v>
          </cell>
          <cell r="P629">
            <v>0</v>
          </cell>
          <cell r="Q629">
            <v>29186</v>
          </cell>
        </row>
        <row r="630">
          <cell r="A630" t="str">
            <v>US35P015903201400029</v>
          </cell>
          <cell r="B630" t="str">
            <v>US35P01590</v>
          </cell>
          <cell r="C630">
            <v>3201400029</v>
          </cell>
          <cell r="D630" t="str">
            <v>OTH OUTSIDE SERVICES OTHER</v>
          </cell>
          <cell r="E630">
            <v>0</v>
          </cell>
          <cell r="F630">
            <v>0</v>
          </cell>
          <cell r="G630">
            <v>0</v>
          </cell>
          <cell r="H630">
            <v>0</v>
          </cell>
          <cell r="I630">
            <v>0</v>
          </cell>
          <cell r="J630">
            <v>0</v>
          </cell>
          <cell r="K630">
            <v>0</v>
          </cell>
          <cell r="L630">
            <v>0</v>
          </cell>
          <cell r="M630">
            <v>0</v>
          </cell>
          <cell r="N630">
            <v>0</v>
          </cell>
          <cell r="O630">
            <v>0</v>
          </cell>
          <cell r="P630">
            <v>83</v>
          </cell>
          <cell r="Q630">
            <v>83</v>
          </cell>
        </row>
        <row r="631">
          <cell r="A631" t="str">
            <v>USWOP015013201400029</v>
          </cell>
          <cell r="B631" t="str">
            <v>USWOP01501</v>
          </cell>
          <cell r="C631">
            <v>3201400029</v>
          </cell>
          <cell r="D631" t="str">
            <v>OTH OUTSIDE SERVICES OTHER</v>
          </cell>
          <cell r="E631">
            <v>1607</v>
          </cell>
          <cell r="F631">
            <v>5142</v>
          </cell>
          <cell r="G631">
            <v>5654</v>
          </cell>
          <cell r="H631">
            <v>798</v>
          </cell>
          <cell r="I631">
            <v>1683</v>
          </cell>
          <cell r="J631">
            <v>1637</v>
          </cell>
          <cell r="K631">
            <v>1833</v>
          </cell>
          <cell r="L631">
            <v>4099</v>
          </cell>
          <cell r="M631">
            <v>3342</v>
          </cell>
          <cell r="N631">
            <v>1419</v>
          </cell>
          <cell r="O631">
            <v>9944</v>
          </cell>
          <cell r="P631">
            <v>1367</v>
          </cell>
          <cell r="Q631">
            <v>38525</v>
          </cell>
        </row>
        <row r="632">
          <cell r="A632" t="str">
            <v>USWOP015503201400029</v>
          </cell>
          <cell r="B632" t="str">
            <v>USWOP01550</v>
          </cell>
          <cell r="C632">
            <v>3201400029</v>
          </cell>
          <cell r="D632" t="str">
            <v>OTH OUTSIDE SERVICES OTHER</v>
          </cell>
          <cell r="E632">
            <v>107</v>
          </cell>
          <cell r="F632">
            <v>0</v>
          </cell>
          <cell r="G632">
            <v>0</v>
          </cell>
          <cell r="H632">
            <v>50</v>
          </cell>
          <cell r="I632">
            <v>0</v>
          </cell>
          <cell r="J632">
            <v>0</v>
          </cell>
          <cell r="K632">
            <v>0</v>
          </cell>
          <cell r="L632">
            <v>0</v>
          </cell>
          <cell r="M632">
            <v>80101</v>
          </cell>
          <cell r="N632">
            <v>318856</v>
          </cell>
          <cell r="O632">
            <v>0</v>
          </cell>
          <cell r="P632">
            <v>0</v>
          </cell>
          <cell r="Q632">
            <v>399114</v>
          </cell>
        </row>
        <row r="633">
          <cell r="A633" t="str">
            <v>USWOP015603201400029</v>
          </cell>
          <cell r="B633" t="str">
            <v>USWOP01560</v>
          </cell>
          <cell r="C633">
            <v>3201400029</v>
          </cell>
          <cell r="D633" t="str">
            <v>OTH OUTSIDE SERVICES OTHER</v>
          </cell>
          <cell r="E633">
            <v>3488</v>
          </cell>
          <cell r="F633">
            <v>0</v>
          </cell>
          <cell r="G633">
            <v>730</v>
          </cell>
          <cell r="H633">
            <v>666</v>
          </cell>
          <cell r="I633">
            <v>2064</v>
          </cell>
          <cell r="J633">
            <v>455</v>
          </cell>
          <cell r="K633">
            <v>0</v>
          </cell>
          <cell r="L633">
            <v>0</v>
          </cell>
          <cell r="M633">
            <v>707</v>
          </cell>
          <cell r="N633">
            <v>6909</v>
          </cell>
          <cell r="O633">
            <v>3243</v>
          </cell>
          <cell r="P633">
            <v>3234</v>
          </cell>
          <cell r="Q633">
            <v>21496</v>
          </cell>
        </row>
        <row r="634">
          <cell r="A634" t="str">
            <v>USWOP015643201400029</v>
          </cell>
          <cell r="B634" t="str">
            <v>USWOP01564</v>
          </cell>
          <cell r="C634">
            <v>3201400029</v>
          </cell>
          <cell r="D634" t="str">
            <v>OTH OUTSIDE SERVICES OTHER</v>
          </cell>
          <cell r="E634">
            <v>141</v>
          </cell>
          <cell r="F634">
            <v>50</v>
          </cell>
          <cell r="G634">
            <v>161</v>
          </cell>
          <cell r="H634">
            <v>0</v>
          </cell>
          <cell r="I634">
            <v>0</v>
          </cell>
          <cell r="J634">
            <v>0</v>
          </cell>
          <cell r="K634">
            <v>0</v>
          </cell>
          <cell r="L634">
            <v>896</v>
          </cell>
          <cell r="M634">
            <v>499</v>
          </cell>
          <cell r="N634">
            <v>1158</v>
          </cell>
          <cell r="O634">
            <v>49968</v>
          </cell>
          <cell r="P634">
            <v>101</v>
          </cell>
          <cell r="Q634">
            <v>52974</v>
          </cell>
        </row>
        <row r="635">
          <cell r="A635" t="str">
            <v>USWOP015753201400029</v>
          </cell>
          <cell r="B635" t="str">
            <v>USWOP01575</v>
          </cell>
          <cell r="C635">
            <v>3201400029</v>
          </cell>
          <cell r="D635" t="str">
            <v>OTH OUTSIDE SERVICES OTHER</v>
          </cell>
          <cell r="E635">
            <v>3048</v>
          </cell>
          <cell r="F635">
            <v>0</v>
          </cell>
          <cell r="G635">
            <v>2237</v>
          </cell>
          <cell r="H635">
            <v>1000</v>
          </cell>
          <cell r="I635">
            <v>0</v>
          </cell>
          <cell r="J635">
            <v>168</v>
          </cell>
          <cell r="K635">
            <v>0</v>
          </cell>
          <cell r="L635">
            <v>0</v>
          </cell>
          <cell r="M635">
            <v>0</v>
          </cell>
          <cell r="N635">
            <v>0</v>
          </cell>
          <cell r="O635">
            <v>0</v>
          </cell>
          <cell r="P635">
            <v>0</v>
          </cell>
          <cell r="Q635">
            <v>6453</v>
          </cell>
        </row>
        <row r="636">
          <cell r="A636" t="str">
            <v>US59P015013201400029</v>
          </cell>
          <cell r="B636" t="str">
            <v>US59P01501</v>
          </cell>
          <cell r="C636">
            <v>3201400029</v>
          </cell>
          <cell r="D636" t="str">
            <v>OTH OUTSIDE SERVICES OTHER</v>
          </cell>
          <cell r="E636">
            <v>0</v>
          </cell>
          <cell r="F636">
            <v>1075</v>
          </cell>
          <cell r="G636">
            <v>560</v>
          </cell>
          <cell r="H636">
            <v>1875</v>
          </cell>
          <cell r="I636">
            <v>1875</v>
          </cell>
          <cell r="J636">
            <v>514</v>
          </cell>
          <cell r="K636">
            <v>1875</v>
          </cell>
          <cell r="L636">
            <v>0</v>
          </cell>
          <cell r="M636">
            <v>1875</v>
          </cell>
          <cell r="N636">
            <v>6095</v>
          </cell>
          <cell r="O636">
            <v>5157</v>
          </cell>
          <cell r="P636">
            <v>-2557</v>
          </cell>
          <cell r="Q636">
            <v>18344</v>
          </cell>
        </row>
        <row r="637">
          <cell r="A637" t="str">
            <v>US59P015503201400029</v>
          </cell>
          <cell r="B637" t="str">
            <v>US59P01550</v>
          </cell>
          <cell r="C637">
            <v>3201400029</v>
          </cell>
          <cell r="D637" t="str">
            <v>OTH OUTSIDE SERVICES OTHER</v>
          </cell>
          <cell r="E637">
            <v>-138</v>
          </cell>
          <cell r="F637">
            <v>0</v>
          </cell>
          <cell r="G637">
            <v>0</v>
          </cell>
          <cell r="H637">
            <v>0</v>
          </cell>
          <cell r="I637">
            <v>270</v>
          </cell>
          <cell r="J637">
            <v>373</v>
          </cell>
          <cell r="K637">
            <v>29</v>
          </cell>
          <cell r="L637">
            <v>0</v>
          </cell>
          <cell r="M637">
            <v>1400</v>
          </cell>
          <cell r="N637">
            <v>100</v>
          </cell>
          <cell r="O637">
            <v>2400</v>
          </cell>
          <cell r="P637">
            <v>0</v>
          </cell>
          <cell r="Q637">
            <v>4434</v>
          </cell>
        </row>
        <row r="638">
          <cell r="A638" t="str">
            <v>US59P015533201400029</v>
          </cell>
          <cell r="B638" t="str">
            <v>US59P01553</v>
          </cell>
          <cell r="C638">
            <v>3201400029</v>
          </cell>
          <cell r="D638" t="str">
            <v>OTH OUTSIDE SERVICES OTHER</v>
          </cell>
          <cell r="E638">
            <v>0</v>
          </cell>
          <cell r="F638">
            <v>0</v>
          </cell>
          <cell r="G638">
            <v>0</v>
          </cell>
          <cell r="H638">
            <v>0</v>
          </cell>
          <cell r="I638">
            <v>265</v>
          </cell>
          <cell r="J638">
            <v>172</v>
          </cell>
          <cell r="K638">
            <v>0</v>
          </cell>
          <cell r="L638">
            <v>284</v>
          </cell>
          <cell r="M638">
            <v>140</v>
          </cell>
          <cell r="N638">
            <v>0</v>
          </cell>
          <cell r="O638">
            <v>0</v>
          </cell>
          <cell r="P638">
            <v>0</v>
          </cell>
          <cell r="Q638">
            <v>861</v>
          </cell>
        </row>
        <row r="639">
          <cell r="A639" t="str">
            <v>US59P015643201400029</v>
          </cell>
          <cell r="B639" t="str">
            <v>US59P01564</v>
          </cell>
          <cell r="C639">
            <v>3201400029</v>
          </cell>
          <cell r="D639" t="str">
            <v>OTH OUTSIDE SERVICES OTHER</v>
          </cell>
          <cell r="E639">
            <v>0</v>
          </cell>
          <cell r="F639">
            <v>0</v>
          </cell>
          <cell r="G639">
            <v>0</v>
          </cell>
          <cell r="H639">
            <v>0</v>
          </cell>
          <cell r="I639">
            <v>0</v>
          </cell>
          <cell r="J639">
            <v>105</v>
          </cell>
          <cell r="K639">
            <v>0</v>
          </cell>
          <cell r="L639">
            <v>1073</v>
          </cell>
          <cell r="M639">
            <v>2893</v>
          </cell>
          <cell r="N639">
            <v>1745</v>
          </cell>
          <cell r="O639">
            <v>0</v>
          </cell>
          <cell r="P639">
            <v>0</v>
          </cell>
          <cell r="Q639">
            <v>5816</v>
          </cell>
        </row>
        <row r="640">
          <cell r="A640" t="str">
            <v>US59P3C5013201400029</v>
          </cell>
          <cell r="B640" t="str">
            <v>US59P3C501</v>
          </cell>
          <cell r="C640">
            <v>3201400029</v>
          </cell>
          <cell r="D640" t="str">
            <v>OTH OUTSIDE SERVICES OTHER</v>
          </cell>
          <cell r="E640">
            <v>0</v>
          </cell>
          <cell r="F640">
            <v>0</v>
          </cell>
          <cell r="G640">
            <v>0</v>
          </cell>
          <cell r="H640">
            <v>0</v>
          </cell>
          <cell r="I640">
            <v>0</v>
          </cell>
          <cell r="J640">
            <v>0</v>
          </cell>
          <cell r="K640">
            <v>0</v>
          </cell>
          <cell r="L640">
            <v>0</v>
          </cell>
          <cell r="M640">
            <v>0</v>
          </cell>
          <cell r="N640">
            <v>2345</v>
          </cell>
          <cell r="O640">
            <v>0</v>
          </cell>
          <cell r="P640">
            <v>2648</v>
          </cell>
          <cell r="Q640">
            <v>4993</v>
          </cell>
        </row>
        <row r="641">
          <cell r="A641" t="str">
            <v>US59P3C5503201400029</v>
          </cell>
          <cell r="B641" t="str">
            <v>US59P3C550</v>
          </cell>
          <cell r="C641">
            <v>3201400029</v>
          </cell>
          <cell r="D641" t="str">
            <v>OTH OUTSIDE SERVICES OTHER</v>
          </cell>
          <cell r="E641">
            <v>0</v>
          </cell>
          <cell r="F641">
            <v>0</v>
          </cell>
          <cell r="G641">
            <v>46</v>
          </cell>
          <cell r="H641">
            <v>794</v>
          </cell>
          <cell r="I641">
            <v>0</v>
          </cell>
          <cell r="J641">
            <v>306</v>
          </cell>
          <cell r="K641">
            <v>55</v>
          </cell>
          <cell r="L641">
            <v>0</v>
          </cell>
          <cell r="M641">
            <v>0</v>
          </cell>
          <cell r="N641">
            <v>0</v>
          </cell>
          <cell r="O641">
            <v>0</v>
          </cell>
          <cell r="P641">
            <v>104</v>
          </cell>
          <cell r="Q641">
            <v>1305</v>
          </cell>
        </row>
        <row r="642">
          <cell r="A642" t="str">
            <v>US59P3C5603201400029</v>
          </cell>
          <cell r="B642" t="str">
            <v>US59P3C560</v>
          </cell>
          <cell r="C642">
            <v>3201400029</v>
          </cell>
          <cell r="D642" t="str">
            <v>OTH OUTSIDE SERVICES OTHER</v>
          </cell>
          <cell r="E642">
            <v>1856</v>
          </cell>
          <cell r="F642">
            <v>139</v>
          </cell>
          <cell r="G642">
            <v>0</v>
          </cell>
          <cell r="H642">
            <v>-77</v>
          </cell>
          <cell r="I642">
            <v>712</v>
          </cell>
          <cell r="J642">
            <v>0</v>
          </cell>
          <cell r="K642">
            <v>0</v>
          </cell>
          <cell r="L642">
            <v>0</v>
          </cell>
          <cell r="M642">
            <v>0</v>
          </cell>
          <cell r="N642">
            <v>0</v>
          </cell>
          <cell r="O642">
            <v>0</v>
          </cell>
          <cell r="P642">
            <v>0</v>
          </cell>
          <cell r="Q642">
            <v>2630</v>
          </cell>
        </row>
        <row r="643">
          <cell r="A643" t="str">
            <v>USSTP015013201400029</v>
          </cell>
          <cell r="B643" t="str">
            <v>USSTP01501</v>
          </cell>
          <cell r="C643">
            <v>3201400029</v>
          </cell>
          <cell r="D643" t="str">
            <v>OTH OUTSIDE SERVICES OTHER</v>
          </cell>
          <cell r="E643">
            <v>0</v>
          </cell>
          <cell r="F643">
            <v>0</v>
          </cell>
          <cell r="G643">
            <v>0</v>
          </cell>
          <cell r="H643">
            <v>0</v>
          </cell>
          <cell r="I643">
            <v>1215</v>
          </cell>
          <cell r="J643">
            <v>1371</v>
          </cell>
          <cell r="K643">
            <v>0</v>
          </cell>
          <cell r="L643">
            <v>0</v>
          </cell>
          <cell r="M643">
            <v>0</v>
          </cell>
          <cell r="N643">
            <v>900</v>
          </cell>
          <cell r="O643">
            <v>0</v>
          </cell>
          <cell r="P643">
            <v>2036</v>
          </cell>
          <cell r="Q643">
            <v>5522</v>
          </cell>
        </row>
        <row r="644">
          <cell r="A644" t="str">
            <v>USCOP015013201400029</v>
          </cell>
          <cell r="B644" t="str">
            <v>USCOP01501</v>
          </cell>
          <cell r="C644">
            <v>3201400029</v>
          </cell>
          <cell r="D644" t="str">
            <v>OTH OUTSIDE SERVICES OTHER</v>
          </cell>
          <cell r="E644">
            <v>0</v>
          </cell>
          <cell r="F644">
            <v>0</v>
          </cell>
          <cell r="G644">
            <v>1230</v>
          </cell>
          <cell r="H644">
            <v>348</v>
          </cell>
          <cell r="I644">
            <v>0</v>
          </cell>
          <cell r="J644">
            <v>3912</v>
          </cell>
          <cell r="K644">
            <v>0</v>
          </cell>
          <cell r="L644">
            <v>900</v>
          </cell>
          <cell r="M644">
            <v>200</v>
          </cell>
          <cell r="N644">
            <v>3617</v>
          </cell>
          <cell r="O644">
            <v>734</v>
          </cell>
          <cell r="P644">
            <v>2696</v>
          </cell>
          <cell r="Q644">
            <v>13637</v>
          </cell>
        </row>
        <row r="645">
          <cell r="A645" t="str">
            <v>USCRP015013201400029</v>
          </cell>
          <cell r="B645" t="str">
            <v>USCRP01501</v>
          </cell>
          <cell r="C645">
            <v>3201400029</v>
          </cell>
          <cell r="D645" t="str">
            <v>OTH OUTSIDE SERVICES OTHER</v>
          </cell>
          <cell r="E645">
            <v>92</v>
          </cell>
          <cell r="F645">
            <v>2309</v>
          </cell>
          <cell r="G645">
            <v>1548</v>
          </cell>
          <cell r="H645">
            <v>3726</v>
          </cell>
          <cell r="I645">
            <v>5408</v>
          </cell>
          <cell r="J645">
            <v>3083</v>
          </cell>
          <cell r="K645">
            <v>1243</v>
          </cell>
          <cell r="L645">
            <v>1214</v>
          </cell>
          <cell r="M645">
            <v>2018</v>
          </cell>
          <cell r="N645">
            <v>1550</v>
          </cell>
          <cell r="O645">
            <v>1882</v>
          </cell>
          <cell r="P645">
            <v>1566</v>
          </cell>
          <cell r="Q645">
            <v>25639</v>
          </cell>
        </row>
        <row r="646">
          <cell r="A646" t="str">
            <v>USCRP015603201400029</v>
          </cell>
          <cell r="B646" t="str">
            <v>USCRP01560</v>
          </cell>
          <cell r="C646">
            <v>3201400029</v>
          </cell>
          <cell r="D646" t="str">
            <v>OTH OUTSIDE SERVICES OTHER</v>
          </cell>
          <cell r="E646">
            <v>0</v>
          </cell>
          <cell r="F646">
            <v>0</v>
          </cell>
          <cell r="G646">
            <v>0</v>
          </cell>
          <cell r="H646">
            <v>0</v>
          </cell>
          <cell r="I646">
            <v>0</v>
          </cell>
          <cell r="J646">
            <v>0</v>
          </cell>
          <cell r="K646">
            <v>0</v>
          </cell>
          <cell r="L646">
            <v>110</v>
          </cell>
          <cell r="M646">
            <v>0</v>
          </cell>
          <cell r="N646">
            <v>0</v>
          </cell>
          <cell r="O646">
            <v>171</v>
          </cell>
          <cell r="P646">
            <v>-171</v>
          </cell>
          <cell r="Q646">
            <v>110</v>
          </cell>
        </row>
        <row r="647">
          <cell r="A647" t="str">
            <v>US28P015013201400036</v>
          </cell>
          <cell r="B647" t="str">
            <v>US28P01501</v>
          </cell>
          <cell r="C647">
            <v>3201400036</v>
          </cell>
          <cell r="D647" t="str">
            <v>OTHER MAINTENANCE BUILDINGS</v>
          </cell>
          <cell r="E647">
            <v>0</v>
          </cell>
          <cell r="F647">
            <v>0</v>
          </cell>
          <cell r="G647">
            <v>0</v>
          </cell>
          <cell r="H647">
            <v>0</v>
          </cell>
          <cell r="I647">
            <v>103</v>
          </cell>
          <cell r="J647">
            <v>0</v>
          </cell>
          <cell r="K647">
            <v>1157</v>
          </cell>
          <cell r="L647">
            <v>0</v>
          </cell>
          <cell r="M647">
            <v>439</v>
          </cell>
          <cell r="N647">
            <v>0</v>
          </cell>
          <cell r="O647">
            <v>0</v>
          </cell>
          <cell r="P647">
            <v>3348</v>
          </cell>
          <cell r="Q647">
            <v>5047</v>
          </cell>
        </row>
        <row r="648">
          <cell r="A648" t="str">
            <v>US35P015013201400036</v>
          </cell>
          <cell r="B648" t="str">
            <v>US35P01501</v>
          </cell>
          <cell r="C648">
            <v>3201400036</v>
          </cell>
          <cell r="D648" t="str">
            <v>OTHER MAINTENANCE BUILDINGS</v>
          </cell>
          <cell r="E648">
            <v>0</v>
          </cell>
          <cell r="F648">
            <v>0</v>
          </cell>
          <cell r="G648">
            <v>0</v>
          </cell>
          <cell r="H648">
            <v>0</v>
          </cell>
          <cell r="I648">
            <v>197</v>
          </cell>
          <cell r="J648">
            <v>0</v>
          </cell>
          <cell r="K648">
            <v>0</v>
          </cell>
          <cell r="L648">
            <v>0</v>
          </cell>
          <cell r="M648">
            <v>0</v>
          </cell>
          <cell r="N648">
            <v>0</v>
          </cell>
          <cell r="O648">
            <v>0</v>
          </cell>
          <cell r="P648">
            <v>0</v>
          </cell>
          <cell r="Q648">
            <v>197</v>
          </cell>
        </row>
        <row r="649">
          <cell r="A649" t="str">
            <v>USWOP015013201400036</v>
          </cell>
          <cell r="B649" t="str">
            <v>USWOP01501</v>
          </cell>
          <cell r="C649">
            <v>3201400036</v>
          </cell>
          <cell r="D649" t="str">
            <v>OTHER MAINTENANCE BUILDINGS</v>
          </cell>
          <cell r="E649">
            <v>127</v>
          </cell>
          <cell r="F649">
            <v>0</v>
          </cell>
          <cell r="G649">
            <v>251</v>
          </cell>
          <cell r="H649">
            <v>0</v>
          </cell>
          <cell r="I649">
            <v>0</v>
          </cell>
          <cell r="J649">
            <v>0</v>
          </cell>
          <cell r="K649">
            <v>2947</v>
          </cell>
          <cell r="L649">
            <v>0</v>
          </cell>
          <cell r="M649">
            <v>1301</v>
          </cell>
          <cell r="N649">
            <v>69</v>
          </cell>
          <cell r="O649">
            <v>0</v>
          </cell>
          <cell r="P649">
            <v>0</v>
          </cell>
          <cell r="Q649">
            <v>4695</v>
          </cell>
        </row>
        <row r="650">
          <cell r="A650" t="str">
            <v>USWOP015503201400036</v>
          </cell>
          <cell r="B650" t="str">
            <v>USWOP01550</v>
          </cell>
          <cell r="C650">
            <v>3201400036</v>
          </cell>
          <cell r="D650" t="str">
            <v>OTHER MAINTENANCE BUILDINGS</v>
          </cell>
          <cell r="E650">
            <v>0</v>
          </cell>
          <cell r="F650">
            <v>0</v>
          </cell>
          <cell r="G650">
            <v>0</v>
          </cell>
          <cell r="H650">
            <v>0</v>
          </cell>
          <cell r="I650">
            <v>68</v>
          </cell>
          <cell r="J650">
            <v>0</v>
          </cell>
          <cell r="K650">
            <v>0</v>
          </cell>
          <cell r="L650">
            <v>0</v>
          </cell>
          <cell r="M650">
            <v>0</v>
          </cell>
          <cell r="N650">
            <v>0</v>
          </cell>
          <cell r="O650">
            <v>0</v>
          </cell>
          <cell r="P650">
            <v>0</v>
          </cell>
          <cell r="Q650">
            <v>68</v>
          </cell>
        </row>
        <row r="651">
          <cell r="A651" t="str">
            <v>USWOP015603201400036</v>
          </cell>
          <cell r="B651" t="str">
            <v>USWOP01560</v>
          </cell>
          <cell r="C651">
            <v>3201400036</v>
          </cell>
          <cell r="D651" t="str">
            <v>OTHER MAINTENANCE BUILDINGS</v>
          </cell>
          <cell r="E651">
            <v>0</v>
          </cell>
          <cell r="F651">
            <v>0</v>
          </cell>
          <cell r="G651">
            <v>0</v>
          </cell>
          <cell r="H651">
            <v>0</v>
          </cell>
          <cell r="I651">
            <v>0</v>
          </cell>
          <cell r="J651">
            <v>0</v>
          </cell>
          <cell r="K651">
            <v>4300</v>
          </cell>
          <cell r="L651">
            <v>0</v>
          </cell>
          <cell r="M651">
            <v>0</v>
          </cell>
          <cell r="N651">
            <v>0</v>
          </cell>
          <cell r="O651">
            <v>0</v>
          </cell>
          <cell r="P651">
            <v>0</v>
          </cell>
          <cell r="Q651">
            <v>4300</v>
          </cell>
        </row>
        <row r="652">
          <cell r="A652" t="str">
            <v>USWOP015643201400036</v>
          </cell>
          <cell r="B652" t="str">
            <v>USWOP01564</v>
          </cell>
          <cell r="C652">
            <v>3201400036</v>
          </cell>
          <cell r="D652" t="str">
            <v>OTHER MAINTENANCE BUILDINGS</v>
          </cell>
          <cell r="E652">
            <v>216</v>
          </cell>
          <cell r="F652">
            <v>0</v>
          </cell>
          <cell r="G652">
            <v>0</v>
          </cell>
          <cell r="H652">
            <v>0</v>
          </cell>
          <cell r="I652">
            <v>0</v>
          </cell>
          <cell r="J652">
            <v>0</v>
          </cell>
          <cell r="K652">
            <v>0</v>
          </cell>
          <cell r="L652">
            <v>0</v>
          </cell>
          <cell r="M652">
            <v>0</v>
          </cell>
          <cell r="N652">
            <v>1112</v>
          </cell>
          <cell r="O652">
            <v>3093</v>
          </cell>
          <cell r="P652">
            <v>0</v>
          </cell>
          <cell r="Q652">
            <v>4421</v>
          </cell>
        </row>
        <row r="653">
          <cell r="A653" t="str">
            <v>US59P015013201400036</v>
          </cell>
          <cell r="B653" t="str">
            <v>US59P01501</v>
          </cell>
          <cell r="C653">
            <v>3201400036</v>
          </cell>
          <cell r="D653" t="str">
            <v>OTHER MAINTENANCE BUILDINGS</v>
          </cell>
          <cell r="E653">
            <v>0</v>
          </cell>
          <cell r="F653">
            <v>0</v>
          </cell>
          <cell r="G653">
            <v>0</v>
          </cell>
          <cell r="H653">
            <v>0</v>
          </cell>
          <cell r="I653">
            <v>2000</v>
          </cell>
          <cell r="J653">
            <v>0</v>
          </cell>
          <cell r="K653">
            <v>0</v>
          </cell>
          <cell r="L653">
            <v>0</v>
          </cell>
          <cell r="M653">
            <v>0</v>
          </cell>
          <cell r="N653">
            <v>0</v>
          </cell>
          <cell r="O653">
            <v>0</v>
          </cell>
          <cell r="P653">
            <v>0</v>
          </cell>
          <cell r="Q653">
            <v>2000</v>
          </cell>
        </row>
        <row r="654">
          <cell r="A654" t="str">
            <v>US59P015643201400036</v>
          </cell>
          <cell r="B654" t="str">
            <v>US59P01564</v>
          </cell>
          <cell r="C654">
            <v>3201400036</v>
          </cell>
          <cell r="D654" t="str">
            <v>OTHER MAINTENANCE BUILDINGS</v>
          </cell>
          <cell r="E654">
            <v>0</v>
          </cell>
          <cell r="F654">
            <v>0</v>
          </cell>
          <cell r="G654">
            <v>0</v>
          </cell>
          <cell r="H654">
            <v>0</v>
          </cell>
          <cell r="I654">
            <v>0</v>
          </cell>
          <cell r="J654">
            <v>0</v>
          </cell>
          <cell r="K654">
            <v>0</v>
          </cell>
          <cell r="L654">
            <v>0</v>
          </cell>
          <cell r="M654">
            <v>33205</v>
          </cell>
          <cell r="N654">
            <v>0</v>
          </cell>
          <cell r="O654">
            <v>0</v>
          </cell>
          <cell r="P654">
            <v>0</v>
          </cell>
          <cell r="Q654">
            <v>33205</v>
          </cell>
        </row>
        <row r="655">
          <cell r="A655" t="str">
            <v>US59P3C5603201400036</v>
          </cell>
          <cell r="B655" t="str">
            <v>US59P3C560</v>
          </cell>
          <cell r="C655">
            <v>3201400036</v>
          </cell>
          <cell r="D655" t="str">
            <v>OTHER MAINTENANCE BUILDINGS</v>
          </cell>
          <cell r="E655">
            <v>0</v>
          </cell>
          <cell r="F655">
            <v>0</v>
          </cell>
          <cell r="G655">
            <v>0</v>
          </cell>
          <cell r="H655">
            <v>0</v>
          </cell>
          <cell r="I655">
            <v>0</v>
          </cell>
          <cell r="J655">
            <v>0</v>
          </cell>
          <cell r="K655">
            <v>0</v>
          </cell>
          <cell r="L655">
            <v>0</v>
          </cell>
          <cell r="M655">
            <v>0</v>
          </cell>
          <cell r="N655">
            <v>0</v>
          </cell>
          <cell r="O655">
            <v>0</v>
          </cell>
          <cell r="P655">
            <v>1389</v>
          </cell>
          <cell r="Q655">
            <v>1389</v>
          </cell>
        </row>
        <row r="656">
          <cell r="A656" t="str">
            <v>USCRP015013201400036</v>
          </cell>
          <cell r="B656" t="str">
            <v>USCRP01501</v>
          </cell>
          <cell r="C656">
            <v>3201400036</v>
          </cell>
          <cell r="D656" t="str">
            <v>OTHER MAINTENANCE BUILDINGS</v>
          </cell>
          <cell r="E656">
            <v>2083</v>
          </cell>
          <cell r="F656">
            <v>749</v>
          </cell>
          <cell r="G656">
            <v>0</v>
          </cell>
          <cell r="H656">
            <v>3004</v>
          </cell>
          <cell r="I656">
            <v>2971</v>
          </cell>
          <cell r="J656">
            <v>3872</v>
          </cell>
          <cell r="K656">
            <v>2971</v>
          </cell>
          <cell r="L656">
            <v>8796</v>
          </cell>
          <cell r="M656">
            <v>2971</v>
          </cell>
          <cell r="N656">
            <v>2971</v>
          </cell>
          <cell r="O656">
            <v>4815</v>
          </cell>
          <cell r="P656">
            <v>-2329</v>
          </cell>
          <cell r="Q656">
            <v>32874</v>
          </cell>
        </row>
        <row r="657">
          <cell r="A657" t="str">
            <v>US22P015503201400050</v>
          </cell>
          <cell r="B657" t="str">
            <v>US22P01550</v>
          </cell>
          <cell r="C657">
            <v>3201400050</v>
          </cell>
          <cell r="D657" t="str">
            <v>MAINTENANCE FORKLIFTS</v>
          </cell>
          <cell r="E657">
            <v>0</v>
          </cell>
          <cell r="F657">
            <v>0</v>
          </cell>
          <cell r="G657">
            <v>0</v>
          </cell>
          <cell r="H657">
            <v>0</v>
          </cell>
          <cell r="I657">
            <v>0</v>
          </cell>
          <cell r="J657">
            <v>591</v>
          </cell>
          <cell r="K657">
            <v>0</v>
          </cell>
          <cell r="L657">
            <v>0</v>
          </cell>
          <cell r="M657">
            <v>0</v>
          </cell>
          <cell r="N657">
            <v>0</v>
          </cell>
          <cell r="O657">
            <v>0</v>
          </cell>
          <cell r="P657">
            <v>0</v>
          </cell>
          <cell r="Q657">
            <v>591</v>
          </cell>
        </row>
        <row r="658">
          <cell r="A658" t="str">
            <v>US35P015603201400050</v>
          </cell>
          <cell r="B658" t="str">
            <v>US35P01560</v>
          </cell>
          <cell r="C658">
            <v>3201400050</v>
          </cell>
          <cell r="D658" t="str">
            <v>MAINTENANCE FORKLIFTS</v>
          </cell>
          <cell r="E658">
            <v>0</v>
          </cell>
          <cell r="F658">
            <v>0</v>
          </cell>
          <cell r="G658">
            <v>0</v>
          </cell>
          <cell r="H658">
            <v>0</v>
          </cell>
          <cell r="I658">
            <v>0</v>
          </cell>
          <cell r="J658">
            <v>0</v>
          </cell>
          <cell r="K658">
            <v>0</v>
          </cell>
          <cell r="L658">
            <v>0</v>
          </cell>
          <cell r="M658">
            <v>0</v>
          </cell>
          <cell r="N658">
            <v>3368</v>
          </cell>
          <cell r="O658">
            <v>0</v>
          </cell>
          <cell r="P658">
            <v>0</v>
          </cell>
          <cell r="Q658">
            <v>3368</v>
          </cell>
        </row>
        <row r="659">
          <cell r="A659" t="str">
            <v>USCRP015643201400050</v>
          </cell>
          <cell r="B659" t="str">
            <v>USCRP01564</v>
          </cell>
          <cell r="C659">
            <v>3201400050</v>
          </cell>
          <cell r="D659" t="str">
            <v>MAINTENANCE FORKLIFTS</v>
          </cell>
          <cell r="E659">
            <v>0</v>
          </cell>
          <cell r="F659">
            <v>0</v>
          </cell>
          <cell r="G659">
            <v>0</v>
          </cell>
          <cell r="H659">
            <v>0</v>
          </cell>
          <cell r="I659">
            <v>0</v>
          </cell>
          <cell r="J659">
            <v>0</v>
          </cell>
          <cell r="K659">
            <v>0</v>
          </cell>
          <cell r="L659">
            <v>0</v>
          </cell>
          <cell r="M659">
            <v>41</v>
          </cell>
          <cell r="N659">
            <v>131</v>
          </cell>
          <cell r="O659">
            <v>0</v>
          </cell>
          <cell r="P659">
            <v>0</v>
          </cell>
          <cell r="Q659">
            <v>172</v>
          </cell>
        </row>
        <row r="660">
          <cell r="A660" t="str">
            <v>US22P015013201400051</v>
          </cell>
          <cell r="B660" t="str">
            <v>US22P01501</v>
          </cell>
          <cell r="C660">
            <v>3201400051</v>
          </cell>
          <cell r="D660" t="str">
            <v>MAINTENANCE EQUIPMENT</v>
          </cell>
          <cell r="E660">
            <v>2531</v>
          </cell>
          <cell r="F660">
            <v>259</v>
          </cell>
          <cell r="G660">
            <v>85</v>
          </cell>
          <cell r="H660">
            <v>0</v>
          </cell>
          <cell r="I660">
            <v>0</v>
          </cell>
          <cell r="J660">
            <v>0</v>
          </cell>
          <cell r="K660">
            <v>0</v>
          </cell>
          <cell r="L660">
            <v>292</v>
          </cell>
          <cell r="M660">
            <v>1624</v>
          </cell>
          <cell r="N660">
            <v>1247</v>
          </cell>
          <cell r="O660">
            <v>897</v>
          </cell>
          <cell r="P660">
            <v>2385</v>
          </cell>
          <cell r="Q660">
            <v>9320</v>
          </cell>
        </row>
        <row r="661">
          <cell r="A661" t="str">
            <v>US22P015503201400051</v>
          </cell>
          <cell r="B661" t="str">
            <v>US22P01550</v>
          </cell>
          <cell r="C661">
            <v>3201400051</v>
          </cell>
          <cell r="D661" t="str">
            <v>MAINTENANCE EQUIPMENT</v>
          </cell>
          <cell r="E661">
            <v>0</v>
          </cell>
          <cell r="F661">
            <v>0</v>
          </cell>
          <cell r="G661">
            <v>0</v>
          </cell>
          <cell r="H661">
            <v>0</v>
          </cell>
          <cell r="I661">
            <v>0</v>
          </cell>
          <cell r="J661">
            <v>0</v>
          </cell>
          <cell r="K661">
            <v>0</v>
          </cell>
          <cell r="L661">
            <v>0</v>
          </cell>
          <cell r="M661">
            <v>0</v>
          </cell>
          <cell r="N661">
            <v>0</v>
          </cell>
          <cell r="O661">
            <v>0</v>
          </cell>
          <cell r="P661">
            <v>111</v>
          </cell>
          <cell r="Q661">
            <v>111</v>
          </cell>
        </row>
        <row r="662">
          <cell r="A662" t="str">
            <v>US22P015533201400051</v>
          </cell>
          <cell r="B662" t="str">
            <v>US22P01553</v>
          </cell>
          <cell r="C662">
            <v>3201400051</v>
          </cell>
          <cell r="D662" t="str">
            <v>MAINTENANCE EQUIPMENT</v>
          </cell>
          <cell r="E662">
            <v>0</v>
          </cell>
          <cell r="F662">
            <v>0</v>
          </cell>
          <cell r="G662">
            <v>0</v>
          </cell>
          <cell r="H662">
            <v>0</v>
          </cell>
          <cell r="I662">
            <v>0</v>
          </cell>
          <cell r="J662">
            <v>0</v>
          </cell>
          <cell r="K662">
            <v>0</v>
          </cell>
          <cell r="L662">
            <v>0</v>
          </cell>
          <cell r="M662">
            <v>518</v>
          </cell>
          <cell r="N662">
            <v>0</v>
          </cell>
          <cell r="O662">
            <v>0</v>
          </cell>
          <cell r="P662">
            <v>0</v>
          </cell>
          <cell r="Q662">
            <v>518</v>
          </cell>
        </row>
        <row r="663">
          <cell r="A663" t="str">
            <v>US22P015603201400051</v>
          </cell>
          <cell r="B663" t="str">
            <v>US22P01560</v>
          </cell>
          <cell r="C663">
            <v>3201400051</v>
          </cell>
          <cell r="D663" t="str">
            <v>MAINTENANCE EQUIPMENT</v>
          </cell>
          <cell r="E663">
            <v>620</v>
          </cell>
          <cell r="F663">
            <v>665</v>
          </cell>
          <cell r="G663">
            <v>846</v>
          </cell>
          <cell r="H663">
            <v>0</v>
          </cell>
          <cell r="I663">
            <v>139</v>
          </cell>
          <cell r="J663">
            <v>30550</v>
          </cell>
          <cell r="K663">
            <v>30676</v>
          </cell>
          <cell r="L663">
            <v>797</v>
          </cell>
          <cell r="M663">
            <v>1870</v>
          </cell>
          <cell r="N663">
            <v>1734</v>
          </cell>
          <cell r="O663">
            <v>6296</v>
          </cell>
          <cell r="P663">
            <v>0</v>
          </cell>
          <cell r="Q663">
            <v>74193</v>
          </cell>
        </row>
        <row r="664">
          <cell r="A664" t="str">
            <v>US22P015643201400051</v>
          </cell>
          <cell r="B664" t="str">
            <v>US22P01564</v>
          </cell>
          <cell r="C664">
            <v>3201400051</v>
          </cell>
          <cell r="D664" t="str">
            <v>MAINTENANCE EQUIPMENT</v>
          </cell>
          <cell r="E664">
            <v>0</v>
          </cell>
          <cell r="F664">
            <v>140</v>
          </cell>
          <cell r="G664">
            <v>0</v>
          </cell>
          <cell r="H664">
            <v>0</v>
          </cell>
          <cell r="I664">
            <v>3437</v>
          </cell>
          <cell r="J664">
            <v>0</v>
          </cell>
          <cell r="K664">
            <v>731</v>
          </cell>
          <cell r="L664">
            <v>1373</v>
          </cell>
          <cell r="M664">
            <v>971</v>
          </cell>
          <cell r="N664">
            <v>1125</v>
          </cell>
          <cell r="O664">
            <v>4513</v>
          </cell>
          <cell r="P664">
            <v>3612</v>
          </cell>
          <cell r="Q664">
            <v>15902</v>
          </cell>
        </row>
        <row r="665">
          <cell r="A665" t="str">
            <v>US22P015753201400051</v>
          </cell>
          <cell r="B665" t="str">
            <v>US22P01575</v>
          </cell>
          <cell r="C665">
            <v>3201400051</v>
          </cell>
          <cell r="D665" t="str">
            <v>MAINTENANCE EQUIPMENT</v>
          </cell>
          <cell r="E665">
            <v>355</v>
          </cell>
          <cell r="F665">
            <v>4020</v>
          </cell>
          <cell r="G665">
            <v>2891</v>
          </cell>
          <cell r="H665">
            <v>547</v>
          </cell>
          <cell r="I665">
            <v>160</v>
          </cell>
          <cell r="J665">
            <v>0</v>
          </cell>
          <cell r="K665">
            <v>0</v>
          </cell>
          <cell r="L665">
            <v>1088</v>
          </cell>
          <cell r="M665">
            <v>347</v>
          </cell>
          <cell r="N665">
            <v>0</v>
          </cell>
          <cell r="O665">
            <v>0</v>
          </cell>
          <cell r="P665">
            <v>0</v>
          </cell>
          <cell r="Q665">
            <v>9408</v>
          </cell>
        </row>
        <row r="666">
          <cell r="A666" t="str">
            <v>US28P015013201400051</v>
          </cell>
          <cell r="B666" t="str">
            <v>US28P01501</v>
          </cell>
          <cell r="C666">
            <v>3201400051</v>
          </cell>
          <cell r="D666" t="str">
            <v>MAINTENANCE EQUIPMENT</v>
          </cell>
          <cell r="E666">
            <v>0</v>
          </cell>
          <cell r="F666">
            <v>0</v>
          </cell>
          <cell r="G666">
            <v>0</v>
          </cell>
          <cell r="H666">
            <v>250</v>
          </cell>
          <cell r="I666">
            <v>0</v>
          </cell>
          <cell r="J666">
            <v>0</v>
          </cell>
          <cell r="K666">
            <v>0</v>
          </cell>
          <cell r="L666">
            <v>45</v>
          </cell>
          <cell r="M666">
            <v>0</v>
          </cell>
          <cell r="N666">
            <v>0</v>
          </cell>
          <cell r="O666">
            <v>0</v>
          </cell>
          <cell r="P666">
            <v>287</v>
          </cell>
          <cell r="Q666">
            <v>582</v>
          </cell>
        </row>
        <row r="667">
          <cell r="A667" t="str">
            <v>US28P015533201400051</v>
          </cell>
          <cell r="B667" t="str">
            <v>US28P01553</v>
          </cell>
          <cell r="C667">
            <v>3201400051</v>
          </cell>
          <cell r="D667" t="str">
            <v>MAINTENANCE EQUIPMENT</v>
          </cell>
          <cell r="E667">
            <v>0</v>
          </cell>
          <cell r="F667">
            <v>0</v>
          </cell>
          <cell r="G667">
            <v>0</v>
          </cell>
          <cell r="H667">
            <v>0</v>
          </cell>
          <cell r="I667">
            <v>0</v>
          </cell>
          <cell r="J667">
            <v>0</v>
          </cell>
          <cell r="K667">
            <v>0</v>
          </cell>
          <cell r="L667">
            <v>87</v>
          </cell>
          <cell r="M667">
            <v>0</v>
          </cell>
          <cell r="N667">
            <v>0</v>
          </cell>
          <cell r="O667">
            <v>8067</v>
          </cell>
          <cell r="P667">
            <v>0</v>
          </cell>
          <cell r="Q667">
            <v>8154</v>
          </cell>
        </row>
        <row r="668">
          <cell r="A668" t="str">
            <v>US28P015603201400051</v>
          </cell>
          <cell r="B668" t="str">
            <v>US28P01560</v>
          </cell>
          <cell r="C668">
            <v>3201400051</v>
          </cell>
          <cell r="D668" t="str">
            <v>MAINTENANCE EQUIPMENT</v>
          </cell>
          <cell r="E668">
            <v>0</v>
          </cell>
          <cell r="F668">
            <v>0</v>
          </cell>
          <cell r="G668">
            <v>535</v>
          </cell>
          <cell r="H668">
            <v>3290</v>
          </cell>
          <cell r="I668">
            <v>1810</v>
          </cell>
          <cell r="J668">
            <v>0</v>
          </cell>
          <cell r="K668">
            <v>0</v>
          </cell>
          <cell r="L668">
            <v>-1270</v>
          </cell>
          <cell r="M668">
            <v>3067</v>
          </cell>
          <cell r="N668">
            <v>0</v>
          </cell>
          <cell r="O668">
            <v>882</v>
          </cell>
          <cell r="P668">
            <v>0</v>
          </cell>
          <cell r="Q668">
            <v>8314</v>
          </cell>
        </row>
        <row r="669">
          <cell r="A669" t="str">
            <v>US28P015643201400051</v>
          </cell>
          <cell r="B669" t="str">
            <v>US28P01564</v>
          </cell>
          <cell r="C669">
            <v>3201400051</v>
          </cell>
          <cell r="D669" t="str">
            <v>MAINTENANCE EQUIPMENT</v>
          </cell>
          <cell r="E669">
            <v>0</v>
          </cell>
          <cell r="F669">
            <v>0</v>
          </cell>
          <cell r="G669">
            <v>0</v>
          </cell>
          <cell r="H669">
            <v>0</v>
          </cell>
          <cell r="I669">
            <v>0</v>
          </cell>
          <cell r="J669">
            <v>2450</v>
          </cell>
          <cell r="K669">
            <v>2312</v>
          </cell>
          <cell r="L669">
            <v>8446</v>
          </cell>
          <cell r="M669">
            <v>552</v>
          </cell>
          <cell r="N669">
            <v>21863</v>
          </cell>
          <cell r="O669">
            <v>0</v>
          </cell>
          <cell r="P669">
            <v>9597</v>
          </cell>
          <cell r="Q669">
            <v>45220</v>
          </cell>
        </row>
        <row r="670">
          <cell r="A670" t="str">
            <v>US28P015903201400051</v>
          </cell>
          <cell r="B670" t="str">
            <v>US28P01590</v>
          </cell>
          <cell r="C670">
            <v>3201400051</v>
          </cell>
          <cell r="D670" t="str">
            <v>MAINTENANCE EQUIPMENT</v>
          </cell>
          <cell r="E670">
            <v>0</v>
          </cell>
          <cell r="F670">
            <v>0</v>
          </cell>
          <cell r="G670">
            <v>0</v>
          </cell>
          <cell r="H670">
            <v>0</v>
          </cell>
          <cell r="I670">
            <v>0</v>
          </cell>
          <cell r="J670">
            <v>0</v>
          </cell>
          <cell r="K670">
            <v>0</v>
          </cell>
          <cell r="L670">
            <v>0</v>
          </cell>
          <cell r="M670">
            <v>247</v>
          </cell>
          <cell r="N670">
            <v>0</v>
          </cell>
          <cell r="O670">
            <v>0</v>
          </cell>
          <cell r="P670">
            <v>0</v>
          </cell>
          <cell r="Q670">
            <v>247</v>
          </cell>
        </row>
        <row r="671">
          <cell r="A671" t="str">
            <v>US28P015923201400051</v>
          </cell>
          <cell r="B671" t="str">
            <v>US28P01592</v>
          </cell>
          <cell r="C671">
            <v>3201400051</v>
          </cell>
          <cell r="D671" t="str">
            <v>MAINTENANCE EQUIPMENT</v>
          </cell>
          <cell r="E671">
            <v>0</v>
          </cell>
          <cell r="F671">
            <v>0</v>
          </cell>
          <cell r="G671">
            <v>0</v>
          </cell>
          <cell r="H671">
            <v>0</v>
          </cell>
          <cell r="I671">
            <v>0</v>
          </cell>
          <cell r="J671">
            <v>0</v>
          </cell>
          <cell r="K671">
            <v>0</v>
          </cell>
          <cell r="L671">
            <v>0</v>
          </cell>
          <cell r="M671">
            <v>461</v>
          </cell>
          <cell r="N671">
            <v>0</v>
          </cell>
          <cell r="O671">
            <v>0</v>
          </cell>
          <cell r="P671">
            <v>0</v>
          </cell>
          <cell r="Q671">
            <v>461</v>
          </cell>
        </row>
        <row r="672">
          <cell r="A672" t="str">
            <v>US35P015013201400051</v>
          </cell>
          <cell r="B672" t="str">
            <v>US35P01501</v>
          </cell>
          <cell r="C672">
            <v>3201400051</v>
          </cell>
          <cell r="D672" t="str">
            <v>MAINTENANCE EQUIPMENT</v>
          </cell>
          <cell r="E672">
            <v>0</v>
          </cell>
          <cell r="F672">
            <v>0</v>
          </cell>
          <cell r="G672">
            <v>0</v>
          </cell>
          <cell r="H672">
            <v>0</v>
          </cell>
          <cell r="I672">
            <v>1202</v>
          </cell>
          <cell r="J672">
            <v>0</v>
          </cell>
          <cell r="K672">
            <v>0</v>
          </cell>
          <cell r="L672">
            <v>0</v>
          </cell>
          <cell r="M672">
            <v>0</v>
          </cell>
          <cell r="N672">
            <v>0</v>
          </cell>
          <cell r="O672">
            <v>0</v>
          </cell>
          <cell r="P672">
            <v>2167</v>
          </cell>
          <cell r="Q672">
            <v>3369</v>
          </cell>
        </row>
        <row r="673">
          <cell r="A673" t="str">
            <v>US35P015503201400051</v>
          </cell>
          <cell r="B673" t="str">
            <v>US35P01550</v>
          </cell>
          <cell r="C673">
            <v>3201400051</v>
          </cell>
          <cell r="D673" t="str">
            <v>MAINTENANCE EQUIPMENT</v>
          </cell>
          <cell r="E673">
            <v>0</v>
          </cell>
          <cell r="F673">
            <v>0</v>
          </cell>
          <cell r="G673">
            <v>0</v>
          </cell>
          <cell r="H673">
            <v>0</v>
          </cell>
          <cell r="I673">
            <v>1379</v>
          </cell>
          <cell r="J673">
            <v>0</v>
          </cell>
          <cell r="K673">
            <v>0</v>
          </cell>
          <cell r="L673">
            <v>0</v>
          </cell>
          <cell r="M673">
            <v>0</v>
          </cell>
          <cell r="N673">
            <v>0</v>
          </cell>
          <cell r="O673">
            <v>0</v>
          </cell>
          <cell r="P673">
            <v>0</v>
          </cell>
          <cell r="Q673">
            <v>1379</v>
          </cell>
        </row>
        <row r="674">
          <cell r="A674" t="str">
            <v>US35P015533201400051</v>
          </cell>
          <cell r="B674" t="str">
            <v>US35P01553</v>
          </cell>
          <cell r="C674">
            <v>3201400051</v>
          </cell>
          <cell r="D674" t="str">
            <v>MAINTENANCE EQUIPMENT</v>
          </cell>
          <cell r="E674">
            <v>172</v>
          </cell>
          <cell r="F674">
            <v>0</v>
          </cell>
          <cell r="G674">
            <v>0</v>
          </cell>
          <cell r="H674">
            <v>0</v>
          </cell>
          <cell r="I674">
            <v>0</v>
          </cell>
          <cell r="J674">
            <v>0</v>
          </cell>
          <cell r="K674">
            <v>213</v>
          </cell>
          <cell r="L674">
            <v>379</v>
          </cell>
          <cell r="M674">
            <v>0</v>
          </cell>
          <cell r="N674">
            <v>0</v>
          </cell>
          <cell r="O674">
            <v>0</v>
          </cell>
          <cell r="P674">
            <v>0</v>
          </cell>
          <cell r="Q674">
            <v>764</v>
          </cell>
        </row>
        <row r="675">
          <cell r="A675" t="str">
            <v>US35P015603201400051</v>
          </cell>
          <cell r="B675" t="str">
            <v>US35P01560</v>
          </cell>
          <cell r="C675">
            <v>3201400051</v>
          </cell>
          <cell r="D675" t="str">
            <v>MAINTENANCE EQUIPMENT</v>
          </cell>
          <cell r="E675">
            <v>1917</v>
          </cell>
          <cell r="F675">
            <v>167</v>
          </cell>
          <cell r="G675">
            <v>1227</v>
          </cell>
          <cell r="H675">
            <v>0</v>
          </cell>
          <cell r="I675">
            <v>1908</v>
          </cell>
          <cell r="J675">
            <v>9186</v>
          </cell>
          <cell r="K675">
            <v>0</v>
          </cell>
          <cell r="L675">
            <v>3788</v>
          </cell>
          <cell r="M675">
            <v>223</v>
          </cell>
          <cell r="N675">
            <v>9277</v>
          </cell>
          <cell r="O675">
            <v>2387</v>
          </cell>
          <cell r="P675">
            <v>33</v>
          </cell>
          <cell r="Q675">
            <v>30113</v>
          </cell>
        </row>
        <row r="676">
          <cell r="A676" t="str">
            <v>US35P015643201400051</v>
          </cell>
          <cell r="B676" t="str">
            <v>US35P01564</v>
          </cell>
          <cell r="C676">
            <v>3201400051</v>
          </cell>
          <cell r="D676" t="str">
            <v>MAINTENANCE EQUIPMENT</v>
          </cell>
          <cell r="E676">
            <v>0</v>
          </cell>
          <cell r="F676">
            <v>480</v>
          </cell>
          <cell r="G676">
            <v>0</v>
          </cell>
          <cell r="H676">
            <v>362</v>
          </cell>
          <cell r="I676">
            <v>14115</v>
          </cell>
          <cell r="J676">
            <v>13953</v>
          </cell>
          <cell r="K676">
            <v>0</v>
          </cell>
          <cell r="L676">
            <v>2852</v>
          </cell>
          <cell r="M676">
            <v>16004</v>
          </cell>
          <cell r="N676">
            <v>28608</v>
          </cell>
          <cell r="O676">
            <v>28906</v>
          </cell>
          <cell r="P676">
            <v>0</v>
          </cell>
          <cell r="Q676">
            <v>105280</v>
          </cell>
        </row>
        <row r="677">
          <cell r="A677" t="str">
            <v>US35P015753201400051</v>
          </cell>
          <cell r="B677" t="str">
            <v>US35P01575</v>
          </cell>
          <cell r="C677">
            <v>3201400051</v>
          </cell>
          <cell r="D677" t="str">
            <v>MAINTENANCE EQUIPMENT</v>
          </cell>
          <cell r="E677">
            <v>80</v>
          </cell>
          <cell r="F677">
            <v>34</v>
          </cell>
          <cell r="G677">
            <v>330</v>
          </cell>
          <cell r="H677">
            <v>0</v>
          </cell>
          <cell r="I677">
            <v>0</v>
          </cell>
          <cell r="J677">
            <v>2039</v>
          </cell>
          <cell r="K677">
            <v>0</v>
          </cell>
          <cell r="L677">
            <v>0</v>
          </cell>
          <cell r="M677">
            <v>0</v>
          </cell>
          <cell r="N677">
            <v>903</v>
          </cell>
          <cell r="O677">
            <v>0</v>
          </cell>
          <cell r="P677">
            <v>0</v>
          </cell>
          <cell r="Q677">
            <v>3386</v>
          </cell>
        </row>
        <row r="678">
          <cell r="A678" t="str">
            <v>US35P015903201400051</v>
          </cell>
          <cell r="B678" t="str">
            <v>US35P01590</v>
          </cell>
          <cell r="C678">
            <v>3201400051</v>
          </cell>
          <cell r="D678" t="str">
            <v>MAINTENANCE EQUIPMENT</v>
          </cell>
          <cell r="E678">
            <v>0</v>
          </cell>
          <cell r="F678">
            <v>0</v>
          </cell>
          <cell r="G678">
            <v>278</v>
          </cell>
          <cell r="H678">
            <v>0</v>
          </cell>
          <cell r="I678">
            <v>0</v>
          </cell>
          <cell r="J678">
            <v>0</v>
          </cell>
          <cell r="K678">
            <v>0</v>
          </cell>
          <cell r="L678">
            <v>64</v>
          </cell>
          <cell r="M678">
            <v>0</v>
          </cell>
          <cell r="N678">
            <v>0</v>
          </cell>
          <cell r="O678">
            <v>0</v>
          </cell>
          <cell r="P678">
            <v>0</v>
          </cell>
          <cell r="Q678">
            <v>342</v>
          </cell>
        </row>
        <row r="679">
          <cell r="A679" t="str">
            <v>USWOP015013201400051</v>
          </cell>
          <cell r="B679" t="str">
            <v>USWOP01501</v>
          </cell>
          <cell r="C679">
            <v>3201400051</v>
          </cell>
          <cell r="D679" t="str">
            <v>MAINTENANCE EQUIPMENT</v>
          </cell>
          <cell r="E679">
            <v>0</v>
          </cell>
          <cell r="F679">
            <v>0</v>
          </cell>
          <cell r="G679">
            <v>1026</v>
          </cell>
          <cell r="H679">
            <v>1027</v>
          </cell>
          <cell r="I679">
            <v>0</v>
          </cell>
          <cell r="J679">
            <v>0</v>
          </cell>
          <cell r="K679">
            <v>0</v>
          </cell>
          <cell r="L679">
            <v>78</v>
          </cell>
          <cell r="M679">
            <v>0</v>
          </cell>
          <cell r="N679">
            <v>770</v>
          </cell>
          <cell r="O679">
            <v>0</v>
          </cell>
          <cell r="P679">
            <v>0</v>
          </cell>
          <cell r="Q679">
            <v>2901</v>
          </cell>
        </row>
        <row r="680">
          <cell r="A680" t="str">
            <v>USWOP015603201400051</v>
          </cell>
          <cell r="B680" t="str">
            <v>USWOP01560</v>
          </cell>
          <cell r="C680">
            <v>3201400051</v>
          </cell>
          <cell r="D680" t="str">
            <v>MAINTENANCE EQUIPMENT</v>
          </cell>
          <cell r="E680">
            <v>435</v>
          </cell>
          <cell r="F680">
            <v>0</v>
          </cell>
          <cell r="G680">
            <v>19056</v>
          </cell>
          <cell r="H680">
            <v>0</v>
          </cell>
          <cell r="I680">
            <v>0</v>
          </cell>
          <cell r="J680">
            <v>0</v>
          </cell>
          <cell r="K680">
            <v>0</v>
          </cell>
          <cell r="L680">
            <v>337</v>
          </cell>
          <cell r="M680">
            <v>700</v>
          </cell>
          <cell r="N680">
            <v>0</v>
          </cell>
          <cell r="O680">
            <v>2282</v>
          </cell>
          <cell r="P680">
            <v>617</v>
          </cell>
          <cell r="Q680">
            <v>23427</v>
          </cell>
        </row>
        <row r="681">
          <cell r="A681" t="str">
            <v>USWOP015643201400051</v>
          </cell>
          <cell r="B681" t="str">
            <v>USWOP01564</v>
          </cell>
          <cell r="C681">
            <v>3201400051</v>
          </cell>
          <cell r="D681" t="str">
            <v>MAINTENANCE EQUIPMENT</v>
          </cell>
          <cell r="E681">
            <v>0</v>
          </cell>
          <cell r="F681">
            <v>0</v>
          </cell>
          <cell r="G681">
            <v>0</v>
          </cell>
          <cell r="H681">
            <v>0</v>
          </cell>
          <cell r="I681">
            <v>513</v>
          </cell>
          <cell r="J681">
            <v>802</v>
          </cell>
          <cell r="K681">
            <v>7812</v>
          </cell>
          <cell r="L681">
            <v>588</v>
          </cell>
          <cell r="M681">
            <v>1265</v>
          </cell>
          <cell r="N681">
            <v>3908</v>
          </cell>
          <cell r="O681">
            <v>348</v>
          </cell>
          <cell r="P681">
            <v>684</v>
          </cell>
          <cell r="Q681">
            <v>15920</v>
          </cell>
        </row>
        <row r="682">
          <cell r="A682" t="str">
            <v>US59P015013201400051</v>
          </cell>
          <cell r="B682" t="str">
            <v>US59P01501</v>
          </cell>
          <cell r="C682">
            <v>3201400051</v>
          </cell>
          <cell r="D682" t="str">
            <v>MAINTENANCE EQUIPMENT</v>
          </cell>
          <cell r="E682">
            <v>0</v>
          </cell>
          <cell r="F682">
            <v>0</v>
          </cell>
          <cell r="G682">
            <v>1096</v>
          </cell>
          <cell r="H682">
            <v>720</v>
          </cell>
          <cell r="I682">
            <v>0</v>
          </cell>
          <cell r="J682">
            <v>70</v>
          </cell>
          <cell r="K682">
            <v>350</v>
          </cell>
          <cell r="L682">
            <v>0</v>
          </cell>
          <cell r="M682">
            <v>0</v>
          </cell>
          <cell r="N682">
            <v>0</v>
          </cell>
          <cell r="O682">
            <v>1096</v>
          </cell>
          <cell r="P682">
            <v>200</v>
          </cell>
          <cell r="Q682">
            <v>3532</v>
          </cell>
        </row>
        <row r="683">
          <cell r="A683" t="str">
            <v>US59P015503201400051</v>
          </cell>
          <cell r="B683" t="str">
            <v>US59P01550</v>
          </cell>
          <cell r="C683">
            <v>3201400051</v>
          </cell>
          <cell r="D683" t="str">
            <v>MAINTENANCE EQUIPMENT</v>
          </cell>
          <cell r="E683">
            <v>323</v>
          </cell>
          <cell r="F683">
            <v>75</v>
          </cell>
          <cell r="G683">
            <v>0</v>
          </cell>
          <cell r="H683">
            <v>264</v>
          </cell>
          <cell r="I683">
            <v>323</v>
          </cell>
          <cell r="J683">
            <v>41</v>
          </cell>
          <cell r="K683">
            <v>0</v>
          </cell>
          <cell r="L683">
            <v>3324</v>
          </cell>
          <cell r="M683">
            <v>2850</v>
          </cell>
          <cell r="N683">
            <v>0</v>
          </cell>
          <cell r="O683">
            <v>1339</v>
          </cell>
          <cell r="P683">
            <v>0</v>
          </cell>
          <cell r="Q683">
            <v>8539</v>
          </cell>
        </row>
        <row r="684">
          <cell r="A684" t="str">
            <v>US59P015533201400051</v>
          </cell>
          <cell r="B684" t="str">
            <v>US59P01553</v>
          </cell>
          <cell r="C684">
            <v>3201400051</v>
          </cell>
          <cell r="D684" t="str">
            <v>MAINTENANCE EQUIPMENT</v>
          </cell>
          <cell r="E684">
            <v>0</v>
          </cell>
          <cell r="F684">
            <v>0</v>
          </cell>
          <cell r="G684">
            <v>0</v>
          </cell>
          <cell r="H684">
            <v>0</v>
          </cell>
          <cell r="I684">
            <v>0</v>
          </cell>
          <cell r="J684">
            <v>0</v>
          </cell>
          <cell r="K684">
            <v>488</v>
          </cell>
          <cell r="L684">
            <v>200</v>
          </cell>
          <cell r="M684">
            <v>152</v>
          </cell>
          <cell r="N684">
            <v>0</v>
          </cell>
          <cell r="O684">
            <v>0</v>
          </cell>
          <cell r="P684">
            <v>0</v>
          </cell>
          <cell r="Q684">
            <v>840</v>
          </cell>
        </row>
        <row r="685">
          <cell r="A685" t="str">
            <v>US59P015603201400051</v>
          </cell>
          <cell r="B685" t="str">
            <v>US59P01560</v>
          </cell>
          <cell r="C685">
            <v>3201400051</v>
          </cell>
          <cell r="D685" t="str">
            <v>MAINTENANCE EQUIPMENT</v>
          </cell>
          <cell r="E685">
            <v>68</v>
          </cell>
          <cell r="F685">
            <v>0</v>
          </cell>
          <cell r="G685">
            <v>1448</v>
          </cell>
          <cell r="H685">
            <v>0</v>
          </cell>
          <cell r="I685">
            <v>0</v>
          </cell>
          <cell r="J685">
            <v>0</v>
          </cell>
          <cell r="K685">
            <v>0</v>
          </cell>
          <cell r="L685">
            <v>0</v>
          </cell>
          <cell r="M685">
            <v>3469</v>
          </cell>
          <cell r="N685">
            <v>2913</v>
          </cell>
          <cell r="O685">
            <v>4490</v>
          </cell>
          <cell r="P685">
            <v>1787</v>
          </cell>
          <cell r="Q685">
            <v>14175</v>
          </cell>
        </row>
        <row r="686">
          <cell r="A686" t="str">
            <v>US59P015643201400051</v>
          </cell>
          <cell r="B686" t="str">
            <v>US59P01564</v>
          </cell>
          <cell r="C686">
            <v>3201400051</v>
          </cell>
          <cell r="D686" t="str">
            <v>MAINTENANCE EQUIPMENT</v>
          </cell>
          <cell r="E686">
            <v>0</v>
          </cell>
          <cell r="F686">
            <v>0</v>
          </cell>
          <cell r="G686">
            <v>0</v>
          </cell>
          <cell r="H686">
            <v>0</v>
          </cell>
          <cell r="I686">
            <v>0</v>
          </cell>
          <cell r="J686">
            <v>942</v>
          </cell>
          <cell r="K686">
            <v>0</v>
          </cell>
          <cell r="L686">
            <v>398</v>
          </cell>
          <cell r="M686">
            <v>39685</v>
          </cell>
          <cell r="N686">
            <v>24558</v>
          </cell>
          <cell r="O686">
            <v>5186</v>
          </cell>
          <cell r="P686">
            <v>225</v>
          </cell>
          <cell r="Q686">
            <v>70994</v>
          </cell>
        </row>
        <row r="687">
          <cell r="A687" t="str">
            <v>US59P015753201400051</v>
          </cell>
          <cell r="B687" t="str">
            <v>US59P01575</v>
          </cell>
          <cell r="C687">
            <v>3201400051</v>
          </cell>
          <cell r="D687" t="str">
            <v>MAINTENANCE EQUIPMENT</v>
          </cell>
          <cell r="E687">
            <v>0</v>
          </cell>
          <cell r="F687">
            <v>0</v>
          </cell>
          <cell r="G687">
            <v>0</v>
          </cell>
          <cell r="H687">
            <v>247</v>
          </cell>
          <cell r="I687">
            <v>0</v>
          </cell>
          <cell r="J687">
            <v>0</v>
          </cell>
          <cell r="K687">
            <v>0</v>
          </cell>
          <cell r="L687">
            <v>0</v>
          </cell>
          <cell r="M687">
            <v>0</v>
          </cell>
          <cell r="N687">
            <v>0</v>
          </cell>
          <cell r="O687">
            <v>586</v>
          </cell>
          <cell r="P687">
            <v>0</v>
          </cell>
          <cell r="Q687">
            <v>833</v>
          </cell>
        </row>
        <row r="688">
          <cell r="A688" t="str">
            <v>US59P3C5013201400051</v>
          </cell>
          <cell r="B688" t="str">
            <v>US59P3C501</v>
          </cell>
          <cell r="C688">
            <v>3201400051</v>
          </cell>
          <cell r="D688" t="str">
            <v>MAINTENANCE EQUIPMENT</v>
          </cell>
          <cell r="E688">
            <v>0</v>
          </cell>
          <cell r="F688">
            <v>0</v>
          </cell>
          <cell r="G688">
            <v>0</v>
          </cell>
          <cell r="H688">
            <v>0</v>
          </cell>
          <cell r="I688">
            <v>0</v>
          </cell>
          <cell r="J688">
            <v>0</v>
          </cell>
          <cell r="K688">
            <v>2010</v>
          </cell>
          <cell r="L688">
            <v>0</v>
          </cell>
          <cell r="M688">
            <v>0</v>
          </cell>
          <cell r="N688">
            <v>0</v>
          </cell>
          <cell r="O688">
            <v>0</v>
          </cell>
          <cell r="P688">
            <v>0</v>
          </cell>
          <cell r="Q688">
            <v>2010</v>
          </cell>
        </row>
        <row r="689">
          <cell r="A689" t="str">
            <v>US59P3C5603201400051</v>
          </cell>
          <cell r="B689" t="str">
            <v>US59P3C560</v>
          </cell>
          <cell r="C689">
            <v>3201400051</v>
          </cell>
          <cell r="D689" t="str">
            <v>MAINTENANCE EQUIPMENT</v>
          </cell>
          <cell r="E689">
            <v>1352</v>
          </cell>
          <cell r="F689">
            <v>738</v>
          </cell>
          <cell r="G689">
            <v>3075</v>
          </cell>
          <cell r="H689">
            <v>693</v>
          </cell>
          <cell r="I689">
            <v>0</v>
          </cell>
          <cell r="J689">
            <v>70</v>
          </cell>
          <cell r="K689">
            <v>0</v>
          </cell>
          <cell r="L689">
            <v>0</v>
          </cell>
          <cell r="M689">
            <v>3097</v>
          </cell>
          <cell r="N689">
            <v>8733</v>
          </cell>
          <cell r="O689">
            <v>5263</v>
          </cell>
          <cell r="P689">
            <v>0</v>
          </cell>
          <cell r="Q689">
            <v>23021</v>
          </cell>
        </row>
        <row r="690">
          <cell r="A690" t="str">
            <v>USSTP015013201400051</v>
          </cell>
          <cell r="B690" t="str">
            <v>USSTP01501</v>
          </cell>
          <cell r="C690">
            <v>3201400051</v>
          </cell>
          <cell r="D690" t="str">
            <v>MAINTENANCE EQUIPMENT</v>
          </cell>
          <cell r="E690">
            <v>77</v>
          </cell>
          <cell r="F690">
            <v>0</v>
          </cell>
          <cell r="G690">
            <v>37</v>
          </cell>
          <cell r="H690">
            <v>0</v>
          </cell>
          <cell r="I690">
            <v>26</v>
          </cell>
          <cell r="J690">
            <v>0</v>
          </cell>
          <cell r="K690">
            <v>0</v>
          </cell>
          <cell r="L690">
            <v>0</v>
          </cell>
          <cell r="M690">
            <v>0</v>
          </cell>
          <cell r="N690">
            <v>0</v>
          </cell>
          <cell r="O690">
            <v>0</v>
          </cell>
          <cell r="P690">
            <v>0</v>
          </cell>
          <cell r="Q690">
            <v>140</v>
          </cell>
        </row>
        <row r="691">
          <cell r="A691" t="str">
            <v>USCRP015013201400051</v>
          </cell>
          <cell r="B691" t="str">
            <v>USCRP01501</v>
          </cell>
          <cell r="C691">
            <v>3201400051</v>
          </cell>
          <cell r="D691" t="str">
            <v>MAINTENANCE EQUIPMENT</v>
          </cell>
          <cell r="E691">
            <v>205</v>
          </cell>
          <cell r="F691">
            <v>163</v>
          </cell>
          <cell r="G691">
            <v>1530</v>
          </cell>
          <cell r="H691">
            <v>490</v>
          </cell>
          <cell r="I691">
            <v>299</v>
          </cell>
          <cell r="J691">
            <v>2409</v>
          </cell>
          <cell r="K691">
            <v>1367</v>
          </cell>
          <cell r="L691">
            <v>1254</v>
          </cell>
          <cell r="M691">
            <v>2517</v>
          </cell>
          <cell r="N691">
            <v>1713</v>
          </cell>
          <cell r="O691">
            <v>2880</v>
          </cell>
          <cell r="P691">
            <v>0</v>
          </cell>
          <cell r="Q691">
            <v>14827</v>
          </cell>
        </row>
        <row r="692">
          <cell r="A692" t="str">
            <v>USCRP015603201400051</v>
          </cell>
          <cell r="B692" t="str">
            <v>USCRP01560</v>
          </cell>
          <cell r="C692">
            <v>3201400051</v>
          </cell>
          <cell r="D692" t="str">
            <v>MAINTENANCE EQUIPMENT</v>
          </cell>
          <cell r="E692">
            <v>388</v>
          </cell>
          <cell r="F692">
            <v>414</v>
          </cell>
          <cell r="G692">
            <v>32043</v>
          </cell>
          <cell r="H692">
            <v>-31642</v>
          </cell>
          <cell r="I692">
            <v>791</v>
          </cell>
          <cell r="J692">
            <v>662</v>
          </cell>
          <cell r="K692">
            <v>0</v>
          </cell>
          <cell r="L692">
            <v>0</v>
          </cell>
          <cell r="M692">
            <v>4419</v>
          </cell>
          <cell r="N692">
            <v>0</v>
          </cell>
          <cell r="O692">
            <v>1401</v>
          </cell>
          <cell r="P692">
            <v>0</v>
          </cell>
          <cell r="Q692">
            <v>8476</v>
          </cell>
        </row>
        <row r="693">
          <cell r="A693" t="str">
            <v>USCRP015643201400051</v>
          </cell>
          <cell r="B693" t="str">
            <v>USCRP01564</v>
          </cell>
          <cell r="C693">
            <v>3201400051</v>
          </cell>
          <cell r="D693" t="str">
            <v>MAINTENANCE EQUIPMENT</v>
          </cell>
          <cell r="E693">
            <v>0</v>
          </cell>
          <cell r="F693">
            <v>0</v>
          </cell>
          <cell r="G693">
            <v>0</v>
          </cell>
          <cell r="H693">
            <v>0</v>
          </cell>
          <cell r="I693">
            <v>0</v>
          </cell>
          <cell r="J693">
            <v>0</v>
          </cell>
          <cell r="K693">
            <v>98</v>
          </cell>
          <cell r="L693">
            <v>0</v>
          </cell>
          <cell r="M693">
            <v>4173</v>
          </cell>
          <cell r="N693">
            <v>7138</v>
          </cell>
          <cell r="O693">
            <v>884</v>
          </cell>
          <cell r="P693">
            <v>0</v>
          </cell>
          <cell r="Q693">
            <v>12293</v>
          </cell>
        </row>
        <row r="694">
          <cell r="A694" t="str">
            <v>USCRP015753201400051</v>
          </cell>
          <cell r="B694" t="str">
            <v>USCRP01575</v>
          </cell>
          <cell r="C694">
            <v>3201400051</v>
          </cell>
          <cell r="D694" t="str">
            <v>MAINTENANCE EQUIPMENT</v>
          </cell>
          <cell r="E694">
            <v>279</v>
          </cell>
          <cell r="F694">
            <v>160</v>
          </cell>
          <cell r="G694">
            <v>43</v>
          </cell>
          <cell r="H694">
            <v>0</v>
          </cell>
          <cell r="I694">
            <v>0</v>
          </cell>
          <cell r="J694">
            <v>312</v>
          </cell>
          <cell r="K694">
            <v>1955</v>
          </cell>
          <cell r="L694">
            <v>0</v>
          </cell>
          <cell r="M694">
            <v>0</v>
          </cell>
          <cell r="N694">
            <v>0</v>
          </cell>
          <cell r="O694">
            <v>43</v>
          </cell>
          <cell r="P694">
            <v>0</v>
          </cell>
          <cell r="Q694">
            <v>2792</v>
          </cell>
        </row>
        <row r="695">
          <cell r="A695" t="str">
            <v>US59P015503201400052</v>
          </cell>
          <cell r="B695" t="str">
            <v>US59P01550</v>
          </cell>
          <cell r="C695">
            <v>3201400052</v>
          </cell>
          <cell r="D695" t="str">
            <v>TRACKING</v>
          </cell>
          <cell r="E695">
            <v>0</v>
          </cell>
          <cell r="F695">
            <v>0</v>
          </cell>
          <cell r="G695">
            <v>0</v>
          </cell>
          <cell r="H695">
            <v>0</v>
          </cell>
          <cell r="I695">
            <v>0</v>
          </cell>
          <cell r="J695">
            <v>0</v>
          </cell>
          <cell r="K695">
            <v>0</v>
          </cell>
          <cell r="L695">
            <v>0</v>
          </cell>
          <cell r="M695">
            <v>0</v>
          </cell>
          <cell r="N695">
            <v>0</v>
          </cell>
          <cell r="O695">
            <v>1826</v>
          </cell>
          <cell r="P695">
            <v>0</v>
          </cell>
          <cell r="Q695">
            <v>1826</v>
          </cell>
        </row>
        <row r="696">
          <cell r="A696" t="str">
            <v>US22P015503201400054</v>
          </cell>
          <cell r="B696" t="str">
            <v>US22P01550</v>
          </cell>
          <cell r="C696">
            <v>3201400054</v>
          </cell>
          <cell r="D696" t="str">
            <v>TECHNICAL SERVICES</v>
          </cell>
          <cell r="E696">
            <v>0</v>
          </cell>
          <cell r="F696">
            <v>0</v>
          </cell>
          <cell r="G696">
            <v>0</v>
          </cell>
          <cell r="H696">
            <v>0</v>
          </cell>
          <cell r="I696">
            <v>29596</v>
          </cell>
          <cell r="J696">
            <v>0</v>
          </cell>
          <cell r="K696">
            <v>0</v>
          </cell>
          <cell r="L696">
            <v>0</v>
          </cell>
          <cell r="M696">
            <v>0</v>
          </cell>
          <cell r="N696">
            <v>0</v>
          </cell>
          <cell r="O696">
            <v>0</v>
          </cell>
          <cell r="P696">
            <v>0</v>
          </cell>
          <cell r="Q696">
            <v>29596</v>
          </cell>
        </row>
        <row r="697">
          <cell r="A697" t="str">
            <v>US22P015533201400054</v>
          </cell>
          <cell r="B697" t="str">
            <v>US22P01553</v>
          </cell>
          <cell r="C697">
            <v>3201400054</v>
          </cell>
          <cell r="D697" t="str">
            <v>TECHNICAL SERVICES</v>
          </cell>
          <cell r="E697">
            <v>70</v>
          </cell>
          <cell r="F697">
            <v>0</v>
          </cell>
          <cell r="G697">
            <v>0</v>
          </cell>
          <cell r="H697">
            <v>0</v>
          </cell>
          <cell r="I697">
            <v>0</v>
          </cell>
          <cell r="J697">
            <v>0</v>
          </cell>
          <cell r="K697">
            <v>0</v>
          </cell>
          <cell r="L697">
            <v>0</v>
          </cell>
          <cell r="M697">
            <v>0</v>
          </cell>
          <cell r="N697">
            <v>0</v>
          </cell>
          <cell r="O697">
            <v>0</v>
          </cell>
          <cell r="P697">
            <v>0</v>
          </cell>
          <cell r="Q697">
            <v>70</v>
          </cell>
        </row>
        <row r="698">
          <cell r="A698" t="str">
            <v>US28P015503201400054</v>
          </cell>
          <cell r="B698" t="str">
            <v>US28P01550</v>
          </cell>
          <cell r="C698">
            <v>3201400054</v>
          </cell>
          <cell r="D698" t="str">
            <v>TECHNICAL SERVICES</v>
          </cell>
          <cell r="E698">
            <v>0</v>
          </cell>
          <cell r="F698">
            <v>0</v>
          </cell>
          <cell r="G698">
            <v>15</v>
          </cell>
          <cell r="H698">
            <v>0</v>
          </cell>
          <cell r="I698">
            <v>25874</v>
          </cell>
          <cell r="J698">
            <v>0</v>
          </cell>
          <cell r="K698">
            <v>0</v>
          </cell>
          <cell r="L698">
            <v>0</v>
          </cell>
          <cell r="M698">
            <v>0</v>
          </cell>
          <cell r="N698">
            <v>0</v>
          </cell>
          <cell r="O698">
            <v>0</v>
          </cell>
          <cell r="P698">
            <v>0</v>
          </cell>
          <cell r="Q698">
            <v>25889</v>
          </cell>
        </row>
        <row r="699">
          <cell r="A699" t="str">
            <v>US28P015533201400054</v>
          </cell>
          <cell r="B699" t="str">
            <v>US28P01553</v>
          </cell>
          <cell r="C699">
            <v>3201400054</v>
          </cell>
          <cell r="D699" t="str">
            <v>TECHNICAL SERVICES</v>
          </cell>
          <cell r="E699">
            <v>0</v>
          </cell>
          <cell r="F699">
            <v>0</v>
          </cell>
          <cell r="G699">
            <v>0</v>
          </cell>
          <cell r="H699">
            <v>0</v>
          </cell>
          <cell r="I699">
            <v>19400</v>
          </cell>
          <cell r="J699">
            <v>0</v>
          </cell>
          <cell r="K699">
            <v>0</v>
          </cell>
          <cell r="L699">
            <v>18813</v>
          </cell>
          <cell r="M699">
            <v>0</v>
          </cell>
          <cell r="N699">
            <v>0</v>
          </cell>
          <cell r="O699">
            <v>0</v>
          </cell>
          <cell r="P699">
            <v>0</v>
          </cell>
          <cell r="Q699">
            <v>38213</v>
          </cell>
        </row>
        <row r="700">
          <cell r="A700" t="str">
            <v>US35P015503201400054</v>
          </cell>
          <cell r="B700" t="str">
            <v>US35P01550</v>
          </cell>
          <cell r="C700">
            <v>3201400054</v>
          </cell>
          <cell r="D700" t="str">
            <v>TECHNICAL SERVICES</v>
          </cell>
          <cell r="E700">
            <v>0</v>
          </cell>
          <cell r="F700">
            <v>0</v>
          </cell>
          <cell r="G700">
            <v>0</v>
          </cell>
          <cell r="H700">
            <v>0</v>
          </cell>
          <cell r="I700">
            <v>23937</v>
          </cell>
          <cell r="J700">
            <v>21490</v>
          </cell>
          <cell r="K700">
            <v>0</v>
          </cell>
          <cell r="L700">
            <v>0</v>
          </cell>
          <cell r="M700">
            <v>0</v>
          </cell>
          <cell r="N700">
            <v>0</v>
          </cell>
          <cell r="O700">
            <v>0</v>
          </cell>
          <cell r="P700">
            <v>0</v>
          </cell>
          <cell r="Q700">
            <v>45427</v>
          </cell>
        </row>
        <row r="701">
          <cell r="A701" t="str">
            <v>USWOP015503201400054</v>
          </cell>
          <cell r="B701" t="str">
            <v>USWOP01550</v>
          </cell>
          <cell r="C701">
            <v>3201400054</v>
          </cell>
          <cell r="D701" t="str">
            <v>TECHNICAL SERVICES</v>
          </cell>
          <cell r="E701">
            <v>0</v>
          </cell>
          <cell r="F701">
            <v>0</v>
          </cell>
          <cell r="G701">
            <v>0</v>
          </cell>
          <cell r="H701">
            <v>0</v>
          </cell>
          <cell r="I701">
            <v>23963</v>
          </cell>
          <cell r="J701">
            <v>0</v>
          </cell>
          <cell r="K701">
            <v>82981</v>
          </cell>
          <cell r="L701">
            <v>0</v>
          </cell>
          <cell r="M701">
            <v>0</v>
          </cell>
          <cell r="N701">
            <v>0</v>
          </cell>
          <cell r="O701">
            <v>0</v>
          </cell>
          <cell r="P701">
            <v>0</v>
          </cell>
          <cell r="Q701">
            <v>106944</v>
          </cell>
        </row>
        <row r="702">
          <cell r="A702" t="str">
            <v>USWOP015533201400054</v>
          </cell>
          <cell r="B702" t="str">
            <v>USWOP01553</v>
          </cell>
          <cell r="C702">
            <v>3201400054</v>
          </cell>
          <cell r="D702" t="str">
            <v>TECHNICAL SERVICES</v>
          </cell>
          <cell r="E702">
            <v>0</v>
          </cell>
          <cell r="F702">
            <v>0</v>
          </cell>
          <cell r="G702">
            <v>0</v>
          </cell>
          <cell r="H702">
            <v>0</v>
          </cell>
          <cell r="I702">
            <v>0</v>
          </cell>
          <cell r="J702">
            <v>0</v>
          </cell>
          <cell r="K702">
            <v>826</v>
          </cell>
          <cell r="L702">
            <v>0</v>
          </cell>
          <cell r="M702">
            <v>0</v>
          </cell>
          <cell r="N702">
            <v>0</v>
          </cell>
          <cell r="O702">
            <v>0</v>
          </cell>
          <cell r="P702">
            <v>0</v>
          </cell>
          <cell r="Q702">
            <v>826</v>
          </cell>
        </row>
        <row r="703">
          <cell r="A703" t="str">
            <v>US59P015503201400054</v>
          </cell>
          <cell r="B703" t="str">
            <v>US59P01550</v>
          </cell>
          <cell r="C703">
            <v>3201400054</v>
          </cell>
          <cell r="D703" t="str">
            <v>TECHNICAL SERVICES</v>
          </cell>
          <cell r="E703">
            <v>0</v>
          </cell>
          <cell r="F703">
            <v>0</v>
          </cell>
          <cell r="G703">
            <v>0</v>
          </cell>
          <cell r="H703">
            <v>0</v>
          </cell>
          <cell r="I703">
            <v>19164</v>
          </cell>
          <cell r="J703">
            <v>582</v>
          </cell>
          <cell r="K703">
            <v>0</v>
          </cell>
          <cell r="L703">
            <v>0</v>
          </cell>
          <cell r="M703">
            <v>0</v>
          </cell>
          <cell r="N703">
            <v>16</v>
          </cell>
          <cell r="O703">
            <v>0</v>
          </cell>
          <cell r="P703">
            <v>0</v>
          </cell>
          <cell r="Q703">
            <v>19762</v>
          </cell>
        </row>
        <row r="704">
          <cell r="A704" t="str">
            <v>US59P015533201400054</v>
          </cell>
          <cell r="B704" t="str">
            <v>US59P01553</v>
          </cell>
          <cell r="C704">
            <v>3201400054</v>
          </cell>
          <cell r="D704" t="str">
            <v>TECHNICAL SERVICES</v>
          </cell>
          <cell r="E704">
            <v>0</v>
          </cell>
          <cell r="F704">
            <v>0</v>
          </cell>
          <cell r="G704">
            <v>0</v>
          </cell>
          <cell r="H704">
            <v>0</v>
          </cell>
          <cell r="I704">
            <v>0</v>
          </cell>
          <cell r="J704">
            <v>0</v>
          </cell>
          <cell r="K704">
            <v>0</v>
          </cell>
          <cell r="L704">
            <v>0</v>
          </cell>
          <cell r="M704">
            <v>0</v>
          </cell>
          <cell r="N704">
            <v>0</v>
          </cell>
          <cell r="O704">
            <v>0</v>
          </cell>
          <cell r="P704">
            <v>126</v>
          </cell>
          <cell r="Q704">
            <v>126</v>
          </cell>
        </row>
        <row r="705">
          <cell r="A705" t="str">
            <v>US59P3C5603201400054</v>
          </cell>
          <cell r="B705" t="str">
            <v>US59P3C560</v>
          </cell>
          <cell r="C705">
            <v>3201400054</v>
          </cell>
          <cell r="D705" t="str">
            <v>TECHNICAL SERVICES</v>
          </cell>
          <cell r="E705">
            <v>0</v>
          </cell>
          <cell r="F705">
            <v>0</v>
          </cell>
          <cell r="G705">
            <v>504</v>
          </cell>
          <cell r="H705">
            <v>0</v>
          </cell>
          <cell r="I705">
            <v>0</v>
          </cell>
          <cell r="J705">
            <v>0</v>
          </cell>
          <cell r="K705">
            <v>0</v>
          </cell>
          <cell r="L705">
            <v>0</v>
          </cell>
          <cell r="M705">
            <v>0</v>
          </cell>
          <cell r="N705">
            <v>0</v>
          </cell>
          <cell r="O705">
            <v>0</v>
          </cell>
          <cell r="P705">
            <v>0</v>
          </cell>
          <cell r="Q705">
            <v>504</v>
          </cell>
        </row>
        <row r="706">
          <cell r="A706" t="str">
            <v>USCRP015503201400054</v>
          </cell>
          <cell r="B706" t="str">
            <v>USCRP01550</v>
          </cell>
          <cell r="C706">
            <v>3201400054</v>
          </cell>
          <cell r="D706" t="str">
            <v>TECHNICAL SERVICES</v>
          </cell>
          <cell r="E706">
            <v>0</v>
          </cell>
          <cell r="F706">
            <v>0</v>
          </cell>
          <cell r="G706">
            <v>0</v>
          </cell>
          <cell r="H706">
            <v>0</v>
          </cell>
          <cell r="I706">
            <v>15697</v>
          </cell>
          <cell r="J706">
            <v>0</v>
          </cell>
          <cell r="K706">
            <v>0</v>
          </cell>
          <cell r="L706">
            <v>0</v>
          </cell>
          <cell r="M706">
            <v>0</v>
          </cell>
          <cell r="N706">
            <v>0</v>
          </cell>
          <cell r="O706">
            <v>0</v>
          </cell>
          <cell r="P706">
            <v>0</v>
          </cell>
          <cell r="Q706">
            <v>15697</v>
          </cell>
        </row>
        <row r="707">
          <cell r="A707" t="str">
            <v>US35P015603201400055</v>
          </cell>
          <cell r="B707" t="str">
            <v>US35P01560</v>
          </cell>
          <cell r="C707">
            <v>3201400055</v>
          </cell>
          <cell r="D707" t="str">
            <v>LABORATORY TESTING</v>
          </cell>
          <cell r="E707">
            <v>0</v>
          </cell>
          <cell r="F707">
            <v>135</v>
          </cell>
          <cell r="G707">
            <v>0</v>
          </cell>
          <cell r="H707">
            <v>0</v>
          </cell>
          <cell r="I707">
            <v>0</v>
          </cell>
          <cell r="J707">
            <v>0</v>
          </cell>
          <cell r="K707">
            <v>0</v>
          </cell>
          <cell r="L707">
            <v>0</v>
          </cell>
          <cell r="M707">
            <v>0</v>
          </cell>
          <cell r="N707">
            <v>0</v>
          </cell>
          <cell r="O707">
            <v>0</v>
          </cell>
          <cell r="P707">
            <v>0</v>
          </cell>
          <cell r="Q707">
            <v>135</v>
          </cell>
        </row>
        <row r="708">
          <cell r="A708" t="str">
            <v>US35P015903201400055</v>
          </cell>
          <cell r="B708" t="str">
            <v>US35P01590</v>
          </cell>
          <cell r="C708">
            <v>3201400055</v>
          </cell>
          <cell r="D708" t="str">
            <v>LABORATORY TESTING</v>
          </cell>
          <cell r="E708">
            <v>2728</v>
          </cell>
          <cell r="F708">
            <v>0</v>
          </cell>
          <cell r="G708">
            <v>1246</v>
          </cell>
          <cell r="H708">
            <v>0</v>
          </cell>
          <cell r="I708">
            <v>168</v>
          </cell>
          <cell r="J708">
            <v>0</v>
          </cell>
          <cell r="K708">
            <v>0</v>
          </cell>
          <cell r="L708">
            <v>0</v>
          </cell>
          <cell r="M708">
            <v>0</v>
          </cell>
          <cell r="N708">
            <v>0</v>
          </cell>
          <cell r="O708">
            <v>0</v>
          </cell>
          <cell r="P708">
            <v>0</v>
          </cell>
          <cell r="Q708">
            <v>4142</v>
          </cell>
        </row>
        <row r="709">
          <cell r="A709" t="str">
            <v>US22P015503201400056</v>
          </cell>
          <cell r="B709" t="str">
            <v>US22P01550</v>
          </cell>
          <cell r="C709">
            <v>3201400056</v>
          </cell>
          <cell r="D709" t="str">
            <v>FIELD AND PRODUCTION EXPENSES</v>
          </cell>
          <cell r="E709">
            <v>24</v>
          </cell>
          <cell r="F709">
            <v>228</v>
          </cell>
          <cell r="G709">
            <v>1215</v>
          </cell>
          <cell r="H709">
            <v>1830</v>
          </cell>
          <cell r="I709">
            <v>486</v>
          </cell>
          <cell r="J709">
            <v>349</v>
          </cell>
          <cell r="K709">
            <v>28180</v>
          </cell>
          <cell r="L709">
            <v>31240</v>
          </cell>
          <cell r="M709">
            <v>190</v>
          </cell>
          <cell r="N709">
            <v>50</v>
          </cell>
          <cell r="O709">
            <v>4700</v>
          </cell>
          <cell r="P709">
            <v>1000</v>
          </cell>
          <cell r="Q709">
            <v>69492</v>
          </cell>
        </row>
        <row r="710">
          <cell r="A710" t="str">
            <v>US22P015533201400056</v>
          </cell>
          <cell r="B710" t="str">
            <v>US22P01553</v>
          </cell>
          <cell r="C710">
            <v>3201400056</v>
          </cell>
          <cell r="D710" t="str">
            <v>FIELD AND PRODUCTION EXPENSES</v>
          </cell>
          <cell r="E710">
            <v>0</v>
          </cell>
          <cell r="F710">
            <v>0</v>
          </cell>
          <cell r="G710">
            <v>0</v>
          </cell>
          <cell r="H710">
            <v>0</v>
          </cell>
          <cell r="I710">
            <v>0</v>
          </cell>
          <cell r="J710">
            <v>0</v>
          </cell>
          <cell r="K710">
            <v>0</v>
          </cell>
          <cell r="L710">
            <v>49235</v>
          </cell>
          <cell r="M710">
            <v>0</v>
          </cell>
          <cell r="N710">
            <v>0</v>
          </cell>
          <cell r="O710">
            <v>0</v>
          </cell>
          <cell r="P710">
            <v>0</v>
          </cell>
          <cell r="Q710">
            <v>49235</v>
          </cell>
        </row>
        <row r="711">
          <cell r="A711" t="str">
            <v>US22P015603201400056</v>
          </cell>
          <cell r="B711" t="str">
            <v>US22P01560</v>
          </cell>
          <cell r="C711">
            <v>3201400056</v>
          </cell>
          <cell r="D711" t="str">
            <v>FIELD AND PRODUCTION EXPENSES</v>
          </cell>
          <cell r="E711">
            <v>0</v>
          </cell>
          <cell r="F711">
            <v>0</v>
          </cell>
          <cell r="G711">
            <v>0</v>
          </cell>
          <cell r="H711">
            <v>0</v>
          </cell>
          <cell r="I711">
            <v>0</v>
          </cell>
          <cell r="J711">
            <v>0</v>
          </cell>
          <cell r="K711">
            <v>0</v>
          </cell>
          <cell r="L711">
            <v>0</v>
          </cell>
          <cell r="M711">
            <v>109</v>
          </cell>
          <cell r="N711">
            <v>0</v>
          </cell>
          <cell r="O711">
            <v>0</v>
          </cell>
          <cell r="P711">
            <v>0</v>
          </cell>
          <cell r="Q711">
            <v>109</v>
          </cell>
        </row>
        <row r="712">
          <cell r="A712" t="str">
            <v>US22P015753201400056</v>
          </cell>
          <cell r="B712" t="str">
            <v>US22P01575</v>
          </cell>
          <cell r="C712">
            <v>3201400056</v>
          </cell>
          <cell r="D712" t="str">
            <v>FIELD AND PRODUCTION EXPENSES</v>
          </cell>
          <cell r="E712">
            <v>0</v>
          </cell>
          <cell r="F712">
            <v>0</v>
          </cell>
          <cell r="G712">
            <v>0</v>
          </cell>
          <cell r="H712">
            <v>0</v>
          </cell>
          <cell r="I712">
            <v>0</v>
          </cell>
          <cell r="J712">
            <v>0</v>
          </cell>
          <cell r="K712">
            <v>0</v>
          </cell>
          <cell r="L712">
            <v>0</v>
          </cell>
          <cell r="M712">
            <v>109</v>
          </cell>
          <cell r="N712">
            <v>0</v>
          </cell>
          <cell r="O712">
            <v>0</v>
          </cell>
          <cell r="P712">
            <v>0</v>
          </cell>
          <cell r="Q712">
            <v>109</v>
          </cell>
        </row>
        <row r="713">
          <cell r="A713" t="str">
            <v>US28P015013201400056</v>
          </cell>
          <cell r="B713" t="str">
            <v>US28P01501</v>
          </cell>
          <cell r="C713">
            <v>3201400056</v>
          </cell>
          <cell r="D713" t="str">
            <v>FIELD AND PRODUCTION EXPENSES</v>
          </cell>
          <cell r="E713">
            <v>0</v>
          </cell>
          <cell r="F713">
            <v>0</v>
          </cell>
          <cell r="G713">
            <v>0</v>
          </cell>
          <cell r="H713">
            <v>0</v>
          </cell>
          <cell r="I713">
            <v>0</v>
          </cell>
          <cell r="J713">
            <v>0</v>
          </cell>
          <cell r="K713">
            <v>25</v>
          </cell>
          <cell r="L713">
            <v>0</v>
          </cell>
          <cell r="M713">
            <v>0</v>
          </cell>
          <cell r="N713">
            <v>0</v>
          </cell>
          <cell r="O713">
            <v>0</v>
          </cell>
          <cell r="P713">
            <v>0</v>
          </cell>
          <cell r="Q713">
            <v>25</v>
          </cell>
        </row>
        <row r="714">
          <cell r="A714" t="str">
            <v>US28P015503201400056</v>
          </cell>
          <cell r="B714" t="str">
            <v>US28P01550</v>
          </cell>
          <cell r="C714">
            <v>3201400056</v>
          </cell>
          <cell r="D714" t="str">
            <v>FIELD AND PRODUCTION EXPENSES</v>
          </cell>
          <cell r="E714">
            <v>900</v>
          </cell>
          <cell r="F714">
            <v>570</v>
          </cell>
          <cell r="G714">
            <v>35</v>
          </cell>
          <cell r="H714">
            <v>4340</v>
          </cell>
          <cell r="I714">
            <v>0</v>
          </cell>
          <cell r="J714">
            <v>22671</v>
          </cell>
          <cell r="K714">
            <v>128</v>
          </cell>
          <cell r="L714">
            <v>41988</v>
          </cell>
          <cell r="M714">
            <v>8360</v>
          </cell>
          <cell r="N714">
            <v>800</v>
          </cell>
          <cell r="O714">
            <v>113</v>
          </cell>
          <cell r="P714">
            <v>683</v>
          </cell>
          <cell r="Q714">
            <v>80588</v>
          </cell>
        </row>
        <row r="715">
          <cell r="A715" t="str">
            <v>US28P015533201400056</v>
          </cell>
          <cell r="B715" t="str">
            <v>US28P01553</v>
          </cell>
          <cell r="C715">
            <v>3201400056</v>
          </cell>
          <cell r="D715" t="str">
            <v>FIELD AND PRODUCTION EXPENSES</v>
          </cell>
          <cell r="E715">
            <v>0</v>
          </cell>
          <cell r="F715">
            <v>0</v>
          </cell>
          <cell r="G715">
            <v>0</v>
          </cell>
          <cell r="H715">
            <v>0</v>
          </cell>
          <cell r="I715">
            <v>0</v>
          </cell>
          <cell r="J715">
            <v>0</v>
          </cell>
          <cell r="K715">
            <v>115249</v>
          </cell>
          <cell r="L715">
            <v>0</v>
          </cell>
          <cell r="M715">
            <v>0</v>
          </cell>
          <cell r="N715">
            <v>0</v>
          </cell>
          <cell r="O715">
            <v>0</v>
          </cell>
          <cell r="P715">
            <v>0</v>
          </cell>
          <cell r="Q715">
            <v>115249</v>
          </cell>
        </row>
        <row r="716">
          <cell r="A716" t="str">
            <v>US28P015603201400056</v>
          </cell>
          <cell r="B716" t="str">
            <v>US28P01560</v>
          </cell>
          <cell r="C716">
            <v>3201400056</v>
          </cell>
          <cell r="D716" t="str">
            <v>FIELD AND PRODUCTION EXPENSES</v>
          </cell>
          <cell r="E716">
            <v>0</v>
          </cell>
          <cell r="F716">
            <v>0</v>
          </cell>
          <cell r="G716">
            <v>105</v>
          </cell>
          <cell r="H716">
            <v>0</v>
          </cell>
          <cell r="I716">
            <v>0</v>
          </cell>
          <cell r="J716">
            <v>0</v>
          </cell>
          <cell r="K716">
            <v>0</v>
          </cell>
          <cell r="L716">
            <v>0</v>
          </cell>
          <cell r="M716">
            <v>0</v>
          </cell>
          <cell r="N716">
            <v>0</v>
          </cell>
          <cell r="O716">
            <v>50</v>
          </cell>
          <cell r="P716">
            <v>0</v>
          </cell>
          <cell r="Q716">
            <v>155</v>
          </cell>
        </row>
        <row r="717">
          <cell r="A717" t="str">
            <v>US35P015503201400056</v>
          </cell>
          <cell r="B717" t="str">
            <v>US35P01550</v>
          </cell>
          <cell r="C717">
            <v>3201400056</v>
          </cell>
          <cell r="D717" t="str">
            <v>FIELD AND PRODUCTION EXPENSES</v>
          </cell>
          <cell r="E717">
            <v>0</v>
          </cell>
          <cell r="F717">
            <v>0</v>
          </cell>
          <cell r="G717">
            <v>0</v>
          </cell>
          <cell r="H717">
            <v>0</v>
          </cell>
          <cell r="I717">
            <v>0</v>
          </cell>
          <cell r="J717">
            <v>1000</v>
          </cell>
          <cell r="K717">
            <v>200</v>
          </cell>
          <cell r="L717">
            <v>95084</v>
          </cell>
          <cell r="M717">
            <v>1470</v>
          </cell>
          <cell r="N717">
            <v>0</v>
          </cell>
          <cell r="O717">
            <v>0</v>
          </cell>
          <cell r="P717">
            <v>0</v>
          </cell>
          <cell r="Q717">
            <v>97754</v>
          </cell>
        </row>
        <row r="718">
          <cell r="A718" t="str">
            <v>USWOP015503201400056</v>
          </cell>
          <cell r="B718" t="str">
            <v>USWOP01550</v>
          </cell>
          <cell r="C718">
            <v>3201400056</v>
          </cell>
          <cell r="D718" t="str">
            <v>FIELD AND PRODUCTION EXPENSES</v>
          </cell>
          <cell r="E718">
            <v>107</v>
          </cell>
          <cell r="F718">
            <v>0</v>
          </cell>
          <cell r="G718">
            <v>0</v>
          </cell>
          <cell r="H718">
            <v>0</v>
          </cell>
          <cell r="I718">
            <v>298</v>
          </cell>
          <cell r="J718">
            <v>550</v>
          </cell>
          <cell r="K718">
            <v>8174</v>
          </cell>
          <cell r="L718">
            <v>0</v>
          </cell>
          <cell r="M718">
            <v>0</v>
          </cell>
          <cell r="N718">
            <v>700</v>
          </cell>
          <cell r="O718">
            <v>0</v>
          </cell>
          <cell r="P718">
            <v>5182</v>
          </cell>
          <cell r="Q718">
            <v>15011</v>
          </cell>
        </row>
        <row r="719">
          <cell r="A719" t="str">
            <v>USWOP015533201400056</v>
          </cell>
          <cell r="B719" t="str">
            <v>USWOP01553</v>
          </cell>
          <cell r="C719">
            <v>3201400056</v>
          </cell>
          <cell r="D719" t="str">
            <v>FIELD AND PRODUCTION EXPENSES</v>
          </cell>
          <cell r="E719">
            <v>0</v>
          </cell>
          <cell r="F719">
            <v>0</v>
          </cell>
          <cell r="G719">
            <v>0</v>
          </cell>
          <cell r="H719">
            <v>0</v>
          </cell>
          <cell r="I719">
            <v>0</v>
          </cell>
          <cell r="J719">
            <v>0</v>
          </cell>
          <cell r="K719">
            <v>52747</v>
          </cell>
          <cell r="L719">
            <v>181018</v>
          </cell>
          <cell r="M719">
            <v>4119</v>
          </cell>
          <cell r="N719">
            <v>0</v>
          </cell>
          <cell r="O719">
            <v>0</v>
          </cell>
          <cell r="P719">
            <v>0</v>
          </cell>
          <cell r="Q719">
            <v>237884</v>
          </cell>
        </row>
        <row r="720">
          <cell r="A720" t="str">
            <v>US59P015503201400056</v>
          </cell>
          <cell r="B720" t="str">
            <v>US59P01550</v>
          </cell>
          <cell r="C720">
            <v>3201400056</v>
          </cell>
          <cell r="D720" t="str">
            <v>FIELD AND PRODUCTION EXPENSES</v>
          </cell>
          <cell r="E720">
            <v>0</v>
          </cell>
          <cell r="F720">
            <v>100</v>
          </cell>
          <cell r="G720">
            <v>0</v>
          </cell>
          <cell r="H720">
            <v>8500</v>
          </cell>
          <cell r="I720">
            <v>13960</v>
          </cell>
          <cell r="J720">
            <v>36118</v>
          </cell>
          <cell r="K720">
            <v>67722</v>
          </cell>
          <cell r="L720">
            <v>270642</v>
          </cell>
          <cell r="M720">
            <v>6193</v>
          </cell>
          <cell r="N720">
            <v>2747</v>
          </cell>
          <cell r="O720">
            <v>0</v>
          </cell>
          <cell r="P720">
            <v>147789</v>
          </cell>
          <cell r="Q720">
            <v>553771</v>
          </cell>
        </row>
        <row r="721">
          <cell r="A721" t="str">
            <v>US59P015533201400056</v>
          </cell>
          <cell r="B721" t="str">
            <v>US59P01553</v>
          </cell>
          <cell r="C721">
            <v>3201400056</v>
          </cell>
          <cell r="D721" t="str">
            <v>FIELD AND PRODUCTION EXPENSES</v>
          </cell>
          <cell r="E721">
            <v>0</v>
          </cell>
          <cell r="F721">
            <v>0</v>
          </cell>
          <cell r="G721">
            <v>360</v>
          </cell>
          <cell r="H721">
            <v>0</v>
          </cell>
          <cell r="I721">
            <v>0</v>
          </cell>
          <cell r="J721">
            <v>0</v>
          </cell>
          <cell r="K721">
            <v>396075</v>
          </cell>
          <cell r="L721">
            <v>138870</v>
          </cell>
          <cell r="M721">
            <v>0</v>
          </cell>
          <cell r="N721">
            <v>0</v>
          </cell>
          <cell r="O721">
            <v>250</v>
          </cell>
          <cell r="P721">
            <v>0</v>
          </cell>
          <cell r="Q721">
            <v>535555</v>
          </cell>
        </row>
        <row r="722">
          <cell r="A722" t="str">
            <v>US59P015643201400056</v>
          </cell>
          <cell r="B722" t="str">
            <v>US59P01564</v>
          </cell>
          <cell r="C722">
            <v>3201400056</v>
          </cell>
          <cell r="D722" t="str">
            <v>FIELD AND PRODUCTION EXPENSES</v>
          </cell>
          <cell r="E722">
            <v>0</v>
          </cell>
          <cell r="F722">
            <v>0</v>
          </cell>
          <cell r="G722">
            <v>0</v>
          </cell>
          <cell r="H722">
            <v>0</v>
          </cell>
          <cell r="I722">
            <v>0</v>
          </cell>
          <cell r="J722">
            <v>0</v>
          </cell>
          <cell r="K722">
            <v>0</v>
          </cell>
          <cell r="L722">
            <v>25000</v>
          </cell>
          <cell r="M722">
            <v>100000</v>
          </cell>
          <cell r="N722">
            <v>99634</v>
          </cell>
          <cell r="O722">
            <v>2080</v>
          </cell>
          <cell r="P722">
            <v>0</v>
          </cell>
          <cell r="Q722">
            <v>226714</v>
          </cell>
        </row>
        <row r="723">
          <cell r="A723" t="str">
            <v>USCOP015503201400056</v>
          </cell>
          <cell r="B723" t="str">
            <v>USCOP01550</v>
          </cell>
          <cell r="C723">
            <v>3201400056</v>
          </cell>
          <cell r="D723" t="str">
            <v>FIELD AND PRODUCTION EXPENSES</v>
          </cell>
          <cell r="E723">
            <v>0</v>
          </cell>
          <cell r="F723">
            <v>0</v>
          </cell>
          <cell r="G723">
            <v>0</v>
          </cell>
          <cell r="H723">
            <v>-6500</v>
          </cell>
          <cell r="I723">
            <v>0</v>
          </cell>
          <cell r="J723">
            <v>0</v>
          </cell>
          <cell r="K723">
            <v>0</v>
          </cell>
          <cell r="L723">
            <v>0</v>
          </cell>
          <cell r="M723">
            <v>0</v>
          </cell>
          <cell r="N723">
            <v>0</v>
          </cell>
          <cell r="O723">
            <v>0</v>
          </cell>
          <cell r="P723">
            <v>0</v>
          </cell>
          <cell r="Q723">
            <v>-6500</v>
          </cell>
        </row>
        <row r="724">
          <cell r="A724" t="str">
            <v>USCRP015503201400056</v>
          </cell>
          <cell r="B724" t="str">
            <v>USCRP01550</v>
          </cell>
          <cell r="C724">
            <v>3201400056</v>
          </cell>
          <cell r="D724" t="str">
            <v>FIELD AND PRODUCTION EXPENSES</v>
          </cell>
          <cell r="E724">
            <v>300</v>
          </cell>
          <cell r="F724">
            <v>15090</v>
          </cell>
          <cell r="G724">
            <v>1062</v>
          </cell>
          <cell r="H724">
            <v>0</v>
          </cell>
          <cell r="I724">
            <v>7812</v>
          </cell>
          <cell r="J724">
            <v>1980</v>
          </cell>
          <cell r="K724">
            <v>87673</v>
          </cell>
          <cell r="L724">
            <v>108926</v>
          </cell>
          <cell r="M724">
            <v>0</v>
          </cell>
          <cell r="N724">
            <v>101052</v>
          </cell>
          <cell r="O724">
            <v>3000</v>
          </cell>
          <cell r="P724">
            <v>218816</v>
          </cell>
          <cell r="Q724">
            <v>545711</v>
          </cell>
        </row>
        <row r="725">
          <cell r="A725" t="str">
            <v>USCRP015533201400056</v>
          </cell>
          <cell r="B725" t="str">
            <v>USCRP01553</v>
          </cell>
          <cell r="C725">
            <v>3201400056</v>
          </cell>
          <cell r="D725" t="str">
            <v>FIELD AND PRODUCTION EXPENSES</v>
          </cell>
          <cell r="E725">
            <v>0</v>
          </cell>
          <cell r="F725">
            <v>0</v>
          </cell>
          <cell r="G725">
            <v>0</v>
          </cell>
          <cell r="H725">
            <v>0</v>
          </cell>
          <cell r="I725">
            <v>0</v>
          </cell>
          <cell r="J725">
            <v>0</v>
          </cell>
          <cell r="K725">
            <v>0</v>
          </cell>
          <cell r="L725">
            <v>48106</v>
          </cell>
          <cell r="M725">
            <v>0</v>
          </cell>
          <cell r="N725">
            <v>0</v>
          </cell>
          <cell r="O725">
            <v>0</v>
          </cell>
          <cell r="P725">
            <v>0</v>
          </cell>
          <cell r="Q725">
            <v>48106</v>
          </cell>
        </row>
        <row r="726">
          <cell r="A726" t="str">
            <v>USCRP015603201400056</v>
          </cell>
          <cell r="B726" t="str">
            <v>USCRP01560</v>
          </cell>
          <cell r="C726">
            <v>3201400056</v>
          </cell>
          <cell r="D726" t="str">
            <v>FIELD AND PRODUCTION EXPENSES</v>
          </cell>
          <cell r="E726">
            <v>0</v>
          </cell>
          <cell r="F726">
            <v>561</v>
          </cell>
          <cell r="G726">
            <v>0</v>
          </cell>
          <cell r="H726">
            <v>0</v>
          </cell>
          <cell r="I726">
            <v>0</v>
          </cell>
          <cell r="J726">
            <v>0</v>
          </cell>
          <cell r="K726">
            <v>0</v>
          </cell>
          <cell r="L726">
            <v>0</v>
          </cell>
          <cell r="M726">
            <v>0</v>
          </cell>
          <cell r="N726">
            <v>0</v>
          </cell>
          <cell r="O726">
            <v>0</v>
          </cell>
          <cell r="P726">
            <v>0</v>
          </cell>
          <cell r="Q726">
            <v>561</v>
          </cell>
        </row>
        <row r="727">
          <cell r="A727" t="str">
            <v>US22P015013201400057</v>
          </cell>
          <cell r="B727" t="str">
            <v>US22P01501</v>
          </cell>
          <cell r="C727">
            <v>3201400057</v>
          </cell>
          <cell r="D727" t="str">
            <v>FIELD AND PRODUCTION SERVICES - SPRAYING</v>
          </cell>
          <cell r="E727">
            <v>0</v>
          </cell>
          <cell r="F727">
            <v>0</v>
          </cell>
          <cell r="G727">
            <v>0</v>
          </cell>
          <cell r="H727">
            <v>0</v>
          </cell>
          <cell r="I727">
            <v>0</v>
          </cell>
          <cell r="J727">
            <v>0</v>
          </cell>
          <cell r="K727">
            <v>0</v>
          </cell>
          <cell r="L727">
            <v>0</v>
          </cell>
          <cell r="M727">
            <v>156</v>
          </cell>
          <cell r="N727">
            <v>0</v>
          </cell>
          <cell r="O727">
            <v>0</v>
          </cell>
          <cell r="P727">
            <v>0</v>
          </cell>
          <cell r="Q727">
            <v>156</v>
          </cell>
        </row>
        <row r="728">
          <cell r="A728" t="str">
            <v>US22P015503201400057</v>
          </cell>
          <cell r="B728" t="str">
            <v>US22P01550</v>
          </cell>
          <cell r="C728">
            <v>3201400057</v>
          </cell>
          <cell r="D728" t="str">
            <v>FIELD AND PRODUCTION SERVICES - SPRAYING</v>
          </cell>
          <cell r="E728">
            <v>5156</v>
          </cell>
          <cell r="F728">
            <v>0</v>
          </cell>
          <cell r="G728">
            <v>0</v>
          </cell>
          <cell r="H728">
            <v>0</v>
          </cell>
          <cell r="I728">
            <v>0</v>
          </cell>
          <cell r="J728">
            <v>10554</v>
          </cell>
          <cell r="K728">
            <v>218083</v>
          </cell>
          <cell r="L728">
            <v>508275</v>
          </cell>
          <cell r="M728">
            <v>4736</v>
          </cell>
          <cell r="N728">
            <v>13057</v>
          </cell>
          <cell r="O728">
            <v>-4309</v>
          </cell>
          <cell r="P728">
            <v>139536</v>
          </cell>
          <cell r="Q728">
            <v>895088</v>
          </cell>
        </row>
        <row r="729">
          <cell r="A729" t="str">
            <v>US28P015503201400057</v>
          </cell>
          <cell r="B729" t="str">
            <v>US28P01550</v>
          </cell>
          <cell r="C729">
            <v>3201400057</v>
          </cell>
          <cell r="D729" t="str">
            <v>FIELD AND PRODUCTION SERVICES - SPRAYING</v>
          </cell>
          <cell r="E729">
            <v>0</v>
          </cell>
          <cell r="F729">
            <v>0</v>
          </cell>
          <cell r="G729">
            <v>0</v>
          </cell>
          <cell r="H729">
            <v>0</v>
          </cell>
          <cell r="I729">
            <v>0</v>
          </cell>
          <cell r="J729">
            <v>26663</v>
          </cell>
          <cell r="K729">
            <v>387273</v>
          </cell>
          <cell r="L729">
            <v>55855</v>
          </cell>
          <cell r="M729">
            <v>0</v>
          </cell>
          <cell r="N729">
            <v>0</v>
          </cell>
          <cell r="O729">
            <v>0</v>
          </cell>
          <cell r="P729">
            <v>0</v>
          </cell>
          <cell r="Q729">
            <v>469791</v>
          </cell>
        </row>
        <row r="730">
          <cell r="A730" t="str">
            <v>US35P015503201400057</v>
          </cell>
          <cell r="B730" t="str">
            <v>US35P01550</v>
          </cell>
          <cell r="C730">
            <v>3201400057</v>
          </cell>
          <cell r="D730" t="str">
            <v>FIELD AND PRODUCTION SERVICES - SPRAYING</v>
          </cell>
          <cell r="E730">
            <v>0</v>
          </cell>
          <cell r="F730">
            <v>0</v>
          </cell>
          <cell r="G730">
            <v>0</v>
          </cell>
          <cell r="H730">
            <v>0</v>
          </cell>
          <cell r="I730">
            <v>0</v>
          </cell>
          <cell r="J730">
            <v>0</v>
          </cell>
          <cell r="K730">
            <v>3320</v>
          </cell>
          <cell r="L730">
            <v>509468</v>
          </cell>
          <cell r="M730">
            <v>0</v>
          </cell>
          <cell r="N730">
            <v>0</v>
          </cell>
          <cell r="O730">
            <v>0</v>
          </cell>
          <cell r="P730">
            <v>0</v>
          </cell>
          <cell r="Q730">
            <v>512788</v>
          </cell>
        </row>
        <row r="731">
          <cell r="A731" t="str">
            <v>USWOP015503201400057</v>
          </cell>
          <cell r="B731" t="str">
            <v>USWOP01550</v>
          </cell>
          <cell r="C731">
            <v>3201400057</v>
          </cell>
          <cell r="D731" t="str">
            <v>FIELD AND PRODUCTION SERVICES - SPRAYING</v>
          </cell>
          <cell r="E731">
            <v>0</v>
          </cell>
          <cell r="F731">
            <v>0</v>
          </cell>
          <cell r="G731">
            <v>0</v>
          </cell>
          <cell r="H731">
            <v>0</v>
          </cell>
          <cell r="I731">
            <v>0</v>
          </cell>
          <cell r="J731">
            <v>0</v>
          </cell>
          <cell r="K731">
            <v>124543</v>
          </cell>
          <cell r="L731">
            <v>557580</v>
          </cell>
          <cell r="M731">
            <v>192633</v>
          </cell>
          <cell r="N731">
            <v>182767</v>
          </cell>
          <cell r="O731">
            <v>6379</v>
          </cell>
          <cell r="P731">
            <v>7052</v>
          </cell>
          <cell r="Q731">
            <v>1070954</v>
          </cell>
        </row>
        <row r="732">
          <cell r="A732" t="str">
            <v>US59P015503201400057</v>
          </cell>
          <cell r="B732" t="str">
            <v>US59P01550</v>
          </cell>
          <cell r="C732">
            <v>3201400057</v>
          </cell>
          <cell r="D732" t="str">
            <v>FIELD AND PRODUCTION SERVICES - SPRAYING</v>
          </cell>
          <cell r="E732">
            <v>0</v>
          </cell>
          <cell r="F732">
            <v>0</v>
          </cell>
          <cell r="G732">
            <v>0</v>
          </cell>
          <cell r="H732">
            <v>0</v>
          </cell>
          <cell r="I732">
            <v>0</v>
          </cell>
          <cell r="J732">
            <v>0</v>
          </cell>
          <cell r="K732">
            <v>0</v>
          </cell>
          <cell r="L732">
            <v>0</v>
          </cell>
          <cell r="M732">
            <v>291530</v>
          </cell>
          <cell r="N732">
            <v>0</v>
          </cell>
          <cell r="O732">
            <v>17094</v>
          </cell>
          <cell r="P732">
            <v>0</v>
          </cell>
          <cell r="Q732">
            <v>308624</v>
          </cell>
        </row>
        <row r="733">
          <cell r="A733" t="str">
            <v>USCRP015503201400057</v>
          </cell>
          <cell r="B733" t="str">
            <v>USCRP01550</v>
          </cell>
          <cell r="C733">
            <v>3201400057</v>
          </cell>
          <cell r="D733" t="str">
            <v>FIELD AND PRODUCTION SERVICES - SPRAYING</v>
          </cell>
          <cell r="E733">
            <v>0</v>
          </cell>
          <cell r="F733">
            <v>0</v>
          </cell>
          <cell r="G733">
            <v>0</v>
          </cell>
          <cell r="H733">
            <v>0</v>
          </cell>
          <cell r="I733">
            <v>73413</v>
          </cell>
          <cell r="J733">
            <v>0</v>
          </cell>
          <cell r="K733">
            <v>9921</v>
          </cell>
          <cell r="L733">
            <v>197856</v>
          </cell>
          <cell r="M733">
            <v>18837</v>
          </cell>
          <cell r="N733">
            <v>1132</v>
          </cell>
          <cell r="O733">
            <v>0</v>
          </cell>
          <cell r="P733">
            <v>0</v>
          </cell>
          <cell r="Q733">
            <v>301159</v>
          </cell>
        </row>
        <row r="734">
          <cell r="A734" t="str">
            <v>USCRP015533201400057</v>
          </cell>
          <cell r="B734" t="str">
            <v>USCRP01553</v>
          </cell>
          <cell r="C734">
            <v>3201400057</v>
          </cell>
          <cell r="D734" t="str">
            <v>FIELD AND PRODUCTION SERVICES - SPRAYING</v>
          </cell>
          <cell r="E734">
            <v>0</v>
          </cell>
          <cell r="F734">
            <v>0</v>
          </cell>
          <cell r="G734">
            <v>0</v>
          </cell>
          <cell r="H734">
            <v>0</v>
          </cell>
          <cell r="I734">
            <v>0</v>
          </cell>
          <cell r="J734">
            <v>0</v>
          </cell>
          <cell r="K734">
            <v>0</v>
          </cell>
          <cell r="L734">
            <v>9999</v>
          </cell>
          <cell r="M734">
            <v>0</v>
          </cell>
          <cell r="N734">
            <v>0</v>
          </cell>
          <cell r="O734">
            <v>0</v>
          </cell>
          <cell r="P734">
            <v>0</v>
          </cell>
          <cell r="Q734">
            <v>9999</v>
          </cell>
        </row>
        <row r="735">
          <cell r="A735" t="str">
            <v>USCRP015533201400058</v>
          </cell>
          <cell r="B735" t="str">
            <v>USCRP01553</v>
          </cell>
          <cell r="C735">
            <v>3201400058</v>
          </cell>
          <cell r="D735" t="str">
            <v>FIELD AND PRODUCTION SERVICES - DETASSEL</v>
          </cell>
          <cell r="E735">
            <v>0</v>
          </cell>
          <cell r="F735">
            <v>0</v>
          </cell>
          <cell r="G735">
            <v>0</v>
          </cell>
          <cell r="H735">
            <v>0</v>
          </cell>
          <cell r="I735">
            <v>5000</v>
          </cell>
          <cell r="J735">
            <v>10000</v>
          </cell>
          <cell r="K735">
            <v>631429</v>
          </cell>
          <cell r="L735">
            <v>305240</v>
          </cell>
          <cell r="M735">
            <v>16487</v>
          </cell>
          <cell r="N735">
            <v>0</v>
          </cell>
          <cell r="O735">
            <v>0</v>
          </cell>
          <cell r="P735">
            <v>0</v>
          </cell>
          <cell r="Q735">
            <v>968156</v>
          </cell>
        </row>
        <row r="736">
          <cell r="A736" t="str">
            <v>US59P3C5603201400061</v>
          </cell>
          <cell r="B736" t="str">
            <v>US59P3C560</v>
          </cell>
          <cell r="C736">
            <v>3201400061</v>
          </cell>
          <cell r="D736" t="str">
            <v>REBAG HANDLING FEES</v>
          </cell>
          <cell r="E736">
            <v>0</v>
          </cell>
          <cell r="F736">
            <v>0</v>
          </cell>
          <cell r="G736">
            <v>0</v>
          </cell>
          <cell r="H736">
            <v>119</v>
          </cell>
          <cell r="I736">
            <v>0</v>
          </cell>
          <cell r="J736">
            <v>0</v>
          </cell>
          <cell r="K736">
            <v>0</v>
          </cell>
          <cell r="L736">
            <v>0</v>
          </cell>
          <cell r="M736">
            <v>0</v>
          </cell>
          <cell r="N736">
            <v>0</v>
          </cell>
          <cell r="O736">
            <v>0</v>
          </cell>
          <cell r="P736">
            <v>0</v>
          </cell>
          <cell r="Q736">
            <v>119</v>
          </cell>
        </row>
        <row r="737">
          <cell r="A737" t="str">
            <v>US59P015603201400063</v>
          </cell>
          <cell r="B737" t="str">
            <v>US59P01560</v>
          </cell>
          <cell r="C737">
            <v>3201400063</v>
          </cell>
          <cell r="D737" t="str">
            <v>DISCARD HANDLING FEES</v>
          </cell>
          <cell r="E737">
            <v>7131</v>
          </cell>
          <cell r="F737">
            <v>0</v>
          </cell>
          <cell r="G737">
            <v>0</v>
          </cell>
          <cell r="H737">
            <v>0</v>
          </cell>
          <cell r="I737">
            <v>0</v>
          </cell>
          <cell r="J737">
            <v>8391</v>
          </cell>
          <cell r="K737">
            <v>0</v>
          </cell>
          <cell r="L737">
            <v>0</v>
          </cell>
          <cell r="M737">
            <v>0</v>
          </cell>
          <cell r="N737">
            <v>2415</v>
          </cell>
          <cell r="O737">
            <v>0</v>
          </cell>
          <cell r="P737">
            <v>0</v>
          </cell>
          <cell r="Q737">
            <v>17937</v>
          </cell>
        </row>
        <row r="738">
          <cell r="A738" t="str">
            <v>US59P015643201400063</v>
          </cell>
          <cell r="B738" t="str">
            <v>US59P01564</v>
          </cell>
          <cell r="C738">
            <v>3201400063</v>
          </cell>
          <cell r="D738" t="str">
            <v>DISCARD HANDLING FEES</v>
          </cell>
          <cell r="E738">
            <v>0</v>
          </cell>
          <cell r="F738">
            <v>0</v>
          </cell>
          <cell r="G738">
            <v>0</v>
          </cell>
          <cell r="H738">
            <v>0</v>
          </cell>
          <cell r="I738">
            <v>0</v>
          </cell>
          <cell r="J738">
            <v>0</v>
          </cell>
          <cell r="K738">
            <v>0</v>
          </cell>
          <cell r="L738">
            <v>470</v>
          </cell>
          <cell r="M738">
            <v>0</v>
          </cell>
          <cell r="N738">
            <v>0</v>
          </cell>
          <cell r="O738">
            <v>0</v>
          </cell>
          <cell r="P738">
            <v>0</v>
          </cell>
          <cell r="Q738">
            <v>470</v>
          </cell>
        </row>
        <row r="739">
          <cell r="A739" t="str">
            <v>US59P3C5603201400063</v>
          </cell>
          <cell r="B739" t="str">
            <v>US59P3C560</v>
          </cell>
          <cell r="C739">
            <v>3201400063</v>
          </cell>
          <cell r="D739" t="str">
            <v>DISCARD HANDLING FEES</v>
          </cell>
          <cell r="E739">
            <v>0</v>
          </cell>
          <cell r="F739">
            <v>0</v>
          </cell>
          <cell r="G739">
            <v>0</v>
          </cell>
          <cell r="H739">
            <v>0</v>
          </cell>
          <cell r="I739">
            <v>0</v>
          </cell>
          <cell r="J739">
            <v>0</v>
          </cell>
          <cell r="K739">
            <v>0</v>
          </cell>
          <cell r="L739">
            <v>0</v>
          </cell>
          <cell r="M739">
            <v>0</v>
          </cell>
          <cell r="N739">
            <v>2415</v>
          </cell>
          <cell r="O739">
            <v>0</v>
          </cell>
          <cell r="P739">
            <v>0</v>
          </cell>
          <cell r="Q739">
            <v>2415</v>
          </cell>
        </row>
        <row r="740">
          <cell r="A740" t="str">
            <v>USWOP015013201400070</v>
          </cell>
          <cell r="B740" t="str">
            <v>USWOP01501</v>
          </cell>
          <cell r="C740">
            <v>3201400070</v>
          </cell>
          <cell r="D740" t="str">
            <v>STORAGE WAREHOUSE SERVICE FEES</v>
          </cell>
          <cell r="E740">
            <v>106</v>
          </cell>
          <cell r="F740">
            <v>0</v>
          </cell>
          <cell r="G740">
            <v>0</v>
          </cell>
          <cell r="H740">
            <v>0</v>
          </cell>
          <cell r="I740">
            <v>0</v>
          </cell>
          <cell r="J740">
            <v>0</v>
          </cell>
          <cell r="K740">
            <v>0</v>
          </cell>
          <cell r="L740">
            <v>0</v>
          </cell>
          <cell r="M740">
            <v>0</v>
          </cell>
          <cell r="N740">
            <v>0</v>
          </cell>
          <cell r="O740">
            <v>0</v>
          </cell>
          <cell r="P740">
            <v>0</v>
          </cell>
          <cell r="Q740">
            <v>106</v>
          </cell>
        </row>
        <row r="741">
          <cell r="A741" t="str">
            <v>US22P015013311400099</v>
          </cell>
          <cell r="B741" t="str">
            <v>US22P01501</v>
          </cell>
          <cell r="C741">
            <v>3311400099</v>
          </cell>
          <cell r="D741" t="str">
            <v>CO DEPRECIATION</v>
          </cell>
          <cell r="E741">
            <v>1969</v>
          </cell>
          <cell r="F741">
            <v>1969</v>
          </cell>
          <cell r="G741">
            <v>1486</v>
          </cell>
          <cell r="H741">
            <v>1486</v>
          </cell>
          <cell r="I741">
            <v>1433</v>
          </cell>
          <cell r="J741">
            <v>1432</v>
          </cell>
          <cell r="K741">
            <v>1433</v>
          </cell>
          <cell r="L741">
            <v>1433</v>
          </cell>
          <cell r="M741">
            <v>2179</v>
          </cell>
          <cell r="N741">
            <v>1192</v>
          </cell>
          <cell r="O741">
            <v>788</v>
          </cell>
          <cell r="P741">
            <v>788</v>
          </cell>
          <cell r="Q741">
            <v>17588</v>
          </cell>
        </row>
        <row r="742">
          <cell r="A742" t="str">
            <v>US22P015503311400099</v>
          </cell>
          <cell r="B742" t="str">
            <v>US22P01550</v>
          </cell>
          <cell r="C742">
            <v>3311400099</v>
          </cell>
          <cell r="D742" t="str">
            <v>CO DEPRECIATION</v>
          </cell>
          <cell r="E742">
            <v>156</v>
          </cell>
          <cell r="F742">
            <v>156</v>
          </cell>
          <cell r="G742">
            <v>156</v>
          </cell>
          <cell r="H742">
            <v>156</v>
          </cell>
          <cell r="I742">
            <v>156</v>
          </cell>
          <cell r="J742">
            <v>156</v>
          </cell>
          <cell r="K742">
            <v>156</v>
          </cell>
          <cell r="L742">
            <v>156</v>
          </cell>
          <cell r="M742">
            <v>2435</v>
          </cell>
          <cell r="N742">
            <v>409</v>
          </cell>
          <cell r="O742">
            <v>409</v>
          </cell>
          <cell r="P742">
            <v>409</v>
          </cell>
          <cell r="Q742">
            <v>4910</v>
          </cell>
        </row>
        <row r="743">
          <cell r="A743" t="str">
            <v>US22P015533311400099</v>
          </cell>
          <cell r="B743" t="str">
            <v>US22P01553</v>
          </cell>
          <cell r="C743">
            <v>3311400099</v>
          </cell>
          <cell r="D743" t="str">
            <v>CO DEPRECIATION</v>
          </cell>
          <cell r="E743">
            <v>2420</v>
          </cell>
          <cell r="F743">
            <v>2420</v>
          </cell>
          <cell r="G743">
            <v>2420</v>
          </cell>
          <cell r="H743">
            <v>2420</v>
          </cell>
          <cell r="I743">
            <v>2420</v>
          </cell>
          <cell r="J743">
            <v>2420</v>
          </cell>
          <cell r="K743">
            <v>3192</v>
          </cell>
          <cell r="L743">
            <v>3192</v>
          </cell>
          <cell r="M743">
            <v>6117</v>
          </cell>
          <cell r="N743">
            <v>3517</v>
          </cell>
          <cell r="O743">
            <v>3517</v>
          </cell>
          <cell r="P743">
            <v>3192</v>
          </cell>
          <cell r="Q743">
            <v>37247</v>
          </cell>
        </row>
        <row r="744">
          <cell r="A744" t="str">
            <v>US22P015603311400099</v>
          </cell>
          <cell r="B744" t="str">
            <v>US22P01560</v>
          </cell>
          <cell r="C744">
            <v>3311400099</v>
          </cell>
          <cell r="D744" t="str">
            <v>CO DEPRECIATION</v>
          </cell>
          <cell r="E744">
            <v>7534</v>
          </cell>
          <cell r="F744">
            <v>7534</v>
          </cell>
          <cell r="G744">
            <v>7242</v>
          </cell>
          <cell r="H744">
            <v>7242</v>
          </cell>
          <cell r="I744">
            <v>7242</v>
          </cell>
          <cell r="J744">
            <v>7242</v>
          </cell>
          <cell r="K744">
            <v>7779</v>
          </cell>
          <cell r="L744">
            <v>7318</v>
          </cell>
          <cell r="M744">
            <v>7318</v>
          </cell>
          <cell r="N744">
            <v>7450</v>
          </cell>
          <cell r="O744">
            <v>293333</v>
          </cell>
          <cell r="P744">
            <v>46201</v>
          </cell>
          <cell r="Q744">
            <v>413435</v>
          </cell>
        </row>
        <row r="745">
          <cell r="A745" t="str">
            <v>US22P015613311400099</v>
          </cell>
          <cell r="B745" t="str">
            <v>US22P01561</v>
          </cell>
          <cell r="C745">
            <v>3311400099</v>
          </cell>
          <cell r="D745" t="str">
            <v>CO DEPRECIATION</v>
          </cell>
          <cell r="E745">
            <v>21297</v>
          </cell>
          <cell r="F745">
            <v>21297</v>
          </cell>
          <cell r="G745">
            <v>21297</v>
          </cell>
          <cell r="H745">
            <v>21297</v>
          </cell>
          <cell r="I745">
            <v>21297</v>
          </cell>
          <cell r="J745">
            <v>21297</v>
          </cell>
          <cell r="K745">
            <v>21297</v>
          </cell>
          <cell r="L745">
            <v>21297</v>
          </cell>
          <cell r="M745">
            <v>21297</v>
          </cell>
          <cell r="N745">
            <v>21297</v>
          </cell>
          <cell r="O745">
            <v>21297</v>
          </cell>
          <cell r="P745">
            <v>0</v>
          </cell>
          <cell r="Q745">
            <v>234267</v>
          </cell>
        </row>
        <row r="746">
          <cell r="A746" t="str">
            <v>US22P015643311400099</v>
          </cell>
          <cell r="B746" t="str">
            <v>US22P01564</v>
          </cell>
          <cell r="C746">
            <v>3311400099</v>
          </cell>
          <cell r="D746" t="str">
            <v>CO DEPRECIATION</v>
          </cell>
          <cell r="E746">
            <v>3167</v>
          </cell>
          <cell r="F746">
            <v>3167</v>
          </cell>
          <cell r="G746">
            <v>2598</v>
          </cell>
          <cell r="H746">
            <v>2598</v>
          </cell>
          <cell r="I746">
            <v>2598</v>
          </cell>
          <cell r="J746">
            <v>2598</v>
          </cell>
          <cell r="K746">
            <v>2598</v>
          </cell>
          <cell r="L746">
            <v>954</v>
          </cell>
          <cell r="M746">
            <v>954</v>
          </cell>
          <cell r="N746">
            <v>954</v>
          </cell>
          <cell r="O746">
            <v>954</v>
          </cell>
          <cell r="P746">
            <v>954</v>
          </cell>
          <cell r="Q746">
            <v>24094</v>
          </cell>
        </row>
        <row r="747">
          <cell r="A747" t="str">
            <v>US22P015753311400099</v>
          </cell>
          <cell r="B747" t="str">
            <v>US22P01575</v>
          </cell>
          <cell r="C747">
            <v>3311400099</v>
          </cell>
          <cell r="D747" t="str">
            <v>CO DEPRECIATION</v>
          </cell>
          <cell r="E747">
            <v>427</v>
          </cell>
          <cell r="F747">
            <v>427</v>
          </cell>
          <cell r="G747">
            <v>427</v>
          </cell>
          <cell r="H747">
            <v>427</v>
          </cell>
          <cell r="I747">
            <v>604</v>
          </cell>
          <cell r="J747">
            <v>604</v>
          </cell>
          <cell r="K747">
            <v>604</v>
          </cell>
          <cell r="L747">
            <v>604</v>
          </cell>
          <cell r="M747">
            <v>604</v>
          </cell>
          <cell r="N747">
            <v>604</v>
          </cell>
          <cell r="O747">
            <v>604</v>
          </cell>
          <cell r="P747">
            <v>14542</v>
          </cell>
          <cell r="Q747">
            <v>20478</v>
          </cell>
        </row>
        <row r="748">
          <cell r="A748" t="str">
            <v>US22P015903311400099</v>
          </cell>
          <cell r="B748" t="str">
            <v>US22P01590</v>
          </cell>
          <cell r="C748">
            <v>3311400099</v>
          </cell>
          <cell r="D748" t="str">
            <v>CO DEPRECIATION</v>
          </cell>
          <cell r="E748">
            <v>347</v>
          </cell>
          <cell r="F748">
            <v>347</v>
          </cell>
          <cell r="G748">
            <v>347</v>
          </cell>
          <cell r="H748">
            <v>347</v>
          </cell>
          <cell r="I748">
            <v>347</v>
          </cell>
          <cell r="J748">
            <v>347</v>
          </cell>
          <cell r="K748">
            <v>347</v>
          </cell>
          <cell r="L748">
            <v>347</v>
          </cell>
          <cell r="M748">
            <v>347</v>
          </cell>
          <cell r="N748">
            <v>347</v>
          </cell>
          <cell r="O748">
            <v>347</v>
          </cell>
          <cell r="P748">
            <v>347</v>
          </cell>
          <cell r="Q748">
            <v>4164</v>
          </cell>
        </row>
        <row r="749">
          <cell r="A749" t="str">
            <v>US28P015013311400099</v>
          </cell>
          <cell r="B749" t="str">
            <v>US28P01501</v>
          </cell>
          <cell r="C749">
            <v>3311400099</v>
          </cell>
          <cell r="D749" t="str">
            <v>CO DEPRECIATION</v>
          </cell>
          <cell r="E749">
            <v>891</v>
          </cell>
          <cell r="F749">
            <v>891</v>
          </cell>
          <cell r="G749">
            <v>891</v>
          </cell>
          <cell r="H749">
            <v>891</v>
          </cell>
          <cell r="I749">
            <v>891</v>
          </cell>
          <cell r="J749">
            <v>891</v>
          </cell>
          <cell r="K749">
            <v>891</v>
          </cell>
          <cell r="L749">
            <v>891</v>
          </cell>
          <cell r="M749">
            <v>552</v>
          </cell>
          <cell r="N749">
            <v>552</v>
          </cell>
          <cell r="O749">
            <v>497</v>
          </cell>
          <cell r="P749">
            <v>497</v>
          </cell>
          <cell r="Q749">
            <v>9226</v>
          </cell>
        </row>
        <row r="750">
          <cell r="A750" t="str">
            <v>US28P015503311400099</v>
          </cell>
          <cell r="B750" t="str">
            <v>US28P01550</v>
          </cell>
          <cell r="C750">
            <v>3311400099</v>
          </cell>
          <cell r="D750" t="str">
            <v>CO DEPRECIATION</v>
          </cell>
          <cell r="E750">
            <v>138</v>
          </cell>
          <cell r="F750">
            <v>138</v>
          </cell>
          <cell r="G750">
            <v>138</v>
          </cell>
          <cell r="H750">
            <v>138</v>
          </cell>
          <cell r="I750">
            <v>138</v>
          </cell>
          <cell r="J750">
            <v>138</v>
          </cell>
          <cell r="K750">
            <v>1701</v>
          </cell>
          <cell r="L750">
            <v>919</v>
          </cell>
          <cell r="M750">
            <v>919</v>
          </cell>
          <cell r="N750">
            <v>919</v>
          </cell>
          <cell r="O750">
            <v>919</v>
          </cell>
          <cell r="P750">
            <v>919</v>
          </cell>
          <cell r="Q750">
            <v>7124</v>
          </cell>
        </row>
        <row r="751">
          <cell r="A751" t="str">
            <v>US28P015533311400099</v>
          </cell>
          <cell r="B751" t="str">
            <v>US28P01553</v>
          </cell>
          <cell r="C751">
            <v>3311400099</v>
          </cell>
          <cell r="D751" t="str">
            <v>CO DEPRECIATION</v>
          </cell>
          <cell r="E751">
            <v>615</v>
          </cell>
          <cell r="F751">
            <v>615</v>
          </cell>
          <cell r="G751">
            <v>615</v>
          </cell>
          <cell r="H751">
            <v>615</v>
          </cell>
          <cell r="I751">
            <v>615</v>
          </cell>
          <cell r="J751">
            <v>615</v>
          </cell>
          <cell r="K751">
            <v>615</v>
          </cell>
          <cell r="L751">
            <v>615</v>
          </cell>
          <cell r="M751">
            <v>615</v>
          </cell>
          <cell r="N751">
            <v>615</v>
          </cell>
          <cell r="O751">
            <v>615</v>
          </cell>
          <cell r="P751">
            <v>615</v>
          </cell>
          <cell r="Q751">
            <v>7380</v>
          </cell>
        </row>
        <row r="752">
          <cell r="A752" t="str">
            <v>US28P015603311400099</v>
          </cell>
          <cell r="B752" t="str">
            <v>US28P01560</v>
          </cell>
          <cell r="C752">
            <v>3311400099</v>
          </cell>
          <cell r="D752" t="str">
            <v>CO DEPRECIATION</v>
          </cell>
          <cell r="E752">
            <v>965</v>
          </cell>
          <cell r="F752">
            <v>965</v>
          </cell>
          <cell r="G752">
            <v>965</v>
          </cell>
          <cell r="H752">
            <v>965</v>
          </cell>
          <cell r="I752">
            <v>965</v>
          </cell>
          <cell r="J752">
            <v>1445</v>
          </cell>
          <cell r="K752">
            <v>1205</v>
          </cell>
          <cell r="L752">
            <v>1095</v>
          </cell>
          <cell r="M752">
            <v>1138</v>
          </cell>
          <cell r="N752">
            <v>1138</v>
          </cell>
          <cell r="O752">
            <v>1138</v>
          </cell>
          <cell r="P752">
            <v>1138</v>
          </cell>
          <cell r="Q752">
            <v>13122</v>
          </cell>
        </row>
        <row r="753">
          <cell r="A753" t="str">
            <v>US28P015643311400099</v>
          </cell>
          <cell r="B753" t="str">
            <v>US28P01564</v>
          </cell>
          <cell r="C753">
            <v>3311400099</v>
          </cell>
          <cell r="D753" t="str">
            <v>CO DEPRECIATION</v>
          </cell>
          <cell r="E753">
            <v>39321</v>
          </cell>
          <cell r="F753">
            <v>39321</v>
          </cell>
          <cell r="G753">
            <v>39321</v>
          </cell>
          <cell r="H753">
            <v>39321</v>
          </cell>
          <cell r="I753">
            <v>39321</v>
          </cell>
          <cell r="J753">
            <v>39321</v>
          </cell>
          <cell r="K753">
            <v>39321</v>
          </cell>
          <cell r="L753">
            <v>38137</v>
          </cell>
          <cell r="M753">
            <v>29841</v>
          </cell>
          <cell r="N753">
            <v>29841</v>
          </cell>
          <cell r="O753">
            <v>29841</v>
          </cell>
          <cell r="P753">
            <v>29841</v>
          </cell>
          <cell r="Q753">
            <v>432748</v>
          </cell>
        </row>
        <row r="754">
          <cell r="A754" t="str">
            <v>US28P015753311400099</v>
          </cell>
          <cell r="B754" t="str">
            <v>US28P01575</v>
          </cell>
          <cell r="C754">
            <v>3311400099</v>
          </cell>
          <cell r="D754" t="str">
            <v>CO DEPRECIATION</v>
          </cell>
          <cell r="E754">
            <v>91</v>
          </cell>
          <cell r="F754">
            <v>92</v>
          </cell>
          <cell r="G754">
            <v>91</v>
          </cell>
          <cell r="H754">
            <v>91</v>
          </cell>
          <cell r="I754">
            <v>91</v>
          </cell>
          <cell r="J754">
            <v>92</v>
          </cell>
          <cell r="K754">
            <v>91</v>
          </cell>
          <cell r="L754">
            <v>91</v>
          </cell>
          <cell r="M754">
            <v>547</v>
          </cell>
          <cell r="N754">
            <v>547</v>
          </cell>
          <cell r="O754">
            <v>547</v>
          </cell>
          <cell r="P754">
            <v>547</v>
          </cell>
          <cell r="Q754">
            <v>2918</v>
          </cell>
        </row>
        <row r="755">
          <cell r="A755" t="str">
            <v>US28P015903311400099</v>
          </cell>
          <cell r="B755" t="str">
            <v>US28P01590</v>
          </cell>
          <cell r="C755">
            <v>3311400099</v>
          </cell>
          <cell r="D755" t="str">
            <v>CO DEPRECIATION</v>
          </cell>
          <cell r="E755">
            <v>206</v>
          </cell>
          <cell r="F755">
            <v>206</v>
          </cell>
          <cell r="G755">
            <v>206</v>
          </cell>
          <cell r="H755">
            <v>206</v>
          </cell>
          <cell r="I755">
            <v>206</v>
          </cell>
          <cell r="J755">
            <v>206</v>
          </cell>
          <cell r="K755">
            <v>206</v>
          </cell>
          <cell r="L755">
            <v>206</v>
          </cell>
          <cell r="M755">
            <v>206</v>
          </cell>
          <cell r="N755">
            <v>206</v>
          </cell>
          <cell r="O755">
            <v>206</v>
          </cell>
          <cell r="P755">
            <v>206</v>
          </cell>
          <cell r="Q755">
            <v>2472</v>
          </cell>
        </row>
        <row r="756">
          <cell r="A756" t="str">
            <v>US35P015013311400099</v>
          </cell>
          <cell r="B756" t="str">
            <v>US35P01501</v>
          </cell>
          <cell r="C756">
            <v>3311400099</v>
          </cell>
          <cell r="D756" t="str">
            <v>CO DEPRECIATION</v>
          </cell>
          <cell r="E756">
            <v>1169</v>
          </cell>
          <cell r="F756">
            <v>1169</v>
          </cell>
          <cell r="G756">
            <v>1169</v>
          </cell>
          <cell r="H756">
            <v>1169</v>
          </cell>
          <cell r="I756">
            <v>1169</v>
          </cell>
          <cell r="J756">
            <v>1169</v>
          </cell>
          <cell r="K756">
            <v>1169</v>
          </cell>
          <cell r="L756">
            <v>1169</v>
          </cell>
          <cell r="M756">
            <v>1871</v>
          </cell>
          <cell r="N756">
            <v>1169</v>
          </cell>
          <cell r="O756">
            <v>1169</v>
          </cell>
          <cell r="P756">
            <v>1169</v>
          </cell>
          <cell r="Q756">
            <v>14730</v>
          </cell>
        </row>
        <row r="757">
          <cell r="A757" t="str">
            <v>US35P015503311400099</v>
          </cell>
          <cell r="B757" t="str">
            <v>US35P01550</v>
          </cell>
          <cell r="C757">
            <v>3311400099</v>
          </cell>
          <cell r="D757" t="str">
            <v>CO DEPRECIATION</v>
          </cell>
          <cell r="E757">
            <v>35</v>
          </cell>
          <cell r="F757">
            <v>35</v>
          </cell>
          <cell r="G757">
            <v>35</v>
          </cell>
          <cell r="H757">
            <v>35</v>
          </cell>
          <cell r="I757">
            <v>35</v>
          </cell>
          <cell r="J757">
            <v>35</v>
          </cell>
          <cell r="K757">
            <v>35</v>
          </cell>
          <cell r="L757">
            <v>35</v>
          </cell>
          <cell r="M757">
            <v>35</v>
          </cell>
          <cell r="N757">
            <v>35</v>
          </cell>
          <cell r="O757">
            <v>35</v>
          </cell>
          <cell r="P757">
            <v>35</v>
          </cell>
          <cell r="Q757">
            <v>420</v>
          </cell>
        </row>
        <row r="758">
          <cell r="A758" t="str">
            <v>US35P015533311400099</v>
          </cell>
          <cell r="B758" t="str">
            <v>US35P01553</v>
          </cell>
          <cell r="C758">
            <v>3311400099</v>
          </cell>
          <cell r="D758" t="str">
            <v>CO DEPRECIATION</v>
          </cell>
          <cell r="E758">
            <v>747</v>
          </cell>
          <cell r="F758">
            <v>747</v>
          </cell>
          <cell r="G758">
            <v>747</v>
          </cell>
          <cell r="H758">
            <v>1172</v>
          </cell>
          <cell r="I758">
            <v>1172</v>
          </cell>
          <cell r="J758">
            <v>1172</v>
          </cell>
          <cell r="K758">
            <v>1172</v>
          </cell>
          <cell r="L758">
            <v>1172</v>
          </cell>
          <cell r="M758">
            <v>3491</v>
          </cell>
          <cell r="N758">
            <v>1945</v>
          </cell>
          <cell r="O758">
            <v>1945</v>
          </cell>
          <cell r="P758">
            <v>2029</v>
          </cell>
          <cell r="Q758">
            <v>17511</v>
          </cell>
        </row>
        <row r="759">
          <cell r="A759" t="str">
            <v>US35P015603311400099</v>
          </cell>
          <cell r="B759" t="str">
            <v>US35P01560</v>
          </cell>
          <cell r="C759">
            <v>3311400099</v>
          </cell>
          <cell r="D759" t="str">
            <v>CO DEPRECIATION</v>
          </cell>
          <cell r="E759">
            <v>30567</v>
          </cell>
          <cell r="F759">
            <v>30567</v>
          </cell>
          <cell r="G759">
            <v>30567</v>
          </cell>
          <cell r="H759">
            <v>30832</v>
          </cell>
          <cell r="I759">
            <v>32132</v>
          </cell>
          <cell r="J759">
            <v>31024</v>
          </cell>
          <cell r="K759">
            <v>31023</v>
          </cell>
          <cell r="L759">
            <v>31023</v>
          </cell>
          <cell r="M759">
            <v>31024</v>
          </cell>
          <cell r="N759">
            <v>37714</v>
          </cell>
          <cell r="O759">
            <v>34320</v>
          </cell>
          <cell r="P759">
            <v>34320</v>
          </cell>
          <cell r="Q759">
            <v>385113</v>
          </cell>
        </row>
        <row r="760">
          <cell r="A760" t="str">
            <v>US35P015643311400099</v>
          </cell>
          <cell r="B760" t="str">
            <v>US35P01564</v>
          </cell>
          <cell r="C760">
            <v>3311400099</v>
          </cell>
          <cell r="D760" t="str">
            <v>CO DEPRECIATION</v>
          </cell>
          <cell r="E760">
            <v>15945</v>
          </cell>
          <cell r="F760">
            <v>15945</v>
          </cell>
          <cell r="G760">
            <v>15945</v>
          </cell>
          <cell r="H760">
            <v>15945</v>
          </cell>
          <cell r="I760">
            <v>15945</v>
          </cell>
          <cell r="J760">
            <v>15945</v>
          </cell>
          <cell r="K760">
            <v>15945</v>
          </cell>
          <cell r="L760">
            <v>15945</v>
          </cell>
          <cell r="M760">
            <v>15777</v>
          </cell>
          <cell r="N760">
            <v>24131</v>
          </cell>
          <cell r="O760">
            <v>19805</v>
          </cell>
          <cell r="P760">
            <v>20468</v>
          </cell>
          <cell r="Q760">
            <v>207741</v>
          </cell>
        </row>
        <row r="761">
          <cell r="A761" t="str">
            <v>US35P015753311400099</v>
          </cell>
          <cell r="B761" t="str">
            <v>US35P01575</v>
          </cell>
          <cell r="C761">
            <v>3311400099</v>
          </cell>
          <cell r="D761" t="str">
            <v>CO DEPRECIATION</v>
          </cell>
          <cell r="E761">
            <v>183</v>
          </cell>
          <cell r="F761">
            <v>183</v>
          </cell>
          <cell r="G761">
            <v>183</v>
          </cell>
          <cell r="H761">
            <v>183</v>
          </cell>
          <cell r="I761">
            <v>183</v>
          </cell>
          <cell r="J761">
            <v>183</v>
          </cell>
          <cell r="K761">
            <v>183</v>
          </cell>
          <cell r="L761">
            <v>183</v>
          </cell>
          <cell r="M761">
            <v>401</v>
          </cell>
          <cell r="N761">
            <v>401</v>
          </cell>
          <cell r="O761">
            <v>401</v>
          </cell>
          <cell r="P761">
            <v>401</v>
          </cell>
          <cell r="Q761">
            <v>3068</v>
          </cell>
        </row>
        <row r="762">
          <cell r="A762" t="str">
            <v>USWOP015013311400099</v>
          </cell>
          <cell r="B762" t="str">
            <v>USWOP01501</v>
          </cell>
          <cell r="C762">
            <v>3311400099</v>
          </cell>
          <cell r="D762" t="str">
            <v>CO DEPRECIATION</v>
          </cell>
          <cell r="E762">
            <v>27271</v>
          </cell>
          <cell r="F762">
            <v>27271</v>
          </cell>
          <cell r="G762">
            <v>27271</v>
          </cell>
          <cell r="H762">
            <v>27271</v>
          </cell>
          <cell r="I762">
            <v>27271</v>
          </cell>
          <cell r="J762">
            <v>27273</v>
          </cell>
          <cell r="K762">
            <v>27270</v>
          </cell>
          <cell r="L762">
            <v>27271</v>
          </cell>
          <cell r="M762">
            <v>22961</v>
          </cell>
          <cell r="N762">
            <v>22960</v>
          </cell>
          <cell r="O762">
            <v>22960</v>
          </cell>
          <cell r="P762">
            <v>20864</v>
          </cell>
          <cell r="Q762">
            <v>307914</v>
          </cell>
        </row>
        <row r="763">
          <cell r="A763" t="str">
            <v>USWOP015503311400099</v>
          </cell>
          <cell r="B763" t="str">
            <v>USWOP01550</v>
          </cell>
          <cell r="C763">
            <v>3311400099</v>
          </cell>
          <cell r="D763" t="str">
            <v>CO DEPRECIATION</v>
          </cell>
          <cell r="E763">
            <v>1586</v>
          </cell>
          <cell r="F763">
            <v>1586</v>
          </cell>
          <cell r="G763">
            <v>1586</v>
          </cell>
          <cell r="H763">
            <v>1586</v>
          </cell>
          <cell r="I763">
            <v>1586</v>
          </cell>
          <cell r="J763">
            <v>2350</v>
          </cell>
          <cell r="K763">
            <v>2350</v>
          </cell>
          <cell r="L763">
            <v>2350</v>
          </cell>
          <cell r="M763">
            <v>2194</v>
          </cell>
          <cell r="N763">
            <v>2193</v>
          </cell>
          <cell r="O763">
            <v>2193</v>
          </cell>
          <cell r="P763">
            <v>2193</v>
          </cell>
          <cell r="Q763">
            <v>23753</v>
          </cell>
        </row>
        <row r="764">
          <cell r="A764" t="str">
            <v>USWOP015603311400099</v>
          </cell>
          <cell r="B764" t="str">
            <v>USWOP01560</v>
          </cell>
          <cell r="C764">
            <v>3311400099</v>
          </cell>
          <cell r="D764" t="str">
            <v>CO DEPRECIATION</v>
          </cell>
          <cell r="E764">
            <v>6445</v>
          </cell>
          <cell r="F764">
            <v>6445</v>
          </cell>
          <cell r="G764">
            <v>6445</v>
          </cell>
          <cell r="H764">
            <v>6445</v>
          </cell>
          <cell r="I764">
            <v>6445</v>
          </cell>
          <cell r="J764">
            <v>6446</v>
          </cell>
          <cell r="K764">
            <v>6445</v>
          </cell>
          <cell r="L764">
            <v>6445</v>
          </cell>
          <cell r="M764">
            <v>6143</v>
          </cell>
          <cell r="N764">
            <v>71397</v>
          </cell>
          <cell r="O764">
            <v>27894</v>
          </cell>
          <cell r="P764">
            <v>28594</v>
          </cell>
          <cell r="Q764">
            <v>185589</v>
          </cell>
        </row>
        <row r="765">
          <cell r="A765" t="str">
            <v>USWOP015643311400099</v>
          </cell>
          <cell r="B765" t="str">
            <v>USWOP01564</v>
          </cell>
          <cell r="C765">
            <v>3311400099</v>
          </cell>
          <cell r="D765" t="str">
            <v>CO DEPRECIATION</v>
          </cell>
          <cell r="E765">
            <v>6480</v>
          </cell>
          <cell r="F765">
            <v>6480</v>
          </cell>
          <cell r="G765">
            <v>6480</v>
          </cell>
          <cell r="H765">
            <v>6480</v>
          </cell>
          <cell r="I765">
            <v>6480</v>
          </cell>
          <cell r="J765">
            <v>6480</v>
          </cell>
          <cell r="K765">
            <v>6915</v>
          </cell>
          <cell r="L765">
            <v>6625</v>
          </cell>
          <cell r="M765">
            <v>6735</v>
          </cell>
          <cell r="N765">
            <v>6868</v>
          </cell>
          <cell r="O765">
            <v>6869</v>
          </cell>
          <cell r="P765">
            <v>10428</v>
          </cell>
          <cell r="Q765">
            <v>83320</v>
          </cell>
        </row>
        <row r="766">
          <cell r="A766" t="str">
            <v>US59P015013311400099</v>
          </cell>
          <cell r="B766" t="str">
            <v>US59P01501</v>
          </cell>
          <cell r="C766">
            <v>3311400099</v>
          </cell>
          <cell r="D766" t="str">
            <v>CO DEPRECIATION</v>
          </cell>
          <cell r="E766">
            <v>2251</v>
          </cell>
          <cell r="F766">
            <v>2250</v>
          </cell>
          <cell r="G766">
            <v>2251</v>
          </cell>
          <cell r="H766">
            <v>2250</v>
          </cell>
          <cell r="I766">
            <v>2617</v>
          </cell>
          <cell r="J766">
            <v>2618</v>
          </cell>
          <cell r="K766">
            <v>2617</v>
          </cell>
          <cell r="L766">
            <v>2083</v>
          </cell>
          <cell r="M766">
            <v>2083</v>
          </cell>
          <cell r="N766">
            <v>2083</v>
          </cell>
          <cell r="O766">
            <v>2083</v>
          </cell>
          <cell r="P766">
            <v>2083</v>
          </cell>
          <cell r="Q766">
            <v>27269</v>
          </cell>
        </row>
        <row r="767">
          <cell r="A767" t="str">
            <v>US59P015503311400099</v>
          </cell>
          <cell r="B767" t="str">
            <v>US59P01550</v>
          </cell>
          <cell r="C767">
            <v>3311400099</v>
          </cell>
          <cell r="D767" t="str">
            <v>CO DEPRECIATION</v>
          </cell>
          <cell r="E767">
            <v>492</v>
          </cell>
          <cell r="F767">
            <v>492</v>
          </cell>
          <cell r="G767">
            <v>492</v>
          </cell>
          <cell r="H767">
            <v>492</v>
          </cell>
          <cell r="I767">
            <v>492</v>
          </cell>
          <cell r="J767">
            <v>492</v>
          </cell>
          <cell r="K767">
            <v>492</v>
          </cell>
          <cell r="L767">
            <v>101</v>
          </cell>
          <cell r="M767">
            <v>101</v>
          </cell>
          <cell r="N767">
            <v>101</v>
          </cell>
          <cell r="O767">
            <v>101</v>
          </cell>
          <cell r="P767">
            <v>101</v>
          </cell>
          <cell r="Q767">
            <v>3949</v>
          </cell>
        </row>
        <row r="768">
          <cell r="A768" t="str">
            <v>US59P015533311400099</v>
          </cell>
          <cell r="B768" t="str">
            <v>US59P01553</v>
          </cell>
          <cell r="C768">
            <v>3311400099</v>
          </cell>
          <cell r="D768" t="str">
            <v>CO DEPRECIATION</v>
          </cell>
          <cell r="E768">
            <v>3337</v>
          </cell>
          <cell r="F768">
            <v>3337</v>
          </cell>
          <cell r="G768">
            <v>3337</v>
          </cell>
          <cell r="H768">
            <v>3337</v>
          </cell>
          <cell r="I768">
            <v>3337</v>
          </cell>
          <cell r="J768">
            <v>3337</v>
          </cell>
          <cell r="K768">
            <v>3337</v>
          </cell>
          <cell r="L768">
            <v>3271</v>
          </cell>
          <cell r="M768">
            <v>8497</v>
          </cell>
          <cell r="N768">
            <v>5013</v>
          </cell>
          <cell r="O768">
            <v>5013</v>
          </cell>
          <cell r="P768">
            <v>5013</v>
          </cell>
          <cell r="Q768">
            <v>50166</v>
          </cell>
        </row>
        <row r="769">
          <cell r="A769" t="str">
            <v>US59P015603311400099</v>
          </cell>
          <cell r="B769" t="str">
            <v>US59P01560</v>
          </cell>
          <cell r="C769">
            <v>3311400099</v>
          </cell>
          <cell r="D769" t="str">
            <v>CO DEPRECIATION</v>
          </cell>
          <cell r="E769">
            <v>9478</v>
          </cell>
          <cell r="F769">
            <v>9478</v>
          </cell>
          <cell r="G769">
            <v>9478</v>
          </cell>
          <cell r="H769">
            <v>9478</v>
          </cell>
          <cell r="I769">
            <v>9523</v>
          </cell>
          <cell r="J769">
            <v>9523</v>
          </cell>
          <cell r="K769">
            <v>9523</v>
          </cell>
          <cell r="L769">
            <v>8489</v>
          </cell>
          <cell r="M769">
            <v>8556</v>
          </cell>
          <cell r="N769">
            <v>8556</v>
          </cell>
          <cell r="O769">
            <v>8556</v>
          </cell>
          <cell r="P769">
            <v>78529</v>
          </cell>
          <cell r="Q769">
            <v>179167</v>
          </cell>
        </row>
        <row r="770">
          <cell r="A770" t="str">
            <v>US59P015643311400099</v>
          </cell>
          <cell r="B770" t="str">
            <v>US59P01564</v>
          </cell>
          <cell r="C770">
            <v>3311400099</v>
          </cell>
          <cell r="D770" t="str">
            <v>CO DEPRECIATION</v>
          </cell>
          <cell r="E770">
            <v>21101</v>
          </cell>
          <cell r="F770">
            <v>21101</v>
          </cell>
          <cell r="G770">
            <v>21101</v>
          </cell>
          <cell r="H770">
            <v>21101</v>
          </cell>
          <cell r="I770">
            <v>21101</v>
          </cell>
          <cell r="J770">
            <v>21101</v>
          </cell>
          <cell r="K770">
            <v>20433</v>
          </cell>
          <cell r="L770">
            <v>20427</v>
          </cell>
          <cell r="M770">
            <v>20427</v>
          </cell>
          <cell r="N770">
            <v>20427</v>
          </cell>
          <cell r="O770">
            <v>20427</v>
          </cell>
          <cell r="P770">
            <v>20427</v>
          </cell>
          <cell r="Q770">
            <v>249174</v>
          </cell>
        </row>
        <row r="771">
          <cell r="A771" t="str">
            <v>US59P015753311400099</v>
          </cell>
          <cell r="B771" t="str">
            <v>US59P01575</v>
          </cell>
          <cell r="C771">
            <v>3311400099</v>
          </cell>
          <cell r="D771" t="str">
            <v>CO DEPRECIATION</v>
          </cell>
          <cell r="E771">
            <v>0</v>
          </cell>
          <cell r="F771">
            <v>0</v>
          </cell>
          <cell r="G771">
            <v>0</v>
          </cell>
          <cell r="H771">
            <v>0</v>
          </cell>
          <cell r="I771">
            <v>45</v>
          </cell>
          <cell r="J771">
            <v>45</v>
          </cell>
          <cell r="K771">
            <v>45</v>
          </cell>
          <cell r="L771">
            <v>45</v>
          </cell>
          <cell r="M771">
            <v>45</v>
          </cell>
          <cell r="N771">
            <v>45</v>
          </cell>
          <cell r="O771">
            <v>45</v>
          </cell>
          <cell r="P771">
            <v>45</v>
          </cell>
          <cell r="Q771">
            <v>360</v>
          </cell>
        </row>
        <row r="772">
          <cell r="A772" t="str">
            <v>US59P3C5013311400099</v>
          </cell>
          <cell r="B772" t="str">
            <v>US59P3C501</v>
          </cell>
          <cell r="C772">
            <v>3311400099</v>
          </cell>
          <cell r="D772" t="str">
            <v>CO DEPRECIATION</v>
          </cell>
          <cell r="E772">
            <v>37</v>
          </cell>
          <cell r="F772">
            <v>37</v>
          </cell>
          <cell r="G772">
            <v>37</v>
          </cell>
          <cell r="H772">
            <v>37</v>
          </cell>
          <cell r="I772">
            <v>37</v>
          </cell>
          <cell r="J772">
            <v>37</v>
          </cell>
          <cell r="K772">
            <v>37</v>
          </cell>
          <cell r="L772">
            <v>37</v>
          </cell>
          <cell r="M772">
            <v>37</v>
          </cell>
          <cell r="N772">
            <v>37</v>
          </cell>
          <cell r="O772">
            <v>37</v>
          </cell>
          <cell r="P772">
            <v>37</v>
          </cell>
          <cell r="Q772">
            <v>444</v>
          </cell>
        </row>
        <row r="773">
          <cell r="A773" t="str">
            <v>US59P3C5503311400099</v>
          </cell>
          <cell r="B773" t="str">
            <v>US59P3C550</v>
          </cell>
          <cell r="C773">
            <v>3311400099</v>
          </cell>
          <cell r="D773" t="str">
            <v>CO DEPRECIATION</v>
          </cell>
          <cell r="E773">
            <v>81</v>
          </cell>
          <cell r="F773">
            <v>81</v>
          </cell>
          <cell r="G773">
            <v>81</v>
          </cell>
          <cell r="H773">
            <v>81</v>
          </cell>
          <cell r="I773">
            <v>81</v>
          </cell>
          <cell r="J773">
            <v>81</v>
          </cell>
          <cell r="K773">
            <v>81</v>
          </cell>
          <cell r="L773">
            <v>0</v>
          </cell>
          <cell r="M773">
            <v>0</v>
          </cell>
          <cell r="N773">
            <v>0</v>
          </cell>
          <cell r="O773">
            <v>0</v>
          </cell>
          <cell r="P773">
            <v>0</v>
          </cell>
          <cell r="Q773">
            <v>567</v>
          </cell>
        </row>
        <row r="774">
          <cell r="A774" t="str">
            <v>US59P3C5603311400099</v>
          </cell>
          <cell r="B774" t="str">
            <v>US59P3C560</v>
          </cell>
          <cell r="C774">
            <v>3311400099</v>
          </cell>
          <cell r="D774" t="str">
            <v>CO DEPRECIATION</v>
          </cell>
          <cell r="E774">
            <v>5701</v>
          </cell>
          <cell r="F774">
            <v>5701</v>
          </cell>
          <cell r="G774">
            <v>5701</v>
          </cell>
          <cell r="H774">
            <v>5701</v>
          </cell>
          <cell r="I774">
            <v>5701</v>
          </cell>
          <cell r="J774">
            <v>5701</v>
          </cell>
          <cell r="K774">
            <v>5701</v>
          </cell>
          <cell r="L774">
            <v>5013</v>
          </cell>
          <cell r="M774">
            <v>5013</v>
          </cell>
          <cell r="N774">
            <v>5013</v>
          </cell>
          <cell r="O774">
            <v>5013</v>
          </cell>
          <cell r="P774">
            <v>478495</v>
          </cell>
          <cell r="Q774">
            <v>538454</v>
          </cell>
        </row>
        <row r="775">
          <cell r="A775" t="str">
            <v>USCLP015013311400099</v>
          </cell>
          <cell r="B775" t="str">
            <v>USCLP01501</v>
          </cell>
          <cell r="C775">
            <v>3311400099</v>
          </cell>
          <cell r="D775" t="str">
            <v>CO DEPRECIATION</v>
          </cell>
          <cell r="E775">
            <v>2812</v>
          </cell>
          <cell r="F775">
            <v>2812</v>
          </cell>
          <cell r="G775">
            <v>2812</v>
          </cell>
          <cell r="H775">
            <v>2811</v>
          </cell>
          <cell r="I775">
            <v>2812</v>
          </cell>
          <cell r="J775">
            <v>2812</v>
          </cell>
          <cell r="K775">
            <v>2812</v>
          </cell>
          <cell r="L775">
            <v>2812</v>
          </cell>
          <cell r="M775">
            <v>2688</v>
          </cell>
          <cell r="N775">
            <v>2401</v>
          </cell>
          <cell r="O775">
            <v>2401</v>
          </cell>
          <cell r="P775">
            <v>2401</v>
          </cell>
          <cell r="Q775">
            <v>32386</v>
          </cell>
        </row>
        <row r="776">
          <cell r="A776" t="str">
            <v>USCLP015753311400099</v>
          </cell>
          <cell r="B776" t="str">
            <v>USCLP01575</v>
          </cell>
          <cell r="C776">
            <v>3311400099</v>
          </cell>
          <cell r="D776" t="str">
            <v>CO DEPRECIATION</v>
          </cell>
          <cell r="E776">
            <v>50</v>
          </cell>
          <cell r="F776">
            <v>50</v>
          </cell>
          <cell r="G776">
            <v>50</v>
          </cell>
          <cell r="H776">
            <v>50</v>
          </cell>
          <cell r="I776">
            <v>50</v>
          </cell>
          <cell r="J776">
            <v>50</v>
          </cell>
          <cell r="K776">
            <v>50</v>
          </cell>
          <cell r="L776">
            <v>50</v>
          </cell>
          <cell r="M776">
            <v>50</v>
          </cell>
          <cell r="N776">
            <v>159</v>
          </cell>
          <cell r="O776">
            <v>159</v>
          </cell>
          <cell r="P776">
            <v>159</v>
          </cell>
          <cell r="Q776">
            <v>927</v>
          </cell>
        </row>
        <row r="777">
          <cell r="A777" t="str">
            <v>USSTP015013311400099</v>
          </cell>
          <cell r="B777" t="str">
            <v>USSTP01501</v>
          </cell>
          <cell r="C777">
            <v>3311400099</v>
          </cell>
          <cell r="D777" t="str">
            <v>CO DEPRECIATION</v>
          </cell>
          <cell r="E777">
            <v>5041</v>
          </cell>
          <cell r="F777">
            <v>4724</v>
          </cell>
          <cell r="G777">
            <v>4725</v>
          </cell>
          <cell r="H777">
            <v>4725</v>
          </cell>
          <cell r="I777">
            <v>4724</v>
          </cell>
          <cell r="J777">
            <v>4726</v>
          </cell>
          <cell r="K777">
            <v>4724</v>
          </cell>
          <cell r="L777">
            <v>4724</v>
          </cell>
          <cell r="M777">
            <v>4725</v>
          </cell>
          <cell r="N777">
            <v>4725</v>
          </cell>
          <cell r="O777">
            <v>4694</v>
          </cell>
          <cell r="P777">
            <v>4267</v>
          </cell>
          <cell r="Q777">
            <v>56524</v>
          </cell>
        </row>
        <row r="778">
          <cell r="A778" t="str">
            <v>USCOP015013311400099</v>
          </cell>
          <cell r="B778" t="str">
            <v>USCOP01501</v>
          </cell>
          <cell r="C778">
            <v>3311400099</v>
          </cell>
          <cell r="D778" t="str">
            <v>CO DEPRECIATION</v>
          </cell>
          <cell r="E778">
            <v>2603</v>
          </cell>
          <cell r="F778">
            <v>2601</v>
          </cell>
          <cell r="G778">
            <v>2603</v>
          </cell>
          <cell r="H778">
            <v>2602</v>
          </cell>
          <cell r="I778">
            <v>2601</v>
          </cell>
          <cell r="J778">
            <v>2603</v>
          </cell>
          <cell r="K778">
            <v>2602</v>
          </cell>
          <cell r="L778">
            <v>2601</v>
          </cell>
          <cell r="M778">
            <v>2603</v>
          </cell>
          <cell r="N778">
            <v>2603</v>
          </cell>
          <cell r="O778">
            <v>2651</v>
          </cell>
          <cell r="P778">
            <v>-11722</v>
          </cell>
          <cell r="Q778">
            <v>16951</v>
          </cell>
        </row>
        <row r="779">
          <cell r="A779" t="str">
            <v>USCOP015753311400099</v>
          </cell>
          <cell r="B779" t="str">
            <v>USCOP01575</v>
          </cell>
          <cell r="C779">
            <v>3311400099</v>
          </cell>
          <cell r="D779" t="str">
            <v>CO DEPRECIATION</v>
          </cell>
          <cell r="E779">
            <v>50</v>
          </cell>
          <cell r="F779">
            <v>50</v>
          </cell>
          <cell r="G779">
            <v>50</v>
          </cell>
          <cell r="H779">
            <v>50</v>
          </cell>
          <cell r="I779">
            <v>50</v>
          </cell>
          <cell r="J779">
            <v>50</v>
          </cell>
          <cell r="K779">
            <v>50</v>
          </cell>
          <cell r="L779">
            <v>50</v>
          </cell>
          <cell r="M779">
            <v>50</v>
          </cell>
          <cell r="N779">
            <v>50</v>
          </cell>
          <cell r="O779">
            <v>0</v>
          </cell>
          <cell r="P779">
            <v>0</v>
          </cell>
          <cell r="Q779">
            <v>500</v>
          </cell>
        </row>
        <row r="780">
          <cell r="A780" t="str">
            <v>USCRP015013311400099</v>
          </cell>
          <cell r="B780" t="str">
            <v>USCRP01501</v>
          </cell>
          <cell r="C780">
            <v>3311400099</v>
          </cell>
          <cell r="D780" t="str">
            <v>CO DEPRECIATION</v>
          </cell>
          <cell r="E780">
            <v>26297</v>
          </cell>
          <cell r="F780">
            <v>26289</v>
          </cell>
          <cell r="G780">
            <v>26297</v>
          </cell>
          <cell r="H780">
            <v>26296</v>
          </cell>
          <cell r="I780">
            <v>26289</v>
          </cell>
          <cell r="J780">
            <v>26212</v>
          </cell>
          <cell r="K780">
            <v>27271</v>
          </cell>
          <cell r="L780">
            <v>26748</v>
          </cell>
          <cell r="M780">
            <v>25049</v>
          </cell>
          <cell r="N780">
            <v>25051</v>
          </cell>
          <cell r="O780">
            <v>-159339</v>
          </cell>
          <cell r="P780">
            <v>54149</v>
          </cell>
          <cell r="Q780">
            <v>156609</v>
          </cell>
        </row>
        <row r="781">
          <cell r="A781" t="str">
            <v>USCRP015533311400099</v>
          </cell>
          <cell r="B781" t="str">
            <v>USCRP01553</v>
          </cell>
          <cell r="C781">
            <v>3311400099</v>
          </cell>
          <cell r="D781" t="str">
            <v>CO DEPRECIATION</v>
          </cell>
          <cell r="E781">
            <v>0</v>
          </cell>
          <cell r="F781">
            <v>0</v>
          </cell>
          <cell r="G781">
            <v>0</v>
          </cell>
          <cell r="H781">
            <v>0</v>
          </cell>
          <cell r="I781">
            <v>0</v>
          </cell>
          <cell r="J781">
            <v>0</v>
          </cell>
          <cell r="K781">
            <v>769</v>
          </cell>
          <cell r="L781">
            <v>769</v>
          </cell>
          <cell r="M781">
            <v>769</v>
          </cell>
          <cell r="N781">
            <v>769</v>
          </cell>
          <cell r="O781">
            <v>769</v>
          </cell>
          <cell r="P781">
            <v>769</v>
          </cell>
          <cell r="Q781">
            <v>4614</v>
          </cell>
        </row>
        <row r="782">
          <cell r="A782" t="str">
            <v>USCRP015603311400099</v>
          </cell>
          <cell r="B782" t="str">
            <v>USCRP01560</v>
          </cell>
          <cell r="C782">
            <v>3311400099</v>
          </cell>
          <cell r="D782" t="str">
            <v>CO DEPRECIATION</v>
          </cell>
          <cell r="E782">
            <v>132</v>
          </cell>
          <cell r="F782">
            <v>132</v>
          </cell>
          <cell r="G782">
            <v>132</v>
          </cell>
          <cell r="H782">
            <v>132</v>
          </cell>
          <cell r="I782">
            <v>132</v>
          </cell>
          <cell r="J782">
            <v>132</v>
          </cell>
          <cell r="K782">
            <v>132</v>
          </cell>
          <cell r="L782">
            <v>4489</v>
          </cell>
          <cell r="M782">
            <v>4902</v>
          </cell>
          <cell r="N782">
            <v>4902</v>
          </cell>
          <cell r="O782">
            <v>6041</v>
          </cell>
          <cell r="P782">
            <v>5428</v>
          </cell>
          <cell r="Q782">
            <v>26686</v>
          </cell>
        </row>
        <row r="783">
          <cell r="A783" t="str">
            <v>USCRP015753311400099</v>
          </cell>
          <cell r="B783" t="str">
            <v>USCRP01575</v>
          </cell>
          <cell r="C783">
            <v>3311400099</v>
          </cell>
          <cell r="D783" t="str">
            <v>CO DEPRECIATION</v>
          </cell>
          <cell r="E783">
            <v>2881</v>
          </cell>
          <cell r="F783">
            <v>2881</v>
          </cell>
          <cell r="G783">
            <v>2881</v>
          </cell>
          <cell r="H783">
            <v>2966</v>
          </cell>
          <cell r="I783">
            <v>2966</v>
          </cell>
          <cell r="J783">
            <v>2966</v>
          </cell>
          <cell r="K783">
            <v>2966</v>
          </cell>
          <cell r="L783">
            <v>2966</v>
          </cell>
          <cell r="M783">
            <v>2966</v>
          </cell>
          <cell r="N783">
            <v>2966</v>
          </cell>
          <cell r="O783">
            <v>2891</v>
          </cell>
          <cell r="P783">
            <v>2890</v>
          </cell>
          <cell r="Q783">
            <v>35186</v>
          </cell>
        </row>
        <row r="784">
          <cell r="A784" t="str">
            <v>US28P015013501500031</v>
          </cell>
          <cell r="B784" t="str">
            <v>US28P01501</v>
          </cell>
          <cell r="C784">
            <v>3501500031</v>
          </cell>
          <cell r="D784" t="str">
            <v>BUSINESS LICENSES &amp; LOCAL TAXES</v>
          </cell>
          <cell r="E784">
            <v>1257</v>
          </cell>
          <cell r="F784">
            <v>0</v>
          </cell>
          <cell r="G784">
            <v>96</v>
          </cell>
          <cell r="H784">
            <v>0</v>
          </cell>
          <cell r="I784">
            <v>30</v>
          </cell>
          <cell r="J784">
            <v>691</v>
          </cell>
          <cell r="K784">
            <v>0</v>
          </cell>
          <cell r="L784">
            <v>0</v>
          </cell>
          <cell r="M784">
            <v>0</v>
          </cell>
          <cell r="N784">
            <v>0</v>
          </cell>
          <cell r="O784">
            <v>0</v>
          </cell>
          <cell r="P784">
            <v>0</v>
          </cell>
          <cell r="Q784">
            <v>2074</v>
          </cell>
        </row>
        <row r="785">
          <cell r="A785" t="str">
            <v>USCRP015013501500031</v>
          </cell>
          <cell r="B785" t="str">
            <v>USCRP01501</v>
          </cell>
          <cell r="C785">
            <v>3501500031</v>
          </cell>
          <cell r="D785" t="str">
            <v>BUSINESS LICENSES &amp; LOCAL TAXES</v>
          </cell>
          <cell r="E785">
            <v>0</v>
          </cell>
          <cell r="F785">
            <v>0</v>
          </cell>
          <cell r="G785">
            <v>0</v>
          </cell>
          <cell r="H785">
            <v>0</v>
          </cell>
          <cell r="I785">
            <v>0</v>
          </cell>
          <cell r="J785">
            <v>0</v>
          </cell>
          <cell r="K785">
            <v>0</v>
          </cell>
          <cell r="L785">
            <v>0</v>
          </cell>
          <cell r="M785">
            <v>0</v>
          </cell>
          <cell r="N785">
            <v>0</v>
          </cell>
          <cell r="O785">
            <v>0</v>
          </cell>
          <cell r="P785">
            <v>576</v>
          </cell>
          <cell r="Q785">
            <v>576</v>
          </cell>
        </row>
        <row r="786">
          <cell r="A786" t="str">
            <v>US22P015013501500034</v>
          </cell>
          <cell r="B786" t="str">
            <v>US22P01501</v>
          </cell>
          <cell r="C786">
            <v>3501500034</v>
          </cell>
          <cell r="D786" t="str">
            <v>PROPERTY TAXES</v>
          </cell>
          <cell r="E786">
            <v>6590</v>
          </cell>
          <cell r="F786">
            <v>6590</v>
          </cell>
          <cell r="G786">
            <v>6590</v>
          </cell>
          <cell r="H786">
            <v>6590</v>
          </cell>
          <cell r="I786">
            <v>6590</v>
          </cell>
          <cell r="J786">
            <v>6590</v>
          </cell>
          <cell r="K786">
            <v>6590</v>
          </cell>
          <cell r="L786">
            <v>24283</v>
          </cell>
          <cell r="M786">
            <v>6590</v>
          </cell>
          <cell r="N786">
            <v>6590</v>
          </cell>
          <cell r="O786">
            <v>6590</v>
          </cell>
          <cell r="P786">
            <v>6590</v>
          </cell>
          <cell r="Q786">
            <v>96773</v>
          </cell>
        </row>
        <row r="787">
          <cell r="A787" t="str">
            <v>US28P015013501500034</v>
          </cell>
          <cell r="B787" t="str">
            <v>US28P01501</v>
          </cell>
          <cell r="C787">
            <v>3501500034</v>
          </cell>
          <cell r="D787" t="str">
            <v>PROPERTY TAXES</v>
          </cell>
          <cell r="E787">
            <v>3730</v>
          </cell>
          <cell r="F787">
            <v>3730</v>
          </cell>
          <cell r="G787">
            <v>3730</v>
          </cell>
          <cell r="H787">
            <v>3730</v>
          </cell>
          <cell r="I787">
            <v>3730</v>
          </cell>
          <cell r="J787">
            <v>3730</v>
          </cell>
          <cell r="K787">
            <v>3730</v>
          </cell>
          <cell r="L787">
            <v>4816</v>
          </cell>
          <cell r="M787">
            <v>3730</v>
          </cell>
          <cell r="N787">
            <v>3730</v>
          </cell>
          <cell r="O787">
            <v>2209</v>
          </cell>
          <cell r="P787">
            <v>3730</v>
          </cell>
          <cell r="Q787">
            <v>44325</v>
          </cell>
        </row>
        <row r="788">
          <cell r="A788" t="str">
            <v>US35P015013501500034</v>
          </cell>
          <cell r="B788" t="str">
            <v>US35P01501</v>
          </cell>
          <cell r="C788">
            <v>3501500034</v>
          </cell>
          <cell r="D788" t="str">
            <v>PROPERTY TAXES</v>
          </cell>
          <cell r="E788">
            <v>8630</v>
          </cell>
          <cell r="F788">
            <v>8630</v>
          </cell>
          <cell r="G788">
            <v>8630</v>
          </cell>
          <cell r="H788">
            <v>8630</v>
          </cell>
          <cell r="I788">
            <v>8630</v>
          </cell>
          <cell r="J788">
            <v>8630</v>
          </cell>
          <cell r="K788">
            <v>8630</v>
          </cell>
          <cell r="L788">
            <v>18774</v>
          </cell>
          <cell r="M788">
            <v>8630</v>
          </cell>
          <cell r="N788">
            <v>8630</v>
          </cell>
          <cell r="O788">
            <v>8630</v>
          </cell>
          <cell r="P788">
            <v>2616</v>
          </cell>
          <cell r="Q788">
            <v>107690</v>
          </cell>
        </row>
        <row r="789">
          <cell r="A789" t="str">
            <v>USWOP015013501500034</v>
          </cell>
          <cell r="B789" t="str">
            <v>USWOP01501</v>
          </cell>
          <cell r="C789">
            <v>3501500034</v>
          </cell>
          <cell r="D789" t="str">
            <v>PROPERTY TAXES</v>
          </cell>
          <cell r="E789">
            <v>29010</v>
          </cell>
          <cell r="F789">
            <v>29010</v>
          </cell>
          <cell r="G789">
            <v>29010</v>
          </cell>
          <cell r="H789">
            <v>29010</v>
          </cell>
          <cell r="I789">
            <v>29010</v>
          </cell>
          <cell r="J789">
            <v>29010</v>
          </cell>
          <cell r="K789">
            <v>29010</v>
          </cell>
          <cell r="L789">
            <v>-20636</v>
          </cell>
          <cell r="M789">
            <v>29010</v>
          </cell>
          <cell r="N789">
            <v>29010</v>
          </cell>
          <cell r="O789">
            <v>29010</v>
          </cell>
          <cell r="P789">
            <v>29010</v>
          </cell>
          <cell r="Q789">
            <v>298474</v>
          </cell>
        </row>
        <row r="790">
          <cell r="A790" t="str">
            <v>US59P015013501500034</v>
          </cell>
          <cell r="B790" t="str">
            <v>US59P01501</v>
          </cell>
          <cell r="C790">
            <v>3501500034</v>
          </cell>
          <cell r="D790" t="str">
            <v>PROPERTY TAXES</v>
          </cell>
          <cell r="E790">
            <v>0</v>
          </cell>
          <cell r="F790">
            <v>0</v>
          </cell>
          <cell r="G790">
            <v>0</v>
          </cell>
          <cell r="H790">
            <v>0</v>
          </cell>
          <cell r="I790">
            <v>0</v>
          </cell>
          <cell r="J790">
            <v>0</v>
          </cell>
          <cell r="K790">
            <v>0</v>
          </cell>
          <cell r="L790">
            <v>1382</v>
          </cell>
          <cell r="M790">
            <v>0</v>
          </cell>
          <cell r="N790">
            <v>0</v>
          </cell>
          <cell r="O790">
            <v>0</v>
          </cell>
          <cell r="P790">
            <v>0</v>
          </cell>
          <cell r="Q790">
            <v>1382</v>
          </cell>
        </row>
        <row r="791">
          <cell r="A791" t="str">
            <v>US59PZA5013501500034</v>
          </cell>
          <cell r="B791" t="str">
            <v>US59PZA501</v>
          </cell>
          <cell r="C791">
            <v>3501500034</v>
          </cell>
          <cell r="D791" t="str">
            <v>PROPERTY TAXES</v>
          </cell>
          <cell r="E791">
            <v>7140</v>
          </cell>
          <cell r="F791">
            <v>7140</v>
          </cell>
          <cell r="G791">
            <v>7140</v>
          </cell>
          <cell r="H791">
            <v>7140</v>
          </cell>
          <cell r="I791">
            <v>7140</v>
          </cell>
          <cell r="J791">
            <v>7140</v>
          </cell>
          <cell r="K791">
            <v>7140</v>
          </cell>
          <cell r="L791">
            <v>7140</v>
          </cell>
          <cell r="M791">
            <v>7140</v>
          </cell>
          <cell r="N791">
            <v>7140</v>
          </cell>
          <cell r="O791">
            <v>7140</v>
          </cell>
          <cell r="P791">
            <v>7140</v>
          </cell>
          <cell r="Q791">
            <v>85680</v>
          </cell>
        </row>
        <row r="792">
          <cell r="A792" t="str">
            <v>USCLP015013501500034</v>
          </cell>
          <cell r="B792" t="str">
            <v>USCLP01501</v>
          </cell>
          <cell r="C792">
            <v>3501500034</v>
          </cell>
          <cell r="D792" t="str">
            <v>PROPERTY TAXES</v>
          </cell>
          <cell r="E792">
            <v>4880</v>
          </cell>
          <cell r="F792">
            <v>4880</v>
          </cell>
          <cell r="G792">
            <v>4880</v>
          </cell>
          <cell r="H792">
            <v>4880</v>
          </cell>
          <cell r="I792">
            <v>4880</v>
          </cell>
          <cell r="J792">
            <v>4880</v>
          </cell>
          <cell r="K792">
            <v>4880</v>
          </cell>
          <cell r="L792">
            <v>679</v>
          </cell>
          <cell r="M792">
            <v>4880</v>
          </cell>
          <cell r="N792">
            <v>4880</v>
          </cell>
          <cell r="O792">
            <v>4880</v>
          </cell>
          <cell r="P792">
            <v>4880</v>
          </cell>
          <cell r="Q792">
            <v>54359</v>
          </cell>
        </row>
        <row r="793">
          <cell r="A793" t="str">
            <v>USSTP015013501500034</v>
          </cell>
          <cell r="B793" t="str">
            <v>USSTP01501</v>
          </cell>
          <cell r="C793">
            <v>3501500034</v>
          </cell>
          <cell r="D793" t="str">
            <v>PROPERTY TAXES</v>
          </cell>
          <cell r="E793">
            <v>4040</v>
          </cell>
          <cell r="F793">
            <v>4040</v>
          </cell>
          <cell r="G793">
            <v>4040</v>
          </cell>
          <cell r="H793">
            <v>4040</v>
          </cell>
          <cell r="I793">
            <v>4040</v>
          </cell>
          <cell r="J793">
            <v>4040</v>
          </cell>
          <cell r="K793">
            <v>4040</v>
          </cell>
          <cell r="L793">
            <v>-12340</v>
          </cell>
          <cell r="M793">
            <v>4040</v>
          </cell>
          <cell r="N793">
            <v>4040</v>
          </cell>
          <cell r="O793">
            <v>4040</v>
          </cell>
          <cell r="P793">
            <v>4040</v>
          </cell>
          <cell r="Q793">
            <v>32100</v>
          </cell>
        </row>
        <row r="794">
          <cell r="A794" t="str">
            <v>USCOP015013501500034</v>
          </cell>
          <cell r="B794" t="str">
            <v>USCOP01501</v>
          </cell>
          <cell r="C794">
            <v>3501500034</v>
          </cell>
          <cell r="D794" t="str">
            <v>PROPERTY TAXES</v>
          </cell>
          <cell r="E794">
            <v>3350</v>
          </cell>
          <cell r="F794">
            <v>3350</v>
          </cell>
          <cell r="G794">
            <v>3350</v>
          </cell>
          <cell r="H794">
            <v>3350</v>
          </cell>
          <cell r="I794">
            <v>3350</v>
          </cell>
          <cell r="J794">
            <v>3350</v>
          </cell>
          <cell r="K794">
            <v>3350</v>
          </cell>
          <cell r="L794">
            <v>179</v>
          </cell>
          <cell r="M794">
            <v>3350</v>
          </cell>
          <cell r="N794">
            <v>3350</v>
          </cell>
          <cell r="O794">
            <v>3350</v>
          </cell>
          <cell r="P794">
            <v>3350</v>
          </cell>
          <cell r="Q794">
            <v>37029</v>
          </cell>
        </row>
        <row r="795">
          <cell r="A795" t="str">
            <v>USCRP015013501500034</v>
          </cell>
          <cell r="B795" t="str">
            <v>USCRP01501</v>
          </cell>
          <cell r="C795">
            <v>3501500034</v>
          </cell>
          <cell r="D795" t="str">
            <v>PROPERTY TAXES</v>
          </cell>
          <cell r="E795">
            <v>15940</v>
          </cell>
          <cell r="F795">
            <v>15940</v>
          </cell>
          <cell r="G795">
            <v>15940</v>
          </cell>
          <cell r="H795">
            <v>15940</v>
          </cell>
          <cell r="I795">
            <v>15940</v>
          </cell>
          <cell r="J795">
            <v>15940</v>
          </cell>
          <cell r="K795">
            <v>15940</v>
          </cell>
          <cell r="L795">
            <v>14973</v>
          </cell>
          <cell r="M795">
            <v>15940</v>
          </cell>
          <cell r="N795">
            <v>15940</v>
          </cell>
          <cell r="O795">
            <v>15940</v>
          </cell>
          <cell r="P795">
            <v>15940</v>
          </cell>
          <cell r="Q795">
            <v>190313</v>
          </cell>
        </row>
        <row r="796">
          <cell r="A796" t="str">
            <v>US22P015013911100010</v>
          </cell>
          <cell r="B796" t="str">
            <v>US22P01501</v>
          </cell>
          <cell r="C796">
            <v>3911100010</v>
          </cell>
          <cell r="D796" t="str">
            <v>TRAVEL EXPENSES PERMANENTS / MEALS</v>
          </cell>
          <cell r="E796">
            <v>0</v>
          </cell>
          <cell r="F796">
            <v>43</v>
          </cell>
          <cell r="G796">
            <v>0</v>
          </cell>
          <cell r="H796">
            <v>6</v>
          </cell>
          <cell r="I796">
            <v>111</v>
          </cell>
          <cell r="J796">
            <v>23</v>
          </cell>
          <cell r="K796">
            <v>255</v>
          </cell>
          <cell r="L796">
            <v>844</v>
          </cell>
          <cell r="M796">
            <v>7</v>
          </cell>
          <cell r="N796">
            <v>0</v>
          </cell>
          <cell r="O796">
            <v>37</v>
          </cell>
          <cell r="P796">
            <v>182</v>
          </cell>
          <cell r="Q796">
            <v>1508</v>
          </cell>
        </row>
        <row r="797">
          <cell r="A797" t="str">
            <v>US22P015503911100010</v>
          </cell>
          <cell r="B797" t="str">
            <v>US22P01550</v>
          </cell>
          <cell r="C797">
            <v>3911100010</v>
          </cell>
          <cell r="D797" t="str">
            <v>TRAVEL EXPENSES PERMANENTS / MEALS</v>
          </cell>
          <cell r="E797">
            <v>0</v>
          </cell>
          <cell r="F797">
            <v>0</v>
          </cell>
          <cell r="G797">
            <v>0</v>
          </cell>
          <cell r="H797">
            <v>-18</v>
          </cell>
          <cell r="I797">
            <v>0</v>
          </cell>
          <cell r="J797">
            <v>168</v>
          </cell>
          <cell r="K797">
            <v>12</v>
          </cell>
          <cell r="L797">
            <v>418</v>
          </cell>
          <cell r="M797">
            <v>727</v>
          </cell>
          <cell r="N797">
            <v>64</v>
          </cell>
          <cell r="O797">
            <v>39</v>
          </cell>
          <cell r="P797">
            <v>84</v>
          </cell>
          <cell r="Q797">
            <v>1494</v>
          </cell>
        </row>
        <row r="798">
          <cell r="A798" t="str">
            <v>US22P015533911100010</v>
          </cell>
          <cell r="B798" t="str">
            <v>US22P01553</v>
          </cell>
          <cell r="C798">
            <v>3911100010</v>
          </cell>
          <cell r="D798" t="str">
            <v>TRAVEL EXPENSES PERMANENTS / MEALS</v>
          </cell>
          <cell r="E798">
            <v>0</v>
          </cell>
          <cell r="F798">
            <v>0</v>
          </cell>
          <cell r="G798">
            <v>0</v>
          </cell>
          <cell r="H798">
            <v>0</v>
          </cell>
          <cell r="I798">
            <v>0</v>
          </cell>
          <cell r="J798">
            <v>0</v>
          </cell>
          <cell r="K798">
            <v>0</v>
          </cell>
          <cell r="L798">
            <v>5</v>
          </cell>
          <cell r="M798">
            <v>0</v>
          </cell>
          <cell r="N798">
            <v>0</v>
          </cell>
          <cell r="O798">
            <v>0</v>
          </cell>
          <cell r="P798">
            <v>0</v>
          </cell>
          <cell r="Q798">
            <v>5</v>
          </cell>
        </row>
        <row r="799">
          <cell r="A799" t="str">
            <v>US22P015753911100010</v>
          </cell>
          <cell r="B799" t="str">
            <v>US22P01575</v>
          </cell>
          <cell r="C799">
            <v>3911100010</v>
          </cell>
          <cell r="D799" t="str">
            <v>TRAVEL EXPENSES PERMANENTS / MEALS</v>
          </cell>
          <cell r="E799">
            <v>0</v>
          </cell>
          <cell r="F799">
            <v>0</v>
          </cell>
          <cell r="G799">
            <v>0</v>
          </cell>
          <cell r="H799">
            <v>0</v>
          </cell>
          <cell r="I799">
            <v>0</v>
          </cell>
          <cell r="J799">
            <v>0</v>
          </cell>
          <cell r="K799">
            <v>0</v>
          </cell>
          <cell r="L799">
            <v>0</v>
          </cell>
          <cell r="M799">
            <v>0</v>
          </cell>
          <cell r="N799">
            <v>0</v>
          </cell>
          <cell r="O799">
            <v>0</v>
          </cell>
          <cell r="P799">
            <v>13</v>
          </cell>
          <cell r="Q799">
            <v>13</v>
          </cell>
        </row>
        <row r="800">
          <cell r="A800" t="str">
            <v>US28P015013911100010</v>
          </cell>
          <cell r="B800" t="str">
            <v>US28P01501</v>
          </cell>
          <cell r="C800">
            <v>3911100010</v>
          </cell>
          <cell r="D800" t="str">
            <v>TRAVEL EXPENSES PERMANENTS / MEALS</v>
          </cell>
          <cell r="E800">
            <v>7</v>
          </cell>
          <cell r="F800">
            <v>145</v>
          </cell>
          <cell r="G800">
            <v>4</v>
          </cell>
          <cell r="H800">
            <v>115</v>
          </cell>
          <cell r="I800">
            <v>81</v>
          </cell>
          <cell r="J800">
            <v>0</v>
          </cell>
          <cell r="K800">
            <v>5</v>
          </cell>
          <cell r="L800">
            <v>41</v>
          </cell>
          <cell r="M800">
            <v>7</v>
          </cell>
          <cell r="N800">
            <v>0</v>
          </cell>
          <cell r="O800">
            <v>151</v>
          </cell>
          <cell r="P800">
            <v>0</v>
          </cell>
          <cell r="Q800">
            <v>556</v>
          </cell>
        </row>
        <row r="801">
          <cell r="A801" t="str">
            <v>US35P015013911100010</v>
          </cell>
          <cell r="B801" t="str">
            <v>US35P01501</v>
          </cell>
          <cell r="C801">
            <v>3911100010</v>
          </cell>
          <cell r="D801" t="str">
            <v>TRAVEL EXPENSES PERMANENTS / MEALS</v>
          </cell>
          <cell r="E801">
            <v>138</v>
          </cell>
          <cell r="F801">
            <v>50</v>
          </cell>
          <cell r="G801">
            <v>127</v>
          </cell>
          <cell r="H801">
            <v>46</v>
          </cell>
          <cell r="I801">
            <v>127</v>
          </cell>
          <cell r="J801">
            <v>0</v>
          </cell>
          <cell r="K801">
            <v>150</v>
          </cell>
          <cell r="L801">
            <v>108</v>
          </cell>
          <cell r="M801">
            <v>260</v>
          </cell>
          <cell r="N801">
            <v>146</v>
          </cell>
          <cell r="O801">
            <v>20</v>
          </cell>
          <cell r="P801">
            <v>49</v>
          </cell>
          <cell r="Q801">
            <v>1221</v>
          </cell>
        </row>
        <row r="802">
          <cell r="A802" t="str">
            <v>US35P015503911100010</v>
          </cell>
          <cell r="B802" t="str">
            <v>US35P01550</v>
          </cell>
          <cell r="C802">
            <v>3911100010</v>
          </cell>
          <cell r="D802" t="str">
            <v>TRAVEL EXPENSES PERMANENTS / MEALS</v>
          </cell>
          <cell r="E802">
            <v>0</v>
          </cell>
          <cell r="F802">
            <v>0</v>
          </cell>
          <cell r="G802">
            <v>0</v>
          </cell>
          <cell r="H802">
            <v>0</v>
          </cell>
          <cell r="I802">
            <v>0</v>
          </cell>
          <cell r="J802">
            <v>0</v>
          </cell>
          <cell r="K802">
            <v>7</v>
          </cell>
          <cell r="L802">
            <v>10</v>
          </cell>
          <cell r="M802">
            <v>0</v>
          </cell>
          <cell r="N802">
            <v>37</v>
          </cell>
          <cell r="O802">
            <v>40</v>
          </cell>
          <cell r="P802">
            <v>0</v>
          </cell>
          <cell r="Q802">
            <v>94</v>
          </cell>
        </row>
        <row r="803">
          <cell r="A803" t="str">
            <v>USWOP015013911100010</v>
          </cell>
          <cell r="B803" t="str">
            <v>USWOP01501</v>
          </cell>
          <cell r="C803">
            <v>3911100010</v>
          </cell>
          <cell r="D803" t="str">
            <v>TRAVEL EXPENSES PERMANENTS / MEALS</v>
          </cell>
          <cell r="E803">
            <v>0</v>
          </cell>
          <cell r="F803">
            <v>37</v>
          </cell>
          <cell r="G803">
            <v>0</v>
          </cell>
          <cell r="H803">
            <v>20</v>
          </cell>
          <cell r="I803">
            <v>88</v>
          </cell>
          <cell r="J803">
            <v>183</v>
          </cell>
          <cell r="K803">
            <v>52</v>
          </cell>
          <cell r="L803">
            <v>240</v>
          </cell>
          <cell r="M803">
            <v>20</v>
          </cell>
          <cell r="N803">
            <v>64</v>
          </cell>
          <cell r="O803">
            <v>81</v>
          </cell>
          <cell r="P803">
            <v>110</v>
          </cell>
          <cell r="Q803">
            <v>895</v>
          </cell>
        </row>
        <row r="804">
          <cell r="A804" t="str">
            <v>USWOP015503911100010</v>
          </cell>
          <cell r="B804" t="str">
            <v>USWOP01550</v>
          </cell>
          <cell r="C804">
            <v>3911100010</v>
          </cell>
          <cell r="D804" t="str">
            <v>TRAVEL EXPENSES PERMANENTS / MEALS</v>
          </cell>
          <cell r="E804">
            <v>0</v>
          </cell>
          <cell r="F804">
            <v>0</v>
          </cell>
          <cell r="G804">
            <v>0</v>
          </cell>
          <cell r="H804">
            <v>0</v>
          </cell>
          <cell r="I804">
            <v>590</v>
          </cell>
          <cell r="J804">
            <v>674</v>
          </cell>
          <cell r="K804">
            <v>68</v>
          </cell>
          <cell r="L804">
            <v>307</v>
          </cell>
          <cell r="M804">
            <v>0</v>
          </cell>
          <cell r="N804">
            <v>0</v>
          </cell>
          <cell r="O804">
            <v>0</v>
          </cell>
          <cell r="P804">
            <v>0</v>
          </cell>
          <cell r="Q804">
            <v>1639</v>
          </cell>
        </row>
        <row r="805">
          <cell r="A805" t="str">
            <v>USWOP015533911100010</v>
          </cell>
          <cell r="B805" t="str">
            <v>USWOP01553</v>
          </cell>
          <cell r="C805">
            <v>3911100010</v>
          </cell>
          <cell r="D805" t="str">
            <v>TRAVEL EXPENSES PERMANENTS / MEALS</v>
          </cell>
          <cell r="E805">
            <v>0</v>
          </cell>
          <cell r="F805">
            <v>0</v>
          </cell>
          <cell r="G805">
            <v>0</v>
          </cell>
          <cell r="H805">
            <v>0</v>
          </cell>
          <cell r="I805">
            <v>0</v>
          </cell>
          <cell r="J805">
            <v>0</v>
          </cell>
          <cell r="K805">
            <v>1163</v>
          </cell>
          <cell r="L805">
            <v>407</v>
          </cell>
          <cell r="M805">
            <v>0</v>
          </cell>
          <cell r="N805">
            <v>0</v>
          </cell>
          <cell r="O805">
            <v>0</v>
          </cell>
          <cell r="P805">
            <v>0</v>
          </cell>
          <cell r="Q805">
            <v>1570</v>
          </cell>
        </row>
        <row r="806">
          <cell r="A806" t="str">
            <v>USWOP015643911100010</v>
          </cell>
          <cell r="B806" t="str">
            <v>USWOP01564</v>
          </cell>
          <cell r="C806">
            <v>3911100010</v>
          </cell>
          <cell r="D806" t="str">
            <v>TRAVEL EXPENSES PERMANENTS / MEALS</v>
          </cell>
          <cell r="E806">
            <v>0</v>
          </cell>
          <cell r="F806">
            <v>0</v>
          </cell>
          <cell r="G806">
            <v>0</v>
          </cell>
          <cell r="H806">
            <v>0</v>
          </cell>
          <cell r="I806">
            <v>0</v>
          </cell>
          <cell r="J806">
            <v>0</v>
          </cell>
          <cell r="K806">
            <v>0</v>
          </cell>
          <cell r="L806">
            <v>0</v>
          </cell>
          <cell r="M806">
            <v>87</v>
          </cell>
          <cell r="N806">
            <v>0</v>
          </cell>
          <cell r="O806">
            <v>0</v>
          </cell>
          <cell r="P806">
            <v>0</v>
          </cell>
          <cell r="Q806">
            <v>87</v>
          </cell>
        </row>
        <row r="807">
          <cell r="A807" t="str">
            <v>USWOP015753911100010</v>
          </cell>
          <cell r="B807" t="str">
            <v>USWOP01575</v>
          </cell>
          <cell r="C807">
            <v>3911100010</v>
          </cell>
          <cell r="D807" t="str">
            <v>TRAVEL EXPENSES PERMANENTS / MEALS</v>
          </cell>
          <cell r="E807">
            <v>0</v>
          </cell>
          <cell r="F807">
            <v>0</v>
          </cell>
          <cell r="G807">
            <v>0</v>
          </cell>
          <cell r="H807">
            <v>0</v>
          </cell>
          <cell r="I807">
            <v>0</v>
          </cell>
          <cell r="J807">
            <v>0</v>
          </cell>
          <cell r="K807">
            <v>0</v>
          </cell>
          <cell r="L807">
            <v>178</v>
          </cell>
          <cell r="M807">
            <v>0</v>
          </cell>
          <cell r="N807">
            <v>0</v>
          </cell>
          <cell r="O807">
            <v>0</v>
          </cell>
          <cell r="P807">
            <v>0</v>
          </cell>
          <cell r="Q807">
            <v>178</v>
          </cell>
        </row>
        <row r="808">
          <cell r="A808" t="str">
            <v>US59P015013911100010</v>
          </cell>
          <cell r="B808" t="str">
            <v>US59P01501</v>
          </cell>
          <cell r="C808">
            <v>3911100010</v>
          </cell>
          <cell r="D808" t="str">
            <v>TRAVEL EXPENSES PERMANENTS / MEALS</v>
          </cell>
          <cell r="E808">
            <v>0</v>
          </cell>
          <cell r="F808">
            <v>120</v>
          </cell>
          <cell r="G808">
            <v>0</v>
          </cell>
          <cell r="H808">
            <v>26</v>
          </cell>
          <cell r="I808">
            <v>357</v>
          </cell>
          <cell r="J808">
            <v>26</v>
          </cell>
          <cell r="K808">
            <v>0</v>
          </cell>
          <cell r="L808">
            <v>0</v>
          </cell>
          <cell r="M808">
            <v>90</v>
          </cell>
          <cell r="N808">
            <v>418</v>
          </cell>
          <cell r="O808">
            <v>75</v>
          </cell>
          <cell r="P808">
            <v>0</v>
          </cell>
          <cell r="Q808">
            <v>1112</v>
          </cell>
        </row>
        <row r="809">
          <cell r="A809" t="str">
            <v>US59P3C5013911100010</v>
          </cell>
          <cell r="B809" t="str">
            <v>US59P3C501</v>
          </cell>
          <cell r="C809">
            <v>3911100010</v>
          </cell>
          <cell r="D809" t="str">
            <v>TRAVEL EXPENSES PERMANENTS / MEALS</v>
          </cell>
          <cell r="E809">
            <v>0</v>
          </cell>
          <cell r="F809">
            <v>0</v>
          </cell>
          <cell r="G809">
            <v>105</v>
          </cell>
          <cell r="H809">
            <v>0</v>
          </cell>
          <cell r="I809">
            <v>0</v>
          </cell>
          <cell r="J809">
            <v>6</v>
          </cell>
          <cell r="K809">
            <v>5</v>
          </cell>
          <cell r="L809">
            <v>195</v>
          </cell>
          <cell r="M809">
            <v>71</v>
          </cell>
          <cell r="N809">
            <v>21</v>
          </cell>
          <cell r="O809">
            <v>0</v>
          </cell>
          <cell r="P809">
            <v>0</v>
          </cell>
          <cell r="Q809">
            <v>403</v>
          </cell>
        </row>
        <row r="810">
          <cell r="A810" t="str">
            <v>US59P3C5503911100010</v>
          </cell>
          <cell r="B810" t="str">
            <v>US59P3C550</v>
          </cell>
          <cell r="C810">
            <v>3911100010</v>
          </cell>
          <cell r="D810" t="str">
            <v>TRAVEL EXPENSES PERMANENTS / MEALS</v>
          </cell>
          <cell r="E810">
            <v>0</v>
          </cell>
          <cell r="F810">
            <v>0</v>
          </cell>
          <cell r="G810">
            <v>0</v>
          </cell>
          <cell r="H810">
            <v>0</v>
          </cell>
          <cell r="I810">
            <v>0</v>
          </cell>
          <cell r="J810">
            <v>6</v>
          </cell>
          <cell r="K810">
            <v>0</v>
          </cell>
          <cell r="L810">
            <v>0</v>
          </cell>
          <cell r="M810">
            <v>0</v>
          </cell>
          <cell r="N810">
            <v>0</v>
          </cell>
          <cell r="O810">
            <v>0</v>
          </cell>
          <cell r="P810">
            <v>0</v>
          </cell>
          <cell r="Q810">
            <v>6</v>
          </cell>
        </row>
        <row r="811">
          <cell r="A811" t="str">
            <v>US59PZA5013911100010</v>
          </cell>
          <cell r="B811" t="str">
            <v>US59PZA501</v>
          </cell>
          <cell r="C811">
            <v>3911100010</v>
          </cell>
          <cell r="D811" t="str">
            <v>TRAVEL EXPENSES PERMANENTS / MEALS</v>
          </cell>
          <cell r="E811">
            <v>0</v>
          </cell>
          <cell r="F811">
            <v>0</v>
          </cell>
          <cell r="G811">
            <v>0</v>
          </cell>
          <cell r="H811">
            <v>63</v>
          </cell>
          <cell r="I811">
            <v>32</v>
          </cell>
          <cell r="J811">
            <v>62</v>
          </cell>
          <cell r="K811">
            <v>0</v>
          </cell>
          <cell r="L811">
            <v>0</v>
          </cell>
          <cell r="M811">
            <v>0</v>
          </cell>
          <cell r="N811">
            <v>7</v>
          </cell>
          <cell r="O811">
            <v>0</v>
          </cell>
          <cell r="P811">
            <v>0</v>
          </cell>
          <cell r="Q811">
            <v>164</v>
          </cell>
        </row>
        <row r="812">
          <cell r="A812" t="str">
            <v>USCRP015013911100010</v>
          </cell>
          <cell r="B812" t="str">
            <v>USCRP01501</v>
          </cell>
          <cell r="C812">
            <v>3911100010</v>
          </cell>
          <cell r="D812" t="str">
            <v>TRAVEL EXPENSES PERMANENTS / MEALS</v>
          </cell>
          <cell r="E812">
            <v>0</v>
          </cell>
          <cell r="F812">
            <v>0</v>
          </cell>
          <cell r="G812">
            <v>0</v>
          </cell>
          <cell r="H812">
            <v>0</v>
          </cell>
          <cell r="I812">
            <v>0</v>
          </cell>
          <cell r="J812">
            <v>0</v>
          </cell>
          <cell r="K812">
            <v>0</v>
          </cell>
          <cell r="L812">
            <v>0</v>
          </cell>
          <cell r="M812">
            <v>0</v>
          </cell>
          <cell r="N812">
            <v>0</v>
          </cell>
          <cell r="O812">
            <v>52</v>
          </cell>
          <cell r="P812">
            <v>0</v>
          </cell>
          <cell r="Q812">
            <v>52</v>
          </cell>
        </row>
        <row r="813">
          <cell r="A813" t="str">
            <v>USCRP015503911100010</v>
          </cell>
          <cell r="B813" t="str">
            <v>USCRP01550</v>
          </cell>
          <cell r="C813">
            <v>3911100010</v>
          </cell>
          <cell r="D813" t="str">
            <v>TRAVEL EXPENSES PERMANENTS / MEALS</v>
          </cell>
          <cell r="E813">
            <v>0</v>
          </cell>
          <cell r="F813">
            <v>0</v>
          </cell>
          <cell r="G813">
            <v>0</v>
          </cell>
          <cell r="H813">
            <v>0</v>
          </cell>
          <cell r="I813">
            <v>998</v>
          </cell>
          <cell r="J813">
            <v>758</v>
          </cell>
          <cell r="K813">
            <v>1809</v>
          </cell>
          <cell r="L813">
            <v>1794</v>
          </cell>
          <cell r="M813">
            <v>0</v>
          </cell>
          <cell r="N813">
            <v>0</v>
          </cell>
          <cell r="O813">
            <v>0</v>
          </cell>
          <cell r="P813">
            <v>0</v>
          </cell>
          <cell r="Q813">
            <v>5359</v>
          </cell>
        </row>
        <row r="814">
          <cell r="A814" t="str">
            <v>US22P015013911100012</v>
          </cell>
          <cell r="B814" t="str">
            <v>US22P01501</v>
          </cell>
          <cell r="C814">
            <v>3911100012</v>
          </cell>
          <cell r="D814" t="str">
            <v>TRAVEL EXPENSES PERMANENTS / HOTELS</v>
          </cell>
          <cell r="E814">
            <v>200</v>
          </cell>
          <cell r="F814">
            <v>259</v>
          </cell>
          <cell r="G814">
            <v>3913</v>
          </cell>
          <cell r="H814">
            <v>130</v>
          </cell>
          <cell r="I814">
            <v>430</v>
          </cell>
          <cell r="J814">
            <v>330</v>
          </cell>
          <cell r="K814">
            <v>467</v>
          </cell>
          <cell r="L814">
            <v>485</v>
          </cell>
          <cell r="M814">
            <v>1123</v>
          </cell>
          <cell r="N814">
            <v>0</v>
          </cell>
          <cell r="O814">
            <v>888</v>
          </cell>
          <cell r="P814">
            <v>767</v>
          </cell>
          <cell r="Q814">
            <v>8992</v>
          </cell>
        </row>
        <row r="815">
          <cell r="A815" t="str">
            <v>US22P015503911100012</v>
          </cell>
          <cell r="B815" t="str">
            <v>US22P01550</v>
          </cell>
          <cell r="C815">
            <v>3911100012</v>
          </cell>
          <cell r="D815" t="str">
            <v>TRAVEL EXPENSES PERMANENTS / HOTELS</v>
          </cell>
          <cell r="E815">
            <v>0</v>
          </cell>
          <cell r="F815">
            <v>0</v>
          </cell>
          <cell r="G815">
            <v>0</v>
          </cell>
          <cell r="H815">
            <v>400</v>
          </cell>
          <cell r="I815">
            <v>800</v>
          </cell>
          <cell r="J815">
            <v>900</v>
          </cell>
          <cell r="K815">
            <v>1400</v>
          </cell>
          <cell r="L815">
            <v>884</v>
          </cell>
          <cell r="M815">
            <v>200</v>
          </cell>
          <cell r="N815">
            <v>0</v>
          </cell>
          <cell r="O815">
            <v>199</v>
          </cell>
          <cell r="P815">
            <v>513</v>
          </cell>
          <cell r="Q815">
            <v>5296</v>
          </cell>
        </row>
        <row r="816">
          <cell r="A816" t="str">
            <v>US22P015753911100012</v>
          </cell>
          <cell r="B816" t="str">
            <v>US22P01575</v>
          </cell>
          <cell r="C816">
            <v>3911100012</v>
          </cell>
          <cell r="D816" t="str">
            <v>TRAVEL EXPENSES PERMANENTS / HOTELS</v>
          </cell>
          <cell r="E816">
            <v>0</v>
          </cell>
          <cell r="F816">
            <v>0</v>
          </cell>
          <cell r="G816">
            <v>0</v>
          </cell>
          <cell r="H816">
            <v>0</v>
          </cell>
          <cell r="I816">
            <v>0</v>
          </cell>
          <cell r="J816">
            <v>0</v>
          </cell>
          <cell r="K816">
            <v>0</v>
          </cell>
          <cell r="L816">
            <v>0</v>
          </cell>
          <cell r="M816">
            <v>0</v>
          </cell>
          <cell r="N816">
            <v>0</v>
          </cell>
          <cell r="O816">
            <v>0</v>
          </cell>
          <cell r="P816">
            <v>155</v>
          </cell>
          <cell r="Q816">
            <v>155</v>
          </cell>
        </row>
        <row r="817">
          <cell r="A817" t="str">
            <v>US28P015013911100012</v>
          </cell>
          <cell r="B817" t="str">
            <v>US28P01501</v>
          </cell>
          <cell r="C817">
            <v>3911100012</v>
          </cell>
          <cell r="D817" t="str">
            <v>TRAVEL EXPENSES PERMANENTS / HOTELS</v>
          </cell>
          <cell r="E817">
            <v>0</v>
          </cell>
          <cell r="F817">
            <v>249</v>
          </cell>
          <cell r="G817">
            <v>444</v>
          </cell>
          <cell r="H817">
            <v>800</v>
          </cell>
          <cell r="I817">
            <v>233</v>
          </cell>
          <cell r="J817">
            <v>605</v>
          </cell>
          <cell r="K817">
            <v>202</v>
          </cell>
          <cell r="L817">
            <v>1028</v>
          </cell>
          <cell r="M817">
            <v>394</v>
          </cell>
          <cell r="N817">
            <v>0</v>
          </cell>
          <cell r="O817">
            <v>1710</v>
          </cell>
          <cell r="P817">
            <v>0</v>
          </cell>
          <cell r="Q817">
            <v>5665</v>
          </cell>
        </row>
        <row r="818">
          <cell r="A818" t="str">
            <v>US28P015503911100012</v>
          </cell>
          <cell r="B818" t="str">
            <v>US28P01550</v>
          </cell>
          <cell r="C818">
            <v>3911100012</v>
          </cell>
          <cell r="D818" t="str">
            <v>TRAVEL EXPENSES PERMANENTS / HOTELS</v>
          </cell>
          <cell r="E818">
            <v>0</v>
          </cell>
          <cell r="F818">
            <v>0</v>
          </cell>
          <cell r="G818">
            <v>0</v>
          </cell>
          <cell r="H818">
            <v>0</v>
          </cell>
          <cell r="I818">
            <v>0</v>
          </cell>
          <cell r="J818">
            <v>0</v>
          </cell>
          <cell r="K818">
            <v>199</v>
          </cell>
          <cell r="L818">
            <v>0</v>
          </cell>
          <cell r="M818">
            <v>0</v>
          </cell>
          <cell r="N818">
            <v>0</v>
          </cell>
          <cell r="O818">
            <v>0</v>
          </cell>
          <cell r="P818">
            <v>0</v>
          </cell>
          <cell r="Q818">
            <v>199</v>
          </cell>
        </row>
        <row r="819">
          <cell r="A819" t="str">
            <v>US35P015013911100012</v>
          </cell>
          <cell r="B819" t="str">
            <v>US35P01501</v>
          </cell>
          <cell r="C819">
            <v>3911100012</v>
          </cell>
          <cell r="D819" t="str">
            <v>TRAVEL EXPENSES PERMANENTS / HOTELS</v>
          </cell>
          <cell r="E819">
            <v>539</v>
          </cell>
          <cell r="F819">
            <v>246</v>
          </cell>
          <cell r="G819">
            <v>431</v>
          </cell>
          <cell r="H819">
            <v>246</v>
          </cell>
          <cell r="I819">
            <v>1111</v>
          </cell>
          <cell r="J819">
            <v>278</v>
          </cell>
          <cell r="K819">
            <v>271</v>
          </cell>
          <cell r="L819">
            <v>412</v>
          </cell>
          <cell r="M819">
            <v>912</v>
          </cell>
          <cell r="N819">
            <v>813</v>
          </cell>
          <cell r="O819">
            <v>1763</v>
          </cell>
          <cell r="P819">
            <v>408</v>
          </cell>
          <cell r="Q819">
            <v>7430</v>
          </cell>
        </row>
        <row r="820">
          <cell r="A820" t="str">
            <v>US35P015503911100012</v>
          </cell>
          <cell r="B820" t="str">
            <v>US35P01550</v>
          </cell>
          <cell r="C820">
            <v>3911100012</v>
          </cell>
          <cell r="D820" t="str">
            <v>TRAVEL EXPENSES PERMANENTS / HOTELS</v>
          </cell>
          <cell r="E820">
            <v>0</v>
          </cell>
          <cell r="F820">
            <v>0</v>
          </cell>
          <cell r="G820">
            <v>0</v>
          </cell>
          <cell r="H820">
            <v>0</v>
          </cell>
          <cell r="I820">
            <v>0</v>
          </cell>
          <cell r="J820">
            <v>0</v>
          </cell>
          <cell r="K820">
            <v>174</v>
          </cell>
          <cell r="L820">
            <v>69</v>
          </cell>
          <cell r="M820">
            <v>227</v>
          </cell>
          <cell r="N820">
            <v>0</v>
          </cell>
          <cell r="O820">
            <v>383</v>
          </cell>
          <cell r="P820">
            <v>0</v>
          </cell>
          <cell r="Q820">
            <v>853</v>
          </cell>
        </row>
        <row r="821">
          <cell r="A821" t="str">
            <v>USWOP015013911100012</v>
          </cell>
          <cell r="B821" t="str">
            <v>USWOP01501</v>
          </cell>
          <cell r="C821">
            <v>3911100012</v>
          </cell>
          <cell r="D821" t="str">
            <v>TRAVEL EXPENSES PERMANENTS / HOTELS</v>
          </cell>
          <cell r="E821">
            <v>0</v>
          </cell>
          <cell r="F821">
            <v>246</v>
          </cell>
          <cell r="G821">
            <v>354</v>
          </cell>
          <cell r="H821">
            <v>177</v>
          </cell>
          <cell r="I821">
            <v>463</v>
          </cell>
          <cell r="J821">
            <v>1135</v>
          </cell>
          <cell r="K821">
            <v>337</v>
          </cell>
          <cell r="L821">
            <v>509</v>
          </cell>
          <cell r="M821">
            <v>1559</v>
          </cell>
          <cell r="N821">
            <v>232</v>
          </cell>
          <cell r="O821">
            <v>681</v>
          </cell>
          <cell r="P821">
            <v>1268</v>
          </cell>
          <cell r="Q821">
            <v>6961</v>
          </cell>
        </row>
        <row r="822">
          <cell r="A822" t="str">
            <v>USWOP015533911100012</v>
          </cell>
          <cell r="B822" t="str">
            <v>USWOP01553</v>
          </cell>
          <cell r="C822">
            <v>3911100012</v>
          </cell>
          <cell r="D822" t="str">
            <v>TRAVEL EXPENSES PERMANENTS / HOTELS</v>
          </cell>
          <cell r="E822">
            <v>0</v>
          </cell>
          <cell r="F822">
            <v>0</v>
          </cell>
          <cell r="G822">
            <v>0</v>
          </cell>
          <cell r="H822">
            <v>0</v>
          </cell>
          <cell r="I822">
            <v>0</v>
          </cell>
          <cell r="J822">
            <v>0</v>
          </cell>
          <cell r="K822">
            <v>0</v>
          </cell>
          <cell r="L822">
            <v>2076</v>
          </cell>
          <cell r="M822">
            <v>0</v>
          </cell>
          <cell r="N822">
            <v>0</v>
          </cell>
          <cell r="O822">
            <v>0</v>
          </cell>
          <cell r="P822">
            <v>0</v>
          </cell>
          <cell r="Q822">
            <v>2076</v>
          </cell>
        </row>
        <row r="823">
          <cell r="A823" t="str">
            <v>USWOP015753911100012</v>
          </cell>
          <cell r="B823" t="str">
            <v>USWOP01575</v>
          </cell>
          <cell r="C823">
            <v>3911100012</v>
          </cell>
          <cell r="D823" t="str">
            <v>TRAVEL EXPENSES PERMANENTS / HOTELS</v>
          </cell>
          <cell r="E823">
            <v>0</v>
          </cell>
          <cell r="F823">
            <v>0</v>
          </cell>
          <cell r="G823">
            <v>0</v>
          </cell>
          <cell r="H823">
            <v>0</v>
          </cell>
          <cell r="I823">
            <v>0</v>
          </cell>
          <cell r="J823">
            <v>0</v>
          </cell>
          <cell r="K823">
            <v>0</v>
          </cell>
          <cell r="L823">
            <v>498</v>
          </cell>
          <cell r="M823">
            <v>0</v>
          </cell>
          <cell r="N823">
            <v>0</v>
          </cell>
          <cell r="O823">
            <v>0</v>
          </cell>
          <cell r="P823">
            <v>0</v>
          </cell>
          <cell r="Q823">
            <v>498</v>
          </cell>
        </row>
        <row r="824">
          <cell r="A824" t="str">
            <v>US59P015013911100012</v>
          </cell>
          <cell r="B824" t="str">
            <v>US59P01501</v>
          </cell>
          <cell r="C824">
            <v>3911100012</v>
          </cell>
          <cell r="D824" t="str">
            <v>TRAVEL EXPENSES PERMANENTS / HOTELS</v>
          </cell>
          <cell r="E824">
            <v>0</v>
          </cell>
          <cell r="F824">
            <v>774</v>
          </cell>
          <cell r="G824">
            <v>177</v>
          </cell>
          <cell r="H824">
            <v>0</v>
          </cell>
          <cell r="I824">
            <v>804</v>
          </cell>
          <cell r="J824">
            <v>280</v>
          </cell>
          <cell r="K824">
            <v>0</v>
          </cell>
          <cell r="L824">
            <v>0</v>
          </cell>
          <cell r="M824">
            <v>655</v>
          </cell>
          <cell r="N824">
            <v>882</v>
          </cell>
          <cell r="O824">
            <v>19</v>
          </cell>
          <cell r="P824">
            <v>1036</v>
          </cell>
          <cell r="Q824">
            <v>4627</v>
          </cell>
        </row>
        <row r="825">
          <cell r="A825" t="str">
            <v>US59P3C5013911100012</v>
          </cell>
          <cell r="B825" t="str">
            <v>US59P3C501</v>
          </cell>
          <cell r="C825">
            <v>3911100012</v>
          </cell>
          <cell r="D825" t="str">
            <v>TRAVEL EXPENSES PERMANENTS / HOTELS</v>
          </cell>
          <cell r="E825">
            <v>0</v>
          </cell>
          <cell r="F825">
            <v>0</v>
          </cell>
          <cell r="G825">
            <v>623</v>
          </cell>
          <cell r="H825">
            <v>0</v>
          </cell>
          <cell r="I825">
            <v>0</v>
          </cell>
          <cell r="J825">
            <v>0</v>
          </cell>
          <cell r="K825">
            <v>0</v>
          </cell>
          <cell r="L825">
            <v>1275</v>
          </cell>
          <cell r="M825">
            <v>219</v>
          </cell>
          <cell r="N825">
            <v>155</v>
          </cell>
          <cell r="O825">
            <v>0</v>
          </cell>
          <cell r="P825">
            <v>0</v>
          </cell>
          <cell r="Q825">
            <v>2272</v>
          </cell>
        </row>
        <row r="826">
          <cell r="A826" t="str">
            <v>US59P3C5503911100012</v>
          </cell>
          <cell r="B826" t="str">
            <v>US59P3C550</v>
          </cell>
          <cell r="C826">
            <v>3911100012</v>
          </cell>
          <cell r="D826" t="str">
            <v>TRAVEL EXPENSES PERMANENTS / HOTELS</v>
          </cell>
          <cell r="E826">
            <v>0</v>
          </cell>
          <cell r="F826">
            <v>0</v>
          </cell>
          <cell r="G826">
            <v>0</v>
          </cell>
          <cell r="H826">
            <v>0</v>
          </cell>
          <cell r="I826">
            <v>0</v>
          </cell>
          <cell r="J826">
            <v>100</v>
          </cell>
          <cell r="K826">
            <v>199</v>
          </cell>
          <cell r="L826">
            <v>0</v>
          </cell>
          <cell r="M826">
            <v>0</v>
          </cell>
          <cell r="N826">
            <v>0</v>
          </cell>
          <cell r="O826">
            <v>0</v>
          </cell>
          <cell r="P826">
            <v>0</v>
          </cell>
          <cell r="Q826">
            <v>299</v>
          </cell>
        </row>
        <row r="827">
          <cell r="A827" t="str">
            <v>US59P3C5603911100012</v>
          </cell>
          <cell r="B827" t="str">
            <v>US59P3C560</v>
          </cell>
          <cell r="C827">
            <v>3911100012</v>
          </cell>
          <cell r="D827" t="str">
            <v>TRAVEL EXPENSES PERMANENTS / HOTELS</v>
          </cell>
          <cell r="E827">
            <v>0</v>
          </cell>
          <cell r="F827">
            <v>0</v>
          </cell>
          <cell r="G827">
            <v>0</v>
          </cell>
          <cell r="H827">
            <v>0</v>
          </cell>
          <cell r="I827">
            <v>0</v>
          </cell>
          <cell r="J827">
            <v>0</v>
          </cell>
          <cell r="K827">
            <v>0</v>
          </cell>
          <cell r="L827">
            <v>100</v>
          </cell>
          <cell r="M827">
            <v>0</v>
          </cell>
          <cell r="N827">
            <v>0</v>
          </cell>
          <cell r="O827">
            <v>0</v>
          </cell>
          <cell r="P827">
            <v>0</v>
          </cell>
          <cell r="Q827">
            <v>100</v>
          </cell>
        </row>
        <row r="828">
          <cell r="A828" t="str">
            <v>US59PZA5013911100012</v>
          </cell>
          <cell r="B828" t="str">
            <v>US59PZA501</v>
          </cell>
          <cell r="C828">
            <v>3911100012</v>
          </cell>
          <cell r="D828" t="str">
            <v>TRAVEL EXPENSES PERMANENTS / HOTELS</v>
          </cell>
          <cell r="E828">
            <v>0</v>
          </cell>
          <cell r="F828">
            <v>0</v>
          </cell>
          <cell r="G828">
            <v>0</v>
          </cell>
          <cell r="H828">
            <v>407</v>
          </cell>
          <cell r="I828">
            <v>0</v>
          </cell>
          <cell r="J828">
            <v>772</v>
          </cell>
          <cell r="K828">
            <v>0</v>
          </cell>
          <cell r="L828">
            <v>0</v>
          </cell>
          <cell r="M828">
            <v>0</v>
          </cell>
          <cell r="N828">
            <v>518</v>
          </cell>
          <cell r="O828">
            <v>0</v>
          </cell>
          <cell r="P828">
            <v>0</v>
          </cell>
          <cell r="Q828">
            <v>1697</v>
          </cell>
        </row>
        <row r="829">
          <cell r="A829" t="str">
            <v>USCLP015013911100012</v>
          </cell>
          <cell r="B829" t="str">
            <v>USCLP01501</v>
          </cell>
          <cell r="C829">
            <v>3911100012</v>
          </cell>
          <cell r="D829" t="str">
            <v>TRAVEL EXPENSES PERMANENTS / HOTELS</v>
          </cell>
          <cell r="E829">
            <v>0</v>
          </cell>
          <cell r="F829">
            <v>0</v>
          </cell>
          <cell r="G829">
            <v>0</v>
          </cell>
          <cell r="H829">
            <v>0</v>
          </cell>
          <cell r="I829">
            <v>0</v>
          </cell>
          <cell r="J829">
            <v>0</v>
          </cell>
          <cell r="K829">
            <v>0</v>
          </cell>
          <cell r="L829">
            <v>412</v>
          </cell>
          <cell r="M829">
            <v>0</v>
          </cell>
          <cell r="N829">
            <v>0</v>
          </cell>
          <cell r="O829">
            <v>0</v>
          </cell>
          <cell r="P829">
            <v>0</v>
          </cell>
          <cell r="Q829">
            <v>412</v>
          </cell>
        </row>
        <row r="830">
          <cell r="A830" t="str">
            <v>USCRP015013911100012</v>
          </cell>
          <cell r="B830" t="str">
            <v>USCRP01501</v>
          </cell>
          <cell r="C830">
            <v>3911100012</v>
          </cell>
          <cell r="D830" t="str">
            <v>TRAVEL EXPENSES PERMANENTS / HOTELS</v>
          </cell>
          <cell r="E830">
            <v>0</v>
          </cell>
          <cell r="F830">
            <v>321</v>
          </cell>
          <cell r="G830">
            <v>0</v>
          </cell>
          <cell r="H830">
            <v>0</v>
          </cell>
          <cell r="I830">
            <v>0</v>
          </cell>
          <cell r="J830">
            <v>524</v>
          </cell>
          <cell r="K830">
            <v>291</v>
          </cell>
          <cell r="L830">
            <v>254</v>
          </cell>
          <cell r="M830">
            <v>381</v>
          </cell>
          <cell r="N830">
            <v>0</v>
          </cell>
          <cell r="O830">
            <v>682</v>
          </cell>
          <cell r="P830">
            <v>0</v>
          </cell>
          <cell r="Q830">
            <v>2453</v>
          </cell>
        </row>
        <row r="831">
          <cell r="A831" t="str">
            <v>USCRP015503911100012</v>
          </cell>
          <cell r="B831" t="str">
            <v>USCRP01550</v>
          </cell>
          <cell r="C831">
            <v>3911100012</v>
          </cell>
          <cell r="D831" t="str">
            <v>TRAVEL EXPENSES PERMANENTS / HOTELS</v>
          </cell>
          <cell r="E831">
            <v>0</v>
          </cell>
          <cell r="F831">
            <v>0</v>
          </cell>
          <cell r="G831">
            <v>0</v>
          </cell>
          <cell r="H831">
            <v>0</v>
          </cell>
          <cell r="I831">
            <v>1439</v>
          </cell>
          <cell r="J831">
            <v>1651</v>
          </cell>
          <cell r="K831">
            <v>921</v>
          </cell>
          <cell r="L831">
            <v>1666</v>
          </cell>
          <cell r="M831">
            <v>0</v>
          </cell>
          <cell r="N831">
            <v>0</v>
          </cell>
          <cell r="O831">
            <v>0</v>
          </cell>
          <cell r="P831">
            <v>0</v>
          </cell>
          <cell r="Q831">
            <v>5677</v>
          </cell>
        </row>
        <row r="832">
          <cell r="A832" t="str">
            <v>USCRP015533911100012</v>
          </cell>
          <cell r="B832" t="str">
            <v>USCRP01553</v>
          </cell>
          <cell r="C832">
            <v>3911100012</v>
          </cell>
          <cell r="D832" t="str">
            <v>TRAVEL EXPENSES PERMANENTS / HOTELS</v>
          </cell>
          <cell r="E832">
            <v>0</v>
          </cell>
          <cell r="F832">
            <v>0</v>
          </cell>
          <cell r="G832">
            <v>0</v>
          </cell>
          <cell r="H832">
            <v>0</v>
          </cell>
          <cell r="I832">
            <v>0</v>
          </cell>
          <cell r="J832">
            <v>0</v>
          </cell>
          <cell r="K832">
            <v>0</v>
          </cell>
          <cell r="L832">
            <v>1628</v>
          </cell>
          <cell r="M832">
            <v>0</v>
          </cell>
          <cell r="N832">
            <v>0</v>
          </cell>
          <cell r="O832">
            <v>0</v>
          </cell>
          <cell r="P832">
            <v>0</v>
          </cell>
          <cell r="Q832">
            <v>1628</v>
          </cell>
        </row>
        <row r="833">
          <cell r="A833" t="str">
            <v>US22P015013911100015</v>
          </cell>
          <cell r="B833" t="str">
            <v>US22P01501</v>
          </cell>
          <cell r="C833">
            <v>3911100015</v>
          </cell>
          <cell r="D833" t="str">
            <v>TRAVEL EXPENSES PERMANENTS / OTHER</v>
          </cell>
          <cell r="E833">
            <v>0</v>
          </cell>
          <cell r="F833">
            <v>1</v>
          </cell>
          <cell r="G833">
            <v>0</v>
          </cell>
          <cell r="H833">
            <v>0</v>
          </cell>
          <cell r="I833">
            <v>166</v>
          </cell>
          <cell r="J833">
            <v>4273</v>
          </cell>
          <cell r="K833">
            <v>1126</v>
          </cell>
          <cell r="L833">
            <v>1890</v>
          </cell>
          <cell r="M833">
            <v>1733</v>
          </cell>
          <cell r="N833">
            <v>1690</v>
          </cell>
          <cell r="O833">
            <v>1333</v>
          </cell>
          <cell r="P833">
            <v>1806</v>
          </cell>
          <cell r="Q833">
            <v>14018</v>
          </cell>
        </row>
        <row r="834">
          <cell r="A834" t="str">
            <v>US22P015503911100015</v>
          </cell>
          <cell r="B834" t="str">
            <v>US22P01550</v>
          </cell>
          <cell r="C834">
            <v>3911100015</v>
          </cell>
          <cell r="D834" t="str">
            <v>TRAVEL EXPENSES PERMANENTS / OTHER</v>
          </cell>
          <cell r="E834">
            <v>0</v>
          </cell>
          <cell r="F834">
            <v>0</v>
          </cell>
          <cell r="G834">
            <v>0</v>
          </cell>
          <cell r="H834">
            <v>0</v>
          </cell>
          <cell r="I834">
            <v>0</v>
          </cell>
          <cell r="J834">
            <v>3579</v>
          </cell>
          <cell r="K834">
            <v>10464</v>
          </cell>
          <cell r="L834">
            <v>20514</v>
          </cell>
          <cell r="M834">
            <v>1592</v>
          </cell>
          <cell r="N834">
            <v>1356</v>
          </cell>
          <cell r="O834">
            <v>0</v>
          </cell>
          <cell r="P834">
            <v>12</v>
          </cell>
          <cell r="Q834">
            <v>37517</v>
          </cell>
        </row>
        <row r="835">
          <cell r="A835" t="str">
            <v>US22P015533911100015</v>
          </cell>
          <cell r="B835" t="str">
            <v>US22P01553</v>
          </cell>
          <cell r="C835">
            <v>3911100015</v>
          </cell>
          <cell r="D835" t="str">
            <v>TRAVEL EXPENSES PERMANENTS / OTHER</v>
          </cell>
          <cell r="E835">
            <v>0</v>
          </cell>
          <cell r="F835">
            <v>0</v>
          </cell>
          <cell r="G835">
            <v>0</v>
          </cell>
          <cell r="H835">
            <v>0</v>
          </cell>
          <cell r="I835">
            <v>0</v>
          </cell>
          <cell r="J835">
            <v>0</v>
          </cell>
          <cell r="K835">
            <v>548</v>
          </cell>
          <cell r="L835">
            <v>575</v>
          </cell>
          <cell r="M835">
            <v>0</v>
          </cell>
          <cell r="N835">
            <v>0</v>
          </cell>
          <cell r="O835">
            <v>0</v>
          </cell>
          <cell r="P835">
            <v>0</v>
          </cell>
          <cell r="Q835">
            <v>1123</v>
          </cell>
        </row>
        <row r="836">
          <cell r="A836" t="str">
            <v>US28P015013911100015</v>
          </cell>
          <cell r="B836" t="str">
            <v>US28P01501</v>
          </cell>
          <cell r="C836">
            <v>3911100015</v>
          </cell>
          <cell r="D836" t="str">
            <v>TRAVEL EXPENSES PERMANENTS / OTHER</v>
          </cell>
          <cell r="E836">
            <v>0</v>
          </cell>
          <cell r="F836">
            <v>0</v>
          </cell>
          <cell r="G836">
            <v>36</v>
          </cell>
          <cell r="H836">
            <v>0</v>
          </cell>
          <cell r="I836">
            <v>0</v>
          </cell>
          <cell r="J836">
            <v>497</v>
          </cell>
          <cell r="K836">
            <v>27</v>
          </cell>
          <cell r="L836">
            <v>223</v>
          </cell>
          <cell r="M836">
            <v>0</v>
          </cell>
          <cell r="N836">
            <v>0</v>
          </cell>
          <cell r="O836">
            <v>508</v>
          </cell>
          <cell r="P836">
            <v>0</v>
          </cell>
          <cell r="Q836">
            <v>1291</v>
          </cell>
        </row>
        <row r="837">
          <cell r="A837" t="str">
            <v>US28P015503911100015</v>
          </cell>
          <cell r="B837" t="str">
            <v>US28P01550</v>
          </cell>
          <cell r="C837">
            <v>3911100015</v>
          </cell>
          <cell r="D837" t="str">
            <v>TRAVEL EXPENSES PERMANENTS / OTHER</v>
          </cell>
          <cell r="E837">
            <v>0</v>
          </cell>
          <cell r="F837">
            <v>0</v>
          </cell>
          <cell r="G837">
            <v>31</v>
          </cell>
          <cell r="H837">
            <v>0</v>
          </cell>
          <cell r="I837">
            <v>0</v>
          </cell>
          <cell r="J837">
            <v>3615</v>
          </cell>
          <cell r="K837">
            <v>3721</v>
          </cell>
          <cell r="L837">
            <v>0</v>
          </cell>
          <cell r="M837">
            <v>66</v>
          </cell>
          <cell r="N837">
            <v>0</v>
          </cell>
          <cell r="O837">
            <v>0</v>
          </cell>
          <cell r="P837">
            <v>0</v>
          </cell>
          <cell r="Q837">
            <v>7433</v>
          </cell>
        </row>
        <row r="838">
          <cell r="A838" t="str">
            <v>US28P015533911100015</v>
          </cell>
          <cell r="B838" t="str">
            <v>US28P01553</v>
          </cell>
          <cell r="C838">
            <v>3911100015</v>
          </cell>
          <cell r="D838" t="str">
            <v>TRAVEL EXPENSES PERMANENTS / OTHER</v>
          </cell>
          <cell r="E838">
            <v>0</v>
          </cell>
          <cell r="F838">
            <v>0</v>
          </cell>
          <cell r="G838">
            <v>0</v>
          </cell>
          <cell r="H838">
            <v>0</v>
          </cell>
          <cell r="I838">
            <v>0</v>
          </cell>
          <cell r="J838">
            <v>0</v>
          </cell>
          <cell r="K838">
            <v>6558</v>
          </cell>
          <cell r="L838">
            <v>6732</v>
          </cell>
          <cell r="M838">
            <v>480</v>
          </cell>
          <cell r="N838">
            <v>0</v>
          </cell>
          <cell r="O838">
            <v>0</v>
          </cell>
          <cell r="P838">
            <v>0</v>
          </cell>
          <cell r="Q838">
            <v>13770</v>
          </cell>
        </row>
        <row r="839">
          <cell r="A839" t="str">
            <v>US35P015013911100015</v>
          </cell>
          <cell r="B839" t="str">
            <v>US35P01501</v>
          </cell>
          <cell r="C839">
            <v>3911100015</v>
          </cell>
          <cell r="D839" t="str">
            <v>TRAVEL EXPENSES PERMANENTS / OTHER</v>
          </cell>
          <cell r="E839">
            <v>0</v>
          </cell>
          <cell r="F839">
            <v>0</v>
          </cell>
          <cell r="G839">
            <v>44</v>
          </cell>
          <cell r="H839">
            <v>0</v>
          </cell>
          <cell r="I839">
            <v>13</v>
          </cell>
          <cell r="J839">
            <v>324</v>
          </cell>
          <cell r="K839">
            <v>-4</v>
          </cell>
          <cell r="L839">
            <v>8172</v>
          </cell>
          <cell r="M839">
            <v>5690</v>
          </cell>
          <cell r="N839">
            <v>3780</v>
          </cell>
          <cell r="O839">
            <v>1211</v>
          </cell>
          <cell r="P839">
            <v>0</v>
          </cell>
          <cell r="Q839">
            <v>19230</v>
          </cell>
        </row>
        <row r="840">
          <cell r="A840" t="str">
            <v>US35P015503911100015</v>
          </cell>
          <cell r="B840" t="str">
            <v>US35P01550</v>
          </cell>
          <cell r="C840">
            <v>3911100015</v>
          </cell>
          <cell r="D840" t="str">
            <v>TRAVEL EXPENSES PERMANENTS / OTHER</v>
          </cell>
          <cell r="E840">
            <v>0</v>
          </cell>
          <cell r="F840">
            <v>0</v>
          </cell>
          <cell r="G840">
            <v>0</v>
          </cell>
          <cell r="H840">
            <v>0</v>
          </cell>
          <cell r="I840">
            <v>100</v>
          </cell>
          <cell r="J840">
            <v>214</v>
          </cell>
          <cell r="K840">
            <v>411</v>
          </cell>
          <cell r="L840">
            <v>100</v>
          </cell>
          <cell r="M840">
            <v>0</v>
          </cell>
          <cell r="N840">
            <v>0</v>
          </cell>
          <cell r="O840">
            <v>60</v>
          </cell>
          <cell r="P840">
            <v>0</v>
          </cell>
          <cell r="Q840">
            <v>885</v>
          </cell>
        </row>
        <row r="841">
          <cell r="A841" t="str">
            <v>US35P015533911100015</v>
          </cell>
          <cell r="B841" t="str">
            <v>US35P01553</v>
          </cell>
          <cell r="C841">
            <v>3911100015</v>
          </cell>
          <cell r="D841" t="str">
            <v>TRAVEL EXPENSES PERMANENTS / OTHER</v>
          </cell>
          <cell r="E841">
            <v>0</v>
          </cell>
          <cell r="F841">
            <v>0</v>
          </cell>
          <cell r="G841">
            <v>0</v>
          </cell>
          <cell r="H841">
            <v>0</v>
          </cell>
          <cell r="I841">
            <v>0</v>
          </cell>
          <cell r="J841">
            <v>0</v>
          </cell>
          <cell r="K841">
            <v>10371</v>
          </cell>
          <cell r="L841">
            <v>9438</v>
          </cell>
          <cell r="M841">
            <v>0</v>
          </cell>
          <cell r="N841">
            <v>0</v>
          </cell>
          <cell r="O841">
            <v>0</v>
          </cell>
          <cell r="P841">
            <v>0</v>
          </cell>
          <cell r="Q841">
            <v>19809</v>
          </cell>
        </row>
        <row r="842">
          <cell r="A842" t="str">
            <v>US35P015603911100015</v>
          </cell>
          <cell r="B842" t="str">
            <v>US35P01560</v>
          </cell>
          <cell r="C842">
            <v>3911100015</v>
          </cell>
          <cell r="D842" t="str">
            <v>TRAVEL EXPENSES PERMANENTS / OTHER</v>
          </cell>
          <cell r="E842">
            <v>0</v>
          </cell>
          <cell r="F842">
            <v>0</v>
          </cell>
          <cell r="G842">
            <v>0</v>
          </cell>
          <cell r="H842">
            <v>0</v>
          </cell>
          <cell r="I842">
            <v>25</v>
          </cell>
          <cell r="J842">
            <v>0</v>
          </cell>
          <cell r="K842">
            <v>179</v>
          </cell>
          <cell r="L842">
            <v>0</v>
          </cell>
          <cell r="M842">
            <v>293</v>
          </cell>
          <cell r="N842">
            <v>148</v>
          </cell>
          <cell r="O842">
            <v>150</v>
          </cell>
          <cell r="P842">
            <v>131</v>
          </cell>
          <cell r="Q842">
            <v>926</v>
          </cell>
        </row>
        <row r="843">
          <cell r="A843" t="str">
            <v>US35P015643911100015</v>
          </cell>
          <cell r="B843" t="str">
            <v>US35P01564</v>
          </cell>
          <cell r="C843">
            <v>3911100015</v>
          </cell>
          <cell r="D843" t="str">
            <v>TRAVEL EXPENSES PERMANENTS / OTHER</v>
          </cell>
          <cell r="E843">
            <v>0</v>
          </cell>
          <cell r="F843">
            <v>0</v>
          </cell>
          <cell r="G843">
            <v>0</v>
          </cell>
          <cell r="H843">
            <v>25</v>
          </cell>
          <cell r="I843">
            <v>0</v>
          </cell>
          <cell r="J843">
            <v>0</v>
          </cell>
          <cell r="K843">
            <v>53</v>
          </cell>
          <cell r="L843">
            <v>0</v>
          </cell>
          <cell r="M843">
            <v>135</v>
          </cell>
          <cell r="N843">
            <v>0</v>
          </cell>
          <cell r="O843">
            <v>0</v>
          </cell>
          <cell r="P843">
            <v>0</v>
          </cell>
          <cell r="Q843">
            <v>213</v>
          </cell>
        </row>
        <row r="844">
          <cell r="A844" t="str">
            <v>US35P015753911100015</v>
          </cell>
          <cell r="B844" t="str">
            <v>US35P01575</v>
          </cell>
          <cell r="C844">
            <v>3911100015</v>
          </cell>
          <cell r="D844" t="str">
            <v>TRAVEL EXPENSES PERMANENTS / OTHER</v>
          </cell>
          <cell r="E844">
            <v>0</v>
          </cell>
          <cell r="F844">
            <v>0</v>
          </cell>
          <cell r="G844">
            <v>75</v>
          </cell>
          <cell r="H844">
            <v>25</v>
          </cell>
          <cell r="I844">
            <v>0</v>
          </cell>
          <cell r="J844">
            <v>1410</v>
          </cell>
          <cell r="K844">
            <v>954</v>
          </cell>
          <cell r="L844">
            <v>682</v>
          </cell>
          <cell r="M844">
            <v>132</v>
          </cell>
          <cell r="N844">
            <v>0</v>
          </cell>
          <cell r="O844">
            <v>0</v>
          </cell>
          <cell r="P844">
            <v>0</v>
          </cell>
          <cell r="Q844">
            <v>3278</v>
          </cell>
        </row>
        <row r="845">
          <cell r="A845" t="str">
            <v>USWOP015013911100015</v>
          </cell>
          <cell r="B845" t="str">
            <v>USWOP01501</v>
          </cell>
          <cell r="C845">
            <v>3911100015</v>
          </cell>
          <cell r="D845" t="str">
            <v>TRAVEL EXPENSES PERMANENTS / OTHER</v>
          </cell>
          <cell r="E845">
            <v>0</v>
          </cell>
          <cell r="F845">
            <v>0</v>
          </cell>
          <cell r="G845">
            <v>0</v>
          </cell>
          <cell r="H845">
            <v>0</v>
          </cell>
          <cell r="I845">
            <v>0</v>
          </cell>
          <cell r="J845">
            <v>72</v>
          </cell>
          <cell r="K845">
            <v>0</v>
          </cell>
          <cell r="L845">
            <v>379</v>
          </cell>
          <cell r="M845">
            <v>323</v>
          </cell>
          <cell r="N845">
            <v>0</v>
          </cell>
          <cell r="O845">
            <v>381</v>
          </cell>
          <cell r="P845">
            <v>197</v>
          </cell>
          <cell r="Q845">
            <v>1352</v>
          </cell>
        </row>
        <row r="846">
          <cell r="A846" t="str">
            <v>USWOP015503911100015</v>
          </cell>
          <cell r="B846" t="str">
            <v>USWOP01550</v>
          </cell>
          <cell r="C846">
            <v>3911100015</v>
          </cell>
          <cell r="D846" t="str">
            <v>TRAVEL EXPENSES PERMANENTS / OTHER</v>
          </cell>
          <cell r="E846">
            <v>219</v>
          </cell>
          <cell r="F846">
            <v>0</v>
          </cell>
          <cell r="G846">
            <v>0</v>
          </cell>
          <cell r="H846">
            <v>0</v>
          </cell>
          <cell r="I846">
            <v>0</v>
          </cell>
          <cell r="J846">
            <v>67</v>
          </cell>
          <cell r="K846">
            <v>0</v>
          </cell>
          <cell r="L846">
            <v>0</v>
          </cell>
          <cell r="M846">
            <v>0</v>
          </cell>
          <cell r="N846">
            <v>0</v>
          </cell>
          <cell r="O846">
            <v>0</v>
          </cell>
          <cell r="P846">
            <v>0</v>
          </cell>
          <cell r="Q846">
            <v>286</v>
          </cell>
        </row>
        <row r="847">
          <cell r="A847" t="str">
            <v>USWOP015533911100015</v>
          </cell>
          <cell r="B847" t="str">
            <v>USWOP01553</v>
          </cell>
          <cell r="C847">
            <v>3911100015</v>
          </cell>
          <cell r="D847" t="str">
            <v>TRAVEL EXPENSES PERMANENTS / OTHER</v>
          </cell>
          <cell r="E847">
            <v>0</v>
          </cell>
          <cell r="F847">
            <v>0</v>
          </cell>
          <cell r="G847">
            <v>0</v>
          </cell>
          <cell r="H847">
            <v>0</v>
          </cell>
          <cell r="I847">
            <v>0</v>
          </cell>
          <cell r="J847">
            <v>0</v>
          </cell>
          <cell r="K847">
            <v>114</v>
          </cell>
          <cell r="L847">
            <v>86</v>
          </cell>
          <cell r="M847">
            <v>0</v>
          </cell>
          <cell r="N847">
            <v>0</v>
          </cell>
          <cell r="O847">
            <v>0</v>
          </cell>
          <cell r="P847">
            <v>0</v>
          </cell>
          <cell r="Q847">
            <v>200</v>
          </cell>
        </row>
        <row r="848">
          <cell r="A848" t="str">
            <v>US59P015013911100015</v>
          </cell>
          <cell r="B848" t="str">
            <v>US59P01501</v>
          </cell>
          <cell r="C848">
            <v>3911100015</v>
          </cell>
          <cell r="D848" t="str">
            <v>TRAVEL EXPENSES PERMANENTS / OTHER</v>
          </cell>
          <cell r="E848">
            <v>0</v>
          </cell>
          <cell r="F848">
            <v>0</v>
          </cell>
          <cell r="G848">
            <v>230</v>
          </cell>
          <cell r="H848">
            <v>0</v>
          </cell>
          <cell r="I848">
            <v>397</v>
          </cell>
          <cell r="J848">
            <v>0</v>
          </cell>
          <cell r="K848">
            <v>0</v>
          </cell>
          <cell r="L848">
            <v>0</v>
          </cell>
          <cell r="M848">
            <v>447</v>
          </cell>
          <cell r="N848">
            <v>98</v>
          </cell>
          <cell r="O848">
            <v>605</v>
          </cell>
          <cell r="P848">
            <v>0</v>
          </cell>
          <cell r="Q848">
            <v>1777</v>
          </cell>
        </row>
        <row r="849">
          <cell r="A849" t="str">
            <v>US59P015503911100015</v>
          </cell>
          <cell r="B849" t="str">
            <v>US59P01550</v>
          </cell>
          <cell r="C849">
            <v>3911100015</v>
          </cell>
          <cell r="D849" t="str">
            <v>TRAVEL EXPENSES PERMANENTS / OTHER</v>
          </cell>
          <cell r="E849">
            <v>0</v>
          </cell>
          <cell r="F849">
            <v>0</v>
          </cell>
          <cell r="G849">
            <v>0</v>
          </cell>
          <cell r="H849">
            <v>234</v>
          </cell>
          <cell r="I849">
            <v>0</v>
          </cell>
          <cell r="J849">
            <v>3155</v>
          </cell>
          <cell r="K849">
            <v>2185</v>
          </cell>
          <cell r="L849">
            <v>26543</v>
          </cell>
          <cell r="M849">
            <v>158</v>
          </cell>
          <cell r="N849">
            <v>65490</v>
          </cell>
          <cell r="O849">
            <v>1134</v>
          </cell>
          <cell r="P849">
            <v>15474</v>
          </cell>
          <cell r="Q849">
            <v>114373</v>
          </cell>
        </row>
        <row r="850">
          <cell r="A850" t="str">
            <v>US59P015533911100015</v>
          </cell>
          <cell r="B850" t="str">
            <v>US59P01553</v>
          </cell>
          <cell r="C850">
            <v>3911100015</v>
          </cell>
          <cell r="D850" t="str">
            <v>TRAVEL EXPENSES PERMANENTS / OTHER</v>
          </cell>
          <cell r="E850">
            <v>0</v>
          </cell>
          <cell r="F850">
            <v>0</v>
          </cell>
          <cell r="G850">
            <v>0</v>
          </cell>
          <cell r="H850">
            <v>0</v>
          </cell>
          <cell r="I850">
            <v>0</v>
          </cell>
          <cell r="J850">
            <v>0</v>
          </cell>
          <cell r="K850">
            <v>574</v>
          </cell>
          <cell r="L850">
            <v>5237</v>
          </cell>
          <cell r="M850">
            <v>586</v>
          </cell>
          <cell r="N850">
            <v>0</v>
          </cell>
          <cell r="O850">
            <v>0</v>
          </cell>
          <cell r="P850">
            <v>0</v>
          </cell>
          <cell r="Q850">
            <v>6397</v>
          </cell>
        </row>
        <row r="851">
          <cell r="A851" t="str">
            <v>US59P015603911100015</v>
          </cell>
          <cell r="B851" t="str">
            <v>US59P01560</v>
          </cell>
          <cell r="C851">
            <v>3911100015</v>
          </cell>
          <cell r="D851" t="str">
            <v>TRAVEL EXPENSES PERMANENTS / OTHER</v>
          </cell>
          <cell r="E851">
            <v>0</v>
          </cell>
          <cell r="F851">
            <v>0</v>
          </cell>
          <cell r="G851">
            <v>0</v>
          </cell>
          <cell r="H851">
            <v>0</v>
          </cell>
          <cell r="I851">
            <v>0</v>
          </cell>
          <cell r="J851">
            <v>1712</v>
          </cell>
          <cell r="K851">
            <v>0</v>
          </cell>
          <cell r="L851">
            <v>0</v>
          </cell>
          <cell r="M851">
            <v>0</v>
          </cell>
          <cell r="N851">
            <v>0</v>
          </cell>
          <cell r="O851">
            <v>0</v>
          </cell>
          <cell r="P851">
            <v>0</v>
          </cell>
          <cell r="Q851">
            <v>1712</v>
          </cell>
        </row>
        <row r="852">
          <cell r="A852" t="str">
            <v>US59P3C5013911100015</v>
          </cell>
          <cell r="B852" t="str">
            <v>US59P3C501</v>
          </cell>
          <cell r="C852">
            <v>3911100015</v>
          </cell>
          <cell r="D852" t="str">
            <v>TRAVEL EXPENSES PERMANENTS / OTHER</v>
          </cell>
          <cell r="E852">
            <v>0</v>
          </cell>
          <cell r="F852">
            <v>0</v>
          </cell>
          <cell r="G852">
            <v>544</v>
          </cell>
          <cell r="H852">
            <v>0</v>
          </cell>
          <cell r="I852">
            <v>345</v>
          </cell>
          <cell r="J852">
            <v>1540</v>
          </cell>
          <cell r="K852">
            <v>916</v>
          </cell>
          <cell r="L852">
            <v>1217</v>
          </cell>
          <cell r="M852">
            <v>395</v>
          </cell>
          <cell r="N852">
            <v>1114</v>
          </cell>
          <cell r="O852">
            <v>420</v>
          </cell>
          <cell r="P852">
            <v>54</v>
          </cell>
          <cell r="Q852">
            <v>6545</v>
          </cell>
        </row>
        <row r="853">
          <cell r="A853" t="str">
            <v>US59P3C5503911100015</v>
          </cell>
          <cell r="B853" t="str">
            <v>US59P3C550</v>
          </cell>
          <cell r="C853">
            <v>3911100015</v>
          </cell>
          <cell r="D853" t="str">
            <v>TRAVEL EXPENSES PERMANENTS / OTHER</v>
          </cell>
          <cell r="E853">
            <v>0</v>
          </cell>
          <cell r="F853">
            <v>0</v>
          </cell>
          <cell r="G853">
            <v>0</v>
          </cell>
          <cell r="H853">
            <v>1263</v>
          </cell>
          <cell r="I853">
            <v>94</v>
          </cell>
          <cell r="J853">
            <v>1866</v>
          </cell>
          <cell r="K853">
            <v>3750</v>
          </cell>
          <cell r="L853">
            <v>1785</v>
          </cell>
          <cell r="M853">
            <v>3260</v>
          </cell>
          <cell r="N853">
            <v>3745</v>
          </cell>
          <cell r="O853">
            <v>1815</v>
          </cell>
          <cell r="P853">
            <v>0</v>
          </cell>
          <cell r="Q853">
            <v>17578</v>
          </cell>
        </row>
        <row r="854">
          <cell r="A854" t="str">
            <v>US59PZA5013911100015</v>
          </cell>
          <cell r="B854" t="str">
            <v>US59PZA501</v>
          </cell>
          <cell r="C854">
            <v>3911100015</v>
          </cell>
          <cell r="D854" t="str">
            <v>TRAVEL EXPENSES PERMANENTS / OTHER</v>
          </cell>
          <cell r="E854">
            <v>0</v>
          </cell>
          <cell r="F854">
            <v>0</v>
          </cell>
          <cell r="G854">
            <v>0</v>
          </cell>
          <cell r="H854">
            <v>0</v>
          </cell>
          <cell r="I854">
            <v>0</v>
          </cell>
          <cell r="J854">
            <v>0</v>
          </cell>
          <cell r="K854">
            <v>0</v>
          </cell>
          <cell r="L854">
            <v>0</v>
          </cell>
          <cell r="M854">
            <v>0</v>
          </cell>
          <cell r="N854">
            <v>0</v>
          </cell>
          <cell r="O854">
            <v>355</v>
          </cell>
          <cell r="P854">
            <v>0</v>
          </cell>
          <cell r="Q854">
            <v>355</v>
          </cell>
        </row>
        <row r="855">
          <cell r="A855" t="str">
            <v>USCLP015013911100015</v>
          </cell>
          <cell r="B855" t="str">
            <v>USCLP01501</v>
          </cell>
          <cell r="C855">
            <v>3911100015</v>
          </cell>
          <cell r="D855" t="str">
            <v>TRAVEL EXPENSES PERMANENTS / OTHER</v>
          </cell>
          <cell r="E855">
            <v>0</v>
          </cell>
          <cell r="F855">
            <v>0</v>
          </cell>
          <cell r="G855">
            <v>0</v>
          </cell>
          <cell r="H855">
            <v>0</v>
          </cell>
          <cell r="I855">
            <v>296</v>
          </cell>
          <cell r="J855">
            <v>0</v>
          </cell>
          <cell r="K855">
            <v>0</v>
          </cell>
          <cell r="L855">
            <v>634</v>
          </cell>
          <cell r="M855">
            <v>0</v>
          </cell>
          <cell r="N855">
            <v>0</v>
          </cell>
          <cell r="O855">
            <v>0</v>
          </cell>
          <cell r="P855">
            <v>0</v>
          </cell>
          <cell r="Q855">
            <v>930</v>
          </cell>
        </row>
        <row r="856">
          <cell r="A856" t="str">
            <v>USCRP015013911100015</v>
          </cell>
          <cell r="B856" t="str">
            <v>USCRP01501</v>
          </cell>
          <cell r="C856">
            <v>3911100015</v>
          </cell>
          <cell r="D856" t="str">
            <v>TRAVEL EXPENSES PERMANENTS / OTHER</v>
          </cell>
          <cell r="E856">
            <v>0</v>
          </cell>
          <cell r="F856">
            <v>0</v>
          </cell>
          <cell r="G856">
            <v>0</v>
          </cell>
          <cell r="H856">
            <v>0</v>
          </cell>
          <cell r="I856">
            <v>0</v>
          </cell>
          <cell r="J856">
            <v>0</v>
          </cell>
          <cell r="K856">
            <v>0</v>
          </cell>
          <cell r="L856">
            <v>0</v>
          </cell>
          <cell r="M856">
            <v>0</v>
          </cell>
          <cell r="N856">
            <v>0</v>
          </cell>
          <cell r="O856">
            <v>179</v>
          </cell>
          <cell r="P856">
            <v>0</v>
          </cell>
          <cell r="Q856">
            <v>179</v>
          </cell>
        </row>
        <row r="857">
          <cell r="A857" t="str">
            <v>USCRP015503911100015</v>
          </cell>
          <cell r="B857" t="str">
            <v>USCRP01550</v>
          </cell>
          <cell r="C857">
            <v>3911100015</v>
          </cell>
          <cell r="D857" t="str">
            <v>TRAVEL EXPENSES PERMANENTS / OTHER</v>
          </cell>
          <cell r="E857">
            <v>0</v>
          </cell>
          <cell r="F857">
            <v>0</v>
          </cell>
          <cell r="G857">
            <v>0</v>
          </cell>
          <cell r="H857">
            <v>0</v>
          </cell>
          <cell r="I857">
            <v>0</v>
          </cell>
          <cell r="J857">
            <v>0</v>
          </cell>
          <cell r="K857">
            <v>126</v>
          </cell>
          <cell r="L857">
            <v>0</v>
          </cell>
          <cell r="M857">
            <v>0</v>
          </cell>
          <cell r="N857">
            <v>0</v>
          </cell>
          <cell r="O857">
            <v>0</v>
          </cell>
          <cell r="P857">
            <v>0</v>
          </cell>
          <cell r="Q857">
            <v>126</v>
          </cell>
        </row>
        <row r="858">
          <cell r="A858" t="str">
            <v>US28P015013911100022</v>
          </cell>
          <cell r="B858" t="str">
            <v>US28P01501</v>
          </cell>
          <cell r="C858">
            <v>3911100022</v>
          </cell>
          <cell r="D858" t="str">
            <v>TRAVEL EXPENSES - AIRFARE</v>
          </cell>
          <cell r="E858">
            <v>0</v>
          </cell>
          <cell r="F858">
            <v>0</v>
          </cell>
          <cell r="G858">
            <v>0</v>
          </cell>
          <cell r="H858">
            <v>0</v>
          </cell>
          <cell r="I858">
            <v>0</v>
          </cell>
          <cell r="J858">
            <v>0</v>
          </cell>
          <cell r="K858">
            <v>553</v>
          </cell>
          <cell r="L858">
            <v>0</v>
          </cell>
          <cell r="M858">
            <v>619</v>
          </cell>
          <cell r="N858">
            <v>0</v>
          </cell>
          <cell r="O858">
            <v>565</v>
          </cell>
          <cell r="P858">
            <v>386</v>
          </cell>
          <cell r="Q858">
            <v>2123</v>
          </cell>
        </row>
        <row r="859">
          <cell r="A859" t="str">
            <v>US35P015013911100022</v>
          </cell>
          <cell r="B859" t="str">
            <v>US35P01501</v>
          </cell>
          <cell r="C859">
            <v>3911100022</v>
          </cell>
          <cell r="D859" t="str">
            <v>TRAVEL EXPENSES - AIRFARE</v>
          </cell>
          <cell r="E859">
            <v>0</v>
          </cell>
          <cell r="F859">
            <v>0</v>
          </cell>
          <cell r="G859">
            <v>0</v>
          </cell>
          <cell r="H859">
            <v>0</v>
          </cell>
          <cell r="I859">
            <v>0</v>
          </cell>
          <cell r="J859">
            <v>0</v>
          </cell>
          <cell r="K859">
            <v>0</v>
          </cell>
          <cell r="L859">
            <v>0</v>
          </cell>
          <cell r="M859">
            <v>0</v>
          </cell>
          <cell r="N859">
            <v>0</v>
          </cell>
          <cell r="O859">
            <v>386</v>
          </cell>
          <cell r="P859">
            <v>0</v>
          </cell>
          <cell r="Q859">
            <v>386</v>
          </cell>
        </row>
        <row r="860">
          <cell r="A860" t="str">
            <v>US59P015013911100022</v>
          </cell>
          <cell r="B860" t="str">
            <v>US59P01501</v>
          </cell>
          <cell r="C860">
            <v>3911100022</v>
          </cell>
          <cell r="D860" t="str">
            <v>TRAVEL EXPENSES - AIRFARE</v>
          </cell>
          <cell r="E860">
            <v>0</v>
          </cell>
          <cell r="F860">
            <v>0</v>
          </cell>
          <cell r="G860">
            <v>0</v>
          </cell>
          <cell r="H860">
            <v>0</v>
          </cell>
          <cell r="I860">
            <v>0</v>
          </cell>
          <cell r="J860">
            <v>0</v>
          </cell>
          <cell r="K860">
            <v>0</v>
          </cell>
          <cell r="L860">
            <v>0</v>
          </cell>
          <cell r="M860">
            <v>2680</v>
          </cell>
          <cell r="N860">
            <v>0</v>
          </cell>
          <cell r="O860">
            <v>-1406</v>
          </cell>
          <cell r="P860">
            <v>0</v>
          </cell>
          <cell r="Q860">
            <v>1274</v>
          </cell>
        </row>
        <row r="861">
          <cell r="A861" t="str">
            <v>US59PZA5013911100022</v>
          </cell>
          <cell r="B861" t="str">
            <v>US59PZA501</v>
          </cell>
          <cell r="C861">
            <v>3911100022</v>
          </cell>
          <cell r="D861" t="str">
            <v>TRAVEL EXPENSES - AIRFARE</v>
          </cell>
          <cell r="E861">
            <v>0</v>
          </cell>
          <cell r="F861">
            <v>0</v>
          </cell>
          <cell r="G861">
            <v>0</v>
          </cell>
          <cell r="H861">
            <v>0</v>
          </cell>
          <cell r="I861">
            <v>1182</v>
          </cell>
          <cell r="J861">
            <v>0</v>
          </cell>
          <cell r="K861">
            <v>0</v>
          </cell>
          <cell r="L861">
            <v>0</v>
          </cell>
          <cell r="M861">
            <v>0</v>
          </cell>
          <cell r="N861">
            <v>0</v>
          </cell>
          <cell r="O861">
            <v>0</v>
          </cell>
          <cell r="P861">
            <v>0</v>
          </cell>
          <cell r="Q861">
            <v>1182</v>
          </cell>
        </row>
        <row r="862">
          <cell r="A862" t="str">
            <v>US22P015013911100041</v>
          </cell>
          <cell r="B862" t="str">
            <v>US22P01501</v>
          </cell>
          <cell r="C862">
            <v>3911100041</v>
          </cell>
          <cell r="D862" t="str">
            <v>TRAVEL EXPENSES - ENTERTAINMENT</v>
          </cell>
          <cell r="E862">
            <v>564</v>
          </cell>
          <cell r="F862">
            <v>188</v>
          </cell>
          <cell r="G862">
            <v>5198</v>
          </cell>
          <cell r="H862">
            <v>905</v>
          </cell>
          <cell r="I862">
            <v>596</v>
          </cell>
          <cell r="J862">
            <v>873</v>
          </cell>
          <cell r="K862">
            <v>453</v>
          </cell>
          <cell r="L862">
            <v>2556</v>
          </cell>
          <cell r="M862">
            <v>1900</v>
          </cell>
          <cell r="N862">
            <v>4363</v>
          </cell>
          <cell r="O862">
            <v>3757</v>
          </cell>
          <cell r="P862">
            <v>3413</v>
          </cell>
          <cell r="Q862">
            <v>24766</v>
          </cell>
        </row>
        <row r="863">
          <cell r="A863" t="str">
            <v>US22P015503911100041</v>
          </cell>
          <cell r="B863" t="str">
            <v>US22P01550</v>
          </cell>
          <cell r="C863">
            <v>3911100041</v>
          </cell>
          <cell r="D863" t="str">
            <v>TRAVEL EXPENSES - ENTERTAINMENT</v>
          </cell>
          <cell r="E863">
            <v>0</v>
          </cell>
          <cell r="F863">
            <v>0</v>
          </cell>
          <cell r="G863">
            <v>0</v>
          </cell>
          <cell r="H863">
            <v>0</v>
          </cell>
          <cell r="I863">
            <v>169</v>
          </cell>
          <cell r="J863">
            <v>18</v>
          </cell>
          <cell r="K863">
            <v>65</v>
          </cell>
          <cell r="L863">
            <v>1900</v>
          </cell>
          <cell r="M863">
            <v>1859</v>
          </cell>
          <cell r="N863">
            <v>2075</v>
          </cell>
          <cell r="O863">
            <v>647</v>
          </cell>
          <cell r="P863">
            <v>153</v>
          </cell>
          <cell r="Q863">
            <v>6886</v>
          </cell>
        </row>
        <row r="864">
          <cell r="A864" t="str">
            <v>US28P015013911100041</v>
          </cell>
          <cell r="B864" t="str">
            <v>US28P01501</v>
          </cell>
          <cell r="C864">
            <v>3911100041</v>
          </cell>
          <cell r="D864" t="str">
            <v>TRAVEL EXPENSES - ENTERTAINMENT</v>
          </cell>
          <cell r="E864">
            <v>0</v>
          </cell>
          <cell r="F864">
            <v>0</v>
          </cell>
          <cell r="G864">
            <v>40</v>
          </cell>
          <cell r="H864">
            <v>3946</v>
          </cell>
          <cell r="I864">
            <v>0</v>
          </cell>
          <cell r="J864">
            <v>0</v>
          </cell>
          <cell r="K864">
            <v>0</v>
          </cell>
          <cell r="L864">
            <v>0</v>
          </cell>
          <cell r="M864">
            <v>0</v>
          </cell>
          <cell r="N864">
            <v>48</v>
          </cell>
          <cell r="O864">
            <v>47</v>
          </cell>
          <cell r="P864">
            <v>0</v>
          </cell>
          <cell r="Q864">
            <v>4081</v>
          </cell>
        </row>
        <row r="865">
          <cell r="A865" t="str">
            <v>US35P015013911100041</v>
          </cell>
          <cell r="B865" t="str">
            <v>US35P01501</v>
          </cell>
          <cell r="C865">
            <v>3911100041</v>
          </cell>
          <cell r="D865" t="str">
            <v>TRAVEL EXPENSES - ENTERTAINMENT</v>
          </cell>
          <cell r="E865">
            <v>11</v>
          </cell>
          <cell r="F865">
            <v>186</v>
          </cell>
          <cell r="G865">
            <v>566</v>
          </cell>
          <cell r="H865">
            <v>48</v>
          </cell>
          <cell r="I865">
            <v>310</v>
          </cell>
          <cell r="J865">
            <v>275</v>
          </cell>
          <cell r="K865">
            <v>20</v>
          </cell>
          <cell r="L865">
            <v>242</v>
          </cell>
          <cell r="M865">
            <v>609</v>
          </cell>
          <cell r="N865">
            <v>217</v>
          </cell>
          <cell r="O865">
            <v>376</v>
          </cell>
          <cell r="P865">
            <v>17</v>
          </cell>
          <cell r="Q865">
            <v>2877</v>
          </cell>
        </row>
        <row r="866">
          <cell r="A866" t="str">
            <v>US35P015503911100041</v>
          </cell>
          <cell r="B866" t="str">
            <v>US35P01550</v>
          </cell>
          <cell r="C866">
            <v>3911100041</v>
          </cell>
          <cell r="D866" t="str">
            <v>TRAVEL EXPENSES - ENTERTAINMENT</v>
          </cell>
          <cell r="E866">
            <v>0</v>
          </cell>
          <cell r="F866">
            <v>0</v>
          </cell>
          <cell r="G866">
            <v>0</v>
          </cell>
          <cell r="H866">
            <v>0</v>
          </cell>
          <cell r="I866">
            <v>0</v>
          </cell>
          <cell r="J866">
            <v>0</v>
          </cell>
          <cell r="K866">
            <v>0</v>
          </cell>
          <cell r="L866">
            <v>0</v>
          </cell>
          <cell r="M866">
            <v>0</v>
          </cell>
          <cell r="N866">
            <v>0</v>
          </cell>
          <cell r="O866">
            <v>0</v>
          </cell>
          <cell r="P866">
            <v>19</v>
          </cell>
          <cell r="Q866">
            <v>19</v>
          </cell>
        </row>
        <row r="867">
          <cell r="A867" t="str">
            <v>USWOP015013911100041</v>
          </cell>
          <cell r="B867" t="str">
            <v>USWOP01501</v>
          </cell>
          <cell r="C867">
            <v>3911100041</v>
          </cell>
          <cell r="D867" t="str">
            <v>TRAVEL EXPENSES - ENTERTAINMENT</v>
          </cell>
          <cell r="E867">
            <v>0</v>
          </cell>
          <cell r="F867">
            <v>37</v>
          </cell>
          <cell r="G867">
            <v>128</v>
          </cell>
          <cell r="H867">
            <v>0</v>
          </cell>
          <cell r="I867">
            <v>0</v>
          </cell>
          <cell r="J867">
            <v>429</v>
          </cell>
          <cell r="K867">
            <v>55</v>
          </cell>
          <cell r="L867">
            <v>327</v>
          </cell>
          <cell r="M867">
            <v>79</v>
          </cell>
          <cell r="N867">
            <v>211</v>
          </cell>
          <cell r="O867">
            <v>1418</v>
          </cell>
          <cell r="P867">
            <v>98</v>
          </cell>
          <cell r="Q867">
            <v>2782</v>
          </cell>
        </row>
        <row r="868">
          <cell r="A868" t="str">
            <v>USWOP015503911100041</v>
          </cell>
          <cell r="B868" t="str">
            <v>USWOP01550</v>
          </cell>
          <cell r="C868">
            <v>3911100041</v>
          </cell>
          <cell r="D868" t="str">
            <v>TRAVEL EXPENSES - ENTERTAINMENT</v>
          </cell>
          <cell r="E868">
            <v>0</v>
          </cell>
          <cell r="F868">
            <v>0</v>
          </cell>
          <cell r="G868">
            <v>0</v>
          </cell>
          <cell r="H868">
            <v>0</v>
          </cell>
          <cell r="I868">
            <v>0</v>
          </cell>
          <cell r="J868">
            <v>0</v>
          </cell>
          <cell r="K868">
            <v>67</v>
          </cell>
          <cell r="L868">
            <v>149</v>
          </cell>
          <cell r="M868">
            <v>0</v>
          </cell>
          <cell r="N868">
            <v>16</v>
          </cell>
          <cell r="O868">
            <v>0</v>
          </cell>
          <cell r="P868">
            <v>0</v>
          </cell>
          <cell r="Q868">
            <v>232</v>
          </cell>
        </row>
        <row r="869">
          <cell r="A869" t="str">
            <v>US59P015013911100041</v>
          </cell>
          <cell r="B869" t="str">
            <v>US59P01501</v>
          </cell>
          <cell r="C869">
            <v>3911100041</v>
          </cell>
          <cell r="D869" t="str">
            <v>TRAVEL EXPENSES - ENTERTAINMENT</v>
          </cell>
          <cell r="E869">
            <v>0</v>
          </cell>
          <cell r="F869">
            <v>0</v>
          </cell>
          <cell r="G869">
            <v>21</v>
          </cell>
          <cell r="H869">
            <v>0</v>
          </cell>
          <cell r="I869">
            <v>540</v>
          </cell>
          <cell r="J869">
            <v>60</v>
          </cell>
          <cell r="K869">
            <v>0</v>
          </cell>
          <cell r="L869">
            <v>0</v>
          </cell>
          <cell r="M869">
            <v>363</v>
          </cell>
          <cell r="N869">
            <v>476</v>
          </cell>
          <cell r="O869">
            <v>495</v>
          </cell>
          <cell r="P869">
            <v>20</v>
          </cell>
          <cell r="Q869">
            <v>1975</v>
          </cell>
        </row>
        <row r="870">
          <cell r="A870" t="str">
            <v>US59P3C5013911100041</v>
          </cell>
          <cell r="B870" t="str">
            <v>US59P3C501</v>
          </cell>
          <cell r="C870">
            <v>3911100041</v>
          </cell>
          <cell r="D870" t="str">
            <v>TRAVEL EXPENSES - ENTERTAINMENT</v>
          </cell>
          <cell r="E870">
            <v>0</v>
          </cell>
          <cell r="F870">
            <v>0</v>
          </cell>
          <cell r="G870">
            <v>73</v>
          </cell>
          <cell r="H870">
            <v>0</v>
          </cell>
          <cell r="I870">
            <v>22</v>
          </cell>
          <cell r="J870">
            <v>36</v>
          </cell>
          <cell r="K870">
            <v>33</v>
          </cell>
          <cell r="L870">
            <v>267</v>
          </cell>
          <cell r="M870">
            <v>7</v>
          </cell>
          <cell r="N870">
            <v>13</v>
          </cell>
          <cell r="O870">
            <v>45</v>
          </cell>
          <cell r="P870">
            <v>8</v>
          </cell>
          <cell r="Q870">
            <v>504</v>
          </cell>
        </row>
        <row r="871">
          <cell r="A871" t="str">
            <v>US59PZA5013911100041</v>
          </cell>
          <cell r="B871" t="str">
            <v>US59PZA501</v>
          </cell>
          <cell r="C871">
            <v>3911100041</v>
          </cell>
          <cell r="D871" t="str">
            <v>TRAVEL EXPENSES - ENTERTAINMENT</v>
          </cell>
          <cell r="E871">
            <v>0</v>
          </cell>
          <cell r="F871">
            <v>0</v>
          </cell>
          <cell r="G871">
            <v>0</v>
          </cell>
          <cell r="H871">
            <v>18</v>
          </cell>
          <cell r="I871">
            <v>0</v>
          </cell>
          <cell r="J871">
            <v>0</v>
          </cell>
          <cell r="K871">
            <v>0</v>
          </cell>
          <cell r="L871">
            <v>0</v>
          </cell>
          <cell r="M871">
            <v>0</v>
          </cell>
          <cell r="N871">
            <v>70</v>
          </cell>
          <cell r="O871">
            <v>0</v>
          </cell>
          <cell r="P871">
            <v>0</v>
          </cell>
          <cell r="Q871">
            <v>88</v>
          </cell>
        </row>
        <row r="872">
          <cell r="A872" t="str">
            <v>USCRP015013911100041</v>
          </cell>
          <cell r="B872" t="str">
            <v>USCRP01501</v>
          </cell>
          <cell r="C872">
            <v>3911100041</v>
          </cell>
          <cell r="D872" t="str">
            <v>TRAVEL EXPENSES - ENTERTAINMENT</v>
          </cell>
          <cell r="E872">
            <v>500</v>
          </cell>
          <cell r="F872">
            <v>48</v>
          </cell>
          <cell r="G872">
            <v>0</v>
          </cell>
          <cell r="H872">
            <v>0</v>
          </cell>
          <cell r="I872">
            <v>0</v>
          </cell>
          <cell r="J872">
            <v>0</v>
          </cell>
          <cell r="K872">
            <v>0</v>
          </cell>
          <cell r="L872">
            <v>0</v>
          </cell>
          <cell r="M872">
            <v>0</v>
          </cell>
          <cell r="N872">
            <v>0</v>
          </cell>
          <cell r="O872">
            <v>0</v>
          </cell>
          <cell r="P872">
            <v>0</v>
          </cell>
          <cell r="Q872">
            <v>548</v>
          </cell>
        </row>
        <row r="873">
          <cell r="A873" t="str">
            <v>USCRP015503911100041</v>
          </cell>
          <cell r="B873" t="str">
            <v>USCRP01550</v>
          </cell>
          <cell r="C873">
            <v>3911100041</v>
          </cell>
          <cell r="D873" t="str">
            <v>TRAVEL EXPENSES - ENTERTAINMENT</v>
          </cell>
          <cell r="E873">
            <v>0</v>
          </cell>
          <cell r="F873">
            <v>0</v>
          </cell>
          <cell r="G873">
            <v>0</v>
          </cell>
          <cell r="H873">
            <v>0</v>
          </cell>
          <cell r="I873">
            <v>0</v>
          </cell>
          <cell r="J873">
            <v>0</v>
          </cell>
          <cell r="K873">
            <v>0</v>
          </cell>
          <cell r="L873">
            <v>111</v>
          </cell>
          <cell r="M873">
            <v>0</v>
          </cell>
          <cell r="N873">
            <v>0</v>
          </cell>
          <cell r="O873">
            <v>0</v>
          </cell>
          <cell r="P873">
            <v>0</v>
          </cell>
          <cell r="Q873">
            <v>111</v>
          </cell>
        </row>
        <row r="874">
          <cell r="A874" t="str">
            <v>US28P015013911200000</v>
          </cell>
          <cell r="B874" t="str">
            <v>US28P01501</v>
          </cell>
          <cell r="C874">
            <v>3911200000</v>
          </cell>
          <cell r="D874" t="str">
            <v>PROMOTIONAL EXPENSES ADVERTISEMENT</v>
          </cell>
          <cell r="E874">
            <v>0</v>
          </cell>
          <cell r="F874">
            <v>0</v>
          </cell>
          <cell r="G874">
            <v>45</v>
          </cell>
          <cell r="H874">
            <v>0</v>
          </cell>
          <cell r="I874">
            <v>0</v>
          </cell>
          <cell r="J874">
            <v>0</v>
          </cell>
          <cell r="K874">
            <v>35</v>
          </cell>
          <cell r="L874">
            <v>0</v>
          </cell>
          <cell r="M874">
            <v>0</v>
          </cell>
          <cell r="N874">
            <v>363</v>
          </cell>
          <cell r="O874">
            <v>0</v>
          </cell>
          <cell r="P874">
            <v>0</v>
          </cell>
          <cell r="Q874">
            <v>443</v>
          </cell>
        </row>
        <row r="875">
          <cell r="A875" t="str">
            <v>USWOP015013911200000</v>
          </cell>
          <cell r="B875" t="str">
            <v>USWOP01501</v>
          </cell>
          <cell r="C875">
            <v>3911200000</v>
          </cell>
          <cell r="D875" t="str">
            <v>PROMOTIONAL EXPENSES ADVERTISEMENT</v>
          </cell>
          <cell r="E875">
            <v>0</v>
          </cell>
          <cell r="F875">
            <v>0</v>
          </cell>
          <cell r="G875">
            <v>0</v>
          </cell>
          <cell r="H875">
            <v>0</v>
          </cell>
          <cell r="I875">
            <v>0</v>
          </cell>
          <cell r="J875">
            <v>0</v>
          </cell>
          <cell r="K875">
            <v>0</v>
          </cell>
          <cell r="L875">
            <v>0</v>
          </cell>
          <cell r="M875">
            <v>0</v>
          </cell>
          <cell r="N875">
            <v>129</v>
          </cell>
          <cell r="O875">
            <v>0</v>
          </cell>
          <cell r="P875">
            <v>0</v>
          </cell>
          <cell r="Q875">
            <v>129</v>
          </cell>
        </row>
        <row r="876">
          <cell r="A876" t="str">
            <v>USCRP015013911200000</v>
          </cell>
          <cell r="B876" t="str">
            <v>USCRP01501</v>
          </cell>
          <cell r="C876">
            <v>3911200000</v>
          </cell>
          <cell r="D876" t="str">
            <v>PROMOTIONAL EXPENSES ADVERTISEMENT</v>
          </cell>
          <cell r="E876">
            <v>167</v>
          </cell>
          <cell r="F876">
            <v>0</v>
          </cell>
          <cell r="G876">
            <v>0</v>
          </cell>
          <cell r="H876">
            <v>0</v>
          </cell>
          <cell r="I876">
            <v>0</v>
          </cell>
          <cell r="J876">
            <v>40</v>
          </cell>
          <cell r="K876">
            <v>0</v>
          </cell>
          <cell r="L876">
            <v>45</v>
          </cell>
          <cell r="M876">
            <v>20</v>
          </cell>
          <cell r="N876">
            <v>20</v>
          </cell>
          <cell r="O876">
            <v>189</v>
          </cell>
          <cell r="P876">
            <v>67</v>
          </cell>
          <cell r="Q876">
            <v>548</v>
          </cell>
        </row>
        <row r="877">
          <cell r="A877" t="str">
            <v>USCRP015603911200000</v>
          </cell>
          <cell r="B877" t="str">
            <v>USCRP01560</v>
          </cell>
          <cell r="C877">
            <v>3911200000</v>
          </cell>
          <cell r="D877" t="str">
            <v>PROMOTIONAL EXPENSES ADVERTISEMENT</v>
          </cell>
          <cell r="E877">
            <v>0</v>
          </cell>
          <cell r="F877">
            <v>0</v>
          </cell>
          <cell r="G877">
            <v>0</v>
          </cell>
          <cell r="H877">
            <v>0</v>
          </cell>
          <cell r="I877">
            <v>0</v>
          </cell>
          <cell r="J877">
            <v>0</v>
          </cell>
          <cell r="K877">
            <v>0</v>
          </cell>
          <cell r="L877">
            <v>0</v>
          </cell>
          <cell r="M877">
            <v>0</v>
          </cell>
          <cell r="N877">
            <v>0</v>
          </cell>
          <cell r="O877">
            <v>40</v>
          </cell>
          <cell r="P877">
            <v>0</v>
          </cell>
          <cell r="Q877">
            <v>40</v>
          </cell>
        </row>
        <row r="878">
          <cell r="A878" t="str">
            <v>US22P015013911200001</v>
          </cell>
          <cell r="B878" t="str">
            <v>US22P01501</v>
          </cell>
          <cell r="C878">
            <v>3911200001</v>
          </cell>
          <cell r="D878" t="str">
            <v>SYMPOSIUMS, CONFERENCES, MEETINGS</v>
          </cell>
          <cell r="E878">
            <v>266</v>
          </cell>
          <cell r="F878">
            <v>449</v>
          </cell>
          <cell r="G878">
            <v>197</v>
          </cell>
          <cell r="H878">
            <v>295</v>
          </cell>
          <cell r="I878">
            <v>1003</v>
          </cell>
          <cell r="J878">
            <v>606</v>
          </cell>
          <cell r="K878">
            <v>32</v>
          </cell>
          <cell r="L878">
            <v>546</v>
          </cell>
          <cell r="M878">
            <v>1110</v>
          </cell>
          <cell r="N878">
            <v>884</v>
          </cell>
          <cell r="O878">
            <v>-800</v>
          </cell>
          <cell r="P878">
            <v>75</v>
          </cell>
          <cell r="Q878">
            <v>4663</v>
          </cell>
        </row>
        <row r="879">
          <cell r="A879" t="str">
            <v>US22P015503911200001</v>
          </cell>
          <cell r="B879" t="str">
            <v>US22P01550</v>
          </cell>
          <cell r="C879">
            <v>3911200001</v>
          </cell>
          <cell r="D879" t="str">
            <v>SYMPOSIUMS, CONFERENCES, MEETINGS</v>
          </cell>
          <cell r="E879">
            <v>13</v>
          </cell>
          <cell r="F879">
            <v>0</v>
          </cell>
          <cell r="G879">
            <v>0</v>
          </cell>
          <cell r="H879">
            <v>0</v>
          </cell>
          <cell r="I879">
            <v>1269</v>
          </cell>
          <cell r="J879">
            <v>1629</v>
          </cell>
          <cell r="K879">
            <v>707</v>
          </cell>
          <cell r="L879">
            <v>635</v>
          </cell>
          <cell r="M879">
            <v>386</v>
          </cell>
          <cell r="N879">
            <v>273</v>
          </cell>
          <cell r="O879">
            <v>-16</v>
          </cell>
          <cell r="P879">
            <v>0</v>
          </cell>
          <cell r="Q879">
            <v>4896</v>
          </cell>
        </row>
        <row r="880">
          <cell r="A880" t="str">
            <v>US22P015533911200001</v>
          </cell>
          <cell r="B880" t="str">
            <v>US22P01553</v>
          </cell>
          <cell r="C880">
            <v>3911200001</v>
          </cell>
          <cell r="D880" t="str">
            <v>SYMPOSIUMS, CONFERENCES, MEETINGS</v>
          </cell>
          <cell r="E880">
            <v>0</v>
          </cell>
          <cell r="F880">
            <v>0</v>
          </cell>
          <cell r="G880">
            <v>0</v>
          </cell>
          <cell r="H880">
            <v>0</v>
          </cell>
          <cell r="I880">
            <v>0</v>
          </cell>
          <cell r="J880">
            <v>140</v>
          </cell>
          <cell r="K880">
            <v>24</v>
          </cell>
          <cell r="L880">
            <v>757</v>
          </cell>
          <cell r="M880">
            <v>0</v>
          </cell>
          <cell r="N880">
            <v>0</v>
          </cell>
          <cell r="O880">
            <v>0</v>
          </cell>
          <cell r="P880">
            <v>0</v>
          </cell>
          <cell r="Q880">
            <v>921</v>
          </cell>
        </row>
        <row r="881">
          <cell r="A881" t="str">
            <v>US22P015753911200001</v>
          </cell>
          <cell r="B881" t="str">
            <v>US22P01575</v>
          </cell>
          <cell r="C881">
            <v>3911200001</v>
          </cell>
          <cell r="D881" t="str">
            <v>SYMPOSIUMS, CONFERENCES, MEETINGS</v>
          </cell>
          <cell r="E881">
            <v>0</v>
          </cell>
          <cell r="F881">
            <v>0</v>
          </cell>
          <cell r="G881">
            <v>0</v>
          </cell>
          <cell r="H881">
            <v>0</v>
          </cell>
          <cell r="I881">
            <v>83</v>
          </cell>
          <cell r="J881">
            <v>18</v>
          </cell>
          <cell r="K881">
            <v>6</v>
          </cell>
          <cell r="L881">
            <v>0</v>
          </cell>
          <cell r="M881">
            <v>0</v>
          </cell>
          <cell r="N881">
            <v>0</v>
          </cell>
          <cell r="O881">
            <v>0</v>
          </cell>
          <cell r="P881">
            <v>0</v>
          </cell>
          <cell r="Q881">
            <v>107</v>
          </cell>
        </row>
        <row r="882">
          <cell r="A882" t="str">
            <v>US28P015013911200001</v>
          </cell>
          <cell r="B882" t="str">
            <v>US28P01501</v>
          </cell>
          <cell r="C882">
            <v>3911200001</v>
          </cell>
          <cell r="D882" t="str">
            <v>SYMPOSIUMS, CONFERENCES, MEETINGS</v>
          </cell>
          <cell r="E882">
            <v>3693</v>
          </cell>
          <cell r="F882">
            <v>617</v>
          </cell>
          <cell r="G882">
            <v>455</v>
          </cell>
          <cell r="H882">
            <v>750</v>
          </cell>
          <cell r="I882">
            <v>418</v>
          </cell>
          <cell r="J882">
            <v>667</v>
          </cell>
          <cell r="K882">
            <v>60</v>
          </cell>
          <cell r="L882">
            <v>445</v>
          </cell>
          <cell r="M882">
            <v>2587</v>
          </cell>
          <cell r="N882">
            <v>962</v>
          </cell>
          <cell r="O882">
            <v>531</v>
          </cell>
          <cell r="P882">
            <v>355</v>
          </cell>
          <cell r="Q882">
            <v>11540</v>
          </cell>
        </row>
        <row r="883">
          <cell r="A883" t="str">
            <v>US28P015503911200001</v>
          </cell>
          <cell r="B883" t="str">
            <v>US28P01550</v>
          </cell>
          <cell r="C883">
            <v>3911200001</v>
          </cell>
          <cell r="D883" t="str">
            <v>SYMPOSIUMS, CONFERENCES, MEETINGS</v>
          </cell>
          <cell r="E883">
            <v>69</v>
          </cell>
          <cell r="F883">
            <v>0</v>
          </cell>
          <cell r="G883">
            <v>0</v>
          </cell>
          <cell r="H883">
            <v>112</v>
          </cell>
          <cell r="I883">
            <v>20</v>
          </cell>
          <cell r="J883">
            <v>50</v>
          </cell>
          <cell r="K883">
            <v>0</v>
          </cell>
          <cell r="L883">
            <v>387</v>
          </cell>
          <cell r="M883">
            <v>0</v>
          </cell>
          <cell r="N883">
            <v>6834</v>
          </cell>
          <cell r="O883">
            <v>0</v>
          </cell>
          <cell r="P883">
            <v>0</v>
          </cell>
          <cell r="Q883">
            <v>7472</v>
          </cell>
        </row>
        <row r="884">
          <cell r="A884" t="str">
            <v>US28P015533911200001</v>
          </cell>
          <cell r="B884" t="str">
            <v>US28P01553</v>
          </cell>
          <cell r="C884">
            <v>3911200001</v>
          </cell>
          <cell r="D884" t="str">
            <v>SYMPOSIUMS, CONFERENCES, MEETINGS</v>
          </cell>
          <cell r="E884">
            <v>0</v>
          </cell>
          <cell r="F884">
            <v>0</v>
          </cell>
          <cell r="G884">
            <v>0</v>
          </cell>
          <cell r="H884">
            <v>0</v>
          </cell>
          <cell r="I884">
            <v>0</v>
          </cell>
          <cell r="J884">
            <v>0</v>
          </cell>
          <cell r="K884">
            <v>34</v>
          </cell>
          <cell r="L884">
            <v>0</v>
          </cell>
          <cell r="M884">
            <v>42</v>
          </cell>
          <cell r="N884">
            <v>0</v>
          </cell>
          <cell r="O884">
            <v>0</v>
          </cell>
          <cell r="P884">
            <v>0</v>
          </cell>
          <cell r="Q884">
            <v>76</v>
          </cell>
        </row>
        <row r="885">
          <cell r="A885" t="str">
            <v>US28P015603911200001</v>
          </cell>
          <cell r="B885" t="str">
            <v>US28P01560</v>
          </cell>
          <cell r="C885">
            <v>3911200001</v>
          </cell>
          <cell r="D885" t="str">
            <v>SYMPOSIUMS, CONFERENCES, MEETINGS</v>
          </cell>
          <cell r="E885">
            <v>0</v>
          </cell>
          <cell r="F885">
            <v>0</v>
          </cell>
          <cell r="G885">
            <v>0</v>
          </cell>
          <cell r="H885">
            <v>53</v>
          </cell>
          <cell r="I885">
            <v>0</v>
          </cell>
          <cell r="J885">
            <v>0</v>
          </cell>
          <cell r="K885">
            <v>0</v>
          </cell>
          <cell r="L885">
            <v>39</v>
          </cell>
          <cell r="M885">
            <v>0</v>
          </cell>
          <cell r="N885">
            <v>173</v>
          </cell>
          <cell r="O885">
            <v>0</v>
          </cell>
          <cell r="P885">
            <v>0</v>
          </cell>
          <cell r="Q885">
            <v>265</v>
          </cell>
        </row>
        <row r="886">
          <cell r="A886" t="str">
            <v>US28P015643911200001</v>
          </cell>
          <cell r="B886" t="str">
            <v>US28P01564</v>
          </cell>
          <cell r="C886">
            <v>3911200001</v>
          </cell>
          <cell r="D886" t="str">
            <v>SYMPOSIUMS, CONFERENCES, MEETINGS</v>
          </cell>
          <cell r="E886">
            <v>0</v>
          </cell>
          <cell r="F886">
            <v>0</v>
          </cell>
          <cell r="G886">
            <v>0</v>
          </cell>
          <cell r="H886">
            <v>0</v>
          </cell>
          <cell r="I886">
            <v>0</v>
          </cell>
          <cell r="J886">
            <v>0</v>
          </cell>
          <cell r="K886">
            <v>0</v>
          </cell>
          <cell r="L886">
            <v>0</v>
          </cell>
          <cell r="M886">
            <v>100</v>
          </cell>
          <cell r="N886">
            <v>306</v>
          </cell>
          <cell r="O886">
            <v>0</v>
          </cell>
          <cell r="P886">
            <v>0</v>
          </cell>
          <cell r="Q886">
            <v>406</v>
          </cell>
        </row>
        <row r="887">
          <cell r="A887" t="str">
            <v>US35P015013911200001</v>
          </cell>
          <cell r="B887" t="str">
            <v>US35P01501</v>
          </cell>
          <cell r="C887">
            <v>3911200001</v>
          </cell>
          <cell r="D887" t="str">
            <v>SYMPOSIUMS, CONFERENCES, MEETINGS</v>
          </cell>
          <cell r="E887">
            <v>0</v>
          </cell>
          <cell r="F887">
            <v>0</v>
          </cell>
          <cell r="G887">
            <v>857</v>
          </cell>
          <cell r="H887">
            <v>99</v>
          </cell>
          <cell r="I887">
            <v>18</v>
          </cell>
          <cell r="J887">
            <v>195</v>
          </cell>
          <cell r="K887">
            <v>206</v>
          </cell>
          <cell r="L887">
            <v>143</v>
          </cell>
          <cell r="M887">
            <v>6</v>
          </cell>
          <cell r="N887">
            <v>12</v>
          </cell>
          <cell r="O887">
            <v>19</v>
          </cell>
          <cell r="P887">
            <v>86</v>
          </cell>
          <cell r="Q887">
            <v>1641</v>
          </cell>
        </row>
        <row r="888">
          <cell r="A888" t="str">
            <v>US35P015503911200001</v>
          </cell>
          <cell r="B888" t="str">
            <v>US35P01550</v>
          </cell>
          <cell r="C888">
            <v>3911200001</v>
          </cell>
          <cell r="D888" t="str">
            <v>SYMPOSIUMS, CONFERENCES, MEETINGS</v>
          </cell>
          <cell r="E888">
            <v>0</v>
          </cell>
          <cell r="F888">
            <v>0</v>
          </cell>
          <cell r="G888">
            <v>335</v>
          </cell>
          <cell r="H888">
            <v>165</v>
          </cell>
          <cell r="I888">
            <v>485</v>
          </cell>
          <cell r="J888">
            <v>93</v>
          </cell>
          <cell r="K888">
            <v>64</v>
          </cell>
          <cell r="L888">
            <v>779</v>
          </cell>
          <cell r="M888">
            <v>295</v>
          </cell>
          <cell r="N888">
            <v>0</v>
          </cell>
          <cell r="O888">
            <v>0</v>
          </cell>
          <cell r="P888">
            <v>55</v>
          </cell>
          <cell r="Q888">
            <v>2271</v>
          </cell>
        </row>
        <row r="889">
          <cell r="A889" t="str">
            <v>US35P015603911200001</v>
          </cell>
          <cell r="B889" t="str">
            <v>US35P01560</v>
          </cell>
          <cell r="C889">
            <v>3911200001</v>
          </cell>
          <cell r="D889" t="str">
            <v>SYMPOSIUMS, CONFERENCES, MEETINGS</v>
          </cell>
          <cell r="E889">
            <v>17</v>
          </cell>
          <cell r="F889">
            <v>11</v>
          </cell>
          <cell r="G889">
            <v>56</v>
          </cell>
          <cell r="H889">
            <v>64</v>
          </cell>
          <cell r="I889">
            <v>0</v>
          </cell>
          <cell r="J889">
            <v>0</v>
          </cell>
          <cell r="K889">
            <v>0</v>
          </cell>
          <cell r="L889">
            <v>0</v>
          </cell>
          <cell r="M889">
            <v>0</v>
          </cell>
          <cell r="N889">
            <v>0</v>
          </cell>
          <cell r="O889">
            <v>0</v>
          </cell>
          <cell r="P889">
            <v>0</v>
          </cell>
          <cell r="Q889">
            <v>148</v>
          </cell>
        </row>
        <row r="890">
          <cell r="A890" t="str">
            <v>US35P015643911200001</v>
          </cell>
          <cell r="B890" t="str">
            <v>US35P01564</v>
          </cell>
          <cell r="C890">
            <v>3911200001</v>
          </cell>
          <cell r="D890" t="str">
            <v>SYMPOSIUMS, CONFERENCES, MEETINGS</v>
          </cell>
          <cell r="E890">
            <v>0</v>
          </cell>
          <cell r="F890">
            <v>0</v>
          </cell>
          <cell r="G890">
            <v>0</v>
          </cell>
          <cell r="H890">
            <v>0</v>
          </cell>
          <cell r="I890">
            <v>0</v>
          </cell>
          <cell r="J890">
            <v>0</v>
          </cell>
          <cell r="K890">
            <v>0</v>
          </cell>
          <cell r="L890">
            <v>0</v>
          </cell>
          <cell r="M890">
            <v>542</v>
          </cell>
          <cell r="N890">
            <v>137</v>
          </cell>
          <cell r="O890">
            <v>0</v>
          </cell>
          <cell r="P890">
            <v>0</v>
          </cell>
          <cell r="Q890">
            <v>679</v>
          </cell>
        </row>
        <row r="891">
          <cell r="A891" t="str">
            <v>US35P015903911200001</v>
          </cell>
          <cell r="B891" t="str">
            <v>US35P01590</v>
          </cell>
          <cell r="C891">
            <v>3911200001</v>
          </cell>
          <cell r="D891" t="str">
            <v>SYMPOSIUMS, CONFERENCES, MEETINGS</v>
          </cell>
          <cell r="E891">
            <v>0</v>
          </cell>
          <cell r="F891">
            <v>14</v>
          </cell>
          <cell r="G891">
            <v>0</v>
          </cell>
          <cell r="H891">
            <v>6</v>
          </cell>
          <cell r="I891">
            <v>23</v>
          </cell>
          <cell r="J891">
            <v>0</v>
          </cell>
          <cell r="K891">
            <v>0</v>
          </cell>
          <cell r="L891">
            <v>0</v>
          </cell>
          <cell r="M891">
            <v>53</v>
          </cell>
          <cell r="N891">
            <v>0</v>
          </cell>
          <cell r="O891">
            <v>0</v>
          </cell>
          <cell r="P891">
            <v>0</v>
          </cell>
          <cell r="Q891">
            <v>96</v>
          </cell>
        </row>
        <row r="892">
          <cell r="A892" t="str">
            <v>USWOP015013911200001</v>
          </cell>
          <cell r="B892" t="str">
            <v>USWOP01501</v>
          </cell>
          <cell r="C892">
            <v>3911200001</v>
          </cell>
          <cell r="D892" t="str">
            <v>SYMPOSIUMS, CONFERENCES, MEETINGS</v>
          </cell>
          <cell r="E892">
            <v>0</v>
          </cell>
          <cell r="F892">
            <v>1512</v>
          </cell>
          <cell r="G892">
            <v>285</v>
          </cell>
          <cell r="H892">
            <v>384</v>
          </cell>
          <cell r="I892">
            <v>764</v>
          </cell>
          <cell r="J892">
            <v>889</v>
          </cell>
          <cell r="K892">
            <v>197</v>
          </cell>
          <cell r="L892">
            <v>754</v>
          </cell>
          <cell r="M892">
            <v>1035</v>
          </cell>
          <cell r="N892">
            <v>285</v>
          </cell>
          <cell r="O892">
            <v>703</v>
          </cell>
          <cell r="P892">
            <v>3051</v>
          </cell>
          <cell r="Q892">
            <v>9859</v>
          </cell>
        </row>
        <row r="893">
          <cell r="A893" t="str">
            <v>USWOP015503911200001</v>
          </cell>
          <cell r="B893" t="str">
            <v>USWOP01550</v>
          </cell>
          <cell r="C893">
            <v>3911200001</v>
          </cell>
          <cell r="D893" t="str">
            <v>SYMPOSIUMS, CONFERENCES, MEETINGS</v>
          </cell>
          <cell r="E893">
            <v>0</v>
          </cell>
          <cell r="F893">
            <v>0</v>
          </cell>
          <cell r="G893">
            <v>0</v>
          </cell>
          <cell r="H893">
            <v>0</v>
          </cell>
          <cell r="I893">
            <v>0</v>
          </cell>
          <cell r="J893">
            <v>0</v>
          </cell>
          <cell r="K893">
            <v>268</v>
          </cell>
          <cell r="L893">
            <v>221</v>
          </cell>
          <cell r="M893">
            <v>0</v>
          </cell>
          <cell r="N893">
            <v>0</v>
          </cell>
          <cell r="O893">
            <v>6322</v>
          </cell>
          <cell r="P893">
            <v>0</v>
          </cell>
          <cell r="Q893">
            <v>6811</v>
          </cell>
        </row>
        <row r="894">
          <cell r="A894" t="str">
            <v>USWOP015603911200001</v>
          </cell>
          <cell r="B894" t="str">
            <v>USWOP01560</v>
          </cell>
          <cell r="C894">
            <v>3911200001</v>
          </cell>
          <cell r="D894" t="str">
            <v>SYMPOSIUMS, CONFERENCES, MEETINGS</v>
          </cell>
          <cell r="E894">
            <v>49</v>
          </cell>
          <cell r="F894">
            <v>0</v>
          </cell>
          <cell r="G894">
            <v>0</v>
          </cell>
          <cell r="H894">
            <v>0</v>
          </cell>
          <cell r="I894">
            <v>0</v>
          </cell>
          <cell r="J894">
            <v>0</v>
          </cell>
          <cell r="K894">
            <v>0</v>
          </cell>
          <cell r="L894">
            <v>0</v>
          </cell>
          <cell r="M894">
            <v>0</v>
          </cell>
          <cell r="N894">
            <v>0</v>
          </cell>
          <cell r="O894">
            <v>24</v>
          </cell>
          <cell r="P894">
            <v>0</v>
          </cell>
          <cell r="Q894">
            <v>73</v>
          </cell>
        </row>
        <row r="895">
          <cell r="A895" t="str">
            <v>US59P015013911200001</v>
          </cell>
          <cell r="B895" t="str">
            <v>US59P01501</v>
          </cell>
          <cell r="C895">
            <v>3911200001</v>
          </cell>
          <cell r="D895" t="str">
            <v>SYMPOSIUMS, CONFERENCES, MEETINGS</v>
          </cell>
          <cell r="E895">
            <v>0</v>
          </cell>
          <cell r="F895">
            <v>1119</v>
          </cell>
          <cell r="G895">
            <v>0</v>
          </cell>
          <cell r="H895">
            <v>112</v>
          </cell>
          <cell r="I895">
            <v>0</v>
          </cell>
          <cell r="J895">
            <v>0</v>
          </cell>
          <cell r="K895">
            <v>0</v>
          </cell>
          <cell r="L895">
            <v>0</v>
          </cell>
          <cell r="M895">
            <v>120</v>
          </cell>
          <cell r="N895">
            <v>775</v>
          </cell>
          <cell r="O895">
            <v>174</v>
          </cell>
          <cell r="P895">
            <v>162</v>
          </cell>
          <cell r="Q895">
            <v>2462</v>
          </cell>
        </row>
        <row r="896">
          <cell r="A896" t="str">
            <v>US59P015503911200001</v>
          </cell>
          <cell r="B896" t="str">
            <v>US59P01550</v>
          </cell>
          <cell r="C896">
            <v>3911200001</v>
          </cell>
          <cell r="D896" t="str">
            <v>SYMPOSIUMS, CONFERENCES, MEETINGS</v>
          </cell>
          <cell r="E896">
            <v>0</v>
          </cell>
          <cell r="F896">
            <v>0</v>
          </cell>
          <cell r="G896">
            <v>0</v>
          </cell>
          <cell r="H896">
            <v>0</v>
          </cell>
          <cell r="I896">
            <v>27</v>
          </cell>
          <cell r="J896">
            <v>17</v>
          </cell>
          <cell r="K896">
            <v>71</v>
          </cell>
          <cell r="L896">
            <v>106</v>
          </cell>
          <cell r="M896">
            <v>0</v>
          </cell>
          <cell r="N896">
            <v>0</v>
          </cell>
          <cell r="O896">
            <v>0</v>
          </cell>
          <cell r="P896">
            <v>0</v>
          </cell>
          <cell r="Q896">
            <v>221</v>
          </cell>
        </row>
        <row r="897">
          <cell r="A897" t="str">
            <v>US59P015533911200001</v>
          </cell>
          <cell r="B897" t="str">
            <v>US59P01553</v>
          </cell>
          <cell r="C897">
            <v>3911200001</v>
          </cell>
          <cell r="D897" t="str">
            <v>SYMPOSIUMS, CONFERENCES, MEETINGS</v>
          </cell>
          <cell r="E897">
            <v>0</v>
          </cell>
          <cell r="F897">
            <v>0</v>
          </cell>
          <cell r="G897">
            <v>0</v>
          </cell>
          <cell r="H897">
            <v>0</v>
          </cell>
          <cell r="I897">
            <v>0</v>
          </cell>
          <cell r="J897">
            <v>51</v>
          </cell>
          <cell r="K897">
            <v>0</v>
          </cell>
          <cell r="L897">
            <v>0</v>
          </cell>
          <cell r="M897">
            <v>0</v>
          </cell>
          <cell r="N897">
            <v>0</v>
          </cell>
          <cell r="O897">
            <v>0</v>
          </cell>
          <cell r="P897">
            <v>0</v>
          </cell>
          <cell r="Q897">
            <v>51</v>
          </cell>
        </row>
        <row r="898">
          <cell r="A898" t="str">
            <v>US59P015603911200001</v>
          </cell>
          <cell r="B898" t="str">
            <v>US59P01560</v>
          </cell>
          <cell r="C898">
            <v>3911200001</v>
          </cell>
          <cell r="D898" t="str">
            <v>SYMPOSIUMS, CONFERENCES, MEETINGS</v>
          </cell>
          <cell r="E898">
            <v>0</v>
          </cell>
          <cell r="F898">
            <v>0</v>
          </cell>
          <cell r="G898">
            <v>0</v>
          </cell>
          <cell r="H898">
            <v>0</v>
          </cell>
          <cell r="I898">
            <v>144</v>
          </cell>
          <cell r="J898">
            <v>0</v>
          </cell>
          <cell r="K898">
            <v>0</v>
          </cell>
          <cell r="L898">
            <v>0</v>
          </cell>
          <cell r="M898">
            <v>16</v>
          </cell>
          <cell r="N898">
            <v>41</v>
          </cell>
          <cell r="O898">
            <v>0</v>
          </cell>
          <cell r="P898">
            <v>0</v>
          </cell>
          <cell r="Q898">
            <v>201</v>
          </cell>
        </row>
        <row r="899">
          <cell r="A899" t="str">
            <v>US59P015643911200001</v>
          </cell>
          <cell r="B899" t="str">
            <v>US59P01564</v>
          </cell>
          <cell r="C899">
            <v>3911200001</v>
          </cell>
          <cell r="D899" t="str">
            <v>SYMPOSIUMS, CONFERENCES, MEETINGS</v>
          </cell>
          <cell r="E899">
            <v>0</v>
          </cell>
          <cell r="F899">
            <v>0</v>
          </cell>
          <cell r="G899">
            <v>0</v>
          </cell>
          <cell r="H899">
            <v>0</v>
          </cell>
          <cell r="I899">
            <v>0</v>
          </cell>
          <cell r="J899">
            <v>0</v>
          </cell>
          <cell r="K899">
            <v>0</v>
          </cell>
          <cell r="L899">
            <v>0</v>
          </cell>
          <cell r="M899">
            <v>104</v>
          </cell>
          <cell r="N899">
            <v>0</v>
          </cell>
          <cell r="O899">
            <v>0</v>
          </cell>
          <cell r="P899">
            <v>0</v>
          </cell>
          <cell r="Q899">
            <v>104</v>
          </cell>
        </row>
        <row r="900">
          <cell r="A900" t="str">
            <v>US59P3C5013911200001</v>
          </cell>
          <cell r="B900" t="str">
            <v>US59P3C501</v>
          </cell>
          <cell r="C900">
            <v>3911200001</v>
          </cell>
          <cell r="D900" t="str">
            <v>SYMPOSIUMS, CONFERENCES, MEETINGS</v>
          </cell>
          <cell r="E900">
            <v>175</v>
          </cell>
          <cell r="F900">
            <v>0</v>
          </cell>
          <cell r="G900">
            <v>0</v>
          </cell>
          <cell r="H900">
            <v>0</v>
          </cell>
          <cell r="I900">
            <v>0</v>
          </cell>
          <cell r="J900">
            <v>0</v>
          </cell>
          <cell r="K900">
            <v>0</v>
          </cell>
          <cell r="L900">
            <v>110</v>
          </cell>
          <cell r="M900">
            <v>0</v>
          </cell>
          <cell r="N900">
            <v>0</v>
          </cell>
          <cell r="O900">
            <v>0</v>
          </cell>
          <cell r="P900">
            <v>150</v>
          </cell>
          <cell r="Q900">
            <v>435</v>
          </cell>
        </row>
        <row r="901">
          <cell r="A901" t="str">
            <v>US59P3C5503911200001</v>
          </cell>
          <cell r="B901" t="str">
            <v>US59P3C550</v>
          </cell>
          <cell r="C901">
            <v>3911200001</v>
          </cell>
          <cell r="D901" t="str">
            <v>SYMPOSIUMS, CONFERENCES, MEETINGS</v>
          </cell>
          <cell r="E901">
            <v>0</v>
          </cell>
          <cell r="F901">
            <v>2111</v>
          </cell>
          <cell r="G901">
            <v>0</v>
          </cell>
          <cell r="H901">
            <v>0</v>
          </cell>
          <cell r="I901">
            <v>0</v>
          </cell>
          <cell r="J901">
            <v>0</v>
          </cell>
          <cell r="K901">
            <v>175</v>
          </cell>
          <cell r="L901">
            <v>18</v>
          </cell>
          <cell r="M901">
            <v>-18</v>
          </cell>
          <cell r="N901">
            <v>0</v>
          </cell>
          <cell r="O901">
            <v>0</v>
          </cell>
          <cell r="P901">
            <v>0</v>
          </cell>
          <cell r="Q901">
            <v>2286</v>
          </cell>
        </row>
        <row r="902">
          <cell r="A902" t="str">
            <v>US59P3C5603911200001</v>
          </cell>
          <cell r="B902" t="str">
            <v>US59P3C560</v>
          </cell>
          <cell r="C902">
            <v>3911200001</v>
          </cell>
          <cell r="D902" t="str">
            <v>SYMPOSIUMS, CONFERENCES, MEETINGS</v>
          </cell>
          <cell r="E902">
            <v>0</v>
          </cell>
          <cell r="F902">
            <v>1025</v>
          </cell>
          <cell r="G902">
            <v>0</v>
          </cell>
          <cell r="H902">
            <v>0</v>
          </cell>
          <cell r="I902">
            <v>0</v>
          </cell>
          <cell r="J902">
            <v>0</v>
          </cell>
          <cell r="K902">
            <v>10</v>
          </cell>
          <cell r="L902">
            <v>0</v>
          </cell>
          <cell r="M902">
            <v>257</v>
          </cell>
          <cell r="N902">
            <v>0</v>
          </cell>
          <cell r="O902">
            <v>185</v>
          </cell>
          <cell r="P902">
            <v>0</v>
          </cell>
          <cell r="Q902">
            <v>1477</v>
          </cell>
        </row>
        <row r="903">
          <cell r="A903" t="str">
            <v>US59PZA5013911200001</v>
          </cell>
          <cell r="B903" t="str">
            <v>US59PZA501</v>
          </cell>
          <cell r="C903">
            <v>3911200001</v>
          </cell>
          <cell r="D903" t="str">
            <v>SYMPOSIUMS, CONFERENCES, MEETINGS</v>
          </cell>
          <cell r="E903">
            <v>0</v>
          </cell>
          <cell r="F903">
            <v>0</v>
          </cell>
          <cell r="G903">
            <v>0</v>
          </cell>
          <cell r="H903">
            <v>0</v>
          </cell>
          <cell r="I903">
            <v>0</v>
          </cell>
          <cell r="J903">
            <v>0</v>
          </cell>
          <cell r="K903">
            <v>0</v>
          </cell>
          <cell r="L903">
            <v>0</v>
          </cell>
          <cell r="M903">
            <v>0</v>
          </cell>
          <cell r="N903">
            <v>0</v>
          </cell>
          <cell r="O903">
            <v>0</v>
          </cell>
          <cell r="P903">
            <v>0</v>
          </cell>
          <cell r="Q903">
            <v>0</v>
          </cell>
        </row>
        <row r="904">
          <cell r="A904" t="str">
            <v>USCRP015013911200001</v>
          </cell>
          <cell r="B904" t="str">
            <v>USCRP01501</v>
          </cell>
          <cell r="C904">
            <v>3911200001</v>
          </cell>
          <cell r="D904" t="str">
            <v>SYMPOSIUMS, CONFERENCES, MEETINGS</v>
          </cell>
          <cell r="E904">
            <v>30</v>
          </cell>
          <cell r="F904">
            <v>824</v>
          </cell>
          <cell r="G904">
            <v>1434</v>
          </cell>
          <cell r="H904">
            <v>2047</v>
          </cell>
          <cell r="I904">
            <v>187</v>
          </cell>
          <cell r="J904">
            <v>449</v>
          </cell>
          <cell r="K904">
            <v>161</v>
          </cell>
          <cell r="L904">
            <v>199</v>
          </cell>
          <cell r="M904">
            <v>250</v>
          </cell>
          <cell r="N904">
            <v>148</v>
          </cell>
          <cell r="O904">
            <v>228</v>
          </cell>
          <cell r="P904">
            <v>9</v>
          </cell>
          <cell r="Q904">
            <v>5966</v>
          </cell>
        </row>
        <row r="905">
          <cell r="A905" t="str">
            <v>USCRP015503911200001</v>
          </cell>
          <cell r="B905" t="str">
            <v>USCRP01550</v>
          </cell>
          <cell r="C905">
            <v>3911200001</v>
          </cell>
          <cell r="D905" t="str">
            <v>SYMPOSIUMS, CONFERENCES, MEETINGS</v>
          </cell>
          <cell r="E905">
            <v>0</v>
          </cell>
          <cell r="F905">
            <v>0</v>
          </cell>
          <cell r="G905">
            <v>542</v>
          </cell>
          <cell r="H905">
            <v>0</v>
          </cell>
          <cell r="I905">
            <v>0</v>
          </cell>
          <cell r="J905">
            <v>0</v>
          </cell>
          <cell r="K905">
            <v>133</v>
          </cell>
          <cell r="L905">
            <v>42</v>
          </cell>
          <cell r="M905">
            <v>0</v>
          </cell>
          <cell r="N905">
            <v>0</v>
          </cell>
          <cell r="O905">
            <v>0</v>
          </cell>
          <cell r="P905">
            <v>0</v>
          </cell>
          <cell r="Q905">
            <v>717</v>
          </cell>
        </row>
        <row r="906">
          <cell r="A906" t="str">
            <v>USCRP015533911200001</v>
          </cell>
          <cell r="B906" t="str">
            <v>USCRP01553</v>
          </cell>
          <cell r="C906">
            <v>3911200001</v>
          </cell>
          <cell r="D906" t="str">
            <v>SYMPOSIUMS, CONFERENCES, MEETINGS</v>
          </cell>
          <cell r="E906">
            <v>0</v>
          </cell>
          <cell r="F906">
            <v>0</v>
          </cell>
          <cell r="G906">
            <v>0</v>
          </cell>
          <cell r="H906">
            <v>0</v>
          </cell>
          <cell r="I906">
            <v>0</v>
          </cell>
          <cell r="J906">
            <v>0</v>
          </cell>
          <cell r="K906">
            <v>58</v>
          </cell>
          <cell r="L906">
            <v>114</v>
          </cell>
          <cell r="M906">
            <v>0</v>
          </cell>
          <cell r="N906">
            <v>0</v>
          </cell>
          <cell r="O906">
            <v>0</v>
          </cell>
          <cell r="P906">
            <v>0</v>
          </cell>
          <cell r="Q906">
            <v>172</v>
          </cell>
        </row>
        <row r="907">
          <cell r="A907" t="str">
            <v>USCRP015603911200001</v>
          </cell>
          <cell r="B907" t="str">
            <v>USCRP01560</v>
          </cell>
          <cell r="C907">
            <v>3911200001</v>
          </cell>
          <cell r="D907" t="str">
            <v>SYMPOSIUMS, CONFERENCES, MEETINGS</v>
          </cell>
          <cell r="E907">
            <v>0</v>
          </cell>
          <cell r="F907">
            <v>0</v>
          </cell>
          <cell r="G907">
            <v>0</v>
          </cell>
          <cell r="H907">
            <v>14</v>
          </cell>
          <cell r="I907">
            <v>0</v>
          </cell>
          <cell r="J907">
            <v>0</v>
          </cell>
          <cell r="K907">
            <v>0</v>
          </cell>
          <cell r="L907">
            <v>0</v>
          </cell>
          <cell r="M907">
            <v>0</v>
          </cell>
          <cell r="N907">
            <v>0</v>
          </cell>
          <cell r="O907">
            <v>20</v>
          </cell>
          <cell r="P907">
            <v>0</v>
          </cell>
          <cell r="Q907">
            <v>34</v>
          </cell>
        </row>
        <row r="908">
          <cell r="A908" t="str">
            <v>USCRP015643911200001</v>
          </cell>
          <cell r="B908" t="str">
            <v>USCRP01564</v>
          </cell>
          <cell r="C908">
            <v>3911200001</v>
          </cell>
          <cell r="D908" t="str">
            <v>SYMPOSIUMS, CONFERENCES, MEETINGS</v>
          </cell>
          <cell r="E908">
            <v>0</v>
          </cell>
          <cell r="F908">
            <v>0</v>
          </cell>
          <cell r="G908">
            <v>0</v>
          </cell>
          <cell r="H908">
            <v>0</v>
          </cell>
          <cell r="I908">
            <v>0</v>
          </cell>
          <cell r="J908">
            <v>0</v>
          </cell>
          <cell r="K908">
            <v>0</v>
          </cell>
          <cell r="L908">
            <v>0</v>
          </cell>
          <cell r="M908">
            <v>27</v>
          </cell>
          <cell r="N908">
            <v>20</v>
          </cell>
          <cell r="O908">
            <v>0</v>
          </cell>
          <cell r="P908">
            <v>0</v>
          </cell>
          <cell r="Q908">
            <v>47</v>
          </cell>
        </row>
        <row r="909">
          <cell r="A909" t="str">
            <v>USCRP015753911200001</v>
          </cell>
          <cell r="B909" t="str">
            <v>USCRP01575</v>
          </cell>
          <cell r="C909">
            <v>3911200001</v>
          </cell>
          <cell r="D909" t="str">
            <v>SYMPOSIUMS, CONFERENCES, MEETINGS</v>
          </cell>
          <cell r="E909">
            <v>0</v>
          </cell>
          <cell r="F909">
            <v>0</v>
          </cell>
          <cell r="G909">
            <v>0</v>
          </cell>
          <cell r="H909">
            <v>0</v>
          </cell>
          <cell r="I909">
            <v>0</v>
          </cell>
          <cell r="J909">
            <v>0</v>
          </cell>
          <cell r="K909">
            <v>0</v>
          </cell>
          <cell r="L909">
            <v>0</v>
          </cell>
          <cell r="M909">
            <v>7</v>
          </cell>
          <cell r="N909">
            <v>0</v>
          </cell>
          <cell r="O909">
            <v>0</v>
          </cell>
          <cell r="P909">
            <v>0</v>
          </cell>
          <cell r="Q909">
            <v>7</v>
          </cell>
        </row>
        <row r="910">
          <cell r="A910" t="str">
            <v>US22P015013911200007</v>
          </cell>
          <cell r="B910" t="str">
            <v>US22P01501</v>
          </cell>
          <cell r="C910">
            <v>3911200007</v>
          </cell>
          <cell r="D910" t="str">
            <v>PROMOTIONAL EXP ADVERTISING AND PROMOTIO</v>
          </cell>
          <cell r="E910">
            <v>661</v>
          </cell>
          <cell r="F910">
            <v>3625</v>
          </cell>
          <cell r="G910">
            <v>391</v>
          </cell>
          <cell r="H910">
            <v>520</v>
          </cell>
          <cell r="I910">
            <v>241</v>
          </cell>
          <cell r="J910">
            <v>696</v>
          </cell>
          <cell r="K910">
            <v>186</v>
          </cell>
          <cell r="L910">
            <v>1137</v>
          </cell>
          <cell r="M910">
            <v>704</v>
          </cell>
          <cell r="N910">
            <v>725</v>
          </cell>
          <cell r="O910">
            <v>25</v>
          </cell>
          <cell r="P910">
            <v>0</v>
          </cell>
          <cell r="Q910">
            <v>8911</v>
          </cell>
        </row>
        <row r="911">
          <cell r="A911" t="str">
            <v>US22P015533911200007</v>
          </cell>
          <cell r="B911" t="str">
            <v>US22P01553</v>
          </cell>
          <cell r="C911">
            <v>3911200007</v>
          </cell>
          <cell r="D911" t="str">
            <v>PROMOTIONAL EXP ADVERTISING AND PROMOTIO</v>
          </cell>
          <cell r="E911">
            <v>0</v>
          </cell>
          <cell r="F911">
            <v>0</v>
          </cell>
          <cell r="G911">
            <v>0</v>
          </cell>
          <cell r="H911">
            <v>0</v>
          </cell>
          <cell r="I911">
            <v>0</v>
          </cell>
          <cell r="J911">
            <v>0</v>
          </cell>
          <cell r="K911">
            <v>0</v>
          </cell>
          <cell r="L911">
            <v>0</v>
          </cell>
          <cell r="M911">
            <v>375</v>
          </cell>
          <cell r="N911">
            <v>0</v>
          </cell>
          <cell r="O911">
            <v>0</v>
          </cell>
          <cell r="P911">
            <v>0</v>
          </cell>
          <cell r="Q911">
            <v>375</v>
          </cell>
        </row>
        <row r="912">
          <cell r="A912" t="str">
            <v>US28P015013911200007</v>
          </cell>
          <cell r="B912" t="str">
            <v>US28P01501</v>
          </cell>
          <cell r="C912">
            <v>3911200007</v>
          </cell>
          <cell r="D912" t="str">
            <v>PROMOTIONAL EXP ADVERTISING AND PROMOTIO</v>
          </cell>
          <cell r="E912">
            <v>1275</v>
          </cell>
          <cell r="F912">
            <v>2309</v>
          </cell>
          <cell r="G912">
            <v>700</v>
          </cell>
          <cell r="H912">
            <v>100</v>
          </cell>
          <cell r="I912">
            <v>0</v>
          </cell>
          <cell r="J912">
            <v>3351</v>
          </cell>
          <cell r="K912">
            <v>300</v>
          </cell>
          <cell r="L912">
            <v>0</v>
          </cell>
          <cell r="M912">
            <v>0</v>
          </cell>
          <cell r="N912">
            <v>0</v>
          </cell>
          <cell r="O912">
            <v>200</v>
          </cell>
          <cell r="P912">
            <v>80</v>
          </cell>
          <cell r="Q912">
            <v>8315</v>
          </cell>
        </row>
        <row r="913">
          <cell r="A913" t="str">
            <v>US35P015013911200007</v>
          </cell>
          <cell r="B913" t="str">
            <v>US35P01501</v>
          </cell>
          <cell r="C913">
            <v>3911200007</v>
          </cell>
          <cell r="D913" t="str">
            <v>PROMOTIONAL EXP ADVERTISING AND PROMOTIO</v>
          </cell>
          <cell r="E913">
            <v>245</v>
          </cell>
          <cell r="F913">
            <v>0</v>
          </cell>
          <cell r="G913">
            <v>0</v>
          </cell>
          <cell r="H913">
            <v>81</v>
          </cell>
          <cell r="I913">
            <v>3</v>
          </cell>
          <cell r="J913">
            <v>6</v>
          </cell>
          <cell r="K913">
            <v>121</v>
          </cell>
          <cell r="L913">
            <v>446</v>
          </cell>
          <cell r="M913">
            <v>44</v>
          </cell>
          <cell r="N913">
            <v>2983</v>
          </cell>
          <cell r="O913">
            <v>342</v>
          </cell>
          <cell r="P913">
            <v>81</v>
          </cell>
          <cell r="Q913">
            <v>4352</v>
          </cell>
        </row>
        <row r="914">
          <cell r="A914" t="str">
            <v>US35P015503911200007</v>
          </cell>
          <cell r="B914" t="str">
            <v>US35P01550</v>
          </cell>
          <cell r="C914">
            <v>3911200007</v>
          </cell>
          <cell r="D914" t="str">
            <v>PROMOTIONAL EXP ADVERTISING AND PROMOTIO</v>
          </cell>
          <cell r="E914">
            <v>2338</v>
          </cell>
          <cell r="F914">
            <v>0</v>
          </cell>
          <cell r="G914">
            <v>0</v>
          </cell>
          <cell r="H914">
            <v>0</v>
          </cell>
          <cell r="I914">
            <v>0</v>
          </cell>
          <cell r="J914">
            <v>0</v>
          </cell>
          <cell r="K914">
            <v>0</v>
          </cell>
          <cell r="L914">
            <v>0</v>
          </cell>
          <cell r="M914">
            <v>0</v>
          </cell>
          <cell r="N914">
            <v>0</v>
          </cell>
          <cell r="O914">
            <v>0</v>
          </cell>
          <cell r="P914">
            <v>0</v>
          </cell>
          <cell r="Q914">
            <v>2338</v>
          </cell>
        </row>
        <row r="915">
          <cell r="A915" t="str">
            <v>USWOP015013911200007</v>
          </cell>
          <cell r="B915" t="str">
            <v>USWOP01501</v>
          </cell>
          <cell r="C915">
            <v>3911200007</v>
          </cell>
          <cell r="D915" t="str">
            <v>PROMOTIONAL EXP ADVERTISING AND PROMOTIO</v>
          </cell>
          <cell r="E915">
            <v>0</v>
          </cell>
          <cell r="F915">
            <v>0</v>
          </cell>
          <cell r="G915">
            <v>0</v>
          </cell>
          <cell r="H915">
            <v>0</v>
          </cell>
          <cell r="I915">
            <v>0</v>
          </cell>
          <cell r="J915">
            <v>0</v>
          </cell>
          <cell r="K915">
            <v>175</v>
          </cell>
          <cell r="L915">
            <v>0</v>
          </cell>
          <cell r="M915">
            <v>0</v>
          </cell>
          <cell r="N915">
            <v>0</v>
          </cell>
          <cell r="O915">
            <v>0</v>
          </cell>
          <cell r="P915">
            <v>0</v>
          </cell>
          <cell r="Q915">
            <v>175</v>
          </cell>
        </row>
        <row r="916">
          <cell r="A916" t="str">
            <v>US22P015503911200014</v>
          </cell>
          <cell r="B916" t="str">
            <v>US22P01550</v>
          </cell>
          <cell r="C916">
            <v>3911200014</v>
          </cell>
          <cell r="D916" t="str">
            <v>PROMOTIONAL EXPENSES OTHERS</v>
          </cell>
          <cell r="E916">
            <v>0</v>
          </cell>
          <cell r="F916">
            <v>0</v>
          </cell>
          <cell r="G916">
            <v>0</v>
          </cell>
          <cell r="H916">
            <v>0</v>
          </cell>
          <cell r="I916">
            <v>0</v>
          </cell>
          <cell r="J916">
            <v>0</v>
          </cell>
          <cell r="K916">
            <v>105</v>
          </cell>
          <cell r="L916">
            <v>0</v>
          </cell>
          <cell r="M916">
            <v>0</v>
          </cell>
          <cell r="N916">
            <v>0</v>
          </cell>
          <cell r="O916">
            <v>0</v>
          </cell>
          <cell r="P916">
            <v>0</v>
          </cell>
          <cell r="Q916">
            <v>105</v>
          </cell>
        </row>
        <row r="917">
          <cell r="A917" t="str">
            <v>US35P015013911200014</v>
          </cell>
          <cell r="B917" t="str">
            <v>US35P01501</v>
          </cell>
          <cell r="C917">
            <v>3911200014</v>
          </cell>
          <cell r="D917" t="str">
            <v>PROMOTIONAL EXPENSES OTHERS</v>
          </cell>
          <cell r="E917">
            <v>0</v>
          </cell>
          <cell r="F917">
            <v>136</v>
          </cell>
          <cell r="G917">
            <v>149</v>
          </cell>
          <cell r="H917">
            <v>0</v>
          </cell>
          <cell r="I917">
            <v>0</v>
          </cell>
          <cell r="J917">
            <v>0</v>
          </cell>
          <cell r="K917">
            <v>0</v>
          </cell>
          <cell r="L917">
            <v>0</v>
          </cell>
          <cell r="M917">
            <v>0</v>
          </cell>
          <cell r="N917">
            <v>0</v>
          </cell>
          <cell r="O917">
            <v>0</v>
          </cell>
          <cell r="P917">
            <v>0</v>
          </cell>
          <cell r="Q917">
            <v>285</v>
          </cell>
        </row>
        <row r="918">
          <cell r="A918" t="str">
            <v>US28P015013921100000</v>
          </cell>
          <cell r="B918" t="str">
            <v>US28P01501</v>
          </cell>
          <cell r="C918">
            <v>3921100000</v>
          </cell>
          <cell r="D918" t="str">
            <v>UTILITIES EXPENSES WATER</v>
          </cell>
          <cell r="E918">
            <v>378</v>
          </cell>
          <cell r="F918">
            <v>215</v>
          </cell>
          <cell r="G918">
            <v>383</v>
          </cell>
          <cell r="H918">
            <v>142</v>
          </cell>
          <cell r="I918">
            <v>262</v>
          </cell>
          <cell r="J918">
            <v>429</v>
          </cell>
          <cell r="K918">
            <v>336</v>
          </cell>
          <cell r="L918">
            <v>354</v>
          </cell>
          <cell r="M918">
            <v>352</v>
          </cell>
          <cell r="N918">
            <v>333</v>
          </cell>
          <cell r="O918">
            <v>0</v>
          </cell>
          <cell r="P918">
            <v>502</v>
          </cell>
          <cell r="Q918">
            <v>3686</v>
          </cell>
        </row>
        <row r="919">
          <cell r="A919" t="str">
            <v>USWOP015013921100000</v>
          </cell>
          <cell r="B919" t="str">
            <v>USWOP01501</v>
          </cell>
          <cell r="C919">
            <v>3921100000</v>
          </cell>
          <cell r="D919" t="str">
            <v>UTILITIES EXPENSES WATER</v>
          </cell>
          <cell r="E919">
            <v>390</v>
          </cell>
          <cell r="F919">
            <v>320</v>
          </cell>
          <cell r="G919">
            <v>568</v>
          </cell>
          <cell r="H919">
            <v>556</v>
          </cell>
          <cell r="I919">
            <v>20348</v>
          </cell>
          <cell r="J919">
            <v>418</v>
          </cell>
          <cell r="K919">
            <v>372</v>
          </cell>
          <cell r="L919">
            <v>388</v>
          </cell>
          <cell r="M919">
            <v>382</v>
          </cell>
          <cell r="N919">
            <v>883</v>
          </cell>
          <cell r="O919">
            <v>607</v>
          </cell>
          <cell r="P919">
            <v>557</v>
          </cell>
          <cell r="Q919">
            <v>25789</v>
          </cell>
        </row>
        <row r="920">
          <cell r="A920" t="str">
            <v>USWOP015643921100000</v>
          </cell>
          <cell r="B920" t="str">
            <v>USWOP01564</v>
          </cell>
          <cell r="C920">
            <v>3921100000</v>
          </cell>
          <cell r="D920" t="str">
            <v>UTILITIES EXPENSES WATER</v>
          </cell>
          <cell r="E920">
            <v>0</v>
          </cell>
          <cell r="F920">
            <v>0</v>
          </cell>
          <cell r="G920">
            <v>0</v>
          </cell>
          <cell r="H920">
            <v>0</v>
          </cell>
          <cell r="I920">
            <v>0</v>
          </cell>
          <cell r="J920">
            <v>0</v>
          </cell>
          <cell r="K920">
            <v>0</v>
          </cell>
          <cell r="L920">
            <v>0</v>
          </cell>
          <cell r="M920">
            <v>313</v>
          </cell>
          <cell r="N920">
            <v>653</v>
          </cell>
          <cell r="O920">
            <v>314</v>
          </cell>
          <cell r="P920">
            <v>0</v>
          </cell>
          <cell r="Q920">
            <v>1280</v>
          </cell>
        </row>
        <row r="921">
          <cell r="A921" t="str">
            <v>US59P015013921100000</v>
          </cell>
          <cell r="B921" t="str">
            <v>US59P01501</v>
          </cell>
          <cell r="C921">
            <v>3921100000</v>
          </cell>
          <cell r="D921" t="str">
            <v>UTILITIES EXPENSES WATER</v>
          </cell>
          <cell r="E921">
            <v>72</v>
          </cell>
          <cell r="F921">
            <v>188</v>
          </cell>
          <cell r="G921">
            <v>178</v>
          </cell>
          <cell r="H921">
            <v>0</v>
          </cell>
          <cell r="I921">
            <v>67</v>
          </cell>
          <cell r="J921">
            <v>66</v>
          </cell>
          <cell r="K921">
            <v>85</v>
          </cell>
          <cell r="L921">
            <v>76</v>
          </cell>
          <cell r="M921">
            <v>76</v>
          </cell>
          <cell r="N921">
            <v>87</v>
          </cell>
          <cell r="O921">
            <v>98</v>
          </cell>
          <cell r="P921">
            <v>168</v>
          </cell>
          <cell r="Q921">
            <v>1161</v>
          </cell>
        </row>
        <row r="922">
          <cell r="A922" t="str">
            <v>US59P3C5013921100000</v>
          </cell>
          <cell r="B922" t="str">
            <v>US59P3C501</v>
          </cell>
          <cell r="C922">
            <v>3921100000</v>
          </cell>
          <cell r="D922" t="str">
            <v>UTILITIES EXPENSES WATER</v>
          </cell>
          <cell r="E922">
            <v>72</v>
          </cell>
          <cell r="F922">
            <v>0</v>
          </cell>
          <cell r="G922">
            <v>0</v>
          </cell>
          <cell r="H922">
            <v>0</v>
          </cell>
          <cell r="I922">
            <v>0</v>
          </cell>
          <cell r="J922">
            <v>0</v>
          </cell>
          <cell r="K922">
            <v>0</v>
          </cell>
          <cell r="L922">
            <v>0</v>
          </cell>
          <cell r="M922">
            <v>0</v>
          </cell>
          <cell r="N922">
            <v>0</v>
          </cell>
          <cell r="O922">
            <v>0</v>
          </cell>
          <cell r="P922">
            <v>0</v>
          </cell>
          <cell r="Q922">
            <v>72</v>
          </cell>
        </row>
        <row r="923">
          <cell r="A923" t="str">
            <v>US59P3C5603921100000</v>
          </cell>
          <cell r="B923" t="str">
            <v>US59P3C560</v>
          </cell>
          <cell r="C923">
            <v>3921100000</v>
          </cell>
          <cell r="D923" t="str">
            <v>UTILITIES EXPENSES WATER</v>
          </cell>
          <cell r="E923">
            <v>0</v>
          </cell>
          <cell r="F923">
            <v>0</v>
          </cell>
          <cell r="G923">
            <v>0</v>
          </cell>
          <cell r="H923">
            <v>207</v>
          </cell>
          <cell r="I923">
            <v>104</v>
          </cell>
          <cell r="J923">
            <v>103</v>
          </cell>
          <cell r="K923">
            <v>85</v>
          </cell>
          <cell r="L923">
            <v>76</v>
          </cell>
          <cell r="M923">
            <v>76</v>
          </cell>
          <cell r="N923">
            <v>87</v>
          </cell>
          <cell r="O923">
            <v>61</v>
          </cell>
          <cell r="P923">
            <v>0</v>
          </cell>
          <cell r="Q923">
            <v>799</v>
          </cell>
        </row>
        <row r="924">
          <cell r="A924" t="str">
            <v>USCRP015013921100000</v>
          </cell>
          <cell r="B924" t="str">
            <v>USCRP01501</v>
          </cell>
          <cell r="C924">
            <v>3921100000</v>
          </cell>
          <cell r="D924" t="str">
            <v>UTILITIES EXPENSES WATER</v>
          </cell>
          <cell r="E924">
            <v>41</v>
          </cell>
          <cell r="F924">
            <v>41</v>
          </cell>
          <cell r="G924">
            <v>70</v>
          </cell>
          <cell r="H924">
            <v>40</v>
          </cell>
          <cell r="I924">
            <v>0</v>
          </cell>
          <cell r="J924">
            <v>5707</v>
          </cell>
          <cell r="K924">
            <v>255</v>
          </cell>
          <cell r="L924">
            <v>137</v>
          </cell>
          <cell r="M924">
            <v>137</v>
          </cell>
          <cell r="N924">
            <v>1464</v>
          </cell>
          <cell r="O924">
            <v>1989</v>
          </cell>
          <cell r="P924">
            <v>76</v>
          </cell>
          <cell r="Q924">
            <v>9957</v>
          </cell>
        </row>
        <row r="925">
          <cell r="A925" t="str">
            <v>USCRP015643921100000</v>
          </cell>
          <cell r="B925" t="str">
            <v>USCRP01564</v>
          </cell>
          <cell r="C925">
            <v>3921100000</v>
          </cell>
          <cell r="D925" t="str">
            <v>UTILITIES EXPENSES WATER</v>
          </cell>
          <cell r="E925">
            <v>0</v>
          </cell>
          <cell r="F925">
            <v>0</v>
          </cell>
          <cell r="G925">
            <v>0</v>
          </cell>
          <cell r="H925">
            <v>0</v>
          </cell>
          <cell r="I925">
            <v>0</v>
          </cell>
          <cell r="J925">
            <v>0</v>
          </cell>
          <cell r="K925">
            <v>0</v>
          </cell>
          <cell r="L925">
            <v>0</v>
          </cell>
          <cell r="M925">
            <v>0</v>
          </cell>
          <cell r="N925">
            <v>73</v>
          </cell>
          <cell r="O925">
            <v>0</v>
          </cell>
          <cell r="P925">
            <v>0</v>
          </cell>
          <cell r="Q925">
            <v>73</v>
          </cell>
        </row>
        <row r="926">
          <cell r="A926" t="str">
            <v>US22P015013921100001</v>
          </cell>
          <cell r="B926" t="str">
            <v>US22P01501</v>
          </cell>
          <cell r="C926">
            <v>3921100001</v>
          </cell>
          <cell r="D926" t="str">
            <v>UTILITY EXPENSES ELECTRICITY</v>
          </cell>
          <cell r="E926">
            <v>15195</v>
          </cell>
          <cell r="F926">
            <v>20118</v>
          </cell>
          <cell r="G926">
            <v>22028</v>
          </cell>
          <cell r="H926">
            <v>22303</v>
          </cell>
          <cell r="I926">
            <v>16619</v>
          </cell>
          <cell r="J926">
            <v>10837</v>
          </cell>
          <cell r="K926">
            <v>6129</v>
          </cell>
          <cell r="L926">
            <v>8351</v>
          </cell>
          <cell r="M926">
            <v>18832</v>
          </cell>
          <cell r="N926">
            <v>938</v>
          </cell>
          <cell r="O926">
            <v>964</v>
          </cell>
          <cell r="P926">
            <v>15317</v>
          </cell>
          <cell r="Q926">
            <v>157631</v>
          </cell>
        </row>
        <row r="927">
          <cell r="A927" t="str">
            <v>US22P015643921100001</v>
          </cell>
          <cell r="B927" t="str">
            <v>US22P01564</v>
          </cell>
          <cell r="C927">
            <v>3921100001</v>
          </cell>
          <cell r="D927" t="str">
            <v>UTILITY EXPENSES ELECTRICITY</v>
          </cell>
          <cell r="E927">
            <v>0</v>
          </cell>
          <cell r="F927">
            <v>0</v>
          </cell>
          <cell r="G927">
            <v>0</v>
          </cell>
          <cell r="H927">
            <v>0</v>
          </cell>
          <cell r="I927">
            <v>0</v>
          </cell>
          <cell r="J927">
            <v>0</v>
          </cell>
          <cell r="K927">
            <v>0</v>
          </cell>
          <cell r="L927">
            <v>0</v>
          </cell>
          <cell r="M927">
            <v>0</v>
          </cell>
          <cell r="N927">
            <v>63907</v>
          </cell>
          <cell r="O927">
            <v>31056</v>
          </cell>
          <cell r="P927">
            <v>0</v>
          </cell>
          <cell r="Q927">
            <v>94963</v>
          </cell>
        </row>
        <row r="928">
          <cell r="A928" t="str">
            <v>US28P015013921100001</v>
          </cell>
          <cell r="B928" t="str">
            <v>US28P01501</v>
          </cell>
          <cell r="C928">
            <v>3921100001</v>
          </cell>
          <cell r="D928" t="str">
            <v>UTILITY EXPENSES ELECTRICITY</v>
          </cell>
          <cell r="E928">
            <v>14677</v>
          </cell>
          <cell r="F928">
            <v>12735</v>
          </cell>
          <cell r="G928">
            <v>11508</v>
          </cell>
          <cell r="H928">
            <v>8559</v>
          </cell>
          <cell r="I928">
            <v>10384</v>
          </cell>
          <cell r="J928">
            <v>6577</v>
          </cell>
          <cell r="K928">
            <v>12937</v>
          </cell>
          <cell r="L928">
            <v>0</v>
          </cell>
          <cell r="M928">
            <v>6360</v>
          </cell>
          <cell r="N928">
            <v>0</v>
          </cell>
          <cell r="O928">
            <v>0</v>
          </cell>
          <cell r="P928">
            <v>0</v>
          </cell>
          <cell r="Q928">
            <v>83737</v>
          </cell>
        </row>
        <row r="929">
          <cell r="A929" t="str">
            <v>US28P015643921100001</v>
          </cell>
          <cell r="B929" t="str">
            <v>US28P01564</v>
          </cell>
          <cell r="C929">
            <v>3921100001</v>
          </cell>
          <cell r="D929" t="str">
            <v>UTILITY EXPENSES ELECTRICITY</v>
          </cell>
          <cell r="E929">
            <v>0</v>
          </cell>
          <cell r="F929">
            <v>0</v>
          </cell>
          <cell r="G929">
            <v>0</v>
          </cell>
          <cell r="H929">
            <v>0</v>
          </cell>
          <cell r="I929">
            <v>0</v>
          </cell>
          <cell r="J929">
            <v>0</v>
          </cell>
          <cell r="K929">
            <v>0</v>
          </cell>
          <cell r="L929">
            <v>0</v>
          </cell>
          <cell r="M929">
            <v>0</v>
          </cell>
          <cell r="N929">
            <v>67637</v>
          </cell>
          <cell r="O929">
            <v>60671</v>
          </cell>
          <cell r="P929">
            <v>12455</v>
          </cell>
          <cell r="Q929">
            <v>140763</v>
          </cell>
        </row>
        <row r="930">
          <cell r="A930" t="str">
            <v>US35P015013921100001</v>
          </cell>
          <cell r="B930" t="str">
            <v>US35P01501</v>
          </cell>
          <cell r="C930">
            <v>3921100001</v>
          </cell>
          <cell r="D930" t="str">
            <v>UTILITY EXPENSES ELECTRICITY</v>
          </cell>
          <cell r="E930">
            <v>8768</v>
          </cell>
          <cell r="F930">
            <v>6695</v>
          </cell>
          <cell r="G930">
            <v>9073</v>
          </cell>
          <cell r="H930">
            <v>9660</v>
          </cell>
          <cell r="I930">
            <v>8382</v>
          </cell>
          <cell r="J930">
            <v>6958</v>
          </cell>
          <cell r="K930">
            <v>4848</v>
          </cell>
          <cell r="L930">
            <v>5568</v>
          </cell>
          <cell r="M930">
            <v>6538</v>
          </cell>
          <cell r="N930">
            <v>1236</v>
          </cell>
          <cell r="O930">
            <v>1324</v>
          </cell>
          <cell r="P930">
            <v>9506</v>
          </cell>
          <cell r="Q930">
            <v>78556</v>
          </cell>
        </row>
        <row r="931">
          <cell r="A931" t="str">
            <v>US35P015503921100001</v>
          </cell>
          <cell r="B931" t="str">
            <v>US35P01550</v>
          </cell>
          <cell r="C931">
            <v>3921100001</v>
          </cell>
          <cell r="D931" t="str">
            <v>UTILITY EXPENSES ELECTRICITY</v>
          </cell>
          <cell r="E931">
            <v>0</v>
          </cell>
          <cell r="F931">
            <v>0</v>
          </cell>
          <cell r="G931">
            <v>249</v>
          </cell>
          <cell r="H931">
            <v>0</v>
          </cell>
          <cell r="I931">
            <v>0</v>
          </cell>
          <cell r="J931">
            <v>0</v>
          </cell>
          <cell r="K931">
            <v>0</v>
          </cell>
          <cell r="L931">
            <v>0</v>
          </cell>
          <cell r="M931">
            <v>0</v>
          </cell>
          <cell r="N931">
            <v>0</v>
          </cell>
          <cell r="O931">
            <v>0</v>
          </cell>
          <cell r="P931">
            <v>0</v>
          </cell>
          <cell r="Q931">
            <v>249</v>
          </cell>
        </row>
        <row r="932">
          <cell r="A932" t="str">
            <v>US35P015603921100001</v>
          </cell>
          <cell r="B932" t="str">
            <v>US35P01560</v>
          </cell>
          <cell r="C932">
            <v>3921100001</v>
          </cell>
          <cell r="D932" t="str">
            <v>UTILITY EXPENSES ELECTRICITY</v>
          </cell>
          <cell r="E932">
            <v>0</v>
          </cell>
          <cell r="F932">
            <v>0</v>
          </cell>
          <cell r="G932">
            <v>120</v>
          </cell>
          <cell r="H932">
            <v>0</v>
          </cell>
          <cell r="I932">
            <v>0</v>
          </cell>
          <cell r="J932">
            <v>0</v>
          </cell>
          <cell r="K932">
            <v>0</v>
          </cell>
          <cell r="L932">
            <v>0</v>
          </cell>
          <cell r="M932">
            <v>0</v>
          </cell>
          <cell r="N932">
            <v>0</v>
          </cell>
          <cell r="O932">
            <v>0</v>
          </cell>
          <cell r="P932">
            <v>0</v>
          </cell>
          <cell r="Q932">
            <v>120</v>
          </cell>
        </row>
        <row r="933">
          <cell r="A933" t="str">
            <v>US35P015643921100001</v>
          </cell>
          <cell r="B933" t="str">
            <v>US35P01564</v>
          </cell>
          <cell r="C933">
            <v>3921100001</v>
          </cell>
          <cell r="D933" t="str">
            <v>UTILITY EXPENSES ELECTRICITY</v>
          </cell>
          <cell r="E933">
            <v>1054</v>
          </cell>
          <cell r="F933">
            <v>875</v>
          </cell>
          <cell r="G933">
            <v>899</v>
          </cell>
          <cell r="H933">
            <v>911</v>
          </cell>
          <cell r="I933">
            <v>875</v>
          </cell>
          <cell r="J933">
            <v>950</v>
          </cell>
          <cell r="K933">
            <v>1465</v>
          </cell>
          <cell r="L933">
            <v>1449</v>
          </cell>
          <cell r="M933">
            <v>4535</v>
          </cell>
          <cell r="N933">
            <v>52342</v>
          </cell>
          <cell r="O933">
            <v>49656</v>
          </cell>
          <cell r="P933">
            <v>2312</v>
          </cell>
          <cell r="Q933">
            <v>117323</v>
          </cell>
        </row>
        <row r="934">
          <cell r="A934" t="str">
            <v>USWOP015013921100001</v>
          </cell>
          <cell r="B934" t="str">
            <v>USWOP01501</v>
          </cell>
          <cell r="C934">
            <v>3921100001</v>
          </cell>
          <cell r="D934" t="str">
            <v>UTILITY EXPENSES ELECTRICITY</v>
          </cell>
          <cell r="E934">
            <v>18491</v>
          </cell>
          <cell r="F934">
            <v>21596</v>
          </cell>
          <cell r="G934">
            <v>0</v>
          </cell>
          <cell r="H934">
            <v>2064</v>
          </cell>
          <cell r="I934">
            <v>0</v>
          </cell>
          <cell r="J934">
            <v>17373</v>
          </cell>
          <cell r="K934">
            <v>18158</v>
          </cell>
          <cell r="L934">
            <v>0</v>
          </cell>
          <cell r="M934">
            <v>49790</v>
          </cell>
          <cell r="N934">
            <v>0</v>
          </cell>
          <cell r="O934">
            <v>0</v>
          </cell>
          <cell r="P934">
            <v>23072</v>
          </cell>
          <cell r="Q934">
            <v>150544</v>
          </cell>
        </row>
        <row r="935">
          <cell r="A935" t="str">
            <v>USWOP015643921100001</v>
          </cell>
          <cell r="B935" t="str">
            <v>USWOP01564</v>
          </cell>
          <cell r="C935">
            <v>3921100001</v>
          </cell>
          <cell r="D935" t="str">
            <v>UTILITY EXPENSES ELECTRICITY</v>
          </cell>
          <cell r="E935">
            <v>0</v>
          </cell>
          <cell r="F935">
            <v>0</v>
          </cell>
          <cell r="G935">
            <v>0</v>
          </cell>
          <cell r="H935">
            <v>0</v>
          </cell>
          <cell r="I935">
            <v>0</v>
          </cell>
          <cell r="J935">
            <v>0</v>
          </cell>
          <cell r="K935">
            <v>0</v>
          </cell>
          <cell r="L935">
            <v>0</v>
          </cell>
          <cell r="M935">
            <v>0</v>
          </cell>
          <cell r="N935">
            <v>87099</v>
          </cell>
          <cell r="O935">
            <v>45441</v>
          </cell>
          <cell r="P935">
            <v>0</v>
          </cell>
          <cell r="Q935">
            <v>132540</v>
          </cell>
        </row>
        <row r="936">
          <cell r="A936" t="str">
            <v>US59P015013921100001</v>
          </cell>
          <cell r="B936" t="str">
            <v>US59P01501</v>
          </cell>
          <cell r="C936">
            <v>3921100001</v>
          </cell>
          <cell r="D936" t="str">
            <v>UTILITY EXPENSES ELECTRICITY</v>
          </cell>
          <cell r="E936">
            <v>0</v>
          </cell>
          <cell r="F936">
            <v>0</v>
          </cell>
          <cell r="G936">
            <v>0</v>
          </cell>
          <cell r="H936">
            <v>0</v>
          </cell>
          <cell r="I936">
            <v>273</v>
          </cell>
          <cell r="J936">
            <v>4364</v>
          </cell>
          <cell r="K936">
            <v>2079</v>
          </cell>
          <cell r="L936">
            <v>774</v>
          </cell>
          <cell r="M936">
            <v>0</v>
          </cell>
          <cell r="N936">
            <v>3504</v>
          </cell>
          <cell r="O936">
            <v>61</v>
          </cell>
          <cell r="P936">
            <v>2106</v>
          </cell>
          <cell r="Q936">
            <v>13161</v>
          </cell>
        </row>
        <row r="937">
          <cell r="A937" t="str">
            <v>US59P015503921100001</v>
          </cell>
          <cell r="B937" t="str">
            <v>US59P01550</v>
          </cell>
          <cell r="C937">
            <v>3921100001</v>
          </cell>
          <cell r="D937" t="str">
            <v>UTILITY EXPENSES ELECTRICITY</v>
          </cell>
          <cell r="E937">
            <v>0</v>
          </cell>
          <cell r="F937">
            <v>0</v>
          </cell>
          <cell r="G937">
            <v>0</v>
          </cell>
          <cell r="H937">
            <v>0</v>
          </cell>
          <cell r="I937">
            <v>0</v>
          </cell>
          <cell r="J937">
            <v>0</v>
          </cell>
          <cell r="K937">
            <v>0</v>
          </cell>
          <cell r="L937">
            <v>0</v>
          </cell>
          <cell r="M937">
            <v>855</v>
          </cell>
          <cell r="N937">
            <v>0</v>
          </cell>
          <cell r="O937">
            <v>0</v>
          </cell>
          <cell r="P937">
            <v>0</v>
          </cell>
          <cell r="Q937">
            <v>855</v>
          </cell>
        </row>
        <row r="938">
          <cell r="A938" t="str">
            <v>US59P015603921100001</v>
          </cell>
          <cell r="B938" t="str">
            <v>US59P01560</v>
          </cell>
          <cell r="C938">
            <v>3921100001</v>
          </cell>
          <cell r="D938" t="str">
            <v>UTILITY EXPENSES ELECTRICITY</v>
          </cell>
          <cell r="E938">
            <v>0</v>
          </cell>
          <cell r="F938">
            <v>1639</v>
          </cell>
          <cell r="G938">
            <v>571</v>
          </cell>
          <cell r="H938">
            <v>0</v>
          </cell>
          <cell r="I938">
            <v>0</v>
          </cell>
          <cell r="J938">
            <v>0</v>
          </cell>
          <cell r="K938">
            <v>0</v>
          </cell>
          <cell r="L938">
            <v>0</v>
          </cell>
          <cell r="M938">
            <v>1584</v>
          </cell>
          <cell r="N938">
            <v>0</v>
          </cell>
          <cell r="O938">
            <v>0</v>
          </cell>
          <cell r="P938">
            <v>6600</v>
          </cell>
          <cell r="Q938">
            <v>10394</v>
          </cell>
        </row>
        <row r="939">
          <cell r="A939" t="str">
            <v>US59P015643921100001</v>
          </cell>
          <cell r="B939" t="str">
            <v>US59P01564</v>
          </cell>
          <cell r="C939">
            <v>3921100001</v>
          </cell>
          <cell r="D939" t="str">
            <v>UTILITY EXPENSES ELECTRICITY</v>
          </cell>
          <cell r="E939">
            <v>0</v>
          </cell>
          <cell r="F939">
            <v>0</v>
          </cell>
          <cell r="G939">
            <v>0</v>
          </cell>
          <cell r="H939">
            <v>0</v>
          </cell>
          <cell r="I939">
            <v>0</v>
          </cell>
          <cell r="J939">
            <v>0</v>
          </cell>
          <cell r="K939">
            <v>0</v>
          </cell>
          <cell r="L939">
            <v>0</v>
          </cell>
          <cell r="M939">
            <v>215</v>
          </cell>
          <cell r="N939">
            <v>31541</v>
          </cell>
          <cell r="O939">
            <v>33311</v>
          </cell>
          <cell r="P939">
            <v>0</v>
          </cell>
          <cell r="Q939">
            <v>65067</v>
          </cell>
        </row>
        <row r="940">
          <cell r="A940" t="str">
            <v>US59P3C5013921100001</v>
          </cell>
          <cell r="B940" t="str">
            <v>US59P3C501</v>
          </cell>
          <cell r="C940">
            <v>3921100001</v>
          </cell>
          <cell r="D940" t="str">
            <v>UTILITY EXPENSES ELECTRICITY</v>
          </cell>
          <cell r="E940">
            <v>0</v>
          </cell>
          <cell r="F940">
            <v>0</v>
          </cell>
          <cell r="G940">
            <v>0</v>
          </cell>
          <cell r="H940">
            <v>0</v>
          </cell>
          <cell r="I940">
            <v>0</v>
          </cell>
          <cell r="J940">
            <v>0</v>
          </cell>
          <cell r="K940">
            <v>0</v>
          </cell>
          <cell r="L940">
            <v>0</v>
          </cell>
          <cell r="M940">
            <v>0</v>
          </cell>
          <cell r="N940">
            <v>128</v>
          </cell>
          <cell r="O940">
            <v>0</v>
          </cell>
          <cell r="P940">
            <v>0</v>
          </cell>
          <cell r="Q940">
            <v>128</v>
          </cell>
        </row>
        <row r="941">
          <cell r="A941" t="str">
            <v>US59P3C5603921100001</v>
          </cell>
          <cell r="B941" t="str">
            <v>US59P3C560</v>
          </cell>
          <cell r="C941">
            <v>3921100001</v>
          </cell>
          <cell r="D941" t="str">
            <v>UTILITY EXPENSES ELECTRICITY</v>
          </cell>
          <cell r="E941">
            <v>17122</v>
          </cell>
          <cell r="F941">
            <v>6556</v>
          </cell>
          <cell r="G941">
            <v>1714</v>
          </cell>
          <cell r="H941">
            <v>0</v>
          </cell>
          <cell r="I941">
            <v>37508</v>
          </cell>
          <cell r="J941">
            <v>-8234</v>
          </cell>
          <cell r="K941">
            <v>1748</v>
          </cell>
          <cell r="L941">
            <v>774</v>
          </cell>
          <cell r="M941">
            <v>2439</v>
          </cell>
          <cell r="N941">
            <v>3228</v>
          </cell>
          <cell r="O941">
            <v>0</v>
          </cell>
          <cell r="P941">
            <v>8600</v>
          </cell>
          <cell r="Q941">
            <v>71455</v>
          </cell>
        </row>
        <row r="942">
          <cell r="A942" t="str">
            <v>USSTP015013921100001</v>
          </cell>
          <cell r="B942" t="str">
            <v>USSTP01501</v>
          </cell>
          <cell r="C942">
            <v>3921100001</v>
          </cell>
          <cell r="D942" t="str">
            <v>UTILITY EXPENSES ELECTRICITY</v>
          </cell>
          <cell r="E942">
            <v>2059</v>
          </cell>
          <cell r="F942">
            <v>0</v>
          </cell>
          <cell r="G942">
            <v>284</v>
          </cell>
          <cell r="H942">
            <v>714</v>
          </cell>
          <cell r="I942">
            <v>721</v>
          </cell>
          <cell r="J942">
            <v>410</v>
          </cell>
          <cell r="K942">
            <v>1428</v>
          </cell>
          <cell r="L942">
            <v>0</v>
          </cell>
          <cell r="M942">
            <v>1024</v>
          </cell>
          <cell r="N942">
            <v>991</v>
          </cell>
          <cell r="O942">
            <v>1336</v>
          </cell>
          <cell r="P942">
            <v>9</v>
          </cell>
          <cell r="Q942">
            <v>8976</v>
          </cell>
        </row>
        <row r="943">
          <cell r="A943" t="str">
            <v>USCOP015013921100001</v>
          </cell>
          <cell r="B943" t="str">
            <v>USCOP01501</v>
          </cell>
          <cell r="C943">
            <v>3921100001</v>
          </cell>
          <cell r="D943" t="str">
            <v>UTILITY EXPENSES ELECTRICITY</v>
          </cell>
          <cell r="E943">
            <v>0</v>
          </cell>
          <cell r="F943">
            <v>30</v>
          </cell>
          <cell r="G943">
            <v>1515</v>
          </cell>
          <cell r="H943">
            <v>567</v>
          </cell>
          <cell r="I943">
            <v>723</v>
          </cell>
          <cell r="J943">
            <v>243</v>
          </cell>
          <cell r="K943">
            <v>45</v>
          </cell>
          <cell r="L943">
            <v>1369</v>
          </cell>
          <cell r="M943">
            <v>0</v>
          </cell>
          <cell r="N943">
            <v>885</v>
          </cell>
          <cell r="O943">
            <v>10</v>
          </cell>
          <cell r="P943">
            <v>544</v>
          </cell>
          <cell r="Q943">
            <v>5931</v>
          </cell>
        </row>
        <row r="944">
          <cell r="A944" t="str">
            <v>USCRP015013921100001</v>
          </cell>
          <cell r="B944" t="str">
            <v>USCRP01501</v>
          </cell>
          <cell r="C944">
            <v>3921100001</v>
          </cell>
          <cell r="D944" t="str">
            <v>UTILITY EXPENSES ELECTRICITY</v>
          </cell>
          <cell r="E944">
            <v>18350</v>
          </cell>
          <cell r="F944">
            <v>15888</v>
          </cell>
          <cell r="G944">
            <v>19391</v>
          </cell>
          <cell r="H944">
            <v>14365</v>
          </cell>
          <cell r="I944">
            <v>0</v>
          </cell>
          <cell r="J944">
            <v>39215</v>
          </cell>
          <cell r="K944">
            <v>14947</v>
          </cell>
          <cell r="L944">
            <v>17293</v>
          </cell>
          <cell r="M944">
            <v>20807</v>
          </cell>
          <cell r="N944">
            <v>1982</v>
          </cell>
          <cell r="O944">
            <v>18021</v>
          </cell>
          <cell r="P944">
            <v>18203</v>
          </cell>
          <cell r="Q944">
            <v>198462</v>
          </cell>
        </row>
        <row r="945">
          <cell r="A945" t="str">
            <v>USCRP015643921100001</v>
          </cell>
          <cell r="B945" t="str">
            <v>USCRP01564</v>
          </cell>
          <cell r="C945">
            <v>3921100001</v>
          </cell>
          <cell r="D945" t="str">
            <v>UTILITY EXPENSES ELECTRICITY</v>
          </cell>
          <cell r="E945">
            <v>0</v>
          </cell>
          <cell r="F945">
            <v>0</v>
          </cell>
          <cell r="G945">
            <v>0</v>
          </cell>
          <cell r="H945">
            <v>0</v>
          </cell>
          <cell r="I945">
            <v>0</v>
          </cell>
          <cell r="J945">
            <v>0</v>
          </cell>
          <cell r="K945">
            <v>0</v>
          </cell>
          <cell r="L945">
            <v>0</v>
          </cell>
          <cell r="M945">
            <v>0</v>
          </cell>
          <cell r="N945">
            <v>69292</v>
          </cell>
          <cell r="O945">
            <v>39135</v>
          </cell>
          <cell r="P945">
            <v>9078</v>
          </cell>
          <cell r="Q945">
            <v>117505</v>
          </cell>
        </row>
        <row r="946">
          <cell r="A946" t="str">
            <v>USCRP015753921100001</v>
          </cell>
          <cell r="B946" t="str">
            <v>USCRP01575</v>
          </cell>
          <cell r="C946">
            <v>3921100001</v>
          </cell>
          <cell r="D946" t="str">
            <v>UTILITY EXPENSES ELECTRICITY</v>
          </cell>
          <cell r="E946">
            <v>0</v>
          </cell>
          <cell r="F946">
            <v>0</v>
          </cell>
          <cell r="G946">
            <v>0</v>
          </cell>
          <cell r="H946">
            <v>0</v>
          </cell>
          <cell r="I946">
            <v>0</v>
          </cell>
          <cell r="J946">
            <v>0</v>
          </cell>
          <cell r="K946">
            <v>0</v>
          </cell>
          <cell r="L946">
            <v>0</v>
          </cell>
          <cell r="M946">
            <v>1434</v>
          </cell>
          <cell r="N946">
            <v>819</v>
          </cell>
          <cell r="O946">
            <v>0</v>
          </cell>
          <cell r="P946">
            <v>0</v>
          </cell>
          <cell r="Q946">
            <v>2253</v>
          </cell>
        </row>
        <row r="947">
          <cell r="A947" t="str">
            <v>US22P015013921200001</v>
          </cell>
          <cell r="B947" t="str">
            <v>US22P01501</v>
          </cell>
          <cell r="C947">
            <v>3921200001</v>
          </cell>
          <cell r="D947" t="str">
            <v>FUEL</v>
          </cell>
          <cell r="E947">
            <v>481</v>
          </cell>
          <cell r="F947">
            <v>711</v>
          </cell>
          <cell r="G947">
            <v>606</v>
          </cell>
          <cell r="H947">
            <v>349</v>
          </cell>
          <cell r="I947">
            <v>542</v>
          </cell>
          <cell r="J947">
            <v>88</v>
          </cell>
          <cell r="K947">
            <v>51</v>
          </cell>
          <cell r="L947">
            <v>39</v>
          </cell>
          <cell r="M947">
            <v>1864</v>
          </cell>
          <cell r="N947">
            <v>4377</v>
          </cell>
          <cell r="O947">
            <v>4492</v>
          </cell>
          <cell r="P947">
            <v>2330</v>
          </cell>
          <cell r="Q947">
            <v>15930</v>
          </cell>
        </row>
        <row r="948">
          <cell r="A948" t="str">
            <v>US22P015503921200001</v>
          </cell>
          <cell r="B948" t="str">
            <v>US22P01550</v>
          </cell>
          <cell r="C948">
            <v>3921200001</v>
          </cell>
          <cell r="D948" t="str">
            <v>FUEL</v>
          </cell>
          <cell r="E948">
            <v>513</v>
          </cell>
          <cell r="F948">
            <v>0</v>
          </cell>
          <cell r="G948">
            <v>404</v>
          </cell>
          <cell r="H948">
            <v>381</v>
          </cell>
          <cell r="I948">
            <v>159</v>
          </cell>
          <cell r="J948">
            <v>3775</v>
          </cell>
          <cell r="K948">
            <v>8715</v>
          </cell>
          <cell r="L948">
            <v>3338</v>
          </cell>
          <cell r="M948">
            <v>4474</v>
          </cell>
          <cell r="N948">
            <v>228</v>
          </cell>
          <cell r="O948">
            <v>0</v>
          </cell>
          <cell r="P948">
            <v>338</v>
          </cell>
          <cell r="Q948">
            <v>22325</v>
          </cell>
        </row>
        <row r="949">
          <cell r="A949" t="str">
            <v>US22P015533921200001</v>
          </cell>
          <cell r="B949" t="str">
            <v>US22P01553</v>
          </cell>
          <cell r="C949">
            <v>3921200001</v>
          </cell>
          <cell r="D949" t="str">
            <v>FUEL</v>
          </cell>
          <cell r="E949">
            <v>0</v>
          </cell>
          <cell r="F949">
            <v>0</v>
          </cell>
          <cell r="G949">
            <v>0</v>
          </cell>
          <cell r="H949">
            <v>0</v>
          </cell>
          <cell r="I949">
            <v>0</v>
          </cell>
          <cell r="J949">
            <v>0</v>
          </cell>
          <cell r="K949">
            <v>5694</v>
          </cell>
          <cell r="L949">
            <v>9690</v>
          </cell>
          <cell r="M949">
            <v>5759</v>
          </cell>
          <cell r="N949">
            <v>0</v>
          </cell>
          <cell r="O949">
            <v>0</v>
          </cell>
          <cell r="P949">
            <v>0</v>
          </cell>
          <cell r="Q949">
            <v>21143</v>
          </cell>
        </row>
        <row r="950">
          <cell r="A950" t="str">
            <v>US22P015643921200001</v>
          </cell>
          <cell r="B950" t="str">
            <v>US22P01564</v>
          </cell>
          <cell r="C950">
            <v>3921200001</v>
          </cell>
          <cell r="D950" t="str">
            <v>FUEL</v>
          </cell>
          <cell r="E950">
            <v>0</v>
          </cell>
          <cell r="F950">
            <v>0</v>
          </cell>
          <cell r="G950">
            <v>0</v>
          </cell>
          <cell r="H950">
            <v>0</v>
          </cell>
          <cell r="I950">
            <v>0</v>
          </cell>
          <cell r="J950">
            <v>0</v>
          </cell>
          <cell r="K950">
            <v>0</v>
          </cell>
          <cell r="L950">
            <v>0</v>
          </cell>
          <cell r="M950">
            <v>0</v>
          </cell>
          <cell r="N950">
            <v>0</v>
          </cell>
          <cell r="O950">
            <v>8251</v>
          </cell>
          <cell r="P950">
            <v>11612</v>
          </cell>
          <cell r="Q950">
            <v>19863</v>
          </cell>
        </row>
        <row r="951">
          <cell r="A951" t="str">
            <v>US28P015013921200001</v>
          </cell>
          <cell r="B951" t="str">
            <v>US28P01501</v>
          </cell>
          <cell r="C951">
            <v>3921200001</v>
          </cell>
          <cell r="D951" t="str">
            <v>FUEL</v>
          </cell>
          <cell r="E951">
            <v>1043</v>
          </cell>
          <cell r="F951">
            <v>1376</v>
          </cell>
          <cell r="G951">
            <v>1345</v>
          </cell>
          <cell r="H951">
            <v>685</v>
          </cell>
          <cell r="I951">
            <v>595</v>
          </cell>
          <cell r="J951">
            <v>542</v>
          </cell>
          <cell r="K951">
            <v>658</v>
          </cell>
          <cell r="L951">
            <v>519</v>
          </cell>
          <cell r="M951">
            <v>126</v>
          </cell>
          <cell r="N951">
            <v>293</v>
          </cell>
          <cell r="O951">
            <v>661</v>
          </cell>
          <cell r="P951">
            <v>1154</v>
          </cell>
          <cell r="Q951">
            <v>8997</v>
          </cell>
        </row>
        <row r="952">
          <cell r="A952" t="str">
            <v>US28P015503921200001</v>
          </cell>
          <cell r="B952" t="str">
            <v>US28P01550</v>
          </cell>
          <cell r="C952">
            <v>3921200001</v>
          </cell>
          <cell r="D952" t="str">
            <v>FUEL</v>
          </cell>
          <cell r="E952">
            <v>0</v>
          </cell>
          <cell r="F952">
            <v>0</v>
          </cell>
          <cell r="G952">
            <v>0</v>
          </cell>
          <cell r="H952">
            <v>421</v>
          </cell>
          <cell r="I952">
            <v>3839</v>
          </cell>
          <cell r="J952">
            <v>7404</v>
          </cell>
          <cell r="K952">
            <v>4636</v>
          </cell>
          <cell r="L952">
            <v>0</v>
          </cell>
          <cell r="M952">
            <v>0</v>
          </cell>
          <cell r="N952">
            <v>5157</v>
          </cell>
          <cell r="O952">
            <v>970</v>
          </cell>
          <cell r="P952">
            <v>174</v>
          </cell>
          <cell r="Q952">
            <v>22601</v>
          </cell>
        </row>
        <row r="953">
          <cell r="A953" t="str">
            <v>US28P015533921200001</v>
          </cell>
          <cell r="B953" t="str">
            <v>US28P01553</v>
          </cell>
          <cell r="C953">
            <v>3921200001</v>
          </cell>
          <cell r="D953" t="str">
            <v>FUEL</v>
          </cell>
          <cell r="E953">
            <v>0</v>
          </cell>
          <cell r="F953">
            <v>0</v>
          </cell>
          <cell r="G953">
            <v>0</v>
          </cell>
          <cell r="H953">
            <v>0</v>
          </cell>
          <cell r="I953">
            <v>0</v>
          </cell>
          <cell r="J953">
            <v>0</v>
          </cell>
          <cell r="K953">
            <v>12486</v>
          </cell>
          <cell r="L953">
            <v>10224</v>
          </cell>
          <cell r="M953">
            <v>2550</v>
          </cell>
          <cell r="N953">
            <v>0</v>
          </cell>
          <cell r="O953">
            <v>0</v>
          </cell>
          <cell r="P953">
            <v>0</v>
          </cell>
          <cell r="Q953">
            <v>25260</v>
          </cell>
        </row>
        <row r="954">
          <cell r="A954" t="str">
            <v>US28P015603921200001</v>
          </cell>
          <cell r="B954" t="str">
            <v>US28P01560</v>
          </cell>
          <cell r="C954">
            <v>3921200001</v>
          </cell>
          <cell r="D954" t="str">
            <v>FUEL</v>
          </cell>
          <cell r="E954">
            <v>253</v>
          </cell>
          <cell r="F954">
            <v>0</v>
          </cell>
          <cell r="G954">
            <v>0</v>
          </cell>
          <cell r="H954">
            <v>250</v>
          </cell>
          <cell r="I954">
            <v>0</v>
          </cell>
          <cell r="J954">
            <v>250</v>
          </cell>
          <cell r="K954">
            <v>0</v>
          </cell>
          <cell r="L954">
            <v>250</v>
          </cell>
          <cell r="M954">
            <v>0</v>
          </cell>
          <cell r="N954">
            <v>0</v>
          </cell>
          <cell r="O954">
            <v>0</v>
          </cell>
          <cell r="P954">
            <v>250</v>
          </cell>
          <cell r="Q954">
            <v>1253</v>
          </cell>
        </row>
        <row r="955">
          <cell r="A955" t="str">
            <v>US28P015643921200001</v>
          </cell>
          <cell r="B955" t="str">
            <v>US28P01564</v>
          </cell>
          <cell r="C955">
            <v>3921200001</v>
          </cell>
          <cell r="D955" t="str">
            <v>FUEL</v>
          </cell>
          <cell r="E955">
            <v>0</v>
          </cell>
          <cell r="F955">
            <v>253</v>
          </cell>
          <cell r="G955">
            <v>0</v>
          </cell>
          <cell r="H955">
            <v>146</v>
          </cell>
          <cell r="I955">
            <v>0</v>
          </cell>
          <cell r="J955">
            <v>0</v>
          </cell>
          <cell r="K955">
            <v>511</v>
          </cell>
          <cell r="L955">
            <v>0</v>
          </cell>
          <cell r="M955">
            <v>291</v>
          </cell>
          <cell r="N955">
            <v>6524</v>
          </cell>
          <cell r="O955">
            <v>1673</v>
          </cell>
          <cell r="P955">
            <v>172</v>
          </cell>
          <cell r="Q955">
            <v>9570</v>
          </cell>
        </row>
        <row r="956">
          <cell r="A956" t="str">
            <v>US35P015013921200001</v>
          </cell>
          <cell r="B956" t="str">
            <v>US35P01501</v>
          </cell>
          <cell r="C956">
            <v>3921200001</v>
          </cell>
          <cell r="D956" t="str">
            <v>FUEL</v>
          </cell>
          <cell r="E956">
            <v>0</v>
          </cell>
          <cell r="F956">
            <v>174</v>
          </cell>
          <cell r="G956">
            <v>0</v>
          </cell>
          <cell r="H956">
            <v>0</v>
          </cell>
          <cell r="I956">
            <v>0</v>
          </cell>
          <cell r="J956">
            <v>0</v>
          </cell>
          <cell r="K956">
            <v>0</v>
          </cell>
          <cell r="L956">
            <v>0</v>
          </cell>
          <cell r="M956">
            <v>0</v>
          </cell>
          <cell r="N956">
            <v>460</v>
          </cell>
          <cell r="O956">
            <v>0</v>
          </cell>
          <cell r="P956">
            <v>0</v>
          </cell>
          <cell r="Q956">
            <v>634</v>
          </cell>
        </row>
        <row r="957">
          <cell r="A957" t="str">
            <v>US35P015503921200001</v>
          </cell>
          <cell r="B957" t="str">
            <v>US35P01550</v>
          </cell>
          <cell r="C957">
            <v>3921200001</v>
          </cell>
          <cell r="D957" t="str">
            <v>FUEL</v>
          </cell>
          <cell r="E957">
            <v>6149</v>
          </cell>
          <cell r="F957">
            <v>327</v>
          </cell>
          <cell r="G957">
            <v>2795</v>
          </cell>
          <cell r="H957">
            <v>3524</v>
          </cell>
          <cell r="I957">
            <v>8066</v>
          </cell>
          <cell r="J957">
            <v>3036</v>
          </cell>
          <cell r="K957">
            <v>10740</v>
          </cell>
          <cell r="L957">
            <v>21388</v>
          </cell>
          <cell r="M957">
            <v>28</v>
          </cell>
          <cell r="N957">
            <v>9280</v>
          </cell>
          <cell r="O957">
            <v>75</v>
          </cell>
          <cell r="P957">
            <v>3941</v>
          </cell>
          <cell r="Q957">
            <v>69349</v>
          </cell>
        </row>
        <row r="958">
          <cell r="A958" t="str">
            <v>US35P015533921200001</v>
          </cell>
          <cell r="B958" t="str">
            <v>US35P01553</v>
          </cell>
          <cell r="C958">
            <v>3921200001</v>
          </cell>
          <cell r="D958" t="str">
            <v>FUEL</v>
          </cell>
          <cell r="E958">
            <v>0</v>
          </cell>
          <cell r="F958">
            <v>0</v>
          </cell>
          <cell r="G958">
            <v>0</v>
          </cell>
          <cell r="H958">
            <v>0</v>
          </cell>
          <cell r="I958">
            <v>0</v>
          </cell>
          <cell r="J958">
            <v>0</v>
          </cell>
          <cell r="K958">
            <v>248</v>
          </cell>
          <cell r="L958">
            <v>23997</v>
          </cell>
          <cell r="M958">
            <v>0</v>
          </cell>
          <cell r="N958">
            <v>0</v>
          </cell>
          <cell r="O958">
            <v>0</v>
          </cell>
          <cell r="P958">
            <v>0</v>
          </cell>
          <cell r="Q958">
            <v>24245</v>
          </cell>
        </row>
        <row r="959">
          <cell r="A959" t="str">
            <v>US35P015603921200001</v>
          </cell>
          <cell r="B959" t="str">
            <v>US35P01560</v>
          </cell>
          <cell r="C959">
            <v>3921200001</v>
          </cell>
          <cell r="D959" t="str">
            <v>FUEL</v>
          </cell>
          <cell r="E959">
            <v>0</v>
          </cell>
          <cell r="F959">
            <v>0</v>
          </cell>
          <cell r="G959">
            <v>0</v>
          </cell>
          <cell r="H959">
            <v>127</v>
          </cell>
          <cell r="I959">
            <v>0</v>
          </cell>
          <cell r="J959">
            <v>0</v>
          </cell>
          <cell r="K959">
            <v>235</v>
          </cell>
          <cell r="L959">
            <v>201</v>
          </cell>
          <cell r="M959">
            <v>0</v>
          </cell>
          <cell r="N959">
            <v>1217</v>
          </cell>
          <cell r="O959">
            <v>90</v>
          </cell>
          <cell r="P959">
            <v>0</v>
          </cell>
          <cell r="Q959">
            <v>1870</v>
          </cell>
        </row>
        <row r="960">
          <cell r="A960" t="str">
            <v>US35P015643921200001</v>
          </cell>
          <cell r="B960" t="str">
            <v>US35P01564</v>
          </cell>
          <cell r="C960">
            <v>3921200001</v>
          </cell>
          <cell r="D960" t="str">
            <v>FUEL</v>
          </cell>
          <cell r="E960">
            <v>0</v>
          </cell>
          <cell r="F960">
            <v>0</v>
          </cell>
          <cell r="G960">
            <v>0</v>
          </cell>
          <cell r="H960">
            <v>0</v>
          </cell>
          <cell r="I960">
            <v>0</v>
          </cell>
          <cell r="J960">
            <v>0</v>
          </cell>
          <cell r="K960">
            <v>0</v>
          </cell>
          <cell r="L960">
            <v>0</v>
          </cell>
          <cell r="M960">
            <v>2246</v>
          </cell>
          <cell r="N960">
            <v>1485</v>
          </cell>
          <cell r="O960">
            <v>560</v>
          </cell>
          <cell r="P960">
            <v>0</v>
          </cell>
          <cell r="Q960">
            <v>4291</v>
          </cell>
        </row>
        <row r="961">
          <cell r="A961" t="str">
            <v>USWOP015013921200001</v>
          </cell>
          <cell r="B961" t="str">
            <v>USWOP01501</v>
          </cell>
          <cell r="C961">
            <v>3921200001</v>
          </cell>
          <cell r="D961" t="str">
            <v>FUEL</v>
          </cell>
          <cell r="E961">
            <v>5863</v>
          </cell>
          <cell r="F961">
            <v>5264</v>
          </cell>
          <cell r="G961">
            <v>6560</v>
          </cell>
          <cell r="H961">
            <v>738</v>
          </cell>
          <cell r="I961">
            <v>2966</v>
          </cell>
          <cell r="J961">
            <v>191</v>
          </cell>
          <cell r="K961">
            <v>1855</v>
          </cell>
          <cell r="L961">
            <v>1203</v>
          </cell>
          <cell r="M961">
            <v>730</v>
          </cell>
          <cell r="N961">
            <v>21</v>
          </cell>
          <cell r="O961">
            <v>350</v>
          </cell>
          <cell r="P961">
            <v>2280</v>
          </cell>
          <cell r="Q961">
            <v>28021</v>
          </cell>
        </row>
        <row r="962">
          <cell r="A962" t="str">
            <v>USWOP015503921200001</v>
          </cell>
          <cell r="B962" t="str">
            <v>USWOP01550</v>
          </cell>
          <cell r="C962">
            <v>3921200001</v>
          </cell>
          <cell r="D962" t="str">
            <v>FUEL</v>
          </cell>
          <cell r="E962">
            <v>0</v>
          </cell>
          <cell r="F962">
            <v>0</v>
          </cell>
          <cell r="G962">
            <v>0</v>
          </cell>
          <cell r="H962">
            <v>0</v>
          </cell>
          <cell r="I962">
            <v>450</v>
          </cell>
          <cell r="J962">
            <v>3278</v>
          </cell>
          <cell r="K962">
            <v>3183</v>
          </cell>
          <cell r="L962">
            <v>1076</v>
          </cell>
          <cell r="M962">
            <v>291</v>
          </cell>
          <cell r="N962">
            <v>-291</v>
          </cell>
          <cell r="O962">
            <v>0</v>
          </cell>
          <cell r="P962">
            <v>0</v>
          </cell>
          <cell r="Q962">
            <v>7987</v>
          </cell>
        </row>
        <row r="963">
          <cell r="A963" t="str">
            <v>USWOP015533921200001</v>
          </cell>
          <cell r="B963" t="str">
            <v>USWOP01553</v>
          </cell>
          <cell r="C963">
            <v>3921200001</v>
          </cell>
          <cell r="D963" t="str">
            <v>FUEL</v>
          </cell>
          <cell r="E963">
            <v>0</v>
          </cell>
          <cell r="F963">
            <v>0</v>
          </cell>
          <cell r="G963">
            <v>0</v>
          </cell>
          <cell r="H963">
            <v>0</v>
          </cell>
          <cell r="I963">
            <v>0</v>
          </cell>
          <cell r="J963">
            <v>0</v>
          </cell>
          <cell r="K963">
            <v>590</v>
          </cell>
          <cell r="L963">
            <v>11817</v>
          </cell>
          <cell r="M963">
            <v>3173</v>
          </cell>
          <cell r="N963">
            <v>0</v>
          </cell>
          <cell r="O963">
            <v>0</v>
          </cell>
          <cell r="P963">
            <v>0</v>
          </cell>
          <cell r="Q963">
            <v>15580</v>
          </cell>
        </row>
        <row r="964">
          <cell r="A964" t="str">
            <v>USWOP015603921200001</v>
          </cell>
          <cell r="B964" t="str">
            <v>USWOP01560</v>
          </cell>
          <cell r="C964">
            <v>3921200001</v>
          </cell>
          <cell r="D964" t="str">
            <v>FUEL</v>
          </cell>
          <cell r="E964">
            <v>0</v>
          </cell>
          <cell r="F964">
            <v>421</v>
          </cell>
          <cell r="G964">
            <v>0</v>
          </cell>
          <cell r="H964">
            <v>265</v>
          </cell>
          <cell r="I964">
            <v>105</v>
          </cell>
          <cell r="J964">
            <v>0</v>
          </cell>
          <cell r="K964">
            <v>0</v>
          </cell>
          <cell r="L964">
            <v>273</v>
          </cell>
          <cell r="M964">
            <v>45</v>
          </cell>
          <cell r="N964">
            <v>0</v>
          </cell>
          <cell r="O964">
            <v>313</v>
          </cell>
          <cell r="P964">
            <v>0</v>
          </cell>
          <cell r="Q964">
            <v>1422</v>
          </cell>
        </row>
        <row r="965">
          <cell r="A965" t="str">
            <v>USWOP015643921200001</v>
          </cell>
          <cell r="B965" t="str">
            <v>USWOP01564</v>
          </cell>
          <cell r="C965">
            <v>3921200001</v>
          </cell>
          <cell r="D965" t="str">
            <v>FUEL</v>
          </cell>
          <cell r="E965">
            <v>50</v>
          </cell>
          <cell r="F965">
            <v>0</v>
          </cell>
          <cell r="G965">
            <v>51</v>
          </cell>
          <cell r="H965">
            <v>448</v>
          </cell>
          <cell r="I965">
            <v>50</v>
          </cell>
          <cell r="J965">
            <v>50</v>
          </cell>
          <cell r="K965">
            <v>0</v>
          </cell>
          <cell r="L965">
            <v>0</v>
          </cell>
          <cell r="M965">
            <v>2589</v>
          </cell>
          <cell r="N965">
            <v>59</v>
          </cell>
          <cell r="O965">
            <v>201</v>
          </cell>
          <cell r="P965">
            <v>0</v>
          </cell>
          <cell r="Q965">
            <v>3498</v>
          </cell>
        </row>
        <row r="966">
          <cell r="A966" t="str">
            <v>USWOP015753921200001</v>
          </cell>
          <cell r="B966" t="str">
            <v>USWOP01575</v>
          </cell>
          <cell r="C966">
            <v>3921200001</v>
          </cell>
          <cell r="D966" t="str">
            <v>FUEL</v>
          </cell>
          <cell r="E966">
            <v>0</v>
          </cell>
          <cell r="F966">
            <v>0</v>
          </cell>
          <cell r="G966">
            <v>0</v>
          </cell>
          <cell r="H966">
            <v>0</v>
          </cell>
          <cell r="I966">
            <v>0</v>
          </cell>
          <cell r="J966">
            <v>0</v>
          </cell>
          <cell r="K966">
            <v>0</v>
          </cell>
          <cell r="L966">
            <v>64</v>
          </cell>
          <cell r="M966">
            <v>105</v>
          </cell>
          <cell r="N966">
            <v>0</v>
          </cell>
          <cell r="O966">
            <v>0</v>
          </cell>
          <cell r="P966">
            <v>0</v>
          </cell>
          <cell r="Q966">
            <v>169</v>
          </cell>
        </row>
        <row r="967">
          <cell r="A967" t="str">
            <v>US59P015013921200001</v>
          </cell>
          <cell r="B967" t="str">
            <v>US59P01501</v>
          </cell>
          <cell r="C967">
            <v>3921200001</v>
          </cell>
          <cell r="D967" t="str">
            <v>FUEL</v>
          </cell>
          <cell r="E967">
            <v>1479</v>
          </cell>
          <cell r="F967">
            <v>4035</v>
          </cell>
          <cell r="G967">
            <v>5196</v>
          </cell>
          <cell r="H967">
            <v>5741</v>
          </cell>
          <cell r="I967">
            <v>3334</v>
          </cell>
          <cell r="J967">
            <v>153</v>
          </cell>
          <cell r="K967">
            <v>0</v>
          </cell>
          <cell r="L967">
            <v>308</v>
          </cell>
          <cell r="M967">
            <v>0</v>
          </cell>
          <cell r="N967">
            <v>0</v>
          </cell>
          <cell r="O967">
            <v>791</v>
          </cell>
          <cell r="P967">
            <v>0</v>
          </cell>
          <cell r="Q967">
            <v>21037</v>
          </cell>
        </row>
        <row r="968">
          <cell r="A968" t="str">
            <v>US59P015503921200001</v>
          </cell>
          <cell r="B968" t="str">
            <v>US59P01550</v>
          </cell>
          <cell r="C968">
            <v>3921200001</v>
          </cell>
          <cell r="D968" t="str">
            <v>FUEL</v>
          </cell>
          <cell r="E968">
            <v>382</v>
          </cell>
          <cell r="F968">
            <v>350</v>
          </cell>
          <cell r="G968">
            <v>321</v>
          </cell>
          <cell r="H968">
            <v>0</v>
          </cell>
          <cell r="I968">
            <v>0</v>
          </cell>
          <cell r="J968">
            <v>0</v>
          </cell>
          <cell r="K968">
            <v>0</v>
          </cell>
          <cell r="L968">
            <v>0</v>
          </cell>
          <cell r="M968">
            <v>0</v>
          </cell>
          <cell r="N968">
            <v>4454</v>
          </cell>
          <cell r="O968">
            <v>0</v>
          </cell>
          <cell r="P968">
            <v>2985</v>
          </cell>
          <cell r="Q968">
            <v>8492</v>
          </cell>
        </row>
        <row r="969">
          <cell r="A969" t="str">
            <v>US59P015603921200001</v>
          </cell>
          <cell r="B969" t="str">
            <v>US59P01560</v>
          </cell>
          <cell r="C969">
            <v>3921200001</v>
          </cell>
          <cell r="D969" t="str">
            <v>FUEL</v>
          </cell>
          <cell r="E969">
            <v>0</v>
          </cell>
          <cell r="F969">
            <v>0</v>
          </cell>
          <cell r="G969">
            <v>0</v>
          </cell>
          <cell r="H969">
            <v>0</v>
          </cell>
          <cell r="I969">
            <v>0</v>
          </cell>
          <cell r="J969">
            <v>0</v>
          </cell>
          <cell r="K969">
            <v>0</v>
          </cell>
          <cell r="L969">
            <v>123</v>
          </cell>
          <cell r="M969">
            <v>0</v>
          </cell>
          <cell r="N969">
            <v>0</v>
          </cell>
          <cell r="O969">
            <v>0</v>
          </cell>
          <cell r="P969">
            <v>0</v>
          </cell>
          <cell r="Q969">
            <v>123</v>
          </cell>
        </row>
        <row r="970">
          <cell r="A970" t="str">
            <v>US59P015643921200001</v>
          </cell>
          <cell r="B970" t="str">
            <v>US59P01564</v>
          </cell>
          <cell r="C970">
            <v>3921200001</v>
          </cell>
          <cell r="D970" t="str">
            <v>FUEL</v>
          </cell>
          <cell r="E970">
            <v>0</v>
          </cell>
          <cell r="F970">
            <v>0</v>
          </cell>
          <cell r="G970">
            <v>0</v>
          </cell>
          <cell r="H970">
            <v>0</v>
          </cell>
          <cell r="I970">
            <v>0</v>
          </cell>
          <cell r="J970">
            <v>0</v>
          </cell>
          <cell r="K970">
            <v>0</v>
          </cell>
          <cell r="L970">
            <v>0</v>
          </cell>
          <cell r="M970">
            <v>0</v>
          </cell>
          <cell r="N970">
            <v>59188</v>
          </cell>
          <cell r="O970">
            <v>-59188</v>
          </cell>
          <cell r="P970">
            <v>0</v>
          </cell>
          <cell r="Q970">
            <v>0</v>
          </cell>
        </row>
        <row r="971">
          <cell r="A971" t="str">
            <v>US59P3C5013921200001</v>
          </cell>
          <cell r="B971" t="str">
            <v>US59P3C501</v>
          </cell>
          <cell r="C971">
            <v>3921200001</v>
          </cell>
          <cell r="D971" t="str">
            <v>FUEL</v>
          </cell>
          <cell r="E971">
            <v>1479</v>
          </cell>
          <cell r="F971">
            <v>0</v>
          </cell>
          <cell r="G971">
            <v>0</v>
          </cell>
          <cell r="H971">
            <v>0</v>
          </cell>
          <cell r="I971">
            <v>0</v>
          </cell>
          <cell r="J971">
            <v>0</v>
          </cell>
          <cell r="K971">
            <v>0</v>
          </cell>
          <cell r="L971">
            <v>0</v>
          </cell>
          <cell r="M971">
            <v>0</v>
          </cell>
          <cell r="N971">
            <v>0</v>
          </cell>
          <cell r="O971">
            <v>0</v>
          </cell>
          <cell r="P971">
            <v>0</v>
          </cell>
          <cell r="Q971">
            <v>1479</v>
          </cell>
        </row>
        <row r="972">
          <cell r="A972" t="str">
            <v>US59P3C5603921200001</v>
          </cell>
          <cell r="B972" t="str">
            <v>US59P3C560</v>
          </cell>
          <cell r="C972">
            <v>3921200001</v>
          </cell>
          <cell r="D972" t="str">
            <v>FUEL</v>
          </cell>
          <cell r="E972">
            <v>0</v>
          </cell>
          <cell r="F972">
            <v>0</v>
          </cell>
          <cell r="G972">
            <v>2902</v>
          </cell>
          <cell r="H972">
            <v>0</v>
          </cell>
          <cell r="I972">
            <v>2270</v>
          </cell>
          <cell r="J972">
            <v>0</v>
          </cell>
          <cell r="K972">
            <v>0</v>
          </cell>
          <cell r="L972">
            <v>308</v>
          </cell>
          <cell r="M972">
            <v>0</v>
          </cell>
          <cell r="N972">
            <v>0</v>
          </cell>
          <cell r="O972">
            <v>0</v>
          </cell>
          <cell r="P972">
            <v>0</v>
          </cell>
          <cell r="Q972">
            <v>5480</v>
          </cell>
        </row>
        <row r="973">
          <cell r="A973" t="str">
            <v>USSTP015013921200001</v>
          </cell>
          <cell r="B973" t="str">
            <v>USSTP01501</v>
          </cell>
          <cell r="C973">
            <v>3921200001</v>
          </cell>
          <cell r="D973" t="str">
            <v>FUEL</v>
          </cell>
          <cell r="E973">
            <v>1900</v>
          </cell>
          <cell r="F973">
            <v>2664</v>
          </cell>
          <cell r="G973">
            <v>1315</v>
          </cell>
          <cell r="H973">
            <v>67</v>
          </cell>
          <cell r="I973">
            <v>581</v>
          </cell>
          <cell r="J973">
            <v>25</v>
          </cell>
          <cell r="K973">
            <v>22</v>
          </cell>
          <cell r="L973">
            <v>23</v>
          </cell>
          <cell r="M973">
            <v>23</v>
          </cell>
          <cell r="N973">
            <v>22</v>
          </cell>
          <cell r="O973">
            <v>40</v>
          </cell>
          <cell r="P973">
            <v>218</v>
          </cell>
          <cell r="Q973">
            <v>6900</v>
          </cell>
        </row>
        <row r="974">
          <cell r="A974" t="str">
            <v>USCOP015013921200001</v>
          </cell>
          <cell r="B974" t="str">
            <v>USCOP01501</v>
          </cell>
          <cell r="C974">
            <v>3921200001</v>
          </cell>
          <cell r="D974" t="str">
            <v>FUEL</v>
          </cell>
          <cell r="E974">
            <v>0</v>
          </cell>
          <cell r="F974">
            <v>35</v>
          </cell>
          <cell r="G974">
            <v>4635</v>
          </cell>
          <cell r="H974">
            <v>0</v>
          </cell>
          <cell r="I974">
            <v>0</v>
          </cell>
          <cell r="J974">
            <v>0</v>
          </cell>
          <cell r="K974">
            <v>3887</v>
          </cell>
          <cell r="L974">
            <v>234</v>
          </cell>
          <cell r="M974">
            <v>0</v>
          </cell>
          <cell r="N974">
            <v>0</v>
          </cell>
          <cell r="O974">
            <v>0</v>
          </cell>
          <cell r="P974">
            <v>0</v>
          </cell>
          <cell r="Q974">
            <v>8791</v>
          </cell>
        </row>
        <row r="975">
          <cell r="A975" t="str">
            <v>USCRP015013921200001</v>
          </cell>
          <cell r="B975" t="str">
            <v>USCRP01501</v>
          </cell>
          <cell r="C975">
            <v>3921200001</v>
          </cell>
          <cell r="D975" t="str">
            <v>FUEL</v>
          </cell>
          <cell r="E975">
            <v>2506</v>
          </cell>
          <cell r="F975">
            <v>5819</v>
          </cell>
          <cell r="G975">
            <v>13604</v>
          </cell>
          <cell r="H975">
            <v>5594</v>
          </cell>
          <cell r="I975">
            <v>0</v>
          </cell>
          <cell r="J975">
            <v>5125</v>
          </cell>
          <cell r="K975">
            <v>-3051</v>
          </cell>
          <cell r="L975">
            <v>234</v>
          </cell>
          <cell r="M975">
            <v>320</v>
          </cell>
          <cell r="N975">
            <v>259</v>
          </cell>
          <cell r="O975">
            <v>637</v>
          </cell>
          <cell r="P975">
            <v>2468</v>
          </cell>
          <cell r="Q975">
            <v>33515</v>
          </cell>
        </row>
        <row r="976">
          <cell r="A976" t="str">
            <v>USCRP015113921200001</v>
          </cell>
          <cell r="B976" t="str">
            <v>USCRP01511</v>
          </cell>
          <cell r="C976">
            <v>3921200001</v>
          </cell>
          <cell r="D976" t="str">
            <v>FUEL</v>
          </cell>
          <cell r="E976">
            <v>0</v>
          </cell>
          <cell r="F976">
            <v>0</v>
          </cell>
          <cell r="G976">
            <v>0</v>
          </cell>
          <cell r="H976">
            <v>0</v>
          </cell>
          <cell r="I976">
            <v>0</v>
          </cell>
          <cell r="J976">
            <v>219</v>
          </cell>
          <cell r="K976">
            <v>0</v>
          </cell>
          <cell r="L976">
            <v>0</v>
          </cell>
          <cell r="M976">
            <v>0</v>
          </cell>
          <cell r="N976">
            <v>0</v>
          </cell>
          <cell r="O976">
            <v>0</v>
          </cell>
          <cell r="P976">
            <v>0</v>
          </cell>
          <cell r="Q976">
            <v>219</v>
          </cell>
        </row>
        <row r="977">
          <cell r="A977" t="str">
            <v>USCRP015503921200001</v>
          </cell>
          <cell r="B977" t="str">
            <v>USCRP01550</v>
          </cell>
          <cell r="C977">
            <v>3921200001</v>
          </cell>
          <cell r="D977" t="str">
            <v>FUEL</v>
          </cell>
          <cell r="E977">
            <v>0</v>
          </cell>
          <cell r="F977">
            <v>0</v>
          </cell>
          <cell r="G977">
            <v>0</v>
          </cell>
          <cell r="H977">
            <v>0</v>
          </cell>
          <cell r="I977">
            <v>201</v>
          </cell>
          <cell r="J977">
            <v>4452</v>
          </cell>
          <cell r="K977">
            <v>6277</v>
          </cell>
          <cell r="L977">
            <v>4640</v>
          </cell>
          <cell r="M977">
            <v>3657</v>
          </cell>
          <cell r="N977">
            <v>0</v>
          </cell>
          <cell r="O977">
            <v>0</v>
          </cell>
          <cell r="P977">
            <v>0</v>
          </cell>
          <cell r="Q977">
            <v>19227</v>
          </cell>
        </row>
        <row r="978">
          <cell r="A978" t="str">
            <v>USCRP015533921200001</v>
          </cell>
          <cell r="B978" t="str">
            <v>USCRP01553</v>
          </cell>
          <cell r="C978">
            <v>3921200001</v>
          </cell>
          <cell r="D978" t="str">
            <v>FUEL</v>
          </cell>
          <cell r="E978">
            <v>0</v>
          </cell>
          <cell r="F978">
            <v>0</v>
          </cell>
          <cell r="G978">
            <v>0</v>
          </cell>
          <cell r="H978">
            <v>50</v>
          </cell>
          <cell r="I978">
            <v>1112</v>
          </cell>
          <cell r="J978">
            <v>-1083</v>
          </cell>
          <cell r="K978">
            <v>0</v>
          </cell>
          <cell r="L978">
            <v>4870</v>
          </cell>
          <cell r="M978">
            <v>2461</v>
          </cell>
          <cell r="N978">
            <v>0</v>
          </cell>
          <cell r="O978">
            <v>0</v>
          </cell>
          <cell r="P978">
            <v>0</v>
          </cell>
          <cell r="Q978">
            <v>7410</v>
          </cell>
        </row>
        <row r="979">
          <cell r="A979" t="str">
            <v>USCRP015603921200001</v>
          </cell>
          <cell r="B979" t="str">
            <v>USCRP01560</v>
          </cell>
          <cell r="C979">
            <v>3921200001</v>
          </cell>
          <cell r="D979" t="str">
            <v>FUEL</v>
          </cell>
          <cell r="E979">
            <v>6293</v>
          </cell>
          <cell r="F979">
            <v>8416</v>
          </cell>
          <cell r="G979">
            <v>0</v>
          </cell>
          <cell r="H979">
            <v>689</v>
          </cell>
          <cell r="I979">
            <v>0</v>
          </cell>
          <cell r="J979">
            <v>1940</v>
          </cell>
          <cell r="K979">
            <v>0</v>
          </cell>
          <cell r="L979">
            <v>0</v>
          </cell>
          <cell r="M979">
            <v>0</v>
          </cell>
          <cell r="N979">
            <v>0</v>
          </cell>
          <cell r="O979">
            <v>0</v>
          </cell>
          <cell r="P979">
            <v>0</v>
          </cell>
          <cell r="Q979">
            <v>17338</v>
          </cell>
        </row>
        <row r="980">
          <cell r="A980" t="str">
            <v>USCRP015643921200001</v>
          </cell>
          <cell r="B980" t="str">
            <v>USCRP01564</v>
          </cell>
          <cell r="C980">
            <v>3921200001</v>
          </cell>
          <cell r="D980" t="str">
            <v>FUEL</v>
          </cell>
          <cell r="E980">
            <v>0</v>
          </cell>
          <cell r="F980">
            <v>0</v>
          </cell>
          <cell r="G980">
            <v>0</v>
          </cell>
          <cell r="H980">
            <v>0</v>
          </cell>
          <cell r="I980">
            <v>187</v>
          </cell>
          <cell r="J980">
            <v>27</v>
          </cell>
          <cell r="K980">
            <v>0</v>
          </cell>
          <cell r="L980">
            <v>0</v>
          </cell>
          <cell r="M980">
            <v>25</v>
          </cell>
          <cell r="N980">
            <v>1173</v>
          </cell>
          <cell r="O980">
            <v>126636</v>
          </cell>
          <cell r="P980">
            <v>34</v>
          </cell>
          <cell r="Q980">
            <v>128082</v>
          </cell>
        </row>
        <row r="981">
          <cell r="A981" t="str">
            <v>US22P015013921200003</v>
          </cell>
          <cell r="B981" t="str">
            <v>US22P01501</v>
          </cell>
          <cell r="C981">
            <v>3921200003</v>
          </cell>
          <cell r="D981" t="str">
            <v>GAS</v>
          </cell>
          <cell r="E981">
            <v>860</v>
          </cell>
          <cell r="F981">
            <v>2021</v>
          </cell>
          <cell r="G981">
            <v>3027</v>
          </cell>
          <cell r="H981">
            <v>1764</v>
          </cell>
          <cell r="I981">
            <v>2132</v>
          </cell>
          <cell r="J981">
            <v>2823</v>
          </cell>
          <cell r="K981">
            <v>368</v>
          </cell>
          <cell r="L981">
            <v>643</v>
          </cell>
          <cell r="M981">
            <v>280</v>
          </cell>
          <cell r="N981">
            <v>738</v>
          </cell>
          <cell r="O981">
            <v>542</v>
          </cell>
          <cell r="P981">
            <v>486</v>
          </cell>
          <cell r="Q981">
            <v>15684</v>
          </cell>
        </row>
        <row r="982">
          <cell r="A982" t="str">
            <v>US22P015503921200003</v>
          </cell>
          <cell r="B982" t="str">
            <v>US22P01550</v>
          </cell>
          <cell r="C982">
            <v>3921200003</v>
          </cell>
          <cell r="D982" t="str">
            <v>GAS</v>
          </cell>
          <cell r="E982">
            <v>18</v>
          </cell>
          <cell r="F982">
            <v>1567</v>
          </cell>
          <cell r="G982">
            <v>1588</v>
          </cell>
          <cell r="H982">
            <v>1239</v>
          </cell>
          <cell r="I982">
            <v>2308</v>
          </cell>
          <cell r="J982">
            <v>17275</v>
          </cell>
          <cell r="K982">
            <v>575</v>
          </cell>
          <cell r="L982">
            <v>9743</v>
          </cell>
          <cell r="M982">
            <v>9313</v>
          </cell>
          <cell r="N982">
            <v>5626</v>
          </cell>
          <cell r="O982">
            <v>6969</v>
          </cell>
          <cell r="P982">
            <v>2745</v>
          </cell>
          <cell r="Q982">
            <v>58966</v>
          </cell>
        </row>
        <row r="983">
          <cell r="A983" t="str">
            <v>US22P015533921200003</v>
          </cell>
          <cell r="B983" t="str">
            <v>US22P01553</v>
          </cell>
          <cell r="C983">
            <v>3921200003</v>
          </cell>
          <cell r="D983" t="str">
            <v>GAS</v>
          </cell>
          <cell r="E983">
            <v>0</v>
          </cell>
          <cell r="F983">
            <v>0</v>
          </cell>
          <cell r="G983">
            <v>0</v>
          </cell>
          <cell r="H983">
            <v>0</v>
          </cell>
          <cell r="I983">
            <v>0</v>
          </cell>
          <cell r="J983">
            <v>0</v>
          </cell>
          <cell r="K983">
            <v>0</v>
          </cell>
          <cell r="L983">
            <v>244</v>
          </cell>
          <cell r="M983">
            <v>0</v>
          </cell>
          <cell r="N983">
            <v>0</v>
          </cell>
          <cell r="O983">
            <v>0</v>
          </cell>
          <cell r="P983">
            <v>0</v>
          </cell>
          <cell r="Q983">
            <v>244</v>
          </cell>
        </row>
        <row r="984">
          <cell r="A984" t="str">
            <v>US22P015643921200003</v>
          </cell>
          <cell r="B984" t="str">
            <v>US22P01564</v>
          </cell>
          <cell r="C984">
            <v>3921200003</v>
          </cell>
          <cell r="D984" t="str">
            <v>GAS</v>
          </cell>
          <cell r="E984">
            <v>0</v>
          </cell>
          <cell r="F984">
            <v>0</v>
          </cell>
          <cell r="G984">
            <v>0</v>
          </cell>
          <cell r="H984">
            <v>0</v>
          </cell>
          <cell r="I984">
            <v>0</v>
          </cell>
          <cell r="J984">
            <v>0</v>
          </cell>
          <cell r="K984">
            <v>0</v>
          </cell>
          <cell r="L984">
            <v>0</v>
          </cell>
          <cell r="M984">
            <v>22605</v>
          </cell>
          <cell r="N984">
            <v>125752</v>
          </cell>
          <cell r="O984">
            <v>0</v>
          </cell>
          <cell r="P984">
            <v>0</v>
          </cell>
          <cell r="Q984">
            <v>148357</v>
          </cell>
        </row>
        <row r="985">
          <cell r="A985" t="str">
            <v>US28P015013921200003</v>
          </cell>
          <cell r="B985" t="str">
            <v>US28P01501</v>
          </cell>
          <cell r="C985">
            <v>3921200003</v>
          </cell>
          <cell r="D985" t="str">
            <v>GAS</v>
          </cell>
          <cell r="E985">
            <v>75</v>
          </cell>
          <cell r="F985">
            <v>442</v>
          </cell>
          <cell r="G985">
            <v>1846</v>
          </cell>
          <cell r="H985">
            <v>1620</v>
          </cell>
          <cell r="I985">
            <v>863</v>
          </cell>
          <cell r="J985">
            <v>2379</v>
          </cell>
          <cell r="K985">
            <v>0</v>
          </cell>
          <cell r="L985">
            <v>1522</v>
          </cell>
          <cell r="M985">
            <v>721</v>
          </cell>
          <cell r="N985">
            <v>799</v>
          </cell>
          <cell r="O985">
            <v>3267</v>
          </cell>
          <cell r="P985">
            <v>1390</v>
          </cell>
          <cell r="Q985">
            <v>14924</v>
          </cell>
        </row>
        <row r="986">
          <cell r="A986" t="str">
            <v>US28P015503921200003</v>
          </cell>
          <cell r="B986" t="str">
            <v>US28P01550</v>
          </cell>
          <cell r="C986">
            <v>3921200003</v>
          </cell>
          <cell r="D986" t="str">
            <v>GAS</v>
          </cell>
          <cell r="E986">
            <v>0</v>
          </cell>
          <cell r="F986">
            <v>37</v>
          </cell>
          <cell r="G986">
            <v>254</v>
          </cell>
          <cell r="H986">
            <v>44</v>
          </cell>
          <cell r="I986">
            <v>214</v>
          </cell>
          <cell r="J986">
            <v>2383</v>
          </cell>
          <cell r="K986">
            <v>0</v>
          </cell>
          <cell r="L986">
            <v>1573</v>
          </cell>
          <cell r="M986">
            <v>1030</v>
          </cell>
          <cell r="N986">
            <v>397</v>
          </cell>
          <cell r="O986">
            <v>240</v>
          </cell>
          <cell r="P986">
            <v>27</v>
          </cell>
          <cell r="Q986">
            <v>6199</v>
          </cell>
        </row>
        <row r="987">
          <cell r="A987" t="str">
            <v>US28P015643921200003</v>
          </cell>
          <cell r="B987" t="str">
            <v>US28P01564</v>
          </cell>
          <cell r="C987">
            <v>3921200003</v>
          </cell>
          <cell r="D987" t="str">
            <v>GAS</v>
          </cell>
          <cell r="E987">
            <v>0</v>
          </cell>
          <cell r="F987">
            <v>0</v>
          </cell>
          <cell r="G987">
            <v>0</v>
          </cell>
          <cell r="H987">
            <v>0</v>
          </cell>
          <cell r="I987">
            <v>0</v>
          </cell>
          <cell r="J987">
            <v>0</v>
          </cell>
          <cell r="K987">
            <v>0</v>
          </cell>
          <cell r="L987">
            <v>0</v>
          </cell>
          <cell r="M987">
            <v>63085</v>
          </cell>
          <cell r="N987">
            <v>106691</v>
          </cell>
          <cell r="O987">
            <v>450</v>
          </cell>
          <cell r="P987">
            <v>0</v>
          </cell>
          <cell r="Q987">
            <v>170226</v>
          </cell>
        </row>
        <row r="988">
          <cell r="A988" t="str">
            <v>US35P015013921200003</v>
          </cell>
          <cell r="B988" t="str">
            <v>US35P01501</v>
          </cell>
          <cell r="C988">
            <v>3921200003</v>
          </cell>
          <cell r="D988" t="str">
            <v>GAS</v>
          </cell>
          <cell r="E988">
            <v>173</v>
          </cell>
          <cell r="F988">
            <v>0</v>
          </cell>
          <cell r="G988">
            <v>84</v>
          </cell>
          <cell r="H988">
            <v>0</v>
          </cell>
          <cell r="I988">
            <v>57</v>
          </cell>
          <cell r="J988">
            <v>1753</v>
          </cell>
          <cell r="K988">
            <v>0</v>
          </cell>
          <cell r="L988">
            <v>566</v>
          </cell>
          <cell r="M988">
            <v>506</v>
          </cell>
          <cell r="N988">
            <v>327</v>
          </cell>
          <cell r="O988">
            <v>184</v>
          </cell>
          <cell r="P988">
            <v>337</v>
          </cell>
          <cell r="Q988">
            <v>3987</v>
          </cell>
        </row>
        <row r="989">
          <cell r="A989" t="str">
            <v>US35P015503921200003</v>
          </cell>
          <cell r="B989" t="str">
            <v>US35P01550</v>
          </cell>
          <cell r="C989">
            <v>3921200003</v>
          </cell>
          <cell r="D989" t="str">
            <v>GAS</v>
          </cell>
          <cell r="E989">
            <v>0</v>
          </cell>
          <cell r="F989">
            <v>141</v>
          </cell>
          <cell r="G989">
            <v>0</v>
          </cell>
          <cell r="H989">
            <v>228</v>
          </cell>
          <cell r="I989">
            <v>103</v>
          </cell>
          <cell r="J989">
            <v>4955</v>
          </cell>
          <cell r="K989">
            <v>0</v>
          </cell>
          <cell r="L989">
            <v>2211</v>
          </cell>
          <cell r="M989">
            <v>3315</v>
          </cell>
          <cell r="N989">
            <v>1098</v>
          </cell>
          <cell r="O989">
            <v>1301</v>
          </cell>
          <cell r="P989">
            <v>662</v>
          </cell>
          <cell r="Q989">
            <v>14014</v>
          </cell>
        </row>
        <row r="990">
          <cell r="A990" t="str">
            <v>US35P015643921200003</v>
          </cell>
          <cell r="B990" t="str">
            <v>US35P01564</v>
          </cell>
          <cell r="C990">
            <v>3921200003</v>
          </cell>
          <cell r="D990" t="str">
            <v>GAS</v>
          </cell>
          <cell r="E990">
            <v>5605</v>
          </cell>
          <cell r="F990">
            <v>3667</v>
          </cell>
          <cell r="G990">
            <v>2645</v>
          </cell>
          <cell r="H990">
            <v>1217</v>
          </cell>
          <cell r="I990">
            <v>414</v>
          </cell>
          <cell r="J990">
            <v>65</v>
          </cell>
          <cell r="K990">
            <v>51</v>
          </cell>
          <cell r="L990">
            <v>48</v>
          </cell>
          <cell r="M990">
            <v>0</v>
          </cell>
          <cell r="N990">
            <v>81</v>
          </cell>
          <cell r="O990">
            <v>0</v>
          </cell>
          <cell r="P990">
            <v>0</v>
          </cell>
          <cell r="Q990">
            <v>13793</v>
          </cell>
        </row>
        <row r="991">
          <cell r="A991" t="str">
            <v>USWOP015013921200003</v>
          </cell>
          <cell r="B991" t="str">
            <v>USWOP01501</v>
          </cell>
          <cell r="C991">
            <v>3921200003</v>
          </cell>
          <cell r="D991" t="str">
            <v>GAS</v>
          </cell>
          <cell r="E991">
            <v>0</v>
          </cell>
          <cell r="F991">
            <v>1123</v>
          </cell>
          <cell r="G991">
            <v>698</v>
          </cell>
          <cell r="H991">
            <v>1144</v>
          </cell>
          <cell r="I991">
            <v>1226</v>
          </cell>
          <cell r="J991">
            <v>9772</v>
          </cell>
          <cell r="K991">
            <v>181</v>
          </cell>
          <cell r="L991">
            <v>5037</v>
          </cell>
          <cell r="M991">
            <v>2135</v>
          </cell>
          <cell r="N991">
            <v>2777</v>
          </cell>
          <cell r="O991">
            <v>3534</v>
          </cell>
          <cell r="P991">
            <v>1266</v>
          </cell>
          <cell r="Q991">
            <v>28893</v>
          </cell>
        </row>
        <row r="992">
          <cell r="A992" t="str">
            <v>USWOP015503921200003</v>
          </cell>
          <cell r="B992" t="str">
            <v>USWOP01550</v>
          </cell>
          <cell r="C992">
            <v>3921200003</v>
          </cell>
          <cell r="D992" t="str">
            <v>GAS</v>
          </cell>
          <cell r="E992">
            <v>0</v>
          </cell>
          <cell r="F992">
            <v>0</v>
          </cell>
          <cell r="G992">
            <v>0</v>
          </cell>
          <cell r="H992">
            <v>15</v>
          </cell>
          <cell r="I992">
            <v>994</v>
          </cell>
          <cell r="J992">
            <v>0</v>
          </cell>
          <cell r="K992">
            <v>904</v>
          </cell>
          <cell r="L992">
            <v>1707</v>
          </cell>
          <cell r="M992">
            <v>0</v>
          </cell>
          <cell r="N992">
            <v>1168</v>
          </cell>
          <cell r="O992">
            <v>0</v>
          </cell>
          <cell r="P992">
            <v>0</v>
          </cell>
          <cell r="Q992">
            <v>4788</v>
          </cell>
        </row>
        <row r="993">
          <cell r="A993" t="str">
            <v>USWOP015533921200003</v>
          </cell>
          <cell r="B993" t="str">
            <v>USWOP01553</v>
          </cell>
          <cell r="C993">
            <v>3921200003</v>
          </cell>
          <cell r="D993" t="str">
            <v>GAS</v>
          </cell>
          <cell r="E993">
            <v>0</v>
          </cell>
          <cell r="F993">
            <v>0</v>
          </cell>
          <cell r="G993">
            <v>0</v>
          </cell>
          <cell r="H993">
            <v>0</v>
          </cell>
          <cell r="I993">
            <v>0</v>
          </cell>
          <cell r="J993">
            <v>0</v>
          </cell>
          <cell r="K993">
            <v>0</v>
          </cell>
          <cell r="L993">
            <v>869</v>
          </cell>
          <cell r="M993">
            <v>0</v>
          </cell>
          <cell r="N993">
            <v>0</v>
          </cell>
          <cell r="O993">
            <v>0</v>
          </cell>
          <cell r="P993">
            <v>0</v>
          </cell>
          <cell r="Q993">
            <v>869</v>
          </cell>
        </row>
        <row r="994">
          <cell r="A994" t="str">
            <v>USWOP015643921200003</v>
          </cell>
          <cell r="B994" t="str">
            <v>USWOP01564</v>
          </cell>
          <cell r="C994">
            <v>3921200003</v>
          </cell>
          <cell r="D994" t="str">
            <v>GAS</v>
          </cell>
          <cell r="E994">
            <v>0</v>
          </cell>
          <cell r="F994">
            <v>0</v>
          </cell>
          <cell r="G994">
            <v>0</v>
          </cell>
          <cell r="H994">
            <v>0</v>
          </cell>
          <cell r="I994">
            <v>0</v>
          </cell>
          <cell r="J994">
            <v>0</v>
          </cell>
          <cell r="K994">
            <v>50</v>
          </cell>
          <cell r="L994">
            <v>0</v>
          </cell>
          <cell r="M994">
            <v>0</v>
          </cell>
          <cell r="N994">
            <v>180446</v>
          </cell>
          <cell r="O994">
            <v>0</v>
          </cell>
          <cell r="P994">
            <v>60641</v>
          </cell>
          <cell r="Q994">
            <v>241137</v>
          </cell>
        </row>
        <row r="995">
          <cell r="A995" t="str">
            <v>US59P015013921200003</v>
          </cell>
          <cell r="B995" t="str">
            <v>US59P01501</v>
          </cell>
          <cell r="C995">
            <v>3921200003</v>
          </cell>
          <cell r="D995" t="str">
            <v>GAS</v>
          </cell>
          <cell r="E995">
            <v>0</v>
          </cell>
          <cell r="F995">
            <v>516</v>
          </cell>
          <cell r="G995">
            <v>729</v>
          </cell>
          <cell r="H995">
            <v>1317</v>
          </cell>
          <cell r="I995">
            <v>1294</v>
          </cell>
          <cell r="J995">
            <v>3110</v>
          </cell>
          <cell r="K995">
            <v>0</v>
          </cell>
          <cell r="L995">
            <v>2518</v>
          </cell>
          <cell r="M995">
            <v>2624</v>
          </cell>
          <cell r="N995">
            <v>3646</v>
          </cell>
          <cell r="O995">
            <v>3976</v>
          </cell>
          <cell r="P995">
            <v>1301</v>
          </cell>
          <cell r="Q995">
            <v>21031</v>
          </cell>
        </row>
        <row r="996">
          <cell r="A996" t="str">
            <v>US59P015503921200003</v>
          </cell>
          <cell r="B996" t="str">
            <v>US59P01550</v>
          </cell>
          <cell r="C996">
            <v>3921200003</v>
          </cell>
          <cell r="D996" t="str">
            <v>GAS</v>
          </cell>
          <cell r="E996">
            <v>0</v>
          </cell>
          <cell r="F996">
            <v>0</v>
          </cell>
          <cell r="G996">
            <v>0</v>
          </cell>
          <cell r="H996">
            <v>0</v>
          </cell>
          <cell r="I996">
            <v>575</v>
          </cell>
          <cell r="J996">
            <v>1927</v>
          </cell>
          <cell r="K996">
            <v>0</v>
          </cell>
          <cell r="L996">
            <v>5475</v>
          </cell>
          <cell r="M996">
            <v>2763</v>
          </cell>
          <cell r="N996">
            <v>3714</v>
          </cell>
          <cell r="O996">
            <v>0</v>
          </cell>
          <cell r="P996">
            <v>5779</v>
          </cell>
          <cell r="Q996">
            <v>20233</v>
          </cell>
        </row>
        <row r="997">
          <cell r="A997" t="str">
            <v>US59P015533921200003</v>
          </cell>
          <cell r="B997" t="str">
            <v>US59P01553</v>
          </cell>
          <cell r="C997">
            <v>3921200003</v>
          </cell>
          <cell r="D997" t="str">
            <v>GAS</v>
          </cell>
          <cell r="E997">
            <v>0</v>
          </cell>
          <cell r="F997">
            <v>0</v>
          </cell>
          <cell r="G997">
            <v>0</v>
          </cell>
          <cell r="H997">
            <v>0</v>
          </cell>
          <cell r="I997">
            <v>0</v>
          </cell>
          <cell r="J997">
            <v>0</v>
          </cell>
          <cell r="K997">
            <v>949</v>
          </cell>
          <cell r="L997">
            <v>0</v>
          </cell>
          <cell r="M997">
            <v>1099</v>
          </cell>
          <cell r="N997">
            <v>0</v>
          </cell>
          <cell r="O997">
            <v>0</v>
          </cell>
          <cell r="P997">
            <v>0</v>
          </cell>
          <cell r="Q997">
            <v>2048</v>
          </cell>
        </row>
        <row r="998">
          <cell r="A998" t="str">
            <v>US59P015643921200003</v>
          </cell>
          <cell r="B998" t="str">
            <v>US59P01564</v>
          </cell>
          <cell r="C998">
            <v>3921200003</v>
          </cell>
          <cell r="D998" t="str">
            <v>GAS</v>
          </cell>
          <cell r="E998">
            <v>0</v>
          </cell>
          <cell r="F998">
            <v>0</v>
          </cell>
          <cell r="G998">
            <v>0</v>
          </cell>
          <cell r="H998">
            <v>0</v>
          </cell>
          <cell r="I998">
            <v>0</v>
          </cell>
          <cell r="J998">
            <v>0</v>
          </cell>
          <cell r="K998">
            <v>0</v>
          </cell>
          <cell r="L998">
            <v>0</v>
          </cell>
          <cell r="M998">
            <v>0</v>
          </cell>
          <cell r="N998">
            <v>0</v>
          </cell>
          <cell r="O998">
            <v>103160</v>
          </cell>
          <cell r="P998">
            <v>0</v>
          </cell>
          <cell r="Q998">
            <v>103160</v>
          </cell>
        </row>
        <row r="999">
          <cell r="A999" t="str">
            <v>US59P3C5603921200003</v>
          </cell>
          <cell r="B999" t="str">
            <v>US59P3C560</v>
          </cell>
          <cell r="C999">
            <v>3921200003</v>
          </cell>
          <cell r="D999" t="str">
            <v>GAS</v>
          </cell>
          <cell r="E999">
            <v>0</v>
          </cell>
          <cell r="F999">
            <v>0</v>
          </cell>
          <cell r="G999">
            <v>245</v>
          </cell>
          <cell r="H999">
            <v>0</v>
          </cell>
          <cell r="I999">
            <v>0</v>
          </cell>
          <cell r="J999">
            <v>0</v>
          </cell>
          <cell r="K999">
            <v>0</v>
          </cell>
          <cell r="L999">
            <v>0</v>
          </cell>
          <cell r="M999">
            <v>0</v>
          </cell>
          <cell r="N999">
            <v>1235</v>
          </cell>
          <cell r="O999">
            <v>0</v>
          </cell>
          <cell r="P999">
            <v>0</v>
          </cell>
          <cell r="Q999">
            <v>1480</v>
          </cell>
        </row>
        <row r="1000">
          <cell r="A1000" t="str">
            <v>US59PZA5013921200003</v>
          </cell>
          <cell r="B1000" t="str">
            <v>US59PZA501</v>
          </cell>
          <cell r="C1000">
            <v>3921200003</v>
          </cell>
          <cell r="D1000" t="str">
            <v>GAS</v>
          </cell>
          <cell r="E1000">
            <v>0</v>
          </cell>
          <cell r="F1000">
            <v>0</v>
          </cell>
          <cell r="G1000">
            <v>0</v>
          </cell>
          <cell r="H1000">
            <v>127</v>
          </cell>
          <cell r="I1000">
            <v>0</v>
          </cell>
          <cell r="J1000">
            <v>96</v>
          </cell>
          <cell r="K1000">
            <v>0</v>
          </cell>
          <cell r="L1000">
            <v>0</v>
          </cell>
          <cell r="M1000">
            <v>0</v>
          </cell>
          <cell r="N1000">
            <v>0</v>
          </cell>
          <cell r="O1000">
            <v>0</v>
          </cell>
          <cell r="P1000">
            <v>0</v>
          </cell>
          <cell r="Q1000">
            <v>223</v>
          </cell>
        </row>
        <row r="1001">
          <cell r="A1001" t="str">
            <v>USCLP015013921200003</v>
          </cell>
          <cell r="B1001" t="str">
            <v>USCLP01501</v>
          </cell>
          <cell r="C1001">
            <v>3921200003</v>
          </cell>
          <cell r="D1001" t="str">
            <v>GAS</v>
          </cell>
          <cell r="E1001">
            <v>0</v>
          </cell>
          <cell r="F1001">
            <v>0</v>
          </cell>
          <cell r="G1001">
            <v>0</v>
          </cell>
          <cell r="H1001">
            <v>0</v>
          </cell>
          <cell r="I1001">
            <v>0</v>
          </cell>
          <cell r="J1001">
            <v>10</v>
          </cell>
          <cell r="K1001">
            <v>0</v>
          </cell>
          <cell r="L1001">
            <v>0</v>
          </cell>
          <cell r="M1001">
            <v>0</v>
          </cell>
          <cell r="N1001">
            <v>0</v>
          </cell>
          <cell r="O1001">
            <v>0</v>
          </cell>
          <cell r="P1001">
            <v>0</v>
          </cell>
          <cell r="Q1001">
            <v>10</v>
          </cell>
        </row>
        <row r="1002">
          <cell r="A1002" t="str">
            <v>USCRP015013921200003</v>
          </cell>
          <cell r="B1002" t="str">
            <v>USCRP01501</v>
          </cell>
          <cell r="C1002">
            <v>3921200003</v>
          </cell>
          <cell r="D1002" t="str">
            <v>GAS</v>
          </cell>
          <cell r="E1002">
            <v>54</v>
          </cell>
          <cell r="F1002">
            <v>1164</v>
          </cell>
          <cell r="G1002">
            <v>660</v>
          </cell>
          <cell r="H1002">
            <v>833</v>
          </cell>
          <cell r="I1002">
            <v>1138</v>
          </cell>
          <cell r="J1002">
            <v>5812</v>
          </cell>
          <cell r="K1002">
            <v>0</v>
          </cell>
          <cell r="L1002">
            <v>3604</v>
          </cell>
          <cell r="M1002">
            <v>4335</v>
          </cell>
          <cell r="N1002">
            <v>8045</v>
          </cell>
          <cell r="O1002">
            <v>4530</v>
          </cell>
          <cell r="P1002">
            <v>1251</v>
          </cell>
          <cell r="Q1002">
            <v>31426</v>
          </cell>
        </row>
        <row r="1003">
          <cell r="A1003" t="str">
            <v>USCRP015643921200003</v>
          </cell>
          <cell r="B1003" t="str">
            <v>USCRP01564</v>
          </cell>
          <cell r="C1003">
            <v>3921200003</v>
          </cell>
          <cell r="D1003" t="str">
            <v>GAS</v>
          </cell>
          <cell r="E1003">
            <v>0</v>
          </cell>
          <cell r="F1003">
            <v>0</v>
          </cell>
          <cell r="G1003">
            <v>0</v>
          </cell>
          <cell r="H1003">
            <v>0</v>
          </cell>
          <cell r="I1003">
            <v>0</v>
          </cell>
          <cell r="J1003">
            <v>0</v>
          </cell>
          <cell r="K1003">
            <v>0</v>
          </cell>
          <cell r="L1003">
            <v>0</v>
          </cell>
          <cell r="M1003">
            <v>0</v>
          </cell>
          <cell r="N1003">
            <v>275266</v>
          </cell>
          <cell r="O1003">
            <v>0</v>
          </cell>
          <cell r="P1003">
            <v>0</v>
          </cell>
          <cell r="Q1003">
            <v>275266</v>
          </cell>
        </row>
        <row r="1004">
          <cell r="A1004" t="str">
            <v>US28P015903921200004</v>
          </cell>
          <cell r="B1004" t="str">
            <v>US28P01590</v>
          </cell>
          <cell r="C1004">
            <v>3921200004</v>
          </cell>
          <cell r="D1004" t="str">
            <v>FACTORY SUPPLIES LABO SUPPLIES</v>
          </cell>
          <cell r="E1004">
            <v>0</v>
          </cell>
          <cell r="F1004">
            <v>0</v>
          </cell>
          <cell r="G1004">
            <v>0</v>
          </cell>
          <cell r="H1004">
            <v>0</v>
          </cell>
          <cell r="I1004">
            <v>0</v>
          </cell>
          <cell r="J1004">
            <v>0</v>
          </cell>
          <cell r="K1004">
            <v>0</v>
          </cell>
          <cell r="L1004">
            <v>0</v>
          </cell>
          <cell r="M1004">
            <v>0</v>
          </cell>
          <cell r="N1004">
            <v>23</v>
          </cell>
          <cell r="O1004">
            <v>1069</v>
          </cell>
          <cell r="P1004">
            <v>0</v>
          </cell>
          <cell r="Q1004">
            <v>1092</v>
          </cell>
        </row>
        <row r="1005">
          <cell r="A1005" t="str">
            <v>US28P015923921200004</v>
          </cell>
          <cell r="B1005" t="str">
            <v>US28P01592</v>
          </cell>
          <cell r="C1005">
            <v>3921200004</v>
          </cell>
          <cell r="D1005" t="str">
            <v>FACTORY SUPPLIES LABO SUPPLIES</v>
          </cell>
          <cell r="E1005">
            <v>0</v>
          </cell>
          <cell r="F1005">
            <v>0</v>
          </cell>
          <cell r="G1005">
            <v>0</v>
          </cell>
          <cell r="H1005">
            <v>0</v>
          </cell>
          <cell r="I1005">
            <v>0</v>
          </cell>
          <cell r="J1005">
            <v>0</v>
          </cell>
          <cell r="K1005">
            <v>0</v>
          </cell>
          <cell r="L1005">
            <v>0</v>
          </cell>
          <cell r="M1005">
            <v>0</v>
          </cell>
          <cell r="N1005">
            <v>389</v>
          </cell>
          <cell r="O1005">
            <v>0</v>
          </cell>
          <cell r="P1005">
            <v>0</v>
          </cell>
          <cell r="Q1005">
            <v>389</v>
          </cell>
        </row>
        <row r="1006">
          <cell r="A1006" t="str">
            <v>US35P015903921200004</v>
          </cell>
          <cell r="B1006" t="str">
            <v>US35P01590</v>
          </cell>
          <cell r="C1006">
            <v>3921200004</v>
          </cell>
          <cell r="D1006" t="str">
            <v>FACTORY SUPPLIES LABO SUPPLIES</v>
          </cell>
          <cell r="E1006">
            <v>0</v>
          </cell>
          <cell r="F1006">
            <v>0</v>
          </cell>
          <cell r="G1006">
            <v>0</v>
          </cell>
          <cell r="H1006">
            <v>42</v>
          </cell>
          <cell r="I1006">
            <v>0</v>
          </cell>
          <cell r="J1006">
            <v>0</v>
          </cell>
          <cell r="K1006">
            <v>0</v>
          </cell>
          <cell r="L1006">
            <v>0</v>
          </cell>
          <cell r="M1006">
            <v>0</v>
          </cell>
          <cell r="N1006">
            <v>0</v>
          </cell>
          <cell r="O1006">
            <v>0</v>
          </cell>
          <cell r="P1006">
            <v>0</v>
          </cell>
          <cell r="Q1006">
            <v>42</v>
          </cell>
        </row>
        <row r="1007">
          <cell r="A1007" t="str">
            <v>US59P015603921200004</v>
          </cell>
          <cell r="B1007" t="str">
            <v>US59P01560</v>
          </cell>
          <cell r="C1007">
            <v>3921200004</v>
          </cell>
          <cell r="D1007" t="str">
            <v>FACTORY SUPPLIES LABO SUPPLIES</v>
          </cell>
          <cell r="E1007">
            <v>0</v>
          </cell>
          <cell r="F1007">
            <v>0</v>
          </cell>
          <cell r="G1007">
            <v>0</v>
          </cell>
          <cell r="H1007">
            <v>0</v>
          </cell>
          <cell r="I1007">
            <v>0</v>
          </cell>
          <cell r="J1007">
            <v>0</v>
          </cell>
          <cell r="K1007">
            <v>0</v>
          </cell>
          <cell r="L1007">
            <v>0</v>
          </cell>
          <cell r="M1007">
            <v>0</v>
          </cell>
          <cell r="N1007">
            <v>412</v>
          </cell>
          <cell r="O1007">
            <v>0</v>
          </cell>
          <cell r="P1007">
            <v>0</v>
          </cell>
          <cell r="Q1007">
            <v>412</v>
          </cell>
        </row>
        <row r="1008">
          <cell r="A1008" t="str">
            <v>US59P3C5603921200004</v>
          </cell>
          <cell r="B1008" t="str">
            <v>US59P3C560</v>
          </cell>
          <cell r="C1008">
            <v>3921200004</v>
          </cell>
          <cell r="D1008" t="str">
            <v>FACTORY SUPPLIES LABO SUPPLIES</v>
          </cell>
          <cell r="E1008">
            <v>0</v>
          </cell>
          <cell r="F1008">
            <v>94</v>
          </cell>
          <cell r="G1008">
            <v>0</v>
          </cell>
          <cell r="H1008">
            <v>0</v>
          </cell>
          <cell r="I1008">
            <v>0</v>
          </cell>
          <cell r="J1008">
            <v>0</v>
          </cell>
          <cell r="K1008">
            <v>0</v>
          </cell>
          <cell r="L1008">
            <v>0</v>
          </cell>
          <cell r="M1008">
            <v>0</v>
          </cell>
          <cell r="N1008">
            <v>954</v>
          </cell>
          <cell r="O1008">
            <v>0</v>
          </cell>
          <cell r="P1008">
            <v>0</v>
          </cell>
          <cell r="Q1008">
            <v>1048</v>
          </cell>
        </row>
        <row r="1009">
          <cell r="A1009" t="str">
            <v>USCRP015903921200004</v>
          </cell>
          <cell r="B1009" t="str">
            <v>USCRP01590</v>
          </cell>
          <cell r="C1009">
            <v>3921200004</v>
          </cell>
          <cell r="D1009" t="str">
            <v>FACTORY SUPPLIES LABO SUPPLIES</v>
          </cell>
          <cell r="E1009">
            <v>0</v>
          </cell>
          <cell r="F1009">
            <v>0</v>
          </cell>
          <cell r="G1009">
            <v>0</v>
          </cell>
          <cell r="H1009">
            <v>0</v>
          </cell>
          <cell r="I1009">
            <v>0</v>
          </cell>
          <cell r="J1009">
            <v>0</v>
          </cell>
          <cell r="K1009">
            <v>0</v>
          </cell>
          <cell r="L1009">
            <v>0</v>
          </cell>
          <cell r="M1009">
            <v>0</v>
          </cell>
          <cell r="N1009">
            <v>390</v>
          </cell>
          <cell r="O1009">
            <v>0</v>
          </cell>
          <cell r="P1009">
            <v>0</v>
          </cell>
          <cell r="Q1009">
            <v>390</v>
          </cell>
        </row>
        <row r="1010">
          <cell r="A1010" t="str">
            <v>US22P015013921200006</v>
          </cell>
          <cell r="B1010" t="str">
            <v>US22P01501</v>
          </cell>
          <cell r="C1010">
            <v>3921200006</v>
          </cell>
          <cell r="D1010" t="str">
            <v>FACTORY SUPPLIES MAINTENANCE SUPPLIES</v>
          </cell>
          <cell r="E1010">
            <v>3592</v>
          </cell>
          <cell r="F1010">
            <v>1494</v>
          </cell>
          <cell r="G1010">
            <v>2290</v>
          </cell>
          <cell r="H1010">
            <v>261</v>
          </cell>
          <cell r="I1010">
            <v>3209</v>
          </cell>
          <cell r="J1010">
            <v>2607</v>
          </cell>
          <cell r="K1010">
            <v>620</v>
          </cell>
          <cell r="L1010">
            <v>440</v>
          </cell>
          <cell r="M1010">
            <v>796</v>
          </cell>
          <cell r="N1010">
            <v>4411</v>
          </cell>
          <cell r="O1010">
            <v>1156</v>
          </cell>
          <cell r="P1010">
            <v>148</v>
          </cell>
          <cell r="Q1010">
            <v>21024</v>
          </cell>
        </row>
        <row r="1011">
          <cell r="A1011" t="str">
            <v>US22P015503921200006</v>
          </cell>
          <cell r="B1011" t="str">
            <v>US22P01550</v>
          </cell>
          <cell r="C1011">
            <v>3921200006</v>
          </cell>
          <cell r="D1011" t="str">
            <v>FACTORY SUPPLIES MAINTENANCE SUPPLIES</v>
          </cell>
          <cell r="E1011">
            <v>26</v>
          </cell>
          <cell r="F1011">
            <v>0</v>
          </cell>
          <cell r="G1011">
            <v>0</v>
          </cell>
          <cell r="H1011">
            <v>3004</v>
          </cell>
          <cell r="I1011">
            <v>0</v>
          </cell>
          <cell r="J1011">
            <v>7253</v>
          </cell>
          <cell r="K1011">
            <v>346</v>
          </cell>
          <cell r="L1011">
            <v>628</v>
          </cell>
          <cell r="M1011">
            <v>243</v>
          </cell>
          <cell r="N1011">
            <v>30</v>
          </cell>
          <cell r="O1011">
            <v>600</v>
          </cell>
          <cell r="P1011">
            <v>987</v>
          </cell>
          <cell r="Q1011">
            <v>13117</v>
          </cell>
        </row>
        <row r="1012">
          <cell r="A1012" t="str">
            <v>US22P015533921200006</v>
          </cell>
          <cell r="B1012" t="str">
            <v>US22P01553</v>
          </cell>
          <cell r="C1012">
            <v>3921200006</v>
          </cell>
          <cell r="D1012" t="str">
            <v>FACTORY SUPPLIES MAINTENANCE SUPPLIES</v>
          </cell>
          <cell r="E1012">
            <v>0</v>
          </cell>
          <cell r="F1012">
            <v>0</v>
          </cell>
          <cell r="G1012">
            <v>0</v>
          </cell>
          <cell r="H1012">
            <v>33</v>
          </cell>
          <cell r="I1012">
            <v>89</v>
          </cell>
          <cell r="J1012">
            <v>7816</v>
          </cell>
          <cell r="K1012">
            <v>12640</v>
          </cell>
          <cell r="L1012">
            <v>13511</v>
          </cell>
          <cell r="M1012">
            <v>5174</v>
          </cell>
          <cell r="N1012">
            <v>-392</v>
          </cell>
          <cell r="O1012">
            <v>603</v>
          </cell>
          <cell r="P1012">
            <v>869</v>
          </cell>
          <cell r="Q1012">
            <v>40343</v>
          </cell>
        </row>
        <row r="1013">
          <cell r="A1013" t="str">
            <v>US22P015603921200006</v>
          </cell>
          <cell r="B1013" t="str">
            <v>US22P01560</v>
          </cell>
          <cell r="C1013">
            <v>3921200006</v>
          </cell>
          <cell r="D1013" t="str">
            <v>FACTORY SUPPLIES MAINTENANCE SUPPLIES</v>
          </cell>
          <cell r="E1013">
            <v>5046</v>
          </cell>
          <cell r="F1013">
            <v>1415</v>
          </cell>
          <cell r="G1013">
            <v>4228</v>
          </cell>
          <cell r="H1013">
            <v>11929</v>
          </cell>
          <cell r="I1013">
            <v>1260</v>
          </cell>
          <cell r="J1013">
            <v>2758</v>
          </cell>
          <cell r="K1013">
            <v>4914</v>
          </cell>
          <cell r="L1013">
            <v>2376</v>
          </cell>
          <cell r="M1013">
            <v>1251</v>
          </cell>
          <cell r="N1013">
            <v>6541</v>
          </cell>
          <cell r="O1013">
            <v>10608</v>
          </cell>
          <cell r="P1013">
            <v>363</v>
          </cell>
          <cell r="Q1013">
            <v>52689</v>
          </cell>
        </row>
        <row r="1014">
          <cell r="A1014" t="str">
            <v>US22P015643921200006</v>
          </cell>
          <cell r="B1014" t="str">
            <v>US22P01564</v>
          </cell>
          <cell r="C1014">
            <v>3921200006</v>
          </cell>
          <cell r="D1014" t="str">
            <v>FACTORY SUPPLIES MAINTENANCE SUPPLIES</v>
          </cell>
          <cell r="E1014">
            <v>0</v>
          </cell>
          <cell r="F1014">
            <v>322</v>
          </cell>
          <cell r="G1014">
            <v>0</v>
          </cell>
          <cell r="H1014">
            <v>2503</v>
          </cell>
          <cell r="I1014">
            <v>0</v>
          </cell>
          <cell r="J1014">
            <v>129</v>
          </cell>
          <cell r="K1014">
            <v>5422</v>
          </cell>
          <cell r="L1014">
            <v>2944</v>
          </cell>
          <cell r="M1014">
            <v>27843</v>
          </cell>
          <cell r="N1014">
            <v>3094</v>
          </cell>
          <cell r="O1014">
            <v>1811</v>
          </cell>
          <cell r="P1014">
            <v>0</v>
          </cell>
          <cell r="Q1014">
            <v>44068</v>
          </cell>
        </row>
        <row r="1015">
          <cell r="A1015" t="str">
            <v>US22P015753921200006</v>
          </cell>
          <cell r="B1015" t="str">
            <v>US22P01575</v>
          </cell>
          <cell r="C1015">
            <v>3921200006</v>
          </cell>
          <cell r="D1015" t="str">
            <v>FACTORY SUPPLIES MAINTENANCE SUPPLIES</v>
          </cell>
          <cell r="E1015">
            <v>24585</v>
          </cell>
          <cell r="F1015">
            <v>16839</v>
          </cell>
          <cell r="G1015">
            <v>4376</v>
          </cell>
          <cell r="H1015">
            <v>6117</v>
          </cell>
          <cell r="I1015">
            <v>16820</v>
          </cell>
          <cell r="J1015">
            <v>190</v>
          </cell>
          <cell r="K1015">
            <v>10272</v>
          </cell>
          <cell r="L1015">
            <v>9754</v>
          </cell>
          <cell r="M1015">
            <v>3844</v>
          </cell>
          <cell r="N1015">
            <v>2645</v>
          </cell>
          <cell r="O1015">
            <v>147</v>
          </cell>
          <cell r="P1015">
            <v>285</v>
          </cell>
          <cell r="Q1015">
            <v>95874</v>
          </cell>
        </row>
        <row r="1016">
          <cell r="A1016" t="str">
            <v>US22P015903921200006</v>
          </cell>
          <cell r="B1016" t="str">
            <v>US22P01590</v>
          </cell>
          <cell r="C1016">
            <v>3921200006</v>
          </cell>
          <cell r="D1016" t="str">
            <v>FACTORY SUPPLIES MAINTENANCE SUPPLIES</v>
          </cell>
          <cell r="E1016">
            <v>0</v>
          </cell>
          <cell r="F1016">
            <v>0</v>
          </cell>
          <cell r="G1016">
            <v>0</v>
          </cell>
          <cell r="H1016">
            <v>0</v>
          </cell>
          <cell r="I1016">
            <v>0</v>
          </cell>
          <cell r="J1016">
            <v>0</v>
          </cell>
          <cell r="K1016">
            <v>0</v>
          </cell>
          <cell r="L1016">
            <v>0</v>
          </cell>
          <cell r="M1016">
            <v>0</v>
          </cell>
          <cell r="N1016">
            <v>85</v>
          </cell>
          <cell r="O1016">
            <v>0</v>
          </cell>
          <cell r="P1016">
            <v>0</v>
          </cell>
          <cell r="Q1016">
            <v>85</v>
          </cell>
        </row>
        <row r="1017">
          <cell r="A1017" t="str">
            <v>US22P015923921200006</v>
          </cell>
          <cell r="B1017" t="str">
            <v>US22P01592</v>
          </cell>
          <cell r="C1017">
            <v>3921200006</v>
          </cell>
          <cell r="D1017" t="str">
            <v>FACTORY SUPPLIES MAINTENANCE SUPPLIES</v>
          </cell>
          <cell r="E1017">
            <v>0</v>
          </cell>
          <cell r="F1017">
            <v>0</v>
          </cell>
          <cell r="G1017">
            <v>0</v>
          </cell>
          <cell r="H1017">
            <v>0</v>
          </cell>
          <cell r="I1017">
            <v>0</v>
          </cell>
          <cell r="J1017">
            <v>0</v>
          </cell>
          <cell r="K1017">
            <v>0</v>
          </cell>
          <cell r="L1017">
            <v>0</v>
          </cell>
          <cell r="M1017">
            <v>0</v>
          </cell>
          <cell r="N1017">
            <v>389</v>
          </cell>
          <cell r="O1017">
            <v>0</v>
          </cell>
          <cell r="P1017">
            <v>0</v>
          </cell>
          <cell r="Q1017">
            <v>389</v>
          </cell>
        </row>
        <row r="1018">
          <cell r="A1018" t="str">
            <v>US28P015013921200006</v>
          </cell>
          <cell r="B1018" t="str">
            <v>US28P01501</v>
          </cell>
          <cell r="C1018">
            <v>3921200006</v>
          </cell>
          <cell r="D1018" t="str">
            <v>FACTORY SUPPLIES MAINTENANCE SUPPLIES</v>
          </cell>
          <cell r="E1018">
            <v>28</v>
          </cell>
          <cell r="F1018">
            <v>483</v>
          </cell>
          <cell r="G1018">
            <v>733</v>
          </cell>
          <cell r="H1018">
            <v>48</v>
          </cell>
          <cell r="I1018">
            <v>178</v>
          </cell>
          <cell r="J1018">
            <v>987</v>
          </cell>
          <cell r="K1018">
            <v>314</v>
          </cell>
          <cell r="L1018">
            <v>302</v>
          </cell>
          <cell r="M1018">
            <v>215</v>
          </cell>
          <cell r="N1018">
            <v>185</v>
          </cell>
          <cell r="O1018">
            <v>12</v>
          </cell>
          <cell r="P1018">
            <v>41</v>
          </cell>
          <cell r="Q1018">
            <v>3526</v>
          </cell>
        </row>
        <row r="1019">
          <cell r="A1019" t="str">
            <v>US28P015503921200006</v>
          </cell>
          <cell r="B1019" t="str">
            <v>US28P01550</v>
          </cell>
          <cell r="C1019">
            <v>3921200006</v>
          </cell>
          <cell r="D1019" t="str">
            <v>FACTORY SUPPLIES MAINTENANCE SUPPLIES</v>
          </cell>
          <cell r="E1019">
            <v>368</v>
          </cell>
          <cell r="F1019">
            <v>0</v>
          </cell>
          <cell r="G1019">
            <v>611</v>
          </cell>
          <cell r="H1019">
            <v>1488</v>
          </cell>
          <cell r="I1019">
            <v>887</v>
          </cell>
          <cell r="J1019">
            <v>267</v>
          </cell>
          <cell r="K1019">
            <v>32</v>
          </cell>
          <cell r="L1019">
            <v>0</v>
          </cell>
          <cell r="M1019">
            <v>0</v>
          </cell>
          <cell r="N1019">
            <v>0</v>
          </cell>
          <cell r="O1019">
            <v>258</v>
          </cell>
          <cell r="P1019">
            <v>0</v>
          </cell>
          <cell r="Q1019">
            <v>3911</v>
          </cell>
        </row>
        <row r="1020">
          <cell r="A1020" t="str">
            <v>US28P015533921200006</v>
          </cell>
          <cell r="B1020" t="str">
            <v>US28P01553</v>
          </cell>
          <cell r="C1020">
            <v>3921200006</v>
          </cell>
          <cell r="D1020" t="str">
            <v>FACTORY SUPPLIES MAINTENANCE SUPPLIES</v>
          </cell>
          <cell r="E1020">
            <v>1272</v>
          </cell>
          <cell r="F1020">
            <v>2476</v>
          </cell>
          <cell r="G1020">
            <v>2952</v>
          </cell>
          <cell r="H1020">
            <v>1078</v>
          </cell>
          <cell r="I1020">
            <v>0</v>
          </cell>
          <cell r="J1020">
            <v>5628</v>
          </cell>
          <cell r="K1020">
            <v>15493</v>
          </cell>
          <cell r="L1020">
            <v>4344</v>
          </cell>
          <cell r="M1020">
            <v>158</v>
          </cell>
          <cell r="N1020">
            <v>0</v>
          </cell>
          <cell r="O1020">
            <v>0</v>
          </cell>
          <cell r="P1020">
            <v>480</v>
          </cell>
          <cell r="Q1020">
            <v>33881</v>
          </cell>
        </row>
        <row r="1021">
          <cell r="A1021" t="str">
            <v>US28P015603921200006</v>
          </cell>
          <cell r="B1021" t="str">
            <v>US28P01560</v>
          </cell>
          <cell r="C1021">
            <v>3921200006</v>
          </cell>
          <cell r="D1021" t="str">
            <v>FACTORY SUPPLIES MAINTENANCE SUPPLIES</v>
          </cell>
          <cell r="E1021">
            <v>1374</v>
          </cell>
          <cell r="F1021">
            <v>2173</v>
          </cell>
          <cell r="G1021">
            <v>1576</v>
          </cell>
          <cell r="H1021">
            <v>984</v>
          </cell>
          <cell r="I1021">
            <v>2903</v>
          </cell>
          <cell r="J1021">
            <v>3439</v>
          </cell>
          <cell r="K1021">
            <v>0</v>
          </cell>
          <cell r="L1021">
            <v>6348</v>
          </cell>
          <cell r="M1021">
            <v>4889</v>
          </cell>
          <cell r="N1021">
            <v>8678</v>
          </cell>
          <cell r="O1021">
            <v>8273</v>
          </cell>
          <cell r="P1021">
            <v>1887</v>
          </cell>
          <cell r="Q1021">
            <v>42524</v>
          </cell>
        </row>
        <row r="1022">
          <cell r="A1022" t="str">
            <v>US28P015643921200006</v>
          </cell>
          <cell r="B1022" t="str">
            <v>US28P01564</v>
          </cell>
          <cell r="C1022">
            <v>3921200006</v>
          </cell>
          <cell r="D1022" t="str">
            <v>FACTORY SUPPLIES MAINTENANCE SUPPLIES</v>
          </cell>
          <cell r="E1022">
            <v>5000</v>
          </cell>
          <cell r="F1022">
            <v>11269</v>
          </cell>
          <cell r="G1022">
            <v>17503</v>
          </cell>
          <cell r="H1022">
            <v>13969</v>
          </cell>
          <cell r="I1022">
            <v>2625</v>
          </cell>
          <cell r="J1022">
            <v>8477</v>
          </cell>
          <cell r="K1022">
            <v>20225</v>
          </cell>
          <cell r="L1022">
            <v>11665</v>
          </cell>
          <cell r="M1022">
            <v>46092</v>
          </cell>
          <cell r="N1022">
            <v>18485</v>
          </cell>
          <cell r="O1022">
            <v>6500</v>
          </cell>
          <cell r="P1022">
            <v>1755</v>
          </cell>
          <cell r="Q1022">
            <v>163565</v>
          </cell>
        </row>
        <row r="1023">
          <cell r="A1023" t="str">
            <v>US28P015903921200006</v>
          </cell>
          <cell r="B1023" t="str">
            <v>US28P01590</v>
          </cell>
          <cell r="C1023">
            <v>3921200006</v>
          </cell>
          <cell r="D1023" t="str">
            <v>FACTORY SUPPLIES MAINTENANCE SUPPLIES</v>
          </cell>
          <cell r="E1023">
            <v>0</v>
          </cell>
          <cell r="F1023">
            <v>0</v>
          </cell>
          <cell r="G1023">
            <v>0</v>
          </cell>
          <cell r="H1023">
            <v>0</v>
          </cell>
          <cell r="I1023">
            <v>137</v>
          </cell>
          <cell r="J1023">
            <v>0</v>
          </cell>
          <cell r="K1023">
            <v>0</v>
          </cell>
          <cell r="L1023">
            <v>1266</v>
          </cell>
          <cell r="M1023">
            <v>54</v>
          </cell>
          <cell r="N1023">
            <v>251</v>
          </cell>
          <cell r="O1023">
            <v>0</v>
          </cell>
          <cell r="P1023">
            <v>0</v>
          </cell>
          <cell r="Q1023">
            <v>1708</v>
          </cell>
        </row>
        <row r="1024">
          <cell r="A1024" t="str">
            <v>US35P015013921200006</v>
          </cell>
          <cell r="B1024" t="str">
            <v>US35P01501</v>
          </cell>
          <cell r="C1024">
            <v>3921200006</v>
          </cell>
          <cell r="D1024" t="str">
            <v>FACTORY SUPPLIES MAINTENANCE SUPPLIES</v>
          </cell>
          <cell r="E1024">
            <v>3013</v>
          </cell>
          <cell r="F1024">
            <v>3399</v>
          </cell>
          <cell r="G1024">
            <v>1980</v>
          </cell>
          <cell r="H1024">
            <v>389</v>
          </cell>
          <cell r="I1024">
            <v>169</v>
          </cell>
          <cell r="J1024">
            <v>838</v>
          </cell>
          <cell r="K1024">
            <v>2107</v>
          </cell>
          <cell r="L1024">
            <v>807</v>
          </cell>
          <cell r="M1024">
            <v>1479</v>
          </cell>
          <cell r="N1024">
            <v>1670</v>
          </cell>
          <cell r="O1024">
            <v>2505</v>
          </cell>
          <cell r="P1024">
            <v>1527</v>
          </cell>
          <cell r="Q1024">
            <v>19883</v>
          </cell>
        </row>
        <row r="1025">
          <cell r="A1025" t="str">
            <v>US35P015503921200006</v>
          </cell>
          <cell r="B1025" t="str">
            <v>US35P01550</v>
          </cell>
          <cell r="C1025">
            <v>3921200006</v>
          </cell>
          <cell r="D1025" t="str">
            <v>FACTORY SUPPLIES MAINTENANCE SUPPLIES</v>
          </cell>
          <cell r="E1025">
            <v>200</v>
          </cell>
          <cell r="F1025">
            <v>58</v>
          </cell>
          <cell r="G1025">
            <v>1063</v>
          </cell>
          <cell r="H1025">
            <v>966</v>
          </cell>
          <cell r="I1025">
            <v>465</v>
          </cell>
          <cell r="J1025">
            <v>359</v>
          </cell>
          <cell r="K1025">
            <v>586</v>
          </cell>
          <cell r="L1025">
            <v>484</v>
          </cell>
          <cell r="M1025">
            <v>608</v>
          </cell>
          <cell r="N1025">
            <v>0</v>
          </cell>
          <cell r="O1025">
            <v>0</v>
          </cell>
          <cell r="P1025">
            <v>140</v>
          </cell>
          <cell r="Q1025">
            <v>4929</v>
          </cell>
        </row>
        <row r="1026">
          <cell r="A1026" t="str">
            <v>US35P015533921200006</v>
          </cell>
          <cell r="B1026" t="str">
            <v>US35P01553</v>
          </cell>
          <cell r="C1026">
            <v>3921200006</v>
          </cell>
          <cell r="D1026" t="str">
            <v>FACTORY SUPPLIES MAINTENANCE SUPPLIES</v>
          </cell>
          <cell r="E1026">
            <v>318</v>
          </cell>
          <cell r="F1026">
            <v>0</v>
          </cell>
          <cell r="G1026">
            <v>4264</v>
          </cell>
          <cell r="H1026">
            <v>4370</v>
          </cell>
          <cell r="I1026">
            <v>2398</v>
          </cell>
          <cell r="J1026">
            <v>14882</v>
          </cell>
          <cell r="K1026">
            <v>20186</v>
          </cell>
          <cell r="L1026">
            <v>5120</v>
          </cell>
          <cell r="M1026">
            <v>5135</v>
          </cell>
          <cell r="N1026">
            <v>1326</v>
          </cell>
          <cell r="O1026">
            <v>-4877</v>
          </cell>
          <cell r="P1026">
            <v>141</v>
          </cell>
          <cell r="Q1026">
            <v>53263</v>
          </cell>
        </row>
        <row r="1027">
          <cell r="A1027" t="str">
            <v>US35P015603921200006</v>
          </cell>
          <cell r="B1027" t="str">
            <v>US35P01560</v>
          </cell>
          <cell r="C1027">
            <v>3921200006</v>
          </cell>
          <cell r="D1027" t="str">
            <v>FACTORY SUPPLIES MAINTENANCE SUPPLIES</v>
          </cell>
          <cell r="E1027">
            <v>8286</v>
          </cell>
          <cell r="F1027">
            <v>19589</v>
          </cell>
          <cell r="G1027">
            <v>8418</v>
          </cell>
          <cell r="H1027">
            <v>5473</v>
          </cell>
          <cell r="I1027">
            <v>8753</v>
          </cell>
          <cell r="J1027">
            <v>11277</v>
          </cell>
          <cell r="K1027">
            <v>8295</v>
          </cell>
          <cell r="L1027">
            <v>6180</v>
          </cell>
          <cell r="M1027">
            <v>12870</v>
          </cell>
          <cell r="N1027">
            <v>18442</v>
          </cell>
          <cell r="O1027">
            <v>9911</v>
          </cell>
          <cell r="P1027">
            <v>1129</v>
          </cell>
          <cell r="Q1027">
            <v>118623</v>
          </cell>
        </row>
        <row r="1028">
          <cell r="A1028" t="str">
            <v>US35P015643921200006</v>
          </cell>
          <cell r="B1028" t="str">
            <v>US35P01564</v>
          </cell>
          <cell r="C1028">
            <v>3921200006</v>
          </cell>
          <cell r="D1028" t="str">
            <v>FACTORY SUPPLIES MAINTENANCE SUPPLIES</v>
          </cell>
          <cell r="E1028">
            <v>44042</v>
          </cell>
          <cell r="F1028">
            <v>-2255</v>
          </cell>
          <cell r="G1028">
            <v>0</v>
          </cell>
          <cell r="H1028">
            <v>20603</v>
          </cell>
          <cell r="I1028">
            <v>14295</v>
          </cell>
          <cell r="J1028">
            <v>11988</v>
          </cell>
          <cell r="K1028">
            <v>15669</v>
          </cell>
          <cell r="L1028">
            <v>39439</v>
          </cell>
          <cell r="M1028">
            <v>65130</v>
          </cell>
          <cell r="N1028">
            <v>81555</v>
          </cell>
          <cell r="O1028">
            <v>-13671</v>
          </cell>
          <cell r="P1028">
            <v>18973</v>
          </cell>
          <cell r="Q1028">
            <v>295768</v>
          </cell>
        </row>
        <row r="1029">
          <cell r="A1029" t="str">
            <v>US35P015753921200006</v>
          </cell>
          <cell r="B1029" t="str">
            <v>US35P01575</v>
          </cell>
          <cell r="C1029">
            <v>3921200006</v>
          </cell>
          <cell r="D1029" t="str">
            <v>FACTORY SUPPLIES MAINTENANCE SUPPLIES</v>
          </cell>
          <cell r="E1029">
            <v>5157</v>
          </cell>
          <cell r="F1029">
            <v>900</v>
          </cell>
          <cell r="G1029">
            <v>1875</v>
          </cell>
          <cell r="H1029">
            <v>157</v>
          </cell>
          <cell r="I1029">
            <v>812</v>
          </cell>
          <cell r="J1029">
            <v>1789</v>
          </cell>
          <cell r="K1029">
            <v>188</v>
          </cell>
          <cell r="L1029">
            <v>56</v>
          </cell>
          <cell r="M1029">
            <v>0</v>
          </cell>
          <cell r="N1029">
            <v>0</v>
          </cell>
          <cell r="O1029">
            <v>0</v>
          </cell>
          <cell r="P1029">
            <v>0</v>
          </cell>
          <cell r="Q1029">
            <v>10934</v>
          </cell>
        </row>
        <row r="1030">
          <cell r="A1030" t="str">
            <v>US35P015853921200006</v>
          </cell>
          <cell r="B1030" t="str">
            <v>US35P01585</v>
          </cell>
          <cell r="C1030">
            <v>3921200006</v>
          </cell>
          <cell r="D1030" t="str">
            <v>FACTORY SUPPLIES MAINTENANCE SUPPLIES</v>
          </cell>
          <cell r="E1030">
            <v>0</v>
          </cell>
          <cell r="F1030">
            <v>58</v>
          </cell>
          <cell r="G1030">
            <v>18</v>
          </cell>
          <cell r="H1030">
            <v>31</v>
          </cell>
          <cell r="I1030">
            <v>48</v>
          </cell>
          <cell r="J1030">
            <v>93</v>
          </cell>
          <cell r="K1030">
            <v>74</v>
          </cell>
          <cell r="L1030">
            <v>56</v>
          </cell>
          <cell r="M1030">
            <v>38</v>
          </cell>
          <cell r="N1030">
            <v>0</v>
          </cell>
          <cell r="O1030">
            <v>0</v>
          </cell>
          <cell r="P1030">
            <v>0</v>
          </cell>
          <cell r="Q1030">
            <v>416</v>
          </cell>
        </row>
        <row r="1031">
          <cell r="A1031" t="str">
            <v>US35P015903921200006</v>
          </cell>
          <cell r="B1031" t="str">
            <v>US35P01590</v>
          </cell>
          <cell r="C1031">
            <v>3921200006</v>
          </cell>
          <cell r="D1031" t="str">
            <v>FACTORY SUPPLIES MAINTENANCE SUPPLIES</v>
          </cell>
          <cell r="E1031">
            <v>221</v>
          </cell>
          <cell r="F1031">
            <v>58</v>
          </cell>
          <cell r="G1031">
            <v>66</v>
          </cell>
          <cell r="H1031">
            <v>31</v>
          </cell>
          <cell r="I1031">
            <v>219</v>
          </cell>
          <cell r="J1031">
            <v>93</v>
          </cell>
          <cell r="K1031">
            <v>100</v>
          </cell>
          <cell r="L1031">
            <v>56</v>
          </cell>
          <cell r="M1031">
            <v>38</v>
          </cell>
          <cell r="N1031">
            <v>411</v>
          </cell>
          <cell r="O1031">
            <v>402</v>
          </cell>
          <cell r="P1031">
            <v>0</v>
          </cell>
          <cell r="Q1031">
            <v>1695</v>
          </cell>
        </row>
        <row r="1032">
          <cell r="A1032" t="str">
            <v>USWOP015013921200006</v>
          </cell>
          <cell r="B1032" t="str">
            <v>USWOP01501</v>
          </cell>
          <cell r="C1032">
            <v>3921200006</v>
          </cell>
          <cell r="D1032" t="str">
            <v>FACTORY SUPPLIES MAINTENANCE SUPPLIES</v>
          </cell>
          <cell r="E1032">
            <v>2233</v>
          </cell>
          <cell r="F1032">
            <v>296</v>
          </cell>
          <cell r="G1032">
            <v>1149</v>
          </cell>
          <cell r="H1032">
            <v>596</v>
          </cell>
          <cell r="I1032">
            <v>1662</v>
          </cell>
          <cell r="J1032">
            <v>1269</v>
          </cell>
          <cell r="K1032">
            <v>391</v>
          </cell>
          <cell r="L1032">
            <v>43</v>
          </cell>
          <cell r="M1032">
            <v>756</v>
          </cell>
          <cell r="N1032">
            <v>433</v>
          </cell>
          <cell r="O1032">
            <v>447</v>
          </cell>
          <cell r="P1032">
            <v>3643</v>
          </cell>
          <cell r="Q1032">
            <v>12918</v>
          </cell>
        </row>
        <row r="1033">
          <cell r="A1033" t="str">
            <v>USWOP015503921200006</v>
          </cell>
          <cell r="B1033" t="str">
            <v>USWOP01550</v>
          </cell>
          <cell r="C1033">
            <v>3921200006</v>
          </cell>
          <cell r="D1033" t="str">
            <v>FACTORY SUPPLIES MAINTENANCE SUPPLIES</v>
          </cell>
          <cell r="E1033">
            <v>0</v>
          </cell>
          <cell r="F1033">
            <v>554</v>
          </cell>
          <cell r="G1033">
            <v>0</v>
          </cell>
          <cell r="H1033">
            <v>2385</v>
          </cell>
          <cell r="I1033">
            <v>3633</v>
          </cell>
          <cell r="J1033">
            <v>1962</v>
          </cell>
          <cell r="K1033">
            <v>0</v>
          </cell>
          <cell r="L1033">
            <v>249</v>
          </cell>
          <cell r="M1033">
            <v>618</v>
          </cell>
          <cell r="N1033">
            <v>0</v>
          </cell>
          <cell r="O1033">
            <v>0</v>
          </cell>
          <cell r="P1033">
            <v>0</v>
          </cell>
          <cell r="Q1033">
            <v>9401</v>
          </cell>
        </row>
        <row r="1034">
          <cell r="A1034" t="str">
            <v>USWOP015533921200006</v>
          </cell>
          <cell r="B1034" t="str">
            <v>USWOP01553</v>
          </cell>
          <cell r="C1034">
            <v>3921200006</v>
          </cell>
          <cell r="D1034" t="str">
            <v>FACTORY SUPPLIES MAINTENANCE SUPPLIES</v>
          </cell>
          <cell r="E1034">
            <v>0</v>
          </cell>
          <cell r="F1034">
            <v>0</v>
          </cell>
          <cell r="G1034">
            <v>249</v>
          </cell>
          <cell r="H1034">
            <v>0</v>
          </cell>
          <cell r="I1034">
            <v>5118</v>
          </cell>
          <cell r="J1034">
            <v>5866</v>
          </cell>
          <cell r="K1034">
            <v>5917</v>
          </cell>
          <cell r="L1034">
            <v>385</v>
          </cell>
          <cell r="M1034">
            <v>222</v>
          </cell>
          <cell r="N1034">
            <v>0</v>
          </cell>
          <cell r="O1034">
            <v>0</v>
          </cell>
          <cell r="P1034">
            <v>0</v>
          </cell>
          <cell r="Q1034">
            <v>17757</v>
          </cell>
        </row>
        <row r="1035">
          <cell r="A1035" t="str">
            <v>USWOP015603921200006</v>
          </cell>
          <cell r="B1035" t="str">
            <v>USWOP01560</v>
          </cell>
          <cell r="C1035">
            <v>3921200006</v>
          </cell>
          <cell r="D1035" t="str">
            <v>FACTORY SUPPLIES MAINTENANCE SUPPLIES</v>
          </cell>
          <cell r="E1035">
            <v>5057</v>
          </cell>
          <cell r="F1035">
            <v>3308</v>
          </cell>
          <cell r="G1035">
            <v>5776</v>
          </cell>
          <cell r="H1035">
            <v>4202</v>
          </cell>
          <cell r="I1035">
            <v>2276</v>
          </cell>
          <cell r="J1035">
            <v>2164</v>
          </cell>
          <cell r="K1035">
            <v>1869</v>
          </cell>
          <cell r="L1035">
            <v>5812</v>
          </cell>
          <cell r="M1035">
            <v>1750</v>
          </cell>
          <cell r="N1035">
            <v>11220</v>
          </cell>
          <cell r="O1035">
            <v>4664</v>
          </cell>
          <cell r="P1035">
            <v>8433</v>
          </cell>
          <cell r="Q1035">
            <v>56531</v>
          </cell>
        </row>
        <row r="1036">
          <cell r="A1036" t="str">
            <v>USWOP015643921200006</v>
          </cell>
          <cell r="B1036" t="str">
            <v>USWOP01564</v>
          </cell>
          <cell r="C1036">
            <v>3921200006</v>
          </cell>
          <cell r="D1036" t="str">
            <v>FACTORY SUPPLIES MAINTENANCE SUPPLIES</v>
          </cell>
          <cell r="E1036">
            <v>694</v>
          </cell>
          <cell r="F1036">
            <v>-65</v>
          </cell>
          <cell r="G1036">
            <v>0</v>
          </cell>
          <cell r="H1036">
            <v>1967</v>
          </cell>
          <cell r="I1036">
            <v>252</v>
          </cell>
          <cell r="J1036">
            <v>4266</v>
          </cell>
          <cell r="K1036">
            <v>15847</v>
          </cell>
          <cell r="L1036">
            <v>7498</v>
          </cell>
          <cell r="M1036">
            <v>11975</v>
          </cell>
          <cell r="N1036">
            <v>14855</v>
          </cell>
          <cell r="O1036">
            <v>3793</v>
          </cell>
          <cell r="P1036">
            <v>1154</v>
          </cell>
          <cell r="Q1036">
            <v>62236</v>
          </cell>
        </row>
        <row r="1037">
          <cell r="A1037" t="str">
            <v>USWOP015753921200006</v>
          </cell>
          <cell r="B1037" t="str">
            <v>USWOP01575</v>
          </cell>
          <cell r="C1037">
            <v>3921200006</v>
          </cell>
          <cell r="D1037" t="str">
            <v>FACTORY SUPPLIES MAINTENANCE SUPPLIES</v>
          </cell>
          <cell r="E1037">
            <v>0</v>
          </cell>
          <cell r="F1037">
            <v>0</v>
          </cell>
          <cell r="G1037">
            <v>0</v>
          </cell>
          <cell r="H1037">
            <v>0</v>
          </cell>
          <cell r="I1037">
            <v>0</v>
          </cell>
          <cell r="J1037">
            <v>0</v>
          </cell>
          <cell r="K1037">
            <v>420</v>
          </cell>
          <cell r="L1037">
            <v>515</v>
          </cell>
          <cell r="M1037">
            <v>0</v>
          </cell>
          <cell r="N1037">
            <v>0</v>
          </cell>
          <cell r="O1037">
            <v>0</v>
          </cell>
          <cell r="P1037">
            <v>723</v>
          </cell>
          <cell r="Q1037">
            <v>1658</v>
          </cell>
        </row>
        <row r="1038">
          <cell r="A1038" t="str">
            <v>US59P015013921200006</v>
          </cell>
          <cell r="B1038" t="str">
            <v>US59P01501</v>
          </cell>
          <cell r="C1038">
            <v>3921200006</v>
          </cell>
          <cell r="D1038" t="str">
            <v>FACTORY SUPPLIES MAINTENANCE SUPPLIES</v>
          </cell>
          <cell r="E1038">
            <v>0</v>
          </cell>
          <cell r="F1038">
            <v>0</v>
          </cell>
          <cell r="G1038">
            <v>0</v>
          </cell>
          <cell r="H1038">
            <v>146</v>
          </cell>
          <cell r="I1038">
            <v>-301</v>
          </cell>
          <cell r="J1038">
            <v>0</v>
          </cell>
          <cell r="K1038">
            <v>0</v>
          </cell>
          <cell r="L1038">
            <v>0</v>
          </cell>
          <cell r="M1038">
            <v>0</v>
          </cell>
          <cell r="N1038">
            <v>22</v>
          </cell>
          <cell r="O1038">
            <v>0</v>
          </cell>
          <cell r="P1038">
            <v>0</v>
          </cell>
          <cell r="Q1038">
            <v>-133</v>
          </cell>
        </row>
        <row r="1039">
          <cell r="A1039" t="str">
            <v>USWOP015903921200006</v>
          </cell>
          <cell r="B1039" t="str">
            <v>USWOP01590</v>
          </cell>
          <cell r="C1039">
            <v>3921200006</v>
          </cell>
          <cell r="D1039" t="str">
            <v>FACTORY SUPPLIES MAINTENANCE SUPPLIES</v>
          </cell>
          <cell r="E1039">
            <v>255</v>
          </cell>
          <cell r="F1039">
            <v>0</v>
          </cell>
          <cell r="G1039">
            <v>0</v>
          </cell>
          <cell r="H1039">
            <v>0</v>
          </cell>
          <cell r="I1039">
            <v>0</v>
          </cell>
          <cell r="J1039">
            <v>0</v>
          </cell>
          <cell r="K1039">
            <v>0</v>
          </cell>
          <cell r="L1039">
            <v>0</v>
          </cell>
          <cell r="M1039">
            <v>0</v>
          </cell>
          <cell r="N1039">
            <v>434</v>
          </cell>
          <cell r="O1039">
            <v>0</v>
          </cell>
          <cell r="P1039">
            <v>0</v>
          </cell>
          <cell r="Q1039">
            <v>689</v>
          </cell>
        </row>
        <row r="1040">
          <cell r="A1040" t="str">
            <v>USWOP015923921200006</v>
          </cell>
          <cell r="B1040" t="str">
            <v>USWOP01592</v>
          </cell>
          <cell r="C1040">
            <v>3921200006</v>
          </cell>
          <cell r="D1040" t="str">
            <v>FACTORY SUPPLIES MAINTENANCE SUPPLIES</v>
          </cell>
          <cell r="E1040">
            <v>0</v>
          </cell>
          <cell r="F1040">
            <v>37</v>
          </cell>
          <cell r="G1040">
            <v>176</v>
          </cell>
          <cell r="H1040">
            <v>883</v>
          </cell>
          <cell r="I1040">
            <v>35</v>
          </cell>
          <cell r="J1040">
            <v>0</v>
          </cell>
          <cell r="K1040">
            <v>0</v>
          </cell>
          <cell r="L1040">
            <v>0</v>
          </cell>
          <cell r="M1040">
            <v>0</v>
          </cell>
          <cell r="N1040">
            <v>0</v>
          </cell>
          <cell r="O1040">
            <v>0</v>
          </cell>
          <cell r="P1040">
            <v>277</v>
          </cell>
          <cell r="Q1040">
            <v>1408</v>
          </cell>
        </row>
        <row r="1041">
          <cell r="A1041" t="str">
            <v>US59P015503921200006</v>
          </cell>
          <cell r="B1041" t="str">
            <v>US59P01550</v>
          </cell>
          <cell r="C1041">
            <v>3921200006</v>
          </cell>
          <cell r="D1041" t="str">
            <v>FACTORY SUPPLIES MAINTENANCE SUPPLIES</v>
          </cell>
          <cell r="E1041">
            <v>1367</v>
          </cell>
          <cell r="F1041">
            <v>333</v>
          </cell>
          <cell r="G1041">
            <v>1218</v>
          </cell>
          <cell r="H1041">
            <v>819</v>
          </cell>
          <cell r="I1041">
            <v>2875</v>
          </cell>
          <cell r="J1041">
            <v>2419</v>
          </cell>
          <cell r="K1041">
            <v>2118</v>
          </cell>
          <cell r="L1041">
            <v>1760</v>
          </cell>
          <cell r="M1041">
            <v>1276</v>
          </cell>
          <cell r="N1041">
            <v>3168</v>
          </cell>
          <cell r="O1041">
            <v>1930</v>
          </cell>
          <cell r="P1041">
            <v>1246</v>
          </cell>
          <cell r="Q1041">
            <v>20529</v>
          </cell>
        </row>
        <row r="1042">
          <cell r="A1042" t="str">
            <v>US59P015533921200006</v>
          </cell>
          <cell r="B1042" t="str">
            <v>US59P01553</v>
          </cell>
          <cell r="C1042">
            <v>3921200006</v>
          </cell>
          <cell r="D1042" t="str">
            <v>FACTORY SUPPLIES MAINTENANCE SUPPLIES</v>
          </cell>
          <cell r="E1042">
            <v>0</v>
          </cell>
          <cell r="F1042">
            <v>0</v>
          </cell>
          <cell r="G1042">
            <v>0</v>
          </cell>
          <cell r="H1042">
            <v>0</v>
          </cell>
          <cell r="I1042">
            <v>0</v>
          </cell>
          <cell r="J1042">
            <v>3802</v>
          </cell>
          <cell r="K1042">
            <v>9089</v>
          </cell>
          <cell r="L1042">
            <v>6747</v>
          </cell>
          <cell r="M1042">
            <v>0</v>
          </cell>
          <cell r="N1042">
            <v>0</v>
          </cell>
          <cell r="O1042">
            <v>0</v>
          </cell>
          <cell r="P1042">
            <v>0</v>
          </cell>
          <cell r="Q1042">
            <v>19638</v>
          </cell>
        </row>
        <row r="1043">
          <cell r="A1043" t="str">
            <v>US59P015603921200006</v>
          </cell>
          <cell r="B1043" t="str">
            <v>US59P01560</v>
          </cell>
          <cell r="C1043">
            <v>3921200006</v>
          </cell>
          <cell r="D1043" t="str">
            <v>FACTORY SUPPLIES MAINTENANCE SUPPLIES</v>
          </cell>
          <cell r="E1043">
            <v>0</v>
          </cell>
          <cell r="F1043">
            <v>0</v>
          </cell>
          <cell r="G1043">
            <v>259</v>
          </cell>
          <cell r="H1043">
            <v>0</v>
          </cell>
          <cell r="I1043">
            <v>57</v>
          </cell>
          <cell r="J1043">
            <v>0</v>
          </cell>
          <cell r="K1043">
            <v>0</v>
          </cell>
          <cell r="L1043">
            <v>0</v>
          </cell>
          <cell r="M1043">
            <v>0</v>
          </cell>
          <cell r="N1043">
            <v>125</v>
          </cell>
          <cell r="O1043">
            <v>23348</v>
          </cell>
          <cell r="P1043">
            <v>395</v>
          </cell>
          <cell r="Q1043">
            <v>24184</v>
          </cell>
        </row>
        <row r="1044">
          <cell r="A1044" t="str">
            <v>US59P015643921200006</v>
          </cell>
          <cell r="B1044" t="str">
            <v>US59P01564</v>
          </cell>
          <cell r="C1044">
            <v>3921200006</v>
          </cell>
          <cell r="D1044" t="str">
            <v>FACTORY SUPPLIES MAINTENANCE SUPPLIES</v>
          </cell>
          <cell r="E1044">
            <v>0</v>
          </cell>
          <cell r="F1044">
            <v>46198</v>
          </cell>
          <cell r="G1044">
            <v>530</v>
          </cell>
          <cell r="H1044">
            <v>0</v>
          </cell>
          <cell r="I1044">
            <v>0</v>
          </cell>
          <cell r="J1044">
            <v>0</v>
          </cell>
          <cell r="K1044">
            <v>133</v>
          </cell>
          <cell r="L1044">
            <v>-133</v>
          </cell>
          <cell r="M1044">
            <v>675</v>
          </cell>
          <cell r="N1044">
            <v>390</v>
          </cell>
          <cell r="O1044">
            <v>0</v>
          </cell>
          <cell r="P1044">
            <v>0</v>
          </cell>
          <cell r="Q1044">
            <v>47793</v>
          </cell>
        </row>
        <row r="1045">
          <cell r="A1045" t="str">
            <v>US59P015753921200006</v>
          </cell>
          <cell r="B1045" t="str">
            <v>US59P01575</v>
          </cell>
          <cell r="C1045">
            <v>3921200006</v>
          </cell>
          <cell r="D1045" t="str">
            <v>FACTORY SUPPLIES MAINTENANCE SUPPLIES</v>
          </cell>
          <cell r="E1045">
            <v>0</v>
          </cell>
          <cell r="F1045">
            <v>51</v>
          </cell>
          <cell r="G1045">
            <v>0</v>
          </cell>
          <cell r="H1045">
            <v>0</v>
          </cell>
          <cell r="I1045">
            <v>0</v>
          </cell>
          <cell r="J1045">
            <v>0</v>
          </cell>
          <cell r="K1045">
            <v>0</v>
          </cell>
          <cell r="L1045">
            <v>0</v>
          </cell>
          <cell r="M1045">
            <v>0</v>
          </cell>
          <cell r="N1045">
            <v>0</v>
          </cell>
          <cell r="O1045">
            <v>0</v>
          </cell>
          <cell r="P1045">
            <v>0</v>
          </cell>
          <cell r="Q1045">
            <v>51</v>
          </cell>
        </row>
        <row r="1046">
          <cell r="A1046" t="str">
            <v>US59P3C5603921200006</v>
          </cell>
          <cell r="B1046" t="str">
            <v>US59P3C560</v>
          </cell>
          <cell r="C1046">
            <v>3921200006</v>
          </cell>
          <cell r="D1046" t="str">
            <v>FACTORY SUPPLIES MAINTENANCE SUPPLIES</v>
          </cell>
          <cell r="E1046">
            <v>638</v>
          </cell>
          <cell r="F1046">
            <v>1098</v>
          </cell>
          <cell r="G1046">
            <v>550</v>
          </cell>
          <cell r="H1046">
            <v>877</v>
          </cell>
          <cell r="I1046">
            <v>106</v>
          </cell>
          <cell r="J1046">
            <v>1741</v>
          </cell>
          <cell r="K1046">
            <v>1696</v>
          </cell>
          <cell r="L1046">
            <v>296</v>
          </cell>
          <cell r="M1046">
            <v>7574</v>
          </cell>
          <cell r="N1046">
            <v>1051</v>
          </cell>
          <cell r="O1046">
            <v>1944</v>
          </cell>
          <cell r="P1046">
            <v>7213</v>
          </cell>
          <cell r="Q1046">
            <v>24784</v>
          </cell>
        </row>
        <row r="1047">
          <cell r="A1047" t="str">
            <v>USSTP015853921200006</v>
          </cell>
          <cell r="B1047" t="str">
            <v>USSTP01585</v>
          </cell>
          <cell r="C1047">
            <v>3921200006</v>
          </cell>
          <cell r="D1047" t="str">
            <v>FACTORY SUPPLIES MAINTENANCE SUPPLIES</v>
          </cell>
          <cell r="E1047">
            <v>12</v>
          </cell>
          <cell r="F1047">
            <v>0</v>
          </cell>
          <cell r="G1047">
            <v>0</v>
          </cell>
          <cell r="H1047">
            <v>0</v>
          </cell>
          <cell r="I1047">
            <v>0</v>
          </cell>
          <cell r="J1047">
            <v>0</v>
          </cell>
          <cell r="K1047">
            <v>0</v>
          </cell>
          <cell r="L1047">
            <v>0</v>
          </cell>
          <cell r="M1047">
            <v>0</v>
          </cell>
          <cell r="N1047">
            <v>0</v>
          </cell>
          <cell r="O1047">
            <v>0</v>
          </cell>
          <cell r="P1047">
            <v>0</v>
          </cell>
          <cell r="Q1047">
            <v>12</v>
          </cell>
        </row>
        <row r="1048">
          <cell r="A1048" t="str">
            <v>USCRP015013921200006</v>
          </cell>
          <cell r="B1048" t="str">
            <v>USCRP01501</v>
          </cell>
          <cell r="C1048">
            <v>3921200006</v>
          </cell>
          <cell r="D1048" t="str">
            <v>FACTORY SUPPLIES MAINTENANCE SUPPLIES</v>
          </cell>
          <cell r="E1048">
            <v>3427</v>
          </cell>
          <cell r="F1048">
            <v>1095</v>
          </cell>
          <cell r="G1048">
            <v>1771</v>
          </cell>
          <cell r="H1048">
            <v>4372</v>
          </cell>
          <cell r="I1048">
            <v>4021</v>
          </cell>
          <cell r="J1048">
            <v>7755</v>
          </cell>
          <cell r="K1048">
            <v>13780</v>
          </cell>
          <cell r="L1048">
            <v>-14963</v>
          </cell>
          <cell r="M1048">
            <v>8860</v>
          </cell>
          <cell r="N1048">
            <v>1481</v>
          </cell>
          <cell r="O1048">
            <v>4378</v>
          </cell>
          <cell r="P1048">
            <v>4986</v>
          </cell>
          <cell r="Q1048">
            <v>40963</v>
          </cell>
        </row>
        <row r="1049">
          <cell r="A1049" t="str">
            <v>USCRP015503921200006</v>
          </cell>
          <cell r="B1049" t="str">
            <v>USCRP01550</v>
          </cell>
          <cell r="C1049">
            <v>3921200006</v>
          </cell>
          <cell r="D1049" t="str">
            <v>FACTORY SUPPLIES MAINTENANCE SUPPLIES</v>
          </cell>
          <cell r="E1049">
            <v>0</v>
          </cell>
          <cell r="F1049">
            <v>0</v>
          </cell>
          <cell r="G1049">
            <v>25</v>
          </cell>
          <cell r="H1049">
            <v>0</v>
          </cell>
          <cell r="I1049">
            <v>0</v>
          </cell>
          <cell r="J1049">
            <v>22</v>
          </cell>
          <cell r="K1049">
            <v>77</v>
          </cell>
          <cell r="L1049">
            <v>36</v>
          </cell>
          <cell r="M1049">
            <v>0</v>
          </cell>
          <cell r="N1049">
            <v>221</v>
          </cell>
          <cell r="O1049">
            <v>0</v>
          </cell>
          <cell r="P1049">
            <v>0</v>
          </cell>
          <cell r="Q1049">
            <v>381</v>
          </cell>
        </row>
        <row r="1050">
          <cell r="A1050" t="str">
            <v>USCRP015533921200006</v>
          </cell>
          <cell r="B1050" t="str">
            <v>USCRP01553</v>
          </cell>
          <cell r="C1050">
            <v>3921200006</v>
          </cell>
          <cell r="D1050" t="str">
            <v>FACTORY SUPPLIES MAINTENANCE SUPPLIES</v>
          </cell>
          <cell r="E1050">
            <v>501</v>
          </cell>
          <cell r="F1050">
            <v>0</v>
          </cell>
          <cell r="G1050">
            <v>2626</v>
          </cell>
          <cell r="H1050">
            <v>4786</v>
          </cell>
          <cell r="I1050">
            <v>7175</v>
          </cell>
          <cell r="J1050">
            <v>2565</v>
          </cell>
          <cell r="K1050">
            <v>6718</v>
          </cell>
          <cell r="L1050">
            <v>1980</v>
          </cell>
          <cell r="M1050">
            <v>809</v>
          </cell>
          <cell r="N1050">
            <v>5539</v>
          </cell>
          <cell r="O1050">
            <v>6185</v>
          </cell>
          <cell r="P1050">
            <v>1950</v>
          </cell>
          <cell r="Q1050">
            <v>40834</v>
          </cell>
        </row>
        <row r="1051">
          <cell r="A1051" t="str">
            <v>USCRP015603921200006</v>
          </cell>
          <cell r="B1051" t="str">
            <v>USCRP01560</v>
          </cell>
          <cell r="C1051">
            <v>3921200006</v>
          </cell>
          <cell r="D1051" t="str">
            <v>FACTORY SUPPLIES MAINTENANCE SUPPLIES</v>
          </cell>
          <cell r="E1051">
            <v>1540</v>
          </cell>
          <cell r="F1051">
            <v>1920</v>
          </cell>
          <cell r="G1051">
            <v>2157</v>
          </cell>
          <cell r="H1051">
            <v>7952</v>
          </cell>
          <cell r="I1051">
            <v>3715</v>
          </cell>
          <cell r="J1051">
            <v>4179</v>
          </cell>
          <cell r="K1051">
            <v>2472</v>
          </cell>
          <cell r="L1051">
            <v>940</v>
          </cell>
          <cell r="M1051">
            <v>1421</v>
          </cell>
          <cell r="N1051">
            <v>3194</v>
          </cell>
          <cell r="O1051">
            <v>1176</v>
          </cell>
          <cell r="P1051">
            <v>2693</v>
          </cell>
          <cell r="Q1051">
            <v>33359</v>
          </cell>
        </row>
        <row r="1052">
          <cell r="A1052" t="str">
            <v>USCRP015643921200006</v>
          </cell>
          <cell r="B1052" t="str">
            <v>USCRP01564</v>
          </cell>
          <cell r="C1052">
            <v>3921200006</v>
          </cell>
          <cell r="D1052" t="str">
            <v>FACTORY SUPPLIES MAINTENANCE SUPPLIES</v>
          </cell>
          <cell r="E1052">
            <v>0</v>
          </cell>
          <cell r="F1052">
            <v>0</v>
          </cell>
          <cell r="G1052">
            <v>234</v>
          </cell>
          <cell r="H1052">
            <v>0</v>
          </cell>
          <cell r="I1052">
            <v>3699</v>
          </cell>
          <cell r="J1052">
            <v>792</v>
          </cell>
          <cell r="K1052">
            <v>679</v>
          </cell>
          <cell r="L1052">
            <v>3591</v>
          </cell>
          <cell r="M1052">
            <v>20223</v>
          </cell>
          <cell r="N1052">
            <v>42152</v>
          </cell>
          <cell r="O1052">
            <v>1366</v>
          </cell>
          <cell r="P1052">
            <v>50384</v>
          </cell>
          <cell r="Q1052">
            <v>123120</v>
          </cell>
        </row>
        <row r="1053">
          <cell r="A1053" t="str">
            <v>USCRP015753921200006</v>
          </cell>
          <cell r="B1053" t="str">
            <v>USCRP01575</v>
          </cell>
          <cell r="C1053">
            <v>3921200006</v>
          </cell>
          <cell r="D1053" t="str">
            <v>FACTORY SUPPLIES MAINTENANCE SUPPLIES</v>
          </cell>
          <cell r="E1053">
            <v>520</v>
          </cell>
          <cell r="F1053">
            <v>2543</v>
          </cell>
          <cell r="G1053">
            <v>17</v>
          </cell>
          <cell r="H1053">
            <v>0</v>
          </cell>
          <cell r="I1053">
            <v>671</v>
          </cell>
          <cell r="J1053">
            <v>3081</v>
          </cell>
          <cell r="K1053">
            <v>0</v>
          </cell>
          <cell r="L1053">
            <v>64</v>
          </cell>
          <cell r="M1053">
            <v>208</v>
          </cell>
          <cell r="N1053">
            <v>0</v>
          </cell>
          <cell r="O1053">
            <v>208</v>
          </cell>
          <cell r="P1053">
            <v>0</v>
          </cell>
          <cell r="Q1053">
            <v>7312</v>
          </cell>
        </row>
        <row r="1054">
          <cell r="A1054" t="str">
            <v>US22P015013921200010</v>
          </cell>
          <cell r="B1054" t="str">
            <v>US22P01501</v>
          </cell>
          <cell r="C1054">
            <v>3921200010</v>
          </cell>
          <cell r="D1054" t="str">
            <v>ADMINISTRATIVE SUPPLIES</v>
          </cell>
          <cell r="E1054">
            <v>2165</v>
          </cell>
          <cell r="F1054">
            <v>2182</v>
          </cell>
          <cell r="G1054">
            <v>3564</v>
          </cell>
          <cell r="H1054">
            <v>3351</v>
          </cell>
          <cell r="I1054">
            <v>5496</v>
          </cell>
          <cell r="J1054">
            <v>1155</v>
          </cell>
          <cell r="K1054">
            <v>1812</v>
          </cell>
          <cell r="L1054">
            <v>2327</v>
          </cell>
          <cell r="M1054">
            <v>2712</v>
          </cell>
          <cell r="N1054">
            <v>1224</v>
          </cell>
          <cell r="O1054">
            <v>3649</v>
          </cell>
          <cell r="P1054">
            <v>1432</v>
          </cell>
          <cell r="Q1054">
            <v>31069</v>
          </cell>
        </row>
        <row r="1055">
          <cell r="A1055" t="str">
            <v>US22P015503921200010</v>
          </cell>
          <cell r="B1055" t="str">
            <v>US22P01550</v>
          </cell>
          <cell r="C1055">
            <v>3921200010</v>
          </cell>
          <cell r="D1055" t="str">
            <v>ADMINISTRATIVE SUPPLIES</v>
          </cell>
          <cell r="E1055">
            <v>16</v>
          </cell>
          <cell r="F1055">
            <v>0</v>
          </cell>
          <cell r="G1055">
            <v>0</v>
          </cell>
          <cell r="H1055">
            <v>0</v>
          </cell>
          <cell r="I1055">
            <v>0</v>
          </cell>
          <cell r="J1055">
            <v>0</v>
          </cell>
          <cell r="K1055">
            <v>911</v>
          </cell>
          <cell r="L1055">
            <v>188</v>
          </cell>
          <cell r="M1055">
            <v>70</v>
          </cell>
          <cell r="N1055">
            <v>0</v>
          </cell>
          <cell r="O1055">
            <v>0</v>
          </cell>
          <cell r="P1055">
            <v>0</v>
          </cell>
          <cell r="Q1055">
            <v>1185</v>
          </cell>
        </row>
        <row r="1056">
          <cell r="A1056" t="str">
            <v>US22P015533921200010</v>
          </cell>
          <cell r="B1056" t="str">
            <v>US22P01553</v>
          </cell>
          <cell r="C1056">
            <v>3921200010</v>
          </cell>
          <cell r="D1056" t="str">
            <v>ADMINISTRATIVE SUPPLIES</v>
          </cell>
          <cell r="E1056">
            <v>0</v>
          </cell>
          <cell r="F1056">
            <v>0</v>
          </cell>
          <cell r="G1056">
            <v>0</v>
          </cell>
          <cell r="H1056">
            <v>0</v>
          </cell>
          <cell r="I1056">
            <v>0</v>
          </cell>
          <cell r="J1056">
            <v>0</v>
          </cell>
          <cell r="K1056">
            <v>144</v>
          </cell>
          <cell r="L1056">
            <v>0</v>
          </cell>
          <cell r="M1056">
            <v>0</v>
          </cell>
          <cell r="N1056">
            <v>0</v>
          </cell>
          <cell r="O1056">
            <v>0</v>
          </cell>
          <cell r="P1056">
            <v>0</v>
          </cell>
          <cell r="Q1056">
            <v>144</v>
          </cell>
        </row>
        <row r="1057">
          <cell r="A1057" t="str">
            <v>US22P015643921200010</v>
          </cell>
          <cell r="B1057" t="str">
            <v>US22P01564</v>
          </cell>
          <cell r="C1057">
            <v>3921200010</v>
          </cell>
          <cell r="D1057" t="str">
            <v>ADMINISTRATIVE SUPPLIES</v>
          </cell>
          <cell r="E1057">
            <v>0</v>
          </cell>
          <cell r="F1057">
            <v>0</v>
          </cell>
          <cell r="G1057">
            <v>0</v>
          </cell>
          <cell r="H1057">
            <v>0</v>
          </cell>
          <cell r="I1057">
            <v>0</v>
          </cell>
          <cell r="J1057">
            <v>0</v>
          </cell>
          <cell r="K1057">
            <v>0</v>
          </cell>
          <cell r="L1057">
            <v>0</v>
          </cell>
          <cell r="M1057">
            <v>14</v>
          </cell>
          <cell r="N1057">
            <v>0</v>
          </cell>
          <cell r="O1057">
            <v>0</v>
          </cell>
          <cell r="P1057">
            <v>0</v>
          </cell>
          <cell r="Q1057">
            <v>14</v>
          </cell>
        </row>
        <row r="1058">
          <cell r="A1058" t="str">
            <v>US22P015753921200010</v>
          </cell>
          <cell r="B1058" t="str">
            <v>US22P01575</v>
          </cell>
          <cell r="C1058">
            <v>3921200010</v>
          </cell>
          <cell r="D1058" t="str">
            <v>ADMINISTRATIVE SUPPLIES</v>
          </cell>
          <cell r="E1058">
            <v>0</v>
          </cell>
          <cell r="F1058">
            <v>1937</v>
          </cell>
          <cell r="G1058">
            <v>85</v>
          </cell>
          <cell r="H1058">
            <v>0</v>
          </cell>
          <cell r="I1058">
            <v>0</v>
          </cell>
          <cell r="J1058">
            <v>36</v>
          </cell>
          <cell r="K1058">
            <v>0</v>
          </cell>
          <cell r="L1058">
            <v>0</v>
          </cell>
          <cell r="M1058">
            <v>0</v>
          </cell>
          <cell r="N1058">
            <v>0</v>
          </cell>
          <cell r="O1058">
            <v>0</v>
          </cell>
          <cell r="P1058">
            <v>0</v>
          </cell>
          <cell r="Q1058">
            <v>2058</v>
          </cell>
        </row>
        <row r="1059">
          <cell r="A1059" t="str">
            <v>US28P015013921200010</v>
          </cell>
          <cell r="B1059" t="str">
            <v>US28P01501</v>
          </cell>
          <cell r="C1059">
            <v>3921200010</v>
          </cell>
          <cell r="D1059" t="str">
            <v>ADMINISTRATIVE SUPPLIES</v>
          </cell>
          <cell r="E1059">
            <v>1632</v>
          </cell>
          <cell r="F1059">
            <v>2232</v>
          </cell>
          <cell r="G1059">
            <v>4040</v>
          </cell>
          <cell r="H1059">
            <v>1972</v>
          </cell>
          <cell r="I1059">
            <v>1911</v>
          </cell>
          <cell r="J1059">
            <v>2524</v>
          </cell>
          <cell r="K1059">
            <v>2129</v>
          </cell>
          <cell r="L1059">
            <v>1570</v>
          </cell>
          <cell r="M1059">
            <v>3794</v>
          </cell>
          <cell r="N1059">
            <v>2488</v>
          </cell>
          <cell r="O1059">
            <v>1452</v>
          </cell>
          <cell r="P1059">
            <v>2056</v>
          </cell>
          <cell r="Q1059">
            <v>27800</v>
          </cell>
        </row>
        <row r="1060">
          <cell r="A1060" t="str">
            <v>US28P015113921200010</v>
          </cell>
          <cell r="B1060" t="str">
            <v>US28P01511</v>
          </cell>
          <cell r="C1060">
            <v>3921200010</v>
          </cell>
          <cell r="D1060" t="str">
            <v>ADMINISTRATIVE SUPPLIES</v>
          </cell>
          <cell r="E1060">
            <v>0</v>
          </cell>
          <cell r="F1060">
            <v>0</v>
          </cell>
          <cell r="G1060">
            <v>0</v>
          </cell>
          <cell r="H1060">
            <v>198</v>
          </cell>
          <cell r="I1060">
            <v>0</v>
          </cell>
          <cell r="J1060">
            <v>0</v>
          </cell>
          <cell r="K1060">
            <v>0</v>
          </cell>
          <cell r="L1060">
            <v>0</v>
          </cell>
          <cell r="M1060">
            <v>0</v>
          </cell>
          <cell r="N1060">
            <v>0</v>
          </cell>
          <cell r="O1060">
            <v>0</v>
          </cell>
          <cell r="P1060">
            <v>0</v>
          </cell>
          <cell r="Q1060">
            <v>198</v>
          </cell>
        </row>
        <row r="1061">
          <cell r="A1061" t="str">
            <v>US28P015603921200010</v>
          </cell>
          <cell r="B1061" t="str">
            <v>US28P01560</v>
          </cell>
          <cell r="C1061">
            <v>3921200010</v>
          </cell>
          <cell r="D1061" t="str">
            <v>ADMINISTRATIVE SUPPLIES</v>
          </cell>
          <cell r="E1061">
            <v>0</v>
          </cell>
          <cell r="F1061">
            <v>0</v>
          </cell>
          <cell r="G1061">
            <v>0</v>
          </cell>
          <cell r="H1061">
            <v>379</v>
          </cell>
          <cell r="I1061">
            <v>0</v>
          </cell>
          <cell r="J1061">
            <v>0</v>
          </cell>
          <cell r="K1061">
            <v>0</v>
          </cell>
          <cell r="L1061">
            <v>379</v>
          </cell>
          <cell r="M1061">
            <v>7</v>
          </cell>
          <cell r="N1061">
            <v>124</v>
          </cell>
          <cell r="O1061">
            <v>0</v>
          </cell>
          <cell r="P1061">
            <v>0</v>
          </cell>
          <cell r="Q1061">
            <v>889</v>
          </cell>
        </row>
        <row r="1062">
          <cell r="A1062" t="str">
            <v>US28P015643921200010</v>
          </cell>
          <cell r="B1062" t="str">
            <v>US28P01564</v>
          </cell>
          <cell r="C1062">
            <v>3921200010</v>
          </cell>
          <cell r="D1062" t="str">
            <v>ADMINISTRATIVE SUPPLIES</v>
          </cell>
          <cell r="E1062">
            <v>0</v>
          </cell>
          <cell r="F1062">
            <v>0</v>
          </cell>
          <cell r="G1062">
            <v>0</v>
          </cell>
          <cell r="H1062">
            <v>152</v>
          </cell>
          <cell r="I1062">
            <v>0</v>
          </cell>
          <cell r="J1062">
            <v>0</v>
          </cell>
          <cell r="K1062">
            <v>0</v>
          </cell>
          <cell r="L1062">
            <v>0</v>
          </cell>
          <cell r="M1062">
            <v>0</v>
          </cell>
          <cell r="N1062">
            <v>0</v>
          </cell>
          <cell r="O1062">
            <v>0</v>
          </cell>
          <cell r="P1062">
            <v>0</v>
          </cell>
          <cell r="Q1062">
            <v>152</v>
          </cell>
        </row>
        <row r="1063">
          <cell r="A1063" t="str">
            <v>US28P015903921200010</v>
          </cell>
          <cell r="B1063" t="str">
            <v>US28P01590</v>
          </cell>
          <cell r="C1063">
            <v>3921200010</v>
          </cell>
          <cell r="D1063" t="str">
            <v>ADMINISTRATIVE SUPPLIES</v>
          </cell>
          <cell r="E1063">
            <v>0</v>
          </cell>
          <cell r="F1063">
            <v>0</v>
          </cell>
          <cell r="G1063">
            <v>0</v>
          </cell>
          <cell r="H1063">
            <v>51</v>
          </cell>
          <cell r="I1063">
            <v>0</v>
          </cell>
          <cell r="J1063">
            <v>35</v>
          </cell>
          <cell r="K1063">
            <v>0</v>
          </cell>
          <cell r="L1063">
            <v>113</v>
          </cell>
          <cell r="M1063">
            <v>9</v>
          </cell>
          <cell r="N1063">
            <v>1337</v>
          </cell>
          <cell r="O1063">
            <v>0</v>
          </cell>
          <cell r="P1063">
            <v>0</v>
          </cell>
          <cell r="Q1063">
            <v>1545</v>
          </cell>
        </row>
        <row r="1064">
          <cell r="A1064" t="str">
            <v>US35P015013921200010</v>
          </cell>
          <cell r="B1064" t="str">
            <v>US35P01501</v>
          </cell>
          <cell r="C1064">
            <v>3921200010</v>
          </cell>
          <cell r="D1064" t="str">
            <v>ADMINISTRATIVE SUPPLIES</v>
          </cell>
          <cell r="E1064">
            <v>2781</v>
          </cell>
          <cell r="F1064">
            <v>1372</v>
          </cell>
          <cell r="G1064">
            <v>652</v>
          </cell>
          <cell r="H1064">
            <v>4033</v>
          </cell>
          <cell r="I1064">
            <v>2201</v>
          </cell>
          <cell r="J1064">
            <v>-1638</v>
          </cell>
          <cell r="K1064">
            <v>2292</v>
          </cell>
          <cell r="L1064">
            <v>2828</v>
          </cell>
          <cell r="M1064">
            <v>2087</v>
          </cell>
          <cell r="N1064">
            <v>597</v>
          </cell>
          <cell r="O1064">
            <v>4100</v>
          </cell>
          <cell r="P1064">
            <v>3030</v>
          </cell>
          <cell r="Q1064">
            <v>24335</v>
          </cell>
        </row>
        <row r="1065">
          <cell r="A1065" t="str">
            <v>US35P015503921200010</v>
          </cell>
          <cell r="B1065" t="str">
            <v>US35P01550</v>
          </cell>
          <cell r="C1065">
            <v>3921200010</v>
          </cell>
          <cell r="D1065" t="str">
            <v>ADMINISTRATIVE SUPPLIES</v>
          </cell>
          <cell r="E1065">
            <v>0</v>
          </cell>
          <cell r="F1065">
            <v>0</v>
          </cell>
          <cell r="G1065">
            <v>467</v>
          </cell>
          <cell r="H1065">
            <v>0</v>
          </cell>
          <cell r="I1065">
            <v>694</v>
          </cell>
          <cell r="J1065">
            <v>277</v>
          </cell>
          <cell r="K1065">
            <v>687</v>
          </cell>
          <cell r="L1065">
            <v>70</v>
          </cell>
          <cell r="M1065">
            <v>617</v>
          </cell>
          <cell r="N1065">
            <v>144</v>
          </cell>
          <cell r="O1065">
            <v>238</v>
          </cell>
          <cell r="P1065">
            <v>43</v>
          </cell>
          <cell r="Q1065">
            <v>3237</v>
          </cell>
        </row>
        <row r="1066">
          <cell r="A1066" t="str">
            <v>US35P015533921200010</v>
          </cell>
          <cell r="B1066" t="str">
            <v>US35P01553</v>
          </cell>
          <cell r="C1066">
            <v>3921200010</v>
          </cell>
          <cell r="D1066" t="str">
            <v>ADMINISTRATIVE SUPPLIES</v>
          </cell>
          <cell r="E1066">
            <v>0</v>
          </cell>
          <cell r="F1066">
            <v>0</v>
          </cell>
          <cell r="G1066">
            <v>0</v>
          </cell>
          <cell r="H1066">
            <v>0</v>
          </cell>
          <cell r="I1066">
            <v>0</v>
          </cell>
          <cell r="J1066">
            <v>0</v>
          </cell>
          <cell r="K1066">
            <v>0</v>
          </cell>
          <cell r="L1066">
            <v>0</v>
          </cell>
          <cell r="M1066">
            <v>7</v>
          </cell>
          <cell r="N1066">
            <v>0</v>
          </cell>
          <cell r="O1066">
            <v>0</v>
          </cell>
          <cell r="P1066">
            <v>0</v>
          </cell>
          <cell r="Q1066">
            <v>7</v>
          </cell>
        </row>
        <row r="1067">
          <cell r="A1067" t="str">
            <v>US35P015603921200010</v>
          </cell>
          <cell r="B1067" t="str">
            <v>US35P01560</v>
          </cell>
          <cell r="C1067">
            <v>3921200010</v>
          </cell>
          <cell r="D1067" t="str">
            <v>ADMINISTRATIVE SUPPLIES</v>
          </cell>
          <cell r="E1067">
            <v>2057</v>
          </cell>
          <cell r="F1067">
            <v>376</v>
          </cell>
          <cell r="G1067">
            <v>566</v>
          </cell>
          <cell r="H1067">
            <v>0</v>
          </cell>
          <cell r="I1067">
            <v>1369</v>
          </cell>
          <cell r="J1067">
            <v>205</v>
          </cell>
          <cell r="K1067">
            <v>0</v>
          </cell>
          <cell r="L1067">
            <v>1099</v>
          </cell>
          <cell r="M1067">
            <v>124</v>
          </cell>
          <cell r="N1067">
            <v>1713</v>
          </cell>
          <cell r="O1067">
            <v>0</v>
          </cell>
          <cell r="P1067">
            <v>1965</v>
          </cell>
          <cell r="Q1067">
            <v>9474</v>
          </cell>
        </row>
        <row r="1068">
          <cell r="A1068" t="str">
            <v>US35P015643921200010</v>
          </cell>
          <cell r="B1068" t="str">
            <v>US35P01564</v>
          </cell>
          <cell r="C1068">
            <v>3921200010</v>
          </cell>
          <cell r="D1068" t="str">
            <v>ADMINISTRATIVE SUPPLIES</v>
          </cell>
          <cell r="E1068">
            <v>0</v>
          </cell>
          <cell r="F1068">
            <v>0</v>
          </cell>
          <cell r="G1068">
            <v>113</v>
          </cell>
          <cell r="H1068">
            <v>0</v>
          </cell>
          <cell r="I1068">
            <v>0</v>
          </cell>
          <cell r="J1068">
            <v>0</v>
          </cell>
          <cell r="K1068">
            <v>0</v>
          </cell>
          <cell r="L1068">
            <v>657</v>
          </cell>
          <cell r="M1068">
            <v>841</v>
          </cell>
          <cell r="N1068">
            <v>961</v>
          </cell>
          <cell r="O1068">
            <v>32</v>
          </cell>
          <cell r="P1068">
            <v>0</v>
          </cell>
          <cell r="Q1068">
            <v>2604</v>
          </cell>
        </row>
        <row r="1069">
          <cell r="A1069" t="str">
            <v>US35P015753921200010</v>
          </cell>
          <cell r="B1069" t="str">
            <v>US35P01575</v>
          </cell>
          <cell r="C1069">
            <v>3921200010</v>
          </cell>
          <cell r="D1069" t="str">
            <v>ADMINISTRATIVE SUPPLIES</v>
          </cell>
          <cell r="E1069">
            <v>0</v>
          </cell>
          <cell r="F1069">
            <v>0</v>
          </cell>
          <cell r="G1069">
            <v>0</v>
          </cell>
          <cell r="H1069">
            <v>0</v>
          </cell>
          <cell r="I1069">
            <v>0</v>
          </cell>
          <cell r="J1069">
            <v>0</v>
          </cell>
          <cell r="K1069">
            <v>260</v>
          </cell>
          <cell r="L1069">
            <v>0</v>
          </cell>
          <cell r="M1069">
            <v>0</v>
          </cell>
          <cell r="N1069">
            <v>0</v>
          </cell>
          <cell r="O1069">
            <v>0</v>
          </cell>
          <cell r="P1069">
            <v>0</v>
          </cell>
          <cell r="Q1069">
            <v>260</v>
          </cell>
        </row>
        <row r="1070">
          <cell r="A1070" t="str">
            <v>US35P015903921200010</v>
          </cell>
          <cell r="B1070" t="str">
            <v>US35P01590</v>
          </cell>
          <cell r="C1070">
            <v>3921200010</v>
          </cell>
          <cell r="D1070" t="str">
            <v>ADMINISTRATIVE SUPPLIES</v>
          </cell>
          <cell r="E1070">
            <v>0</v>
          </cell>
          <cell r="F1070">
            <v>0</v>
          </cell>
          <cell r="G1070">
            <v>7</v>
          </cell>
          <cell r="H1070">
            <v>117</v>
          </cell>
          <cell r="I1070">
            <v>0</v>
          </cell>
          <cell r="J1070">
            <v>515</v>
          </cell>
          <cell r="K1070">
            <v>9</v>
          </cell>
          <cell r="L1070">
            <v>132</v>
          </cell>
          <cell r="M1070">
            <v>143</v>
          </cell>
          <cell r="N1070">
            <v>0</v>
          </cell>
          <cell r="O1070">
            <v>7</v>
          </cell>
          <cell r="P1070">
            <v>202</v>
          </cell>
          <cell r="Q1070">
            <v>1132</v>
          </cell>
        </row>
        <row r="1071">
          <cell r="A1071" t="str">
            <v>USWOP015013921200010</v>
          </cell>
          <cell r="B1071" t="str">
            <v>USWOP01501</v>
          </cell>
          <cell r="C1071">
            <v>3921200010</v>
          </cell>
          <cell r="D1071" t="str">
            <v>ADMINISTRATIVE SUPPLIES</v>
          </cell>
          <cell r="E1071">
            <v>1178</v>
          </cell>
          <cell r="F1071">
            <v>1072</v>
          </cell>
          <cell r="G1071">
            <v>2297</v>
          </cell>
          <cell r="H1071">
            <v>2049</v>
          </cell>
          <cell r="I1071">
            <v>1270</v>
          </cell>
          <cell r="J1071">
            <v>483</v>
          </cell>
          <cell r="K1071">
            <v>1482</v>
          </cell>
          <cell r="L1071">
            <v>389</v>
          </cell>
          <cell r="M1071">
            <v>2613</v>
          </cell>
          <cell r="N1071">
            <v>4117</v>
          </cell>
          <cell r="O1071">
            <v>1114</v>
          </cell>
          <cell r="P1071">
            <v>380</v>
          </cell>
          <cell r="Q1071">
            <v>18444</v>
          </cell>
        </row>
        <row r="1072">
          <cell r="A1072" t="str">
            <v>USWOP015503921200010</v>
          </cell>
          <cell r="B1072" t="str">
            <v>USWOP01550</v>
          </cell>
          <cell r="C1072">
            <v>3921200010</v>
          </cell>
          <cell r="D1072" t="str">
            <v>ADMINISTRATIVE SUPPLIES</v>
          </cell>
          <cell r="E1072">
            <v>0</v>
          </cell>
          <cell r="F1072">
            <v>0</v>
          </cell>
          <cell r="G1072">
            <v>0</v>
          </cell>
          <cell r="H1072">
            <v>0</v>
          </cell>
          <cell r="I1072">
            <v>70</v>
          </cell>
          <cell r="J1072">
            <v>31</v>
          </cell>
          <cell r="K1072">
            <v>0</v>
          </cell>
          <cell r="L1072">
            <v>0</v>
          </cell>
          <cell r="M1072">
            <v>0</v>
          </cell>
          <cell r="N1072">
            <v>0</v>
          </cell>
          <cell r="O1072">
            <v>0</v>
          </cell>
          <cell r="P1072">
            <v>923</v>
          </cell>
          <cell r="Q1072">
            <v>1024</v>
          </cell>
        </row>
        <row r="1073">
          <cell r="A1073" t="str">
            <v>USWOP015603921200010</v>
          </cell>
          <cell r="B1073" t="str">
            <v>USWOP01560</v>
          </cell>
          <cell r="C1073">
            <v>3921200010</v>
          </cell>
          <cell r="D1073" t="str">
            <v>ADMINISTRATIVE SUPPLIES</v>
          </cell>
          <cell r="E1073">
            <v>0</v>
          </cell>
          <cell r="F1073">
            <v>0</v>
          </cell>
          <cell r="G1073">
            <v>0</v>
          </cell>
          <cell r="H1073">
            <v>409</v>
          </cell>
          <cell r="I1073">
            <v>0</v>
          </cell>
          <cell r="J1073">
            <v>0</v>
          </cell>
          <cell r="K1073">
            <v>0</v>
          </cell>
          <cell r="L1073">
            <v>0</v>
          </cell>
          <cell r="M1073">
            <v>21</v>
          </cell>
          <cell r="N1073">
            <v>0</v>
          </cell>
          <cell r="O1073">
            <v>102</v>
          </cell>
          <cell r="P1073">
            <v>0</v>
          </cell>
          <cell r="Q1073">
            <v>532</v>
          </cell>
        </row>
        <row r="1074">
          <cell r="A1074" t="str">
            <v>US59P015013921200010</v>
          </cell>
          <cell r="B1074" t="str">
            <v>US59P01501</v>
          </cell>
          <cell r="C1074">
            <v>3921200010</v>
          </cell>
          <cell r="D1074" t="str">
            <v>ADMINISTRATIVE SUPPLIES</v>
          </cell>
          <cell r="E1074">
            <v>25</v>
          </cell>
          <cell r="F1074">
            <v>39</v>
          </cell>
          <cell r="G1074">
            <v>424</v>
          </cell>
          <cell r="H1074">
            <v>632</v>
          </cell>
          <cell r="I1074">
            <v>291</v>
          </cell>
          <cell r="J1074">
            <v>785</v>
          </cell>
          <cell r="K1074">
            <v>249</v>
          </cell>
          <cell r="L1074">
            <v>727</v>
          </cell>
          <cell r="M1074">
            <v>447</v>
          </cell>
          <cell r="N1074">
            <v>727</v>
          </cell>
          <cell r="O1074">
            <v>751</v>
          </cell>
          <cell r="P1074">
            <v>597</v>
          </cell>
          <cell r="Q1074">
            <v>5694</v>
          </cell>
        </row>
        <row r="1075">
          <cell r="A1075" t="str">
            <v>US59P015503921200010</v>
          </cell>
          <cell r="B1075" t="str">
            <v>US59P01550</v>
          </cell>
          <cell r="C1075">
            <v>3921200010</v>
          </cell>
          <cell r="D1075" t="str">
            <v>ADMINISTRATIVE SUPPLIES</v>
          </cell>
          <cell r="E1075">
            <v>0</v>
          </cell>
          <cell r="F1075">
            <v>366</v>
          </cell>
          <cell r="G1075">
            <v>0</v>
          </cell>
          <cell r="H1075">
            <v>971</v>
          </cell>
          <cell r="I1075">
            <v>680</v>
          </cell>
          <cell r="J1075">
            <v>296</v>
          </cell>
          <cell r="K1075">
            <v>1097</v>
          </cell>
          <cell r="L1075">
            <v>386</v>
          </cell>
          <cell r="M1075">
            <v>438</v>
          </cell>
          <cell r="N1075">
            <v>95</v>
          </cell>
          <cell r="O1075">
            <v>708</v>
          </cell>
          <cell r="P1075">
            <v>0</v>
          </cell>
          <cell r="Q1075">
            <v>5037</v>
          </cell>
        </row>
        <row r="1076">
          <cell r="A1076" t="str">
            <v>US59P015533921200010</v>
          </cell>
          <cell r="B1076" t="str">
            <v>US59P01553</v>
          </cell>
          <cell r="C1076">
            <v>3921200010</v>
          </cell>
          <cell r="D1076" t="str">
            <v>ADMINISTRATIVE SUPPLIES</v>
          </cell>
          <cell r="E1076">
            <v>0</v>
          </cell>
          <cell r="F1076">
            <v>0</v>
          </cell>
          <cell r="G1076">
            <v>0</v>
          </cell>
          <cell r="H1076">
            <v>0</v>
          </cell>
          <cell r="I1076">
            <v>0</v>
          </cell>
          <cell r="J1076">
            <v>0</v>
          </cell>
          <cell r="K1076">
            <v>35</v>
          </cell>
          <cell r="L1076">
            <v>0</v>
          </cell>
          <cell r="M1076">
            <v>0</v>
          </cell>
          <cell r="N1076">
            <v>0</v>
          </cell>
          <cell r="O1076">
            <v>0</v>
          </cell>
          <cell r="P1076">
            <v>0</v>
          </cell>
          <cell r="Q1076">
            <v>35</v>
          </cell>
        </row>
        <row r="1077">
          <cell r="A1077" t="str">
            <v>US59P015603921200010</v>
          </cell>
          <cell r="B1077" t="str">
            <v>US59P01560</v>
          </cell>
          <cell r="C1077">
            <v>3921200010</v>
          </cell>
          <cell r="D1077" t="str">
            <v>ADMINISTRATIVE SUPPLIES</v>
          </cell>
          <cell r="E1077">
            <v>0</v>
          </cell>
          <cell r="F1077">
            <v>0</v>
          </cell>
          <cell r="G1077">
            <v>612</v>
          </cell>
          <cell r="H1077">
            <v>65</v>
          </cell>
          <cell r="I1077">
            <v>173</v>
          </cell>
          <cell r="J1077">
            <v>0</v>
          </cell>
          <cell r="K1077">
            <v>175</v>
          </cell>
          <cell r="L1077">
            <v>99</v>
          </cell>
          <cell r="M1077">
            <v>237</v>
          </cell>
          <cell r="N1077">
            <v>412</v>
          </cell>
          <cell r="O1077">
            <v>0</v>
          </cell>
          <cell r="P1077">
            <v>144</v>
          </cell>
          <cell r="Q1077">
            <v>1917</v>
          </cell>
        </row>
        <row r="1078">
          <cell r="A1078" t="str">
            <v>US59P015643921200010</v>
          </cell>
          <cell r="B1078" t="str">
            <v>US59P01564</v>
          </cell>
          <cell r="C1078">
            <v>3921200010</v>
          </cell>
          <cell r="D1078" t="str">
            <v>ADMINISTRATIVE SUPPLIES</v>
          </cell>
          <cell r="E1078">
            <v>0</v>
          </cell>
          <cell r="F1078">
            <v>0</v>
          </cell>
          <cell r="G1078">
            <v>0</v>
          </cell>
          <cell r="H1078">
            <v>0</v>
          </cell>
          <cell r="I1078">
            <v>0</v>
          </cell>
          <cell r="J1078">
            <v>0</v>
          </cell>
          <cell r="K1078">
            <v>0</v>
          </cell>
          <cell r="L1078">
            <v>0</v>
          </cell>
          <cell r="M1078">
            <v>15</v>
          </cell>
          <cell r="N1078">
            <v>0</v>
          </cell>
          <cell r="O1078">
            <v>0</v>
          </cell>
          <cell r="P1078">
            <v>0</v>
          </cell>
          <cell r="Q1078">
            <v>15</v>
          </cell>
        </row>
        <row r="1079">
          <cell r="A1079" t="str">
            <v>US59P3C5013921200010</v>
          </cell>
          <cell r="B1079" t="str">
            <v>US59P3C501</v>
          </cell>
          <cell r="C1079">
            <v>3921200010</v>
          </cell>
          <cell r="D1079" t="str">
            <v>ADMINISTRATIVE SUPPLIES</v>
          </cell>
          <cell r="E1079">
            <v>827</v>
          </cell>
          <cell r="F1079">
            <v>31</v>
          </cell>
          <cell r="G1079">
            <v>101</v>
          </cell>
          <cell r="H1079">
            <v>7</v>
          </cell>
          <cell r="I1079">
            <v>8</v>
          </cell>
          <cell r="J1079">
            <v>7</v>
          </cell>
          <cell r="K1079">
            <v>564</v>
          </cell>
          <cell r="L1079">
            <v>0</v>
          </cell>
          <cell r="M1079">
            <v>257</v>
          </cell>
          <cell r="N1079">
            <v>30</v>
          </cell>
          <cell r="O1079">
            <v>21</v>
          </cell>
          <cell r="P1079">
            <v>222</v>
          </cell>
          <cell r="Q1079">
            <v>2075</v>
          </cell>
        </row>
        <row r="1080">
          <cell r="A1080" t="str">
            <v>US59P3C5503921200010</v>
          </cell>
          <cell r="B1080" t="str">
            <v>US59P3C550</v>
          </cell>
          <cell r="C1080">
            <v>3921200010</v>
          </cell>
          <cell r="D1080" t="str">
            <v>ADMINISTRATIVE SUPPLIES</v>
          </cell>
          <cell r="E1080">
            <v>0</v>
          </cell>
          <cell r="F1080">
            <v>897</v>
          </cell>
          <cell r="G1080">
            <v>248</v>
          </cell>
          <cell r="H1080">
            <v>0</v>
          </cell>
          <cell r="I1080">
            <v>0</v>
          </cell>
          <cell r="J1080">
            <v>24</v>
          </cell>
          <cell r="K1080">
            <v>78</v>
          </cell>
          <cell r="L1080">
            <v>0</v>
          </cell>
          <cell r="M1080">
            <v>0</v>
          </cell>
          <cell r="N1080">
            <v>417</v>
          </cell>
          <cell r="O1080">
            <v>0</v>
          </cell>
          <cell r="P1080">
            <v>0</v>
          </cell>
          <cell r="Q1080">
            <v>1664</v>
          </cell>
        </row>
        <row r="1081">
          <cell r="A1081" t="str">
            <v>US59P3C5603921200010</v>
          </cell>
          <cell r="B1081" t="str">
            <v>US59P3C560</v>
          </cell>
          <cell r="C1081">
            <v>3921200010</v>
          </cell>
          <cell r="D1081" t="str">
            <v>ADMINISTRATIVE SUPPLIES</v>
          </cell>
          <cell r="E1081">
            <v>1025</v>
          </cell>
          <cell r="F1081">
            <v>577</v>
          </cell>
          <cell r="G1081">
            <v>0</v>
          </cell>
          <cell r="H1081">
            <v>82</v>
          </cell>
          <cell r="I1081">
            <v>319</v>
          </cell>
          <cell r="J1081">
            <v>1737</v>
          </cell>
          <cell r="K1081">
            <v>0</v>
          </cell>
          <cell r="L1081">
            <v>0</v>
          </cell>
          <cell r="M1081">
            <v>253</v>
          </cell>
          <cell r="N1081">
            <v>727</v>
          </cell>
          <cell r="O1081">
            <v>847</v>
          </cell>
          <cell r="P1081">
            <v>131</v>
          </cell>
          <cell r="Q1081">
            <v>5698</v>
          </cell>
        </row>
        <row r="1082">
          <cell r="A1082" t="str">
            <v>US59PZA5013921200010</v>
          </cell>
          <cell r="B1082" t="str">
            <v>US59PZA501</v>
          </cell>
          <cell r="C1082">
            <v>3921200010</v>
          </cell>
          <cell r="D1082" t="str">
            <v>ADMINISTRATIVE SUPPLIES</v>
          </cell>
          <cell r="E1082">
            <v>126</v>
          </cell>
          <cell r="F1082">
            <v>274</v>
          </cell>
          <cell r="G1082">
            <v>0</v>
          </cell>
          <cell r="H1082">
            <v>227</v>
          </cell>
          <cell r="I1082">
            <v>867</v>
          </cell>
          <cell r="J1082">
            <v>547</v>
          </cell>
          <cell r="K1082">
            <v>0</v>
          </cell>
          <cell r="L1082">
            <v>135</v>
          </cell>
          <cell r="M1082">
            <v>0</v>
          </cell>
          <cell r="N1082">
            <v>0</v>
          </cell>
          <cell r="O1082">
            <v>226</v>
          </cell>
          <cell r="P1082">
            <v>0</v>
          </cell>
          <cell r="Q1082">
            <v>2402</v>
          </cell>
        </row>
        <row r="1083">
          <cell r="A1083" t="str">
            <v>USCRP015013921200010</v>
          </cell>
          <cell r="B1083" t="str">
            <v>USCRP01501</v>
          </cell>
          <cell r="C1083">
            <v>3921200010</v>
          </cell>
          <cell r="D1083" t="str">
            <v>ADMINISTRATIVE SUPPLIES</v>
          </cell>
          <cell r="E1083">
            <v>530</v>
          </cell>
          <cell r="F1083">
            <v>396</v>
          </cell>
          <cell r="G1083">
            <v>429</v>
          </cell>
          <cell r="H1083">
            <v>868</v>
          </cell>
          <cell r="I1083">
            <v>629</v>
          </cell>
          <cell r="J1083">
            <v>1156</v>
          </cell>
          <cell r="K1083">
            <v>728</v>
          </cell>
          <cell r="L1083">
            <v>500</v>
          </cell>
          <cell r="M1083">
            <v>203</v>
          </cell>
          <cell r="N1083">
            <v>888</v>
          </cell>
          <cell r="O1083">
            <v>164</v>
          </cell>
          <cell r="P1083">
            <v>150</v>
          </cell>
          <cell r="Q1083">
            <v>6641</v>
          </cell>
        </row>
        <row r="1084">
          <cell r="A1084" t="str">
            <v>USCRP015503921200010</v>
          </cell>
          <cell r="B1084" t="str">
            <v>USCRP01550</v>
          </cell>
          <cell r="C1084">
            <v>3921200010</v>
          </cell>
          <cell r="D1084" t="str">
            <v>ADMINISTRATIVE SUPPLIES</v>
          </cell>
          <cell r="E1084">
            <v>0</v>
          </cell>
          <cell r="F1084">
            <v>0</v>
          </cell>
          <cell r="G1084">
            <v>0</v>
          </cell>
          <cell r="H1084">
            <v>0</v>
          </cell>
          <cell r="I1084">
            <v>0</v>
          </cell>
          <cell r="J1084">
            <v>63</v>
          </cell>
          <cell r="K1084">
            <v>7</v>
          </cell>
          <cell r="L1084">
            <v>20</v>
          </cell>
          <cell r="M1084">
            <v>8</v>
          </cell>
          <cell r="N1084">
            <v>0</v>
          </cell>
          <cell r="O1084">
            <v>0</v>
          </cell>
          <cell r="P1084">
            <v>0</v>
          </cell>
          <cell r="Q1084">
            <v>98</v>
          </cell>
        </row>
        <row r="1085">
          <cell r="A1085" t="str">
            <v>USCRP015603921200010</v>
          </cell>
          <cell r="B1085" t="str">
            <v>USCRP01560</v>
          </cell>
          <cell r="C1085">
            <v>3921200010</v>
          </cell>
          <cell r="D1085" t="str">
            <v>ADMINISTRATIVE SUPPLIES</v>
          </cell>
          <cell r="E1085">
            <v>122</v>
          </cell>
          <cell r="F1085">
            <v>0</v>
          </cell>
          <cell r="G1085">
            <v>0</v>
          </cell>
          <cell r="H1085">
            <v>0</v>
          </cell>
          <cell r="I1085">
            <v>0</v>
          </cell>
          <cell r="J1085">
            <v>0</v>
          </cell>
          <cell r="K1085">
            <v>0</v>
          </cell>
          <cell r="L1085">
            <v>0</v>
          </cell>
          <cell r="M1085">
            <v>14</v>
          </cell>
          <cell r="N1085">
            <v>53</v>
          </cell>
          <cell r="O1085">
            <v>0</v>
          </cell>
          <cell r="P1085">
            <v>0</v>
          </cell>
          <cell r="Q1085">
            <v>189</v>
          </cell>
        </row>
        <row r="1086">
          <cell r="A1086" t="str">
            <v>USCRP015643921200010</v>
          </cell>
          <cell r="B1086" t="str">
            <v>USCRP01564</v>
          </cell>
          <cell r="C1086">
            <v>3921200010</v>
          </cell>
          <cell r="D1086" t="str">
            <v>ADMINISTRATIVE SUPPLIES</v>
          </cell>
          <cell r="E1086">
            <v>0</v>
          </cell>
          <cell r="F1086">
            <v>0</v>
          </cell>
          <cell r="G1086">
            <v>0</v>
          </cell>
          <cell r="H1086">
            <v>0</v>
          </cell>
          <cell r="I1086">
            <v>0</v>
          </cell>
          <cell r="J1086">
            <v>0</v>
          </cell>
          <cell r="K1086">
            <v>0</v>
          </cell>
          <cell r="L1086">
            <v>0</v>
          </cell>
          <cell r="M1086">
            <v>14</v>
          </cell>
          <cell r="N1086">
            <v>0</v>
          </cell>
          <cell r="O1086">
            <v>0</v>
          </cell>
          <cell r="P1086">
            <v>0</v>
          </cell>
          <cell r="Q1086">
            <v>14</v>
          </cell>
        </row>
        <row r="1087">
          <cell r="A1087" t="str">
            <v>US28P015753921200014</v>
          </cell>
          <cell r="B1087" t="str">
            <v>US28P01575</v>
          </cell>
          <cell r="C1087">
            <v>3921200014</v>
          </cell>
          <cell r="D1087" t="str">
            <v>MATERIAL FOR TRIALS AND ANALYSES</v>
          </cell>
          <cell r="E1087">
            <v>0</v>
          </cell>
          <cell r="F1087">
            <v>69</v>
          </cell>
          <cell r="G1087">
            <v>0</v>
          </cell>
          <cell r="H1087">
            <v>0</v>
          </cell>
          <cell r="I1087">
            <v>0</v>
          </cell>
          <cell r="J1087">
            <v>0</v>
          </cell>
          <cell r="K1087">
            <v>0</v>
          </cell>
          <cell r="L1087">
            <v>26057</v>
          </cell>
          <cell r="M1087">
            <v>0</v>
          </cell>
          <cell r="N1087">
            <v>0</v>
          </cell>
          <cell r="O1087">
            <v>0</v>
          </cell>
          <cell r="P1087">
            <v>188380</v>
          </cell>
          <cell r="Q1087">
            <v>214506</v>
          </cell>
        </row>
        <row r="1088">
          <cell r="A1088" t="str">
            <v>US35P015603921200014</v>
          </cell>
          <cell r="B1088" t="str">
            <v>US35P01560</v>
          </cell>
          <cell r="C1088">
            <v>3921200014</v>
          </cell>
          <cell r="D1088" t="str">
            <v>MATERIAL FOR TRIALS AND ANALYSES</v>
          </cell>
          <cell r="E1088">
            <v>372</v>
          </cell>
          <cell r="F1088">
            <v>0</v>
          </cell>
          <cell r="G1088">
            <v>0</v>
          </cell>
          <cell r="H1088">
            <v>489</v>
          </cell>
          <cell r="I1088">
            <v>269</v>
          </cell>
          <cell r="J1088">
            <v>30</v>
          </cell>
          <cell r="K1088">
            <v>0</v>
          </cell>
          <cell r="L1088">
            <v>5728</v>
          </cell>
          <cell r="M1088">
            <v>0</v>
          </cell>
          <cell r="N1088">
            <v>0</v>
          </cell>
          <cell r="O1088">
            <v>0</v>
          </cell>
          <cell r="P1088">
            <v>0</v>
          </cell>
          <cell r="Q1088">
            <v>6888</v>
          </cell>
        </row>
        <row r="1089">
          <cell r="A1089" t="str">
            <v>US28P015643921200020</v>
          </cell>
          <cell r="B1089" t="str">
            <v>US28P01564</v>
          </cell>
          <cell r="C1089">
            <v>3921200020</v>
          </cell>
          <cell r="D1089" t="str">
            <v>TRIALS EXPENSES</v>
          </cell>
          <cell r="E1089">
            <v>0</v>
          </cell>
          <cell r="F1089">
            <v>0</v>
          </cell>
          <cell r="G1089">
            <v>-41</v>
          </cell>
          <cell r="H1089">
            <v>0</v>
          </cell>
          <cell r="I1089">
            <v>0</v>
          </cell>
          <cell r="J1089">
            <v>0</v>
          </cell>
          <cell r="K1089">
            <v>0</v>
          </cell>
          <cell r="L1089">
            <v>0</v>
          </cell>
          <cell r="M1089">
            <v>0</v>
          </cell>
          <cell r="N1089">
            <v>0</v>
          </cell>
          <cell r="O1089">
            <v>0</v>
          </cell>
          <cell r="P1089">
            <v>0</v>
          </cell>
          <cell r="Q1089">
            <v>-41</v>
          </cell>
        </row>
        <row r="1090">
          <cell r="A1090" t="str">
            <v>US22P015643921200023</v>
          </cell>
          <cell r="B1090" t="str">
            <v>US22P01564</v>
          </cell>
          <cell r="C1090">
            <v>3921200023</v>
          </cell>
          <cell r="D1090" t="str">
            <v>CHEMICAL SUPPLIES</v>
          </cell>
          <cell r="E1090">
            <v>0</v>
          </cell>
          <cell r="F1090">
            <v>0</v>
          </cell>
          <cell r="G1090">
            <v>0</v>
          </cell>
          <cell r="H1090">
            <v>0</v>
          </cell>
          <cell r="I1090">
            <v>0</v>
          </cell>
          <cell r="J1090">
            <v>0</v>
          </cell>
          <cell r="K1090">
            <v>0</v>
          </cell>
          <cell r="L1090">
            <v>0</v>
          </cell>
          <cell r="M1090">
            <v>0</v>
          </cell>
          <cell r="N1090">
            <v>0</v>
          </cell>
          <cell r="O1090">
            <v>1030</v>
          </cell>
          <cell r="P1090">
            <v>0</v>
          </cell>
          <cell r="Q1090">
            <v>1030</v>
          </cell>
        </row>
        <row r="1091">
          <cell r="A1091" t="str">
            <v>US22P015753921200023</v>
          </cell>
          <cell r="B1091" t="str">
            <v>US22P01575</v>
          </cell>
          <cell r="C1091">
            <v>3921200023</v>
          </cell>
          <cell r="D1091" t="str">
            <v>CHEMICAL SUPPLIES</v>
          </cell>
          <cell r="E1091">
            <v>0</v>
          </cell>
          <cell r="F1091">
            <v>58</v>
          </cell>
          <cell r="G1091">
            <v>0</v>
          </cell>
          <cell r="H1091">
            <v>0</v>
          </cell>
          <cell r="I1091">
            <v>0</v>
          </cell>
          <cell r="J1091">
            <v>0</v>
          </cell>
          <cell r="K1091">
            <v>0</v>
          </cell>
          <cell r="L1091">
            <v>0</v>
          </cell>
          <cell r="M1091">
            <v>0</v>
          </cell>
          <cell r="N1091">
            <v>0</v>
          </cell>
          <cell r="O1091">
            <v>0</v>
          </cell>
          <cell r="P1091">
            <v>0</v>
          </cell>
          <cell r="Q1091">
            <v>58</v>
          </cell>
        </row>
        <row r="1092">
          <cell r="A1092" t="str">
            <v>US28P015533921200023</v>
          </cell>
          <cell r="B1092" t="str">
            <v>US28P01553</v>
          </cell>
          <cell r="C1092">
            <v>3921200023</v>
          </cell>
          <cell r="D1092" t="str">
            <v>CHEMICAL SUPPLIES</v>
          </cell>
          <cell r="E1092">
            <v>0</v>
          </cell>
          <cell r="F1092">
            <v>0</v>
          </cell>
          <cell r="G1092">
            <v>0</v>
          </cell>
          <cell r="H1092">
            <v>0</v>
          </cell>
          <cell r="I1092">
            <v>0</v>
          </cell>
          <cell r="J1092">
            <v>0</v>
          </cell>
          <cell r="K1092">
            <v>0</v>
          </cell>
          <cell r="L1092">
            <v>0</v>
          </cell>
          <cell r="M1092">
            <v>509</v>
          </cell>
          <cell r="N1092">
            <v>0</v>
          </cell>
          <cell r="O1092">
            <v>0</v>
          </cell>
          <cell r="P1092">
            <v>0</v>
          </cell>
          <cell r="Q1092">
            <v>509</v>
          </cell>
        </row>
        <row r="1093">
          <cell r="A1093" t="str">
            <v>USWOP015013921200023</v>
          </cell>
          <cell r="B1093" t="str">
            <v>USWOP01501</v>
          </cell>
          <cell r="C1093">
            <v>3921200023</v>
          </cell>
          <cell r="D1093" t="str">
            <v>CHEMICAL SUPPLIES</v>
          </cell>
          <cell r="E1093">
            <v>0</v>
          </cell>
          <cell r="F1093">
            <v>0</v>
          </cell>
          <cell r="G1093">
            <v>0</v>
          </cell>
          <cell r="H1093">
            <v>0</v>
          </cell>
          <cell r="I1093">
            <v>0</v>
          </cell>
          <cell r="J1093">
            <v>0</v>
          </cell>
          <cell r="K1093">
            <v>0</v>
          </cell>
          <cell r="L1093">
            <v>0</v>
          </cell>
          <cell r="M1093">
            <v>5</v>
          </cell>
          <cell r="N1093">
            <v>0</v>
          </cell>
          <cell r="O1093">
            <v>0</v>
          </cell>
          <cell r="P1093">
            <v>0</v>
          </cell>
          <cell r="Q1093">
            <v>5</v>
          </cell>
        </row>
        <row r="1094">
          <cell r="A1094" t="str">
            <v>USCRP015503921200023</v>
          </cell>
          <cell r="B1094" t="str">
            <v>USCRP01550</v>
          </cell>
          <cell r="C1094">
            <v>3921200023</v>
          </cell>
          <cell r="D1094" t="str">
            <v>CHEMICAL SUPPLIES</v>
          </cell>
          <cell r="E1094">
            <v>-176</v>
          </cell>
          <cell r="F1094">
            <v>0</v>
          </cell>
          <cell r="G1094">
            <v>0</v>
          </cell>
          <cell r="H1094">
            <v>0</v>
          </cell>
          <cell r="I1094">
            <v>0</v>
          </cell>
          <cell r="J1094">
            <v>0</v>
          </cell>
          <cell r="K1094">
            <v>0</v>
          </cell>
          <cell r="L1094">
            <v>0</v>
          </cell>
          <cell r="M1094">
            <v>0</v>
          </cell>
          <cell r="N1094">
            <v>0</v>
          </cell>
          <cell r="O1094">
            <v>0</v>
          </cell>
          <cell r="P1094">
            <v>0</v>
          </cell>
          <cell r="Q1094">
            <v>-176</v>
          </cell>
        </row>
        <row r="1095">
          <cell r="A1095" t="str">
            <v>US22P015013921200026</v>
          </cell>
          <cell r="B1095" t="str">
            <v>US22P01501</v>
          </cell>
          <cell r="C1095">
            <v>3921200026</v>
          </cell>
          <cell r="D1095" t="str">
            <v>MISCELLANEOUS COSTS ON VEHICLES</v>
          </cell>
          <cell r="E1095">
            <v>0</v>
          </cell>
          <cell r="F1095">
            <v>0</v>
          </cell>
          <cell r="G1095">
            <v>0</v>
          </cell>
          <cell r="H1095">
            <v>0</v>
          </cell>
          <cell r="I1095">
            <v>0</v>
          </cell>
          <cell r="J1095">
            <v>0</v>
          </cell>
          <cell r="K1095">
            <v>0</v>
          </cell>
          <cell r="L1095">
            <v>0</v>
          </cell>
          <cell r="M1095">
            <v>0</v>
          </cell>
          <cell r="N1095">
            <v>0</v>
          </cell>
          <cell r="O1095">
            <v>7</v>
          </cell>
          <cell r="P1095">
            <v>77</v>
          </cell>
          <cell r="Q1095">
            <v>84</v>
          </cell>
        </row>
        <row r="1096">
          <cell r="A1096" t="str">
            <v>US22P015503921200026</v>
          </cell>
          <cell r="B1096" t="str">
            <v>US22P01550</v>
          </cell>
          <cell r="C1096">
            <v>3921200026</v>
          </cell>
          <cell r="D1096" t="str">
            <v>MISCELLANEOUS COSTS ON VEHICLES</v>
          </cell>
          <cell r="E1096">
            <v>0</v>
          </cell>
          <cell r="F1096">
            <v>0</v>
          </cell>
          <cell r="G1096">
            <v>0</v>
          </cell>
          <cell r="H1096">
            <v>0</v>
          </cell>
          <cell r="I1096">
            <v>0</v>
          </cell>
          <cell r="J1096">
            <v>0</v>
          </cell>
          <cell r="K1096">
            <v>0</v>
          </cell>
          <cell r="L1096">
            <v>0</v>
          </cell>
          <cell r="M1096">
            <v>0</v>
          </cell>
          <cell r="N1096">
            <v>0</v>
          </cell>
          <cell r="O1096">
            <v>87</v>
          </cell>
          <cell r="P1096">
            <v>1244</v>
          </cell>
          <cell r="Q1096">
            <v>1331</v>
          </cell>
        </row>
        <row r="1097">
          <cell r="A1097" t="str">
            <v>US28P015013921200026</v>
          </cell>
          <cell r="B1097" t="str">
            <v>US28P01501</v>
          </cell>
          <cell r="C1097">
            <v>3921200026</v>
          </cell>
          <cell r="D1097" t="str">
            <v>MISCELLANEOUS COSTS ON VEHICLES</v>
          </cell>
          <cell r="E1097">
            <v>0</v>
          </cell>
          <cell r="F1097">
            <v>0</v>
          </cell>
          <cell r="G1097">
            <v>0</v>
          </cell>
          <cell r="H1097">
            <v>0</v>
          </cell>
          <cell r="I1097">
            <v>0</v>
          </cell>
          <cell r="J1097">
            <v>0</v>
          </cell>
          <cell r="K1097">
            <v>0</v>
          </cell>
          <cell r="L1097">
            <v>0</v>
          </cell>
          <cell r="M1097">
            <v>0</v>
          </cell>
          <cell r="N1097">
            <v>0</v>
          </cell>
          <cell r="O1097">
            <v>7</v>
          </cell>
          <cell r="P1097">
            <v>67</v>
          </cell>
          <cell r="Q1097">
            <v>74</v>
          </cell>
        </row>
        <row r="1098">
          <cell r="A1098" t="str">
            <v>US28P015503921200026</v>
          </cell>
          <cell r="B1098" t="str">
            <v>US28P01550</v>
          </cell>
          <cell r="C1098">
            <v>3921200026</v>
          </cell>
          <cell r="D1098" t="str">
            <v>MISCELLANEOUS COSTS ON VEHICLES</v>
          </cell>
          <cell r="E1098">
            <v>0</v>
          </cell>
          <cell r="F1098">
            <v>0</v>
          </cell>
          <cell r="G1098">
            <v>0</v>
          </cell>
          <cell r="H1098">
            <v>0</v>
          </cell>
          <cell r="I1098">
            <v>0</v>
          </cell>
          <cell r="J1098">
            <v>0</v>
          </cell>
          <cell r="K1098">
            <v>0</v>
          </cell>
          <cell r="L1098">
            <v>0</v>
          </cell>
          <cell r="M1098">
            <v>0</v>
          </cell>
          <cell r="N1098">
            <v>0</v>
          </cell>
          <cell r="O1098">
            <v>7</v>
          </cell>
          <cell r="P1098">
            <v>7</v>
          </cell>
          <cell r="Q1098">
            <v>14</v>
          </cell>
        </row>
        <row r="1099">
          <cell r="A1099" t="str">
            <v>US35P015013921200026</v>
          </cell>
          <cell r="B1099" t="str">
            <v>US35P01501</v>
          </cell>
          <cell r="C1099">
            <v>3921200026</v>
          </cell>
          <cell r="D1099" t="str">
            <v>MISCELLANEOUS COSTS ON VEHICLES</v>
          </cell>
          <cell r="E1099">
            <v>0</v>
          </cell>
          <cell r="F1099">
            <v>0</v>
          </cell>
          <cell r="G1099">
            <v>0</v>
          </cell>
          <cell r="H1099">
            <v>0</v>
          </cell>
          <cell r="I1099">
            <v>0</v>
          </cell>
          <cell r="J1099">
            <v>0</v>
          </cell>
          <cell r="K1099">
            <v>0</v>
          </cell>
          <cell r="L1099">
            <v>0</v>
          </cell>
          <cell r="M1099">
            <v>0</v>
          </cell>
          <cell r="N1099">
            <v>0</v>
          </cell>
          <cell r="O1099">
            <v>2</v>
          </cell>
          <cell r="P1099">
            <v>2</v>
          </cell>
          <cell r="Q1099">
            <v>4</v>
          </cell>
        </row>
        <row r="1100">
          <cell r="A1100" t="str">
            <v>US35P015503921200026</v>
          </cell>
          <cell r="B1100" t="str">
            <v>US35P01550</v>
          </cell>
          <cell r="C1100">
            <v>3921200026</v>
          </cell>
          <cell r="D1100" t="str">
            <v>MISCELLANEOUS COSTS ON VEHICLES</v>
          </cell>
          <cell r="E1100">
            <v>0</v>
          </cell>
          <cell r="F1100">
            <v>0</v>
          </cell>
          <cell r="G1100">
            <v>0</v>
          </cell>
          <cell r="H1100">
            <v>0</v>
          </cell>
          <cell r="I1100">
            <v>0</v>
          </cell>
          <cell r="J1100">
            <v>0</v>
          </cell>
          <cell r="K1100">
            <v>0</v>
          </cell>
          <cell r="L1100">
            <v>0</v>
          </cell>
          <cell r="M1100">
            <v>0</v>
          </cell>
          <cell r="N1100">
            <v>0</v>
          </cell>
          <cell r="O1100">
            <v>16</v>
          </cell>
          <cell r="P1100">
            <v>25</v>
          </cell>
          <cell r="Q1100">
            <v>41</v>
          </cell>
        </row>
        <row r="1101">
          <cell r="A1101" t="str">
            <v>USWOP015013921200026</v>
          </cell>
          <cell r="B1101" t="str">
            <v>USWOP01501</v>
          </cell>
          <cell r="C1101">
            <v>3921200026</v>
          </cell>
          <cell r="D1101" t="str">
            <v>MISCELLANEOUS COSTS ON VEHICLES</v>
          </cell>
          <cell r="E1101">
            <v>0</v>
          </cell>
          <cell r="F1101">
            <v>0</v>
          </cell>
          <cell r="G1101">
            <v>0</v>
          </cell>
          <cell r="H1101">
            <v>0</v>
          </cell>
          <cell r="I1101">
            <v>0</v>
          </cell>
          <cell r="J1101">
            <v>0</v>
          </cell>
          <cell r="K1101">
            <v>0</v>
          </cell>
          <cell r="L1101">
            <v>0</v>
          </cell>
          <cell r="M1101">
            <v>2</v>
          </cell>
          <cell r="N1101">
            <v>0</v>
          </cell>
          <cell r="O1101">
            <v>83</v>
          </cell>
          <cell r="P1101">
            <v>358</v>
          </cell>
          <cell r="Q1101">
            <v>443</v>
          </cell>
        </row>
        <row r="1102">
          <cell r="A1102" t="str">
            <v>US59P015013921200026</v>
          </cell>
          <cell r="B1102" t="str">
            <v>US59P01501</v>
          </cell>
          <cell r="C1102">
            <v>3921200026</v>
          </cell>
          <cell r="D1102" t="str">
            <v>MISCELLANEOUS COSTS ON VEHICLES</v>
          </cell>
          <cell r="E1102">
            <v>0</v>
          </cell>
          <cell r="F1102">
            <v>0</v>
          </cell>
          <cell r="G1102">
            <v>0</v>
          </cell>
          <cell r="H1102">
            <v>0</v>
          </cell>
          <cell r="I1102">
            <v>0</v>
          </cell>
          <cell r="J1102">
            <v>0</v>
          </cell>
          <cell r="K1102">
            <v>0</v>
          </cell>
          <cell r="L1102">
            <v>0</v>
          </cell>
          <cell r="M1102">
            <v>0</v>
          </cell>
          <cell r="N1102">
            <v>0</v>
          </cell>
          <cell r="O1102">
            <v>41</v>
          </cell>
          <cell r="P1102">
            <v>54</v>
          </cell>
          <cell r="Q1102">
            <v>95</v>
          </cell>
        </row>
        <row r="1103">
          <cell r="A1103" t="str">
            <v>USCRP015013921200026</v>
          </cell>
          <cell r="B1103" t="str">
            <v>USCRP01501</v>
          </cell>
          <cell r="C1103">
            <v>3921200026</v>
          </cell>
          <cell r="D1103" t="str">
            <v>MISCELLANEOUS COSTS ON VEHICLES</v>
          </cell>
          <cell r="E1103">
            <v>0</v>
          </cell>
          <cell r="F1103">
            <v>0</v>
          </cell>
          <cell r="G1103">
            <v>0</v>
          </cell>
          <cell r="H1103">
            <v>0</v>
          </cell>
          <cell r="I1103">
            <v>0</v>
          </cell>
          <cell r="J1103">
            <v>0</v>
          </cell>
          <cell r="K1103">
            <v>0</v>
          </cell>
          <cell r="L1103">
            <v>0</v>
          </cell>
          <cell r="M1103">
            <v>0</v>
          </cell>
          <cell r="N1103">
            <v>0</v>
          </cell>
          <cell r="O1103">
            <v>495</v>
          </cell>
          <cell r="P1103">
            <v>1951</v>
          </cell>
          <cell r="Q1103">
            <v>2446</v>
          </cell>
        </row>
        <row r="1104">
          <cell r="A1104" t="str">
            <v>US22P015013921200037</v>
          </cell>
          <cell r="B1104" t="str">
            <v>US22P01501</v>
          </cell>
          <cell r="C1104">
            <v>3921200037</v>
          </cell>
          <cell r="D1104" t="str">
            <v>EXHAUSTIVE EQUIPMENT</v>
          </cell>
          <cell r="E1104">
            <v>1470</v>
          </cell>
          <cell r="F1104">
            <v>1557</v>
          </cell>
          <cell r="G1104">
            <v>213</v>
          </cell>
          <cell r="H1104">
            <v>88</v>
          </cell>
          <cell r="I1104">
            <v>305</v>
          </cell>
          <cell r="J1104">
            <v>4089</v>
          </cell>
          <cell r="K1104">
            <v>457</v>
          </cell>
          <cell r="L1104">
            <v>30</v>
          </cell>
          <cell r="M1104">
            <v>322</v>
          </cell>
          <cell r="N1104">
            <v>275</v>
          </cell>
          <cell r="O1104">
            <v>196</v>
          </cell>
          <cell r="P1104">
            <v>736</v>
          </cell>
          <cell r="Q1104">
            <v>9738</v>
          </cell>
        </row>
        <row r="1105">
          <cell r="A1105" t="str">
            <v>US22P015503921200037</v>
          </cell>
          <cell r="B1105" t="str">
            <v>US22P01550</v>
          </cell>
          <cell r="C1105">
            <v>3921200037</v>
          </cell>
          <cell r="D1105" t="str">
            <v>EXHAUSTIVE EQUIPMENT</v>
          </cell>
          <cell r="E1105">
            <v>75</v>
          </cell>
          <cell r="F1105">
            <v>215</v>
          </cell>
          <cell r="G1105">
            <v>0</v>
          </cell>
          <cell r="H1105">
            <v>0</v>
          </cell>
          <cell r="I1105">
            <v>1138</v>
          </cell>
          <cell r="J1105">
            <v>1839</v>
          </cell>
          <cell r="K1105">
            <v>3150</v>
          </cell>
          <cell r="L1105">
            <v>1078</v>
          </cell>
          <cell r="M1105">
            <v>362</v>
          </cell>
          <cell r="N1105">
            <v>248</v>
          </cell>
          <cell r="O1105">
            <v>80</v>
          </cell>
          <cell r="P1105">
            <v>275</v>
          </cell>
          <cell r="Q1105">
            <v>8460</v>
          </cell>
        </row>
        <row r="1106">
          <cell r="A1106" t="str">
            <v>US22P015533921200037</v>
          </cell>
          <cell r="B1106" t="str">
            <v>US22P01553</v>
          </cell>
          <cell r="C1106">
            <v>3921200037</v>
          </cell>
          <cell r="D1106" t="str">
            <v>EXHAUSTIVE EQUIPMENT</v>
          </cell>
          <cell r="E1106">
            <v>0</v>
          </cell>
          <cell r="F1106">
            <v>0</v>
          </cell>
          <cell r="G1106">
            <v>0</v>
          </cell>
          <cell r="H1106">
            <v>0</v>
          </cell>
          <cell r="I1106">
            <v>0</v>
          </cell>
          <cell r="J1106">
            <v>3194</v>
          </cell>
          <cell r="K1106">
            <v>860</v>
          </cell>
          <cell r="L1106">
            <v>745</v>
          </cell>
          <cell r="M1106">
            <v>91</v>
          </cell>
          <cell r="N1106">
            <v>0</v>
          </cell>
          <cell r="O1106">
            <v>0</v>
          </cell>
          <cell r="P1106">
            <v>0</v>
          </cell>
          <cell r="Q1106">
            <v>4890</v>
          </cell>
        </row>
        <row r="1107">
          <cell r="A1107" t="str">
            <v>US22P015603921200037</v>
          </cell>
          <cell r="B1107" t="str">
            <v>US22P01560</v>
          </cell>
          <cell r="C1107">
            <v>3921200037</v>
          </cell>
          <cell r="D1107" t="str">
            <v>EXHAUSTIVE EQUIPMENT</v>
          </cell>
          <cell r="E1107">
            <v>221</v>
          </cell>
          <cell r="F1107">
            <v>0</v>
          </cell>
          <cell r="G1107">
            <v>54</v>
          </cell>
          <cell r="H1107">
            <v>678</v>
          </cell>
          <cell r="I1107">
            <v>0</v>
          </cell>
          <cell r="J1107">
            <v>399</v>
          </cell>
          <cell r="K1107">
            <v>96</v>
          </cell>
          <cell r="L1107">
            <v>0</v>
          </cell>
          <cell r="M1107">
            <v>57</v>
          </cell>
          <cell r="N1107">
            <v>0</v>
          </cell>
          <cell r="O1107">
            <v>0</v>
          </cell>
          <cell r="P1107">
            <v>0</v>
          </cell>
          <cell r="Q1107">
            <v>1505</v>
          </cell>
        </row>
        <row r="1108">
          <cell r="A1108" t="str">
            <v>US22P015643921200037</v>
          </cell>
          <cell r="B1108" t="str">
            <v>US22P01564</v>
          </cell>
          <cell r="C1108">
            <v>3921200037</v>
          </cell>
          <cell r="D1108" t="str">
            <v>EXHAUSTIVE EQUIPMENT</v>
          </cell>
          <cell r="E1108">
            <v>0</v>
          </cell>
          <cell r="F1108">
            <v>0</v>
          </cell>
          <cell r="G1108">
            <v>0</v>
          </cell>
          <cell r="H1108">
            <v>852</v>
          </cell>
          <cell r="I1108">
            <v>746</v>
          </cell>
          <cell r="J1108">
            <v>1098</v>
          </cell>
          <cell r="K1108">
            <v>637</v>
          </cell>
          <cell r="L1108">
            <v>190</v>
          </cell>
          <cell r="M1108">
            <v>1825</v>
          </cell>
          <cell r="N1108">
            <v>800</v>
          </cell>
          <cell r="O1108">
            <v>338</v>
          </cell>
          <cell r="P1108">
            <v>0</v>
          </cell>
          <cell r="Q1108">
            <v>6486</v>
          </cell>
        </row>
        <row r="1109">
          <cell r="A1109" t="str">
            <v>US22P015753921200037</v>
          </cell>
          <cell r="B1109" t="str">
            <v>US22P01575</v>
          </cell>
          <cell r="C1109">
            <v>3921200037</v>
          </cell>
          <cell r="D1109" t="str">
            <v>EXHAUSTIVE EQUIPMENT</v>
          </cell>
          <cell r="E1109">
            <v>639</v>
          </cell>
          <cell r="F1109">
            <v>655</v>
          </cell>
          <cell r="G1109">
            <v>790</v>
          </cell>
          <cell r="H1109">
            <v>193</v>
          </cell>
          <cell r="I1109">
            <v>331</v>
          </cell>
          <cell r="J1109">
            <v>8591</v>
          </cell>
          <cell r="K1109">
            <v>48</v>
          </cell>
          <cell r="L1109">
            <v>16</v>
          </cell>
          <cell r="M1109">
            <v>617</v>
          </cell>
          <cell r="N1109">
            <v>0</v>
          </cell>
          <cell r="O1109">
            <v>59</v>
          </cell>
          <cell r="P1109">
            <v>60</v>
          </cell>
          <cell r="Q1109">
            <v>11999</v>
          </cell>
        </row>
        <row r="1110">
          <cell r="A1110" t="str">
            <v>US22P015903921200037</v>
          </cell>
          <cell r="B1110" t="str">
            <v>US22P01590</v>
          </cell>
          <cell r="C1110">
            <v>3921200037</v>
          </cell>
          <cell r="D1110" t="str">
            <v>EXHAUSTIVE EQUIPMENT</v>
          </cell>
          <cell r="E1110">
            <v>0</v>
          </cell>
          <cell r="F1110">
            <v>84</v>
          </cell>
          <cell r="G1110">
            <v>0</v>
          </cell>
          <cell r="H1110">
            <v>42</v>
          </cell>
          <cell r="I1110">
            <v>0</v>
          </cell>
          <cell r="J1110">
            <v>0</v>
          </cell>
          <cell r="K1110">
            <v>0</v>
          </cell>
          <cell r="L1110">
            <v>0</v>
          </cell>
          <cell r="M1110">
            <v>4095</v>
          </cell>
          <cell r="N1110">
            <v>0</v>
          </cell>
          <cell r="O1110">
            <v>0</v>
          </cell>
          <cell r="P1110">
            <v>0</v>
          </cell>
          <cell r="Q1110">
            <v>4221</v>
          </cell>
        </row>
        <row r="1111">
          <cell r="A1111" t="str">
            <v>US28P015013921200037</v>
          </cell>
          <cell r="B1111" t="str">
            <v>US28P01501</v>
          </cell>
          <cell r="C1111">
            <v>3921200037</v>
          </cell>
          <cell r="D1111" t="str">
            <v>EXHAUSTIVE EQUIPMENT</v>
          </cell>
          <cell r="E1111">
            <v>0</v>
          </cell>
          <cell r="F1111">
            <v>1578</v>
          </cell>
          <cell r="G1111">
            <v>256</v>
          </cell>
          <cell r="H1111">
            <v>5</v>
          </cell>
          <cell r="I1111">
            <v>96</v>
          </cell>
          <cell r="J1111">
            <v>239</v>
          </cell>
          <cell r="K1111">
            <v>81</v>
          </cell>
          <cell r="L1111">
            <v>5</v>
          </cell>
          <cell r="M1111">
            <v>36</v>
          </cell>
          <cell r="N1111">
            <v>0</v>
          </cell>
          <cell r="O1111">
            <v>193</v>
          </cell>
          <cell r="P1111">
            <v>0</v>
          </cell>
          <cell r="Q1111">
            <v>2489</v>
          </cell>
        </row>
        <row r="1112">
          <cell r="A1112" t="str">
            <v>US28P015113921200037</v>
          </cell>
          <cell r="B1112" t="str">
            <v>US28P01511</v>
          </cell>
          <cell r="C1112">
            <v>3921200037</v>
          </cell>
          <cell r="D1112" t="str">
            <v>EXHAUSTIVE EQUIPMENT</v>
          </cell>
          <cell r="E1112">
            <v>0</v>
          </cell>
          <cell r="F1112">
            <v>0</v>
          </cell>
          <cell r="G1112">
            <v>0</v>
          </cell>
          <cell r="H1112">
            <v>0</v>
          </cell>
          <cell r="I1112">
            <v>0</v>
          </cell>
          <cell r="J1112">
            <v>0</v>
          </cell>
          <cell r="K1112">
            <v>0</v>
          </cell>
          <cell r="L1112">
            <v>0</v>
          </cell>
          <cell r="M1112">
            <v>0</v>
          </cell>
          <cell r="N1112">
            <v>-110</v>
          </cell>
          <cell r="O1112">
            <v>0</v>
          </cell>
          <cell r="P1112">
            <v>0</v>
          </cell>
          <cell r="Q1112">
            <v>-110</v>
          </cell>
        </row>
        <row r="1113">
          <cell r="A1113" t="str">
            <v>US28P015503921200037</v>
          </cell>
          <cell r="B1113" t="str">
            <v>US28P01550</v>
          </cell>
          <cell r="C1113">
            <v>3921200037</v>
          </cell>
          <cell r="D1113" t="str">
            <v>EXHAUSTIVE EQUIPMENT</v>
          </cell>
          <cell r="E1113">
            <v>0</v>
          </cell>
          <cell r="F1113">
            <v>297</v>
          </cell>
          <cell r="G1113">
            <v>0</v>
          </cell>
          <cell r="H1113">
            <v>223</v>
          </cell>
          <cell r="I1113">
            <v>590</v>
          </cell>
          <cell r="J1113">
            <v>169</v>
          </cell>
          <cell r="K1113">
            <v>0</v>
          </cell>
          <cell r="L1113">
            <v>0</v>
          </cell>
          <cell r="M1113">
            <v>0</v>
          </cell>
          <cell r="N1113">
            <v>16</v>
          </cell>
          <cell r="O1113">
            <v>0</v>
          </cell>
          <cell r="P1113">
            <v>0</v>
          </cell>
          <cell r="Q1113">
            <v>1295</v>
          </cell>
        </row>
        <row r="1114">
          <cell r="A1114" t="str">
            <v>US28P015533921200037</v>
          </cell>
          <cell r="B1114" t="str">
            <v>US28P01553</v>
          </cell>
          <cell r="C1114">
            <v>3921200037</v>
          </cell>
          <cell r="D1114" t="str">
            <v>EXHAUSTIVE EQUIPMENT</v>
          </cell>
          <cell r="E1114">
            <v>0</v>
          </cell>
          <cell r="F1114">
            <v>566</v>
          </cell>
          <cell r="G1114">
            <v>353</v>
          </cell>
          <cell r="H1114">
            <v>0</v>
          </cell>
          <cell r="I1114">
            <v>556</v>
          </cell>
          <cell r="J1114">
            <v>1411</v>
          </cell>
          <cell r="K1114">
            <v>663</v>
          </cell>
          <cell r="L1114">
            <v>576</v>
          </cell>
          <cell r="M1114">
            <v>0</v>
          </cell>
          <cell r="N1114">
            <v>0</v>
          </cell>
          <cell r="O1114">
            <v>0</v>
          </cell>
          <cell r="P1114">
            <v>0</v>
          </cell>
          <cell r="Q1114">
            <v>4125</v>
          </cell>
        </row>
        <row r="1115">
          <cell r="A1115" t="str">
            <v>US28P015603921200037</v>
          </cell>
          <cell r="B1115" t="str">
            <v>US28P01560</v>
          </cell>
          <cell r="C1115">
            <v>3921200037</v>
          </cell>
          <cell r="D1115" t="str">
            <v>EXHAUSTIVE EQUIPMENT</v>
          </cell>
          <cell r="E1115">
            <v>0</v>
          </cell>
          <cell r="F1115">
            <v>539</v>
          </cell>
          <cell r="G1115">
            <v>0</v>
          </cell>
          <cell r="H1115">
            <v>0</v>
          </cell>
          <cell r="I1115">
            <v>116</v>
          </cell>
          <cell r="J1115">
            <v>392</v>
          </cell>
          <cell r="K1115">
            <v>294</v>
          </cell>
          <cell r="L1115">
            <v>4314</v>
          </cell>
          <cell r="M1115">
            <v>8252</v>
          </cell>
          <cell r="N1115">
            <v>8495</v>
          </cell>
          <cell r="O1115">
            <v>1032</v>
          </cell>
          <cell r="P1115">
            <v>3469</v>
          </cell>
          <cell r="Q1115">
            <v>26903</v>
          </cell>
        </row>
        <row r="1116">
          <cell r="A1116" t="str">
            <v>US28P015643921200037</v>
          </cell>
          <cell r="B1116" t="str">
            <v>US28P01564</v>
          </cell>
          <cell r="C1116">
            <v>3921200037</v>
          </cell>
          <cell r="D1116" t="str">
            <v>EXHAUSTIVE EQUIPMENT</v>
          </cell>
          <cell r="E1116">
            <v>44</v>
          </cell>
          <cell r="F1116">
            <v>-562</v>
          </cell>
          <cell r="G1116">
            <v>114</v>
          </cell>
          <cell r="H1116">
            <v>0</v>
          </cell>
          <cell r="I1116">
            <v>49</v>
          </cell>
          <cell r="J1116">
            <v>0</v>
          </cell>
          <cell r="K1116">
            <v>0</v>
          </cell>
          <cell r="L1116">
            <v>0</v>
          </cell>
          <cell r="M1116">
            <v>4640</v>
          </cell>
          <cell r="N1116">
            <v>60</v>
          </cell>
          <cell r="O1116">
            <v>0</v>
          </cell>
          <cell r="P1116">
            <v>0</v>
          </cell>
          <cell r="Q1116">
            <v>4345</v>
          </cell>
        </row>
        <row r="1117">
          <cell r="A1117" t="str">
            <v>US28P015753921200037</v>
          </cell>
          <cell r="B1117" t="str">
            <v>US28P01575</v>
          </cell>
          <cell r="C1117">
            <v>3921200037</v>
          </cell>
          <cell r="D1117" t="str">
            <v>EXHAUSTIVE EQUIPMENT</v>
          </cell>
          <cell r="E1117">
            <v>0</v>
          </cell>
          <cell r="F1117">
            <v>0</v>
          </cell>
          <cell r="G1117">
            <v>0</v>
          </cell>
          <cell r="H1117">
            <v>2730</v>
          </cell>
          <cell r="I1117">
            <v>0</v>
          </cell>
          <cell r="J1117">
            <v>0</v>
          </cell>
          <cell r="K1117">
            <v>0</v>
          </cell>
          <cell r="L1117">
            <v>0</v>
          </cell>
          <cell r="M1117">
            <v>219</v>
          </cell>
          <cell r="N1117">
            <v>0</v>
          </cell>
          <cell r="O1117">
            <v>0</v>
          </cell>
          <cell r="P1117">
            <v>0</v>
          </cell>
          <cell r="Q1117">
            <v>2949</v>
          </cell>
        </row>
        <row r="1118">
          <cell r="A1118" t="str">
            <v>US35P015013921200037</v>
          </cell>
          <cell r="B1118" t="str">
            <v>US35P01501</v>
          </cell>
          <cell r="C1118">
            <v>3921200037</v>
          </cell>
          <cell r="D1118" t="str">
            <v>EXHAUSTIVE EQUIPMENT</v>
          </cell>
          <cell r="E1118">
            <v>1195</v>
          </cell>
          <cell r="F1118">
            <v>642</v>
          </cell>
          <cell r="G1118">
            <v>156</v>
          </cell>
          <cell r="H1118">
            <v>27</v>
          </cell>
          <cell r="I1118">
            <v>246</v>
          </cell>
          <cell r="J1118">
            <v>0</v>
          </cell>
          <cell r="K1118">
            <v>0</v>
          </cell>
          <cell r="L1118">
            <v>0</v>
          </cell>
          <cell r="M1118">
            <v>128</v>
          </cell>
          <cell r="N1118">
            <v>0</v>
          </cell>
          <cell r="O1118">
            <v>32</v>
          </cell>
          <cell r="P1118">
            <v>0</v>
          </cell>
          <cell r="Q1118">
            <v>2426</v>
          </cell>
        </row>
        <row r="1119">
          <cell r="A1119" t="str">
            <v>US35P015503921200037</v>
          </cell>
          <cell r="B1119" t="str">
            <v>US35P01550</v>
          </cell>
          <cell r="C1119">
            <v>3921200037</v>
          </cell>
          <cell r="D1119" t="str">
            <v>EXHAUSTIVE EQUIPMENT</v>
          </cell>
          <cell r="E1119">
            <v>0</v>
          </cell>
          <cell r="F1119">
            <v>0</v>
          </cell>
          <cell r="G1119">
            <v>0</v>
          </cell>
          <cell r="H1119">
            <v>451</v>
          </cell>
          <cell r="I1119">
            <v>2162</v>
          </cell>
          <cell r="J1119">
            <v>1096</v>
          </cell>
          <cell r="K1119">
            <v>233</v>
          </cell>
          <cell r="L1119">
            <v>385</v>
          </cell>
          <cell r="M1119">
            <v>190</v>
          </cell>
          <cell r="N1119">
            <v>0</v>
          </cell>
          <cell r="O1119">
            <v>412</v>
          </cell>
          <cell r="P1119">
            <v>326</v>
          </cell>
          <cell r="Q1119">
            <v>5255</v>
          </cell>
        </row>
        <row r="1120">
          <cell r="A1120" t="str">
            <v>US35P015533921200037</v>
          </cell>
          <cell r="B1120" t="str">
            <v>US35P01553</v>
          </cell>
          <cell r="C1120">
            <v>3921200037</v>
          </cell>
          <cell r="D1120" t="str">
            <v>EXHAUSTIVE EQUIPMENT</v>
          </cell>
          <cell r="E1120">
            <v>0</v>
          </cell>
          <cell r="F1120">
            <v>0</v>
          </cell>
          <cell r="G1120">
            <v>162</v>
          </cell>
          <cell r="H1120">
            <v>121</v>
          </cell>
          <cell r="I1120">
            <v>448</v>
          </cell>
          <cell r="J1120">
            <v>1235</v>
          </cell>
          <cell r="K1120">
            <v>306</v>
          </cell>
          <cell r="L1120">
            <v>211</v>
          </cell>
          <cell r="M1120">
            <v>0</v>
          </cell>
          <cell r="N1120">
            <v>0</v>
          </cell>
          <cell r="O1120">
            <v>0</v>
          </cell>
          <cell r="P1120">
            <v>0</v>
          </cell>
          <cell r="Q1120">
            <v>2483</v>
          </cell>
        </row>
        <row r="1121">
          <cell r="A1121" t="str">
            <v>US35P015603921200037</v>
          </cell>
          <cell r="B1121" t="str">
            <v>US35P01560</v>
          </cell>
          <cell r="C1121">
            <v>3921200037</v>
          </cell>
          <cell r="D1121" t="str">
            <v>EXHAUSTIVE EQUIPMENT</v>
          </cell>
          <cell r="E1121">
            <v>23</v>
          </cell>
          <cell r="F1121">
            <v>41</v>
          </cell>
          <cell r="G1121">
            <v>-1363</v>
          </cell>
          <cell r="H1121">
            <v>217</v>
          </cell>
          <cell r="I1121">
            <v>-704</v>
          </cell>
          <cell r="J1121">
            <v>160</v>
          </cell>
          <cell r="K1121">
            <v>39</v>
          </cell>
          <cell r="L1121">
            <v>-880</v>
          </cell>
          <cell r="M1121">
            <v>-854</v>
          </cell>
          <cell r="N1121">
            <v>927</v>
          </cell>
          <cell r="O1121">
            <v>-1337</v>
          </cell>
          <cell r="P1121">
            <v>16</v>
          </cell>
          <cell r="Q1121">
            <v>-3715</v>
          </cell>
        </row>
        <row r="1122">
          <cell r="A1122" t="str">
            <v>US35P015643921200037</v>
          </cell>
          <cell r="B1122" t="str">
            <v>US35P01564</v>
          </cell>
          <cell r="C1122">
            <v>3921200037</v>
          </cell>
          <cell r="D1122" t="str">
            <v>EXHAUSTIVE EQUIPMENT</v>
          </cell>
          <cell r="E1122">
            <v>0</v>
          </cell>
          <cell r="F1122">
            <v>0</v>
          </cell>
          <cell r="G1122">
            <v>0</v>
          </cell>
          <cell r="H1122">
            <v>217</v>
          </cell>
          <cell r="I1122">
            <v>192</v>
          </cell>
          <cell r="J1122">
            <v>788</v>
          </cell>
          <cell r="K1122">
            <v>137</v>
          </cell>
          <cell r="L1122">
            <v>1199</v>
          </cell>
          <cell r="M1122">
            <v>6282</v>
          </cell>
          <cell r="N1122">
            <v>571</v>
          </cell>
          <cell r="O1122">
            <v>315</v>
          </cell>
          <cell r="P1122">
            <v>0</v>
          </cell>
          <cell r="Q1122">
            <v>9701</v>
          </cell>
        </row>
        <row r="1123">
          <cell r="A1123" t="str">
            <v>USWOP015013921200037</v>
          </cell>
          <cell r="B1123" t="str">
            <v>USWOP01501</v>
          </cell>
          <cell r="C1123">
            <v>3921200037</v>
          </cell>
          <cell r="D1123" t="str">
            <v>EXHAUSTIVE EQUIPMENT</v>
          </cell>
          <cell r="E1123">
            <v>691</v>
          </cell>
          <cell r="F1123">
            <v>183</v>
          </cell>
          <cell r="G1123">
            <v>59</v>
          </cell>
          <cell r="H1123">
            <v>17</v>
          </cell>
          <cell r="I1123">
            <v>304</v>
          </cell>
          <cell r="J1123">
            <v>470</v>
          </cell>
          <cell r="K1123">
            <v>1215</v>
          </cell>
          <cell r="L1123">
            <v>159</v>
          </cell>
          <cell r="M1123">
            <v>2595</v>
          </cell>
          <cell r="N1123">
            <v>415</v>
          </cell>
          <cell r="O1123">
            <v>396</v>
          </cell>
          <cell r="P1123">
            <v>380</v>
          </cell>
          <cell r="Q1123">
            <v>6884</v>
          </cell>
        </row>
        <row r="1124">
          <cell r="A1124" t="str">
            <v>USWOP015503921200037</v>
          </cell>
          <cell r="B1124" t="str">
            <v>USWOP01550</v>
          </cell>
          <cell r="C1124">
            <v>3921200037</v>
          </cell>
          <cell r="D1124" t="str">
            <v>EXHAUSTIVE EQUIPMENT</v>
          </cell>
          <cell r="E1124">
            <v>0</v>
          </cell>
          <cell r="F1124">
            <v>0</v>
          </cell>
          <cell r="G1124">
            <v>0</v>
          </cell>
          <cell r="H1124">
            <v>0</v>
          </cell>
          <cell r="I1124">
            <v>11</v>
          </cell>
          <cell r="J1124">
            <v>37</v>
          </cell>
          <cell r="K1124">
            <v>81</v>
          </cell>
          <cell r="L1124">
            <v>210</v>
          </cell>
          <cell r="M1124">
            <v>237</v>
          </cell>
          <cell r="N1124">
            <v>0</v>
          </cell>
          <cell r="O1124">
            <v>0</v>
          </cell>
          <cell r="P1124">
            <v>49</v>
          </cell>
          <cell r="Q1124">
            <v>625</v>
          </cell>
        </row>
        <row r="1125">
          <cell r="A1125" t="str">
            <v>USWOP015603921200037</v>
          </cell>
          <cell r="B1125" t="str">
            <v>USWOP01560</v>
          </cell>
          <cell r="C1125">
            <v>3921200037</v>
          </cell>
          <cell r="D1125" t="str">
            <v>EXHAUSTIVE EQUIPMENT</v>
          </cell>
          <cell r="E1125">
            <v>112</v>
          </cell>
          <cell r="F1125">
            <v>538</v>
          </cell>
          <cell r="G1125">
            <v>267</v>
          </cell>
          <cell r="H1125">
            <v>111</v>
          </cell>
          <cell r="I1125">
            <v>313</v>
          </cell>
          <cell r="J1125">
            <v>1113</v>
          </cell>
          <cell r="K1125">
            <v>0</v>
          </cell>
          <cell r="L1125">
            <v>435</v>
          </cell>
          <cell r="M1125">
            <v>278</v>
          </cell>
          <cell r="N1125">
            <v>117</v>
          </cell>
          <cell r="O1125">
            <v>718</v>
          </cell>
          <cell r="P1125">
            <v>336</v>
          </cell>
          <cell r="Q1125">
            <v>4338</v>
          </cell>
        </row>
        <row r="1126">
          <cell r="A1126" t="str">
            <v>USWOP015643921200037</v>
          </cell>
          <cell r="B1126" t="str">
            <v>USWOP01564</v>
          </cell>
          <cell r="C1126">
            <v>3921200037</v>
          </cell>
          <cell r="D1126" t="str">
            <v>EXHAUSTIVE EQUIPMENT</v>
          </cell>
          <cell r="E1126">
            <v>0</v>
          </cell>
          <cell r="F1126">
            <v>0</v>
          </cell>
          <cell r="G1126">
            <v>0</v>
          </cell>
          <cell r="H1126">
            <v>0</v>
          </cell>
          <cell r="I1126">
            <v>0</v>
          </cell>
          <cell r="J1126">
            <v>0</v>
          </cell>
          <cell r="K1126">
            <v>0</v>
          </cell>
          <cell r="L1126">
            <v>0</v>
          </cell>
          <cell r="M1126">
            <v>0</v>
          </cell>
          <cell r="N1126">
            <v>0</v>
          </cell>
          <cell r="O1126">
            <v>51</v>
          </cell>
          <cell r="P1126">
            <v>0</v>
          </cell>
          <cell r="Q1126">
            <v>51</v>
          </cell>
        </row>
        <row r="1127">
          <cell r="A1127" t="str">
            <v>US59P015013921200037</v>
          </cell>
          <cell r="B1127" t="str">
            <v>US59P01501</v>
          </cell>
          <cell r="C1127">
            <v>3921200037</v>
          </cell>
          <cell r="D1127" t="str">
            <v>EXHAUSTIVE EQUIPMENT</v>
          </cell>
          <cell r="E1127">
            <v>0</v>
          </cell>
          <cell r="F1127">
            <v>0</v>
          </cell>
          <cell r="G1127">
            <v>0</v>
          </cell>
          <cell r="H1127">
            <v>0</v>
          </cell>
          <cell r="I1127">
            <v>107</v>
          </cell>
          <cell r="J1127">
            <v>500</v>
          </cell>
          <cell r="K1127">
            <v>76</v>
          </cell>
          <cell r="L1127">
            <v>97</v>
          </cell>
          <cell r="M1127">
            <v>205</v>
          </cell>
          <cell r="N1127">
            <v>64</v>
          </cell>
          <cell r="O1127">
            <v>0</v>
          </cell>
          <cell r="P1127">
            <v>0</v>
          </cell>
          <cell r="Q1127">
            <v>1049</v>
          </cell>
        </row>
        <row r="1128">
          <cell r="A1128" t="str">
            <v>US59P015503921200037</v>
          </cell>
          <cell r="B1128" t="str">
            <v>US59P01550</v>
          </cell>
          <cell r="C1128">
            <v>3921200037</v>
          </cell>
          <cell r="D1128" t="str">
            <v>EXHAUSTIVE EQUIPMENT</v>
          </cell>
          <cell r="E1128">
            <v>0</v>
          </cell>
          <cell r="F1128">
            <v>117</v>
          </cell>
          <cell r="G1128">
            <v>0</v>
          </cell>
          <cell r="H1128">
            <v>0</v>
          </cell>
          <cell r="I1128">
            <v>121</v>
          </cell>
          <cell r="J1128">
            <v>115</v>
          </cell>
          <cell r="K1128">
            <v>139</v>
          </cell>
          <cell r="L1128">
            <v>117</v>
          </cell>
          <cell r="M1128">
            <v>6</v>
          </cell>
          <cell r="N1128">
            <v>0</v>
          </cell>
          <cell r="O1128">
            <v>0</v>
          </cell>
          <cell r="P1128">
            <v>0</v>
          </cell>
          <cell r="Q1128">
            <v>615</v>
          </cell>
        </row>
        <row r="1129">
          <cell r="A1129" t="str">
            <v>US59P015533921200037</v>
          </cell>
          <cell r="B1129" t="str">
            <v>US59P01553</v>
          </cell>
          <cell r="C1129">
            <v>3921200037</v>
          </cell>
          <cell r="D1129" t="str">
            <v>EXHAUSTIVE EQUIPMENT</v>
          </cell>
          <cell r="E1129">
            <v>0</v>
          </cell>
          <cell r="F1129">
            <v>0</v>
          </cell>
          <cell r="G1129">
            <v>0</v>
          </cell>
          <cell r="H1129">
            <v>0</v>
          </cell>
          <cell r="I1129">
            <v>226</v>
          </cell>
          <cell r="J1129">
            <v>1748</v>
          </cell>
          <cell r="K1129">
            <v>34</v>
          </cell>
          <cell r="L1129">
            <v>29</v>
          </cell>
          <cell r="M1129">
            <v>0</v>
          </cell>
          <cell r="N1129">
            <v>0</v>
          </cell>
          <cell r="O1129">
            <v>0</v>
          </cell>
          <cell r="P1129">
            <v>0</v>
          </cell>
          <cell r="Q1129">
            <v>2037</v>
          </cell>
        </row>
        <row r="1130">
          <cell r="A1130" t="str">
            <v>US59P015603921200037</v>
          </cell>
          <cell r="B1130" t="str">
            <v>US59P01560</v>
          </cell>
          <cell r="C1130">
            <v>3921200037</v>
          </cell>
          <cell r="D1130" t="str">
            <v>EXHAUSTIVE EQUIPMENT</v>
          </cell>
          <cell r="E1130">
            <v>0</v>
          </cell>
          <cell r="F1130">
            <v>0</v>
          </cell>
          <cell r="G1130">
            <v>0</v>
          </cell>
          <cell r="H1130">
            <v>25</v>
          </cell>
          <cell r="I1130">
            <v>0</v>
          </cell>
          <cell r="J1130">
            <v>357</v>
          </cell>
          <cell r="K1130">
            <v>0</v>
          </cell>
          <cell r="L1130">
            <v>0</v>
          </cell>
          <cell r="M1130">
            <v>328</v>
          </cell>
          <cell r="N1130">
            <v>247</v>
          </cell>
          <cell r="O1130">
            <v>147</v>
          </cell>
          <cell r="P1130">
            <v>0</v>
          </cell>
          <cell r="Q1130">
            <v>1104</v>
          </cell>
        </row>
        <row r="1131">
          <cell r="A1131" t="str">
            <v>US59P015643921200037</v>
          </cell>
          <cell r="B1131" t="str">
            <v>US59P01564</v>
          </cell>
          <cell r="C1131">
            <v>3921200037</v>
          </cell>
          <cell r="D1131" t="str">
            <v>EXHAUSTIVE EQUIPMENT</v>
          </cell>
          <cell r="E1131">
            <v>0</v>
          </cell>
          <cell r="F1131">
            <v>0</v>
          </cell>
          <cell r="G1131">
            <v>0</v>
          </cell>
          <cell r="H1131">
            <v>28</v>
          </cell>
          <cell r="I1131">
            <v>0</v>
          </cell>
          <cell r="J1131">
            <v>775</v>
          </cell>
          <cell r="K1131">
            <v>88</v>
          </cell>
          <cell r="L1131">
            <v>780</v>
          </cell>
          <cell r="M1131">
            <v>2014</v>
          </cell>
          <cell r="N1131">
            <v>101</v>
          </cell>
          <cell r="O1131">
            <v>185</v>
          </cell>
          <cell r="P1131">
            <v>0</v>
          </cell>
          <cell r="Q1131">
            <v>3971</v>
          </cell>
        </row>
        <row r="1132">
          <cell r="A1132" t="str">
            <v>US59P3C5013921200037</v>
          </cell>
          <cell r="B1132" t="str">
            <v>US59P3C501</v>
          </cell>
          <cell r="C1132">
            <v>3921200037</v>
          </cell>
          <cell r="D1132" t="str">
            <v>EXHAUSTIVE EQUIPMENT</v>
          </cell>
          <cell r="E1132">
            <v>0</v>
          </cell>
          <cell r="F1132">
            <v>0</v>
          </cell>
          <cell r="G1132">
            <v>0</v>
          </cell>
          <cell r="H1132">
            <v>0</v>
          </cell>
          <cell r="I1132">
            <v>0</v>
          </cell>
          <cell r="J1132">
            <v>0</v>
          </cell>
          <cell r="K1132">
            <v>0</v>
          </cell>
          <cell r="L1132">
            <v>0</v>
          </cell>
          <cell r="M1132">
            <v>0</v>
          </cell>
          <cell r="N1132">
            <v>0</v>
          </cell>
          <cell r="O1132">
            <v>0</v>
          </cell>
          <cell r="P1132">
            <v>193</v>
          </cell>
          <cell r="Q1132">
            <v>193</v>
          </cell>
        </row>
        <row r="1133">
          <cell r="A1133" t="str">
            <v>US59P3C5503921200037</v>
          </cell>
          <cell r="B1133" t="str">
            <v>US59P3C550</v>
          </cell>
          <cell r="C1133">
            <v>3921200037</v>
          </cell>
          <cell r="D1133" t="str">
            <v>EXHAUSTIVE EQUIPMENT</v>
          </cell>
          <cell r="E1133">
            <v>0</v>
          </cell>
          <cell r="F1133">
            <v>0</v>
          </cell>
          <cell r="G1133">
            <v>0</v>
          </cell>
          <cell r="H1133">
            <v>0</v>
          </cell>
          <cell r="I1133">
            <v>61</v>
          </cell>
          <cell r="J1133">
            <v>0</v>
          </cell>
          <cell r="K1133">
            <v>0</v>
          </cell>
          <cell r="L1133">
            <v>0</v>
          </cell>
          <cell r="M1133">
            <v>0</v>
          </cell>
          <cell r="N1133">
            <v>67</v>
          </cell>
          <cell r="O1133">
            <v>27</v>
          </cell>
          <cell r="P1133">
            <v>0</v>
          </cell>
          <cell r="Q1133">
            <v>155</v>
          </cell>
        </row>
        <row r="1134">
          <cell r="A1134" t="str">
            <v>US59P3C5603921200037</v>
          </cell>
          <cell r="B1134" t="str">
            <v>US59P3C560</v>
          </cell>
          <cell r="C1134">
            <v>3921200037</v>
          </cell>
          <cell r="D1134" t="str">
            <v>EXHAUSTIVE EQUIPMENT</v>
          </cell>
          <cell r="E1134">
            <v>13</v>
          </cell>
          <cell r="F1134">
            <v>1012</v>
          </cell>
          <cell r="G1134">
            <v>678</v>
          </cell>
          <cell r="H1134">
            <v>83</v>
          </cell>
          <cell r="I1134">
            <v>341</v>
          </cell>
          <cell r="J1134">
            <v>1628</v>
          </cell>
          <cell r="K1134">
            <v>0</v>
          </cell>
          <cell r="L1134">
            <v>0</v>
          </cell>
          <cell r="M1134">
            <v>1016</v>
          </cell>
          <cell r="N1134">
            <v>33</v>
          </cell>
          <cell r="O1134">
            <v>1235</v>
          </cell>
          <cell r="P1134">
            <v>35</v>
          </cell>
          <cell r="Q1134">
            <v>6074</v>
          </cell>
        </row>
        <row r="1135">
          <cell r="A1135" t="str">
            <v>USCRP015013921200037</v>
          </cell>
          <cell r="B1135" t="str">
            <v>USCRP01501</v>
          </cell>
          <cell r="C1135">
            <v>3921200037</v>
          </cell>
          <cell r="D1135" t="str">
            <v>EXHAUSTIVE EQUIPMENT</v>
          </cell>
          <cell r="E1135">
            <v>-116</v>
          </cell>
          <cell r="F1135">
            <v>876</v>
          </cell>
          <cell r="G1135">
            <v>55</v>
          </cell>
          <cell r="H1135">
            <v>877</v>
          </cell>
          <cell r="I1135">
            <v>2017</v>
          </cell>
          <cell r="J1135">
            <v>-1755</v>
          </cell>
          <cell r="K1135">
            <v>59</v>
          </cell>
          <cell r="L1135">
            <v>250</v>
          </cell>
          <cell r="M1135">
            <v>572</v>
          </cell>
          <cell r="N1135">
            <v>6</v>
          </cell>
          <cell r="O1135">
            <v>712</v>
          </cell>
          <cell r="P1135">
            <v>117</v>
          </cell>
          <cell r="Q1135">
            <v>3670</v>
          </cell>
        </row>
        <row r="1136">
          <cell r="A1136" t="str">
            <v>USCRP015503921200037</v>
          </cell>
          <cell r="B1136" t="str">
            <v>USCRP01550</v>
          </cell>
          <cell r="C1136">
            <v>3921200037</v>
          </cell>
          <cell r="D1136" t="str">
            <v>EXHAUSTIVE EQUIPMENT</v>
          </cell>
          <cell r="E1136">
            <v>0</v>
          </cell>
          <cell r="F1136">
            <v>0</v>
          </cell>
          <cell r="G1136">
            <v>0</v>
          </cell>
          <cell r="H1136">
            <v>0</v>
          </cell>
          <cell r="I1136">
            <v>53</v>
          </cell>
          <cell r="J1136">
            <v>0</v>
          </cell>
          <cell r="K1136">
            <v>306</v>
          </cell>
          <cell r="L1136">
            <v>0</v>
          </cell>
          <cell r="M1136">
            <v>0</v>
          </cell>
          <cell r="N1136">
            <v>0</v>
          </cell>
          <cell r="O1136">
            <v>0</v>
          </cell>
          <cell r="P1136">
            <v>0</v>
          </cell>
          <cell r="Q1136">
            <v>359</v>
          </cell>
        </row>
        <row r="1137">
          <cell r="A1137" t="str">
            <v>USCRP015533921200037</v>
          </cell>
          <cell r="B1137" t="str">
            <v>USCRP01553</v>
          </cell>
          <cell r="C1137">
            <v>3921200037</v>
          </cell>
          <cell r="D1137" t="str">
            <v>EXHAUSTIVE EQUIPMENT</v>
          </cell>
          <cell r="E1137">
            <v>0</v>
          </cell>
          <cell r="F1137">
            <v>0</v>
          </cell>
          <cell r="G1137">
            <v>0</v>
          </cell>
          <cell r="H1137">
            <v>264</v>
          </cell>
          <cell r="I1137">
            <v>0</v>
          </cell>
          <cell r="J1137">
            <v>3272</v>
          </cell>
          <cell r="K1137">
            <v>161</v>
          </cell>
          <cell r="L1137">
            <v>201</v>
          </cell>
          <cell r="M1137">
            <v>0</v>
          </cell>
          <cell r="N1137">
            <v>0</v>
          </cell>
          <cell r="O1137">
            <v>0</v>
          </cell>
          <cell r="P1137">
            <v>0</v>
          </cell>
          <cell r="Q1137">
            <v>3898</v>
          </cell>
        </row>
        <row r="1138">
          <cell r="A1138" t="str">
            <v>USCRP015603921200037</v>
          </cell>
          <cell r="B1138" t="str">
            <v>USCRP01560</v>
          </cell>
          <cell r="C1138">
            <v>3921200037</v>
          </cell>
          <cell r="D1138" t="str">
            <v>EXHAUSTIVE EQUIPMENT</v>
          </cell>
          <cell r="E1138">
            <v>16</v>
          </cell>
          <cell r="F1138">
            <v>281</v>
          </cell>
          <cell r="G1138">
            <v>32</v>
          </cell>
          <cell r="H1138">
            <v>26</v>
          </cell>
          <cell r="I1138">
            <v>442</v>
          </cell>
          <cell r="J1138">
            <v>-353</v>
          </cell>
          <cell r="K1138">
            <v>77</v>
          </cell>
          <cell r="L1138">
            <v>112</v>
          </cell>
          <cell r="M1138">
            <v>874</v>
          </cell>
          <cell r="N1138">
            <v>29</v>
          </cell>
          <cell r="O1138">
            <v>377</v>
          </cell>
          <cell r="P1138">
            <v>173</v>
          </cell>
          <cell r="Q1138">
            <v>2086</v>
          </cell>
        </row>
        <row r="1139">
          <cell r="A1139" t="str">
            <v>USCRP015643921200037</v>
          </cell>
          <cell r="B1139" t="str">
            <v>USCRP01564</v>
          </cell>
          <cell r="C1139">
            <v>3921200037</v>
          </cell>
          <cell r="D1139" t="str">
            <v>EXHAUSTIVE EQUIPMENT</v>
          </cell>
          <cell r="E1139">
            <v>0</v>
          </cell>
          <cell r="F1139">
            <v>0</v>
          </cell>
          <cell r="G1139">
            <v>0</v>
          </cell>
          <cell r="H1139">
            <v>0</v>
          </cell>
          <cell r="I1139">
            <v>0</v>
          </cell>
          <cell r="J1139">
            <v>2961</v>
          </cell>
          <cell r="K1139">
            <v>357</v>
          </cell>
          <cell r="L1139">
            <v>2093</v>
          </cell>
          <cell r="M1139">
            <v>-239</v>
          </cell>
          <cell r="N1139">
            <v>571</v>
          </cell>
          <cell r="O1139">
            <v>206</v>
          </cell>
          <cell r="P1139">
            <v>-303</v>
          </cell>
          <cell r="Q1139">
            <v>5646</v>
          </cell>
        </row>
        <row r="1140">
          <cell r="A1140" t="str">
            <v>USCRP015753921200037</v>
          </cell>
          <cell r="B1140" t="str">
            <v>USCRP01575</v>
          </cell>
          <cell r="C1140">
            <v>3921200037</v>
          </cell>
          <cell r="D1140" t="str">
            <v>EXHAUSTIVE EQUIPMENT</v>
          </cell>
          <cell r="E1140">
            <v>0</v>
          </cell>
          <cell r="F1140">
            <v>0</v>
          </cell>
          <cell r="G1140">
            <v>3</v>
          </cell>
          <cell r="H1140">
            <v>0</v>
          </cell>
          <cell r="I1140">
            <v>302</v>
          </cell>
          <cell r="J1140">
            <v>1706</v>
          </cell>
          <cell r="K1140">
            <v>3</v>
          </cell>
          <cell r="L1140">
            <v>0</v>
          </cell>
          <cell r="M1140">
            <v>0</v>
          </cell>
          <cell r="N1140">
            <v>0</v>
          </cell>
          <cell r="O1140">
            <v>0</v>
          </cell>
          <cell r="P1140">
            <v>11</v>
          </cell>
          <cell r="Q1140">
            <v>2025</v>
          </cell>
        </row>
        <row r="1141">
          <cell r="A1141" t="str">
            <v>US22P015013921200050</v>
          </cell>
          <cell r="B1141" t="str">
            <v>US22P01501</v>
          </cell>
          <cell r="C1141">
            <v>3921200050</v>
          </cell>
          <cell r="D1141" t="str">
            <v>SAFETY EQUIPMENT - SUPPLIES</v>
          </cell>
          <cell r="E1141">
            <v>498</v>
          </cell>
          <cell r="F1141">
            <v>99</v>
          </cell>
          <cell r="G1141">
            <v>814</v>
          </cell>
          <cell r="H1141">
            <v>350</v>
          </cell>
          <cell r="I1141">
            <v>128</v>
          </cell>
          <cell r="J1141">
            <v>674</v>
          </cell>
          <cell r="K1141">
            <v>307</v>
          </cell>
          <cell r="L1141">
            <v>425</v>
          </cell>
          <cell r="M1141">
            <v>414</v>
          </cell>
          <cell r="N1141">
            <v>2093</v>
          </cell>
          <cell r="O1141">
            <v>672</v>
          </cell>
          <cell r="P1141">
            <v>2391</v>
          </cell>
          <cell r="Q1141">
            <v>8865</v>
          </cell>
        </row>
        <row r="1142">
          <cell r="A1142" t="str">
            <v>US22P015503921200050</v>
          </cell>
          <cell r="B1142" t="str">
            <v>US22P01550</v>
          </cell>
          <cell r="C1142">
            <v>3921200050</v>
          </cell>
          <cell r="D1142" t="str">
            <v>SAFETY EQUIPMENT - SUPPLIES</v>
          </cell>
          <cell r="E1142">
            <v>388</v>
          </cell>
          <cell r="F1142">
            <v>0</v>
          </cell>
          <cell r="G1142">
            <v>0</v>
          </cell>
          <cell r="H1142">
            <v>0</v>
          </cell>
          <cell r="I1142">
            <v>86</v>
          </cell>
          <cell r="J1142">
            <v>134</v>
          </cell>
          <cell r="K1142">
            <v>10475</v>
          </cell>
          <cell r="L1142">
            <v>4150</v>
          </cell>
          <cell r="M1142">
            <v>352</v>
          </cell>
          <cell r="N1142">
            <v>0</v>
          </cell>
          <cell r="O1142">
            <v>0</v>
          </cell>
          <cell r="P1142">
            <v>725</v>
          </cell>
          <cell r="Q1142">
            <v>16310</v>
          </cell>
        </row>
        <row r="1143">
          <cell r="A1143" t="str">
            <v>US22P015603921200050</v>
          </cell>
          <cell r="B1143" t="str">
            <v>US22P01560</v>
          </cell>
          <cell r="C1143">
            <v>3921200050</v>
          </cell>
          <cell r="D1143" t="str">
            <v>SAFETY EQUIPMENT - SUPPLIES</v>
          </cell>
          <cell r="E1143">
            <v>1234</v>
          </cell>
          <cell r="F1143">
            <v>724</v>
          </cell>
          <cell r="G1143">
            <v>738</v>
          </cell>
          <cell r="H1143">
            <v>0</v>
          </cell>
          <cell r="I1143">
            <v>1217</v>
          </cell>
          <cell r="J1143">
            <v>0</v>
          </cell>
          <cell r="K1143">
            <v>0</v>
          </cell>
          <cell r="L1143">
            <v>0</v>
          </cell>
          <cell r="M1143">
            <v>1442</v>
          </cell>
          <cell r="N1143">
            <v>7818</v>
          </cell>
          <cell r="O1143">
            <v>0</v>
          </cell>
          <cell r="P1143">
            <v>1209</v>
          </cell>
          <cell r="Q1143">
            <v>14382</v>
          </cell>
        </row>
        <row r="1144">
          <cell r="A1144" t="str">
            <v>US22P015643921200050</v>
          </cell>
          <cell r="B1144" t="str">
            <v>US22P01564</v>
          </cell>
          <cell r="C1144">
            <v>3921200050</v>
          </cell>
          <cell r="D1144" t="str">
            <v>SAFETY EQUIPMENT - SUPPLIES</v>
          </cell>
          <cell r="E1144">
            <v>-144</v>
          </cell>
          <cell r="F1144">
            <v>0</v>
          </cell>
          <cell r="G1144">
            <v>0</v>
          </cell>
          <cell r="H1144">
            <v>732</v>
          </cell>
          <cell r="I1144">
            <v>0</v>
          </cell>
          <cell r="J1144">
            <v>75</v>
          </cell>
          <cell r="K1144">
            <v>174</v>
          </cell>
          <cell r="L1144">
            <v>759</v>
          </cell>
          <cell r="M1144">
            <v>14513</v>
          </cell>
          <cell r="N1144">
            <v>233</v>
          </cell>
          <cell r="O1144">
            <v>0</v>
          </cell>
          <cell r="P1144">
            <v>0</v>
          </cell>
          <cell r="Q1144">
            <v>16342</v>
          </cell>
        </row>
        <row r="1145">
          <cell r="A1145" t="str">
            <v>US22P015753921200050</v>
          </cell>
          <cell r="B1145" t="str">
            <v>US22P01575</v>
          </cell>
          <cell r="C1145">
            <v>3921200050</v>
          </cell>
          <cell r="D1145" t="str">
            <v>SAFETY EQUIPMENT - SUPPLIES</v>
          </cell>
          <cell r="E1145">
            <v>400</v>
          </cell>
          <cell r="F1145">
            <v>864</v>
          </cell>
          <cell r="G1145">
            <v>454</v>
          </cell>
          <cell r="H1145">
            <v>198</v>
          </cell>
          <cell r="I1145">
            <v>2246</v>
          </cell>
          <cell r="J1145">
            <v>0</v>
          </cell>
          <cell r="K1145">
            <v>107</v>
          </cell>
          <cell r="L1145">
            <v>213</v>
          </cell>
          <cell r="M1145">
            <v>100</v>
          </cell>
          <cell r="N1145">
            <v>0</v>
          </cell>
          <cell r="O1145">
            <v>0</v>
          </cell>
          <cell r="P1145">
            <v>105</v>
          </cell>
          <cell r="Q1145">
            <v>4687</v>
          </cell>
        </row>
        <row r="1146">
          <cell r="A1146" t="str">
            <v>US22P015853921200050</v>
          </cell>
          <cell r="B1146" t="str">
            <v>US22P01585</v>
          </cell>
          <cell r="C1146">
            <v>3921200050</v>
          </cell>
          <cell r="D1146" t="str">
            <v>SAFETY EQUIPMENT - SUPPLIES</v>
          </cell>
          <cell r="E1146">
            <v>0</v>
          </cell>
          <cell r="F1146">
            <v>0</v>
          </cell>
          <cell r="G1146">
            <v>0</v>
          </cell>
          <cell r="H1146">
            <v>0</v>
          </cell>
          <cell r="I1146">
            <v>0</v>
          </cell>
          <cell r="J1146">
            <v>150</v>
          </cell>
          <cell r="K1146">
            <v>0</v>
          </cell>
          <cell r="L1146">
            <v>0</v>
          </cell>
          <cell r="M1146">
            <v>0</v>
          </cell>
          <cell r="N1146">
            <v>0</v>
          </cell>
          <cell r="O1146">
            <v>0</v>
          </cell>
          <cell r="P1146">
            <v>84</v>
          </cell>
          <cell r="Q1146">
            <v>234</v>
          </cell>
        </row>
        <row r="1147">
          <cell r="A1147" t="str">
            <v>US22P015903921200050</v>
          </cell>
          <cell r="B1147" t="str">
            <v>US22P01590</v>
          </cell>
          <cell r="C1147">
            <v>3921200050</v>
          </cell>
          <cell r="D1147" t="str">
            <v>SAFETY EQUIPMENT - SUPPLIES</v>
          </cell>
          <cell r="E1147">
            <v>0</v>
          </cell>
          <cell r="F1147">
            <v>0</v>
          </cell>
          <cell r="G1147">
            <v>221</v>
          </cell>
          <cell r="H1147">
            <v>0</v>
          </cell>
          <cell r="I1147">
            <v>0</v>
          </cell>
          <cell r="J1147">
            <v>0</v>
          </cell>
          <cell r="K1147">
            <v>0</v>
          </cell>
          <cell r="L1147">
            <v>0</v>
          </cell>
          <cell r="M1147">
            <v>0</v>
          </cell>
          <cell r="N1147">
            <v>0</v>
          </cell>
          <cell r="O1147">
            <v>0</v>
          </cell>
          <cell r="P1147">
            <v>0</v>
          </cell>
          <cell r="Q1147">
            <v>221</v>
          </cell>
        </row>
        <row r="1148">
          <cell r="A1148" t="str">
            <v>US22P015923921200050</v>
          </cell>
          <cell r="B1148" t="str">
            <v>US22P01592</v>
          </cell>
          <cell r="C1148">
            <v>3921200050</v>
          </cell>
          <cell r="D1148" t="str">
            <v>SAFETY EQUIPMENT - SUPPLIES</v>
          </cell>
          <cell r="E1148">
            <v>0</v>
          </cell>
          <cell r="F1148">
            <v>0</v>
          </cell>
          <cell r="G1148">
            <v>0</v>
          </cell>
          <cell r="H1148">
            <v>0</v>
          </cell>
          <cell r="I1148">
            <v>0</v>
          </cell>
          <cell r="J1148">
            <v>0</v>
          </cell>
          <cell r="K1148">
            <v>0</v>
          </cell>
          <cell r="L1148">
            <v>0</v>
          </cell>
          <cell r="M1148">
            <v>75</v>
          </cell>
          <cell r="N1148">
            <v>0</v>
          </cell>
          <cell r="O1148">
            <v>0</v>
          </cell>
          <cell r="P1148">
            <v>0</v>
          </cell>
          <cell r="Q1148">
            <v>75</v>
          </cell>
        </row>
        <row r="1149">
          <cell r="A1149" t="str">
            <v>US28P015013921200050</v>
          </cell>
          <cell r="B1149" t="str">
            <v>US28P01501</v>
          </cell>
          <cell r="C1149">
            <v>3921200050</v>
          </cell>
          <cell r="D1149" t="str">
            <v>SAFETY EQUIPMENT - SUPPLIES</v>
          </cell>
          <cell r="E1149">
            <v>296</v>
          </cell>
          <cell r="F1149">
            <v>101</v>
          </cell>
          <cell r="G1149">
            <v>295</v>
          </cell>
          <cell r="H1149">
            <v>70</v>
          </cell>
          <cell r="I1149">
            <v>4468</v>
          </cell>
          <cell r="J1149">
            <v>5906</v>
          </cell>
          <cell r="K1149">
            <v>0</v>
          </cell>
          <cell r="L1149">
            <v>431</v>
          </cell>
          <cell r="M1149">
            <v>391</v>
          </cell>
          <cell r="N1149">
            <v>86</v>
          </cell>
          <cell r="O1149">
            <v>465</v>
          </cell>
          <cell r="P1149">
            <v>67</v>
          </cell>
          <cell r="Q1149">
            <v>12576</v>
          </cell>
        </row>
        <row r="1150">
          <cell r="A1150" t="str">
            <v>US28P015503921200050</v>
          </cell>
          <cell r="B1150" t="str">
            <v>US28P01550</v>
          </cell>
          <cell r="C1150">
            <v>3921200050</v>
          </cell>
          <cell r="D1150" t="str">
            <v>SAFETY EQUIPMENT - SUPPLIES</v>
          </cell>
          <cell r="E1150">
            <v>0</v>
          </cell>
          <cell r="F1150">
            <v>0</v>
          </cell>
          <cell r="G1150">
            <v>0</v>
          </cell>
          <cell r="H1150">
            <v>284</v>
          </cell>
          <cell r="I1150">
            <v>78</v>
          </cell>
          <cell r="J1150">
            <v>105</v>
          </cell>
          <cell r="K1150">
            <v>277</v>
          </cell>
          <cell r="L1150">
            <v>0</v>
          </cell>
          <cell r="M1150">
            <v>0</v>
          </cell>
          <cell r="N1150">
            <v>0</v>
          </cell>
          <cell r="O1150">
            <v>0</v>
          </cell>
          <cell r="P1150">
            <v>0</v>
          </cell>
          <cell r="Q1150">
            <v>744</v>
          </cell>
        </row>
        <row r="1151">
          <cell r="A1151" t="str">
            <v>US28P015533921200050</v>
          </cell>
          <cell r="B1151" t="str">
            <v>US28P01553</v>
          </cell>
          <cell r="C1151">
            <v>3921200050</v>
          </cell>
          <cell r="D1151" t="str">
            <v>SAFETY EQUIPMENT - SUPPLIES</v>
          </cell>
          <cell r="E1151">
            <v>0</v>
          </cell>
          <cell r="F1151">
            <v>0</v>
          </cell>
          <cell r="G1151">
            <v>0</v>
          </cell>
          <cell r="H1151">
            <v>0</v>
          </cell>
          <cell r="I1151">
            <v>0</v>
          </cell>
          <cell r="J1151">
            <v>0</v>
          </cell>
          <cell r="K1151">
            <v>4889</v>
          </cell>
          <cell r="L1151">
            <v>0</v>
          </cell>
          <cell r="M1151">
            <v>0</v>
          </cell>
          <cell r="N1151">
            <v>0</v>
          </cell>
          <cell r="O1151">
            <v>0</v>
          </cell>
          <cell r="P1151">
            <v>0</v>
          </cell>
          <cell r="Q1151">
            <v>4889</v>
          </cell>
        </row>
        <row r="1152">
          <cell r="A1152" t="str">
            <v>US28P015603921200050</v>
          </cell>
          <cell r="B1152" t="str">
            <v>US28P01560</v>
          </cell>
          <cell r="C1152">
            <v>3921200050</v>
          </cell>
          <cell r="D1152" t="str">
            <v>SAFETY EQUIPMENT - SUPPLIES</v>
          </cell>
          <cell r="E1152">
            <v>150</v>
          </cell>
          <cell r="F1152">
            <v>251</v>
          </cell>
          <cell r="G1152">
            <v>26</v>
          </cell>
          <cell r="H1152">
            <v>160</v>
          </cell>
          <cell r="I1152">
            <v>0</v>
          </cell>
          <cell r="J1152">
            <v>99</v>
          </cell>
          <cell r="K1152">
            <v>114</v>
          </cell>
          <cell r="L1152">
            <v>1325</v>
          </cell>
          <cell r="M1152">
            <v>360</v>
          </cell>
          <cell r="N1152">
            <v>38623</v>
          </cell>
          <cell r="O1152">
            <v>420</v>
          </cell>
          <cell r="P1152">
            <v>0</v>
          </cell>
          <cell r="Q1152">
            <v>41528</v>
          </cell>
        </row>
        <row r="1153">
          <cell r="A1153" t="str">
            <v>US28P015643921200050</v>
          </cell>
          <cell r="B1153" t="str">
            <v>US28P01564</v>
          </cell>
          <cell r="C1153">
            <v>3921200050</v>
          </cell>
          <cell r="D1153" t="str">
            <v>SAFETY EQUIPMENT - SUPPLIES</v>
          </cell>
          <cell r="E1153">
            <v>0</v>
          </cell>
          <cell r="F1153">
            <v>0</v>
          </cell>
          <cell r="G1153">
            <v>0</v>
          </cell>
          <cell r="H1153">
            <v>0</v>
          </cell>
          <cell r="I1153">
            <v>625</v>
          </cell>
          <cell r="J1153">
            <v>0</v>
          </cell>
          <cell r="K1153">
            <v>129</v>
          </cell>
          <cell r="L1153">
            <v>1696</v>
          </cell>
          <cell r="M1153">
            <v>6220</v>
          </cell>
          <cell r="N1153">
            <v>659</v>
          </cell>
          <cell r="O1153">
            <v>0</v>
          </cell>
          <cell r="P1153">
            <v>0</v>
          </cell>
          <cell r="Q1153">
            <v>9329</v>
          </cell>
        </row>
        <row r="1154">
          <cell r="A1154" t="str">
            <v>US28P015903921200050</v>
          </cell>
          <cell r="B1154" t="str">
            <v>US28P01590</v>
          </cell>
          <cell r="C1154">
            <v>3921200050</v>
          </cell>
          <cell r="D1154" t="str">
            <v>SAFETY EQUIPMENT - SUPPLIES</v>
          </cell>
          <cell r="E1154">
            <v>0</v>
          </cell>
          <cell r="F1154">
            <v>12</v>
          </cell>
          <cell r="G1154">
            <v>26</v>
          </cell>
          <cell r="H1154">
            <v>0</v>
          </cell>
          <cell r="I1154">
            <v>98</v>
          </cell>
          <cell r="J1154">
            <v>0</v>
          </cell>
          <cell r="K1154">
            <v>0</v>
          </cell>
          <cell r="L1154">
            <v>96</v>
          </cell>
          <cell r="M1154">
            <v>43</v>
          </cell>
          <cell r="N1154">
            <v>17</v>
          </cell>
          <cell r="O1154">
            <v>0</v>
          </cell>
          <cell r="P1154">
            <v>0</v>
          </cell>
          <cell r="Q1154">
            <v>292</v>
          </cell>
        </row>
        <row r="1155">
          <cell r="A1155" t="str">
            <v>US35P015013921200050</v>
          </cell>
          <cell r="B1155" t="str">
            <v>US35P01501</v>
          </cell>
          <cell r="C1155">
            <v>3921200050</v>
          </cell>
          <cell r="D1155" t="str">
            <v>SAFETY EQUIPMENT - SUPPLIES</v>
          </cell>
          <cell r="E1155">
            <v>2528</v>
          </cell>
          <cell r="F1155">
            <v>1639</v>
          </cell>
          <cell r="G1155">
            <v>1290</v>
          </cell>
          <cell r="H1155">
            <v>1685</v>
          </cell>
          <cell r="I1155">
            <v>2285</v>
          </cell>
          <cell r="J1155">
            <v>643</v>
          </cell>
          <cell r="K1155">
            <v>1417</v>
          </cell>
          <cell r="L1155">
            <v>973</v>
          </cell>
          <cell r="M1155">
            <v>630</v>
          </cell>
          <cell r="N1155">
            <v>1004</v>
          </cell>
          <cell r="O1155">
            <v>1598</v>
          </cell>
          <cell r="P1155">
            <v>5393</v>
          </cell>
          <cell r="Q1155">
            <v>21085</v>
          </cell>
        </row>
        <row r="1156">
          <cell r="A1156" t="str">
            <v>US35P015503921200050</v>
          </cell>
          <cell r="B1156" t="str">
            <v>US35P01550</v>
          </cell>
          <cell r="C1156">
            <v>3921200050</v>
          </cell>
          <cell r="D1156" t="str">
            <v>SAFETY EQUIPMENT - SUPPLIES</v>
          </cell>
          <cell r="E1156">
            <v>146</v>
          </cell>
          <cell r="F1156">
            <v>0</v>
          </cell>
          <cell r="G1156">
            <v>0</v>
          </cell>
          <cell r="H1156">
            <v>0</v>
          </cell>
          <cell r="I1156">
            <v>0</v>
          </cell>
          <cell r="J1156">
            <v>140</v>
          </cell>
          <cell r="K1156">
            <v>53</v>
          </cell>
          <cell r="L1156">
            <v>100</v>
          </cell>
          <cell r="M1156">
            <v>192</v>
          </cell>
          <cell r="N1156">
            <v>274</v>
          </cell>
          <cell r="O1156">
            <v>0</v>
          </cell>
          <cell r="P1156">
            <v>0</v>
          </cell>
          <cell r="Q1156">
            <v>905</v>
          </cell>
        </row>
        <row r="1157">
          <cell r="A1157" t="str">
            <v>US35P015533921200050</v>
          </cell>
          <cell r="B1157" t="str">
            <v>US35P01553</v>
          </cell>
          <cell r="C1157">
            <v>3921200050</v>
          </cell>
          <cell r="D1157" t="str">
            <v>SAFETY EQUIPMENT - SUPPLIES</v>
          </cell>
          <cell r="E1157">
            <v>0</v>
          </cell>
          <cell r="F1157">
            <v>0</v>
          </cell>
          <cell r="G1157">
            <v>0</v>
          </cell>
          <cell r="H1157">
            <v>0</v>
          </cell>
          <cell r="I1157">
            <v>0</v>
          </cell>
          <cell r="J1157">
            <v>100</v>
          </cell>
          <cell r="K1157">
            <v>6224</v>
          </cell>
          <cell r="L1157">
            <v>393</v>
          </cell>
          <cell r="M1157">
            <v>0</v>
          </cell>
          <cell r="N1157">
            <v>0</v>
          </cell>
          <cell r="O1157">
            <v>0</v>
          </cell>
          <cell r="P1157">
            <v>0</v>
          </cell>
          <cell r="Q1157">
            <v>6717</v>
          </cell>
        </row>
        <row r="1158">
          <cell r="A1158" t="str">
            <v>US35P015603921200050</v>
          </cell>
          <cell r="B1158" t="str">
            <v>US35P01560</v>
          </cell>
          <cell r="C1158">
            <v>3921200050</v>
          </cell>
          <cell r="D1158" t="str">
            <v>SAFETY EQUIPMENT - SUPPLIES</v>
          </cell>
          <cell r="E1158">
            <v>61</v>
          </cell>
          <cell r="F1158">
            <v>1931</v>
          </cell>
          <cell r="G1158">
            <v>3902</v>
          </cell>
          <cell r="H1158">
            <v>853</v>
          </cell>
          <cell r="I1158">
            <v>670</v>
          </cell>
          <cell r="J1158">
            <v>355</v>
          </cell>
          <cell r="K1158">
            <v>904</v>
          </cell>
          <cell r="L1158">
            <v>411</v>
          </cell>
          <cell r="M1158">
            <v>1500</v>
          </cell>
          <cell r="N1158">
            <v>2195</v>
          </cell>
          <cell r="O1158">
            <v>1175</v>
          </cell>
          <cell r="P1158">
            <v>630</v>
          </cell>
          <cell r="Q1158">
            <v>14587</v>
          </cell>
        </row>
        <row r="1159">
          <cell r="A1159" t="str">
            <v>US35P015643921200050</v>
          </cell>
          <cell r="B1159" t="str">
            <v>US35P01564</v>
          </cell>
          <cell r="C1159">
            <v>3921200050</v>
          </cell>
          <cell r="D1159" t="str">
            <v>SAFETY EQUIPMENT - SUPPLIES</v>
          </cell>
          <cell r="E1159">
            <v>0</v>
          </cell>
          <cell r="F1159">
            <v>146</v>
          </cell>
          <cell r="G1159">
            <v>0</v>
          </cell>
          <cell r="H1159">
            <v>0</v>
          </cell>
          <cell r="I1159">
            <v>0</v>
          </cell>
          <cell r="J1159">
            <v>0</v>
          </cell>
          <cell r="K1159">
            <v>0</v>
          </cell>
          <cell r="L1159">
            <v>1025</v>
          </cell>
          <cell r="M1159">
            <v>4554</v>
          </cell>
          <cell r="N1159">
            <v>514</v>
          </cell>
          <cell r="O1159">
            <v>289</v>
          </cell>
          <cell r="P1159">
            <v>0</v>
          </cell>
          <cell r="Q1159">
            <v>6528</v>
          </cell>
        </row>
        <row r="1160">
          <cell r="A1160" t="str">
            <v>US35P015753921200050</v>
          </cell>
          <cell r="B1160" t="str">
            <v>US35P01575</v>
          </cell>
          <cell r="C1160">
            <v>3921200050</v>
          </cell>
          <cell r="D1160" t="str">
            <v>SAFETY EQUIPMENT - SUPPLIES</v>
          </cell>
          <cell r="E1160">
            <v>0</v>
          </cell>
          <cell r="F1160">
            <v>113</v>
          </cell>
          <cell r="G1160">
            <v>0</v>
          </cell>
          <cell r="H1160">
            <v>0</v>
          </cell>
          <cell r="I1160">
            <v>0</v>
          </cell>
          <cell r="J1160">
            <v>0</v>
          </cell>
          <cell r="K1160">
            <v>0</v>
          </cell>
          <cell r="L1160">
            <v>0</v>
          </cell>
          <cell r="M1160">
            <v>0</v>
          </cell>
          <cell r="N1160">
            <v>0</v>
          </cell>
          <cell r="O1160">
            <v>0</v>
          </cell>
          <cell r="P1160">
            <v>0</v>
          </cell>
          <cell r="Q1160">
            <v>113</v>
          </cell>
        </row>
        <row r="1161">
          <cell r="A1161" t="str">
            <v>US35P015853921200050</v>
          </cell>
          <cell r="B1161" t="str">
            <v>US35P01585</v>
          </cell>
          <cell r="C1161">
            <v>3921200050</v>
          </cell>
          <cell r="D1161" t="str">
            <v>SAFETY EQUIPMENT - SUPPLIES</v>
          </cell>
          <cell r="E1161">
            <v>0</v>
          </cell>
          <cell r="F1161">
            <v>0</v>
          </cell>
          <cell r="G1161">
            <v>0</v>
          </cell>
          <cell r="H1161">
            <v>0</v>
          </cell>
          <cell r="I1161">
            <v>110</v>
          </cell>
          <cell r="J1161">
            <v>0</v>
          </cell>
          <cell r="K1161">
            <v>0</v>
          </cell>
          <cell r="L1161">
            <v>0</v>
          </cell>
          <cell r="M1161">
            <v>0</v>
          </cell>
          <cell r="N1161">
            <v>326</v>
          </cell>
          <cell r="O1161">
            <v>0</v>
          </cell>
          <cell r="P1161">
            <v>0</v>
          </cell>
          <cell r="Q1161">
            <v>436</v>
          </cell>
        </row>
        <row r="1162">
          <cell r="A1162" t="str">
            <v>US35P015903921200050</v>
          </cell>
          <cell r="B1162" t="str">
            <v>US35P01590</v>
          </cell>
          <cell r="C1162">
            <v>3921200050</v>
          </cell>
          <cell r="D1162" t="str">
            <v>SAFETY EQUIPMENT - SUPPLIES</v>
          </cell>
          <cell r="E1162">
            <v>0</v>
          </cell>
          <cell r="F1162">
            <v>0</v>
          </cell>
          <cell r="G1162">
            <v>0</v>
          </cell>
          <cell r="H1162">
            <v>72</v>
          </cell>
          <cell r="I1162">
            <v>0</v>
          </cell>
          <cell r="J1162">
            <v>0</v>
          </cell>
          <cell r="K1162">
            <v>0</v>
          </cell>
          <cell r="L1162">
            <v>0</v>
          </cell>
          <cell r="M1162">
            <v>0</v>
          </cell>
          <cell r="N1162">
            <v>80</v>
          </cell>
          <cell r="O1162">
            <v>0</v>
          </cell>
          <cell r="P1162">
            <v>0</v>
          </cell>
          <cell r="Q1162">
            <v>152</v>
          </cell>
        </row>
        <row r="1163">
          <cell r="A1163" t="str">
            <v>USWOP015013921200050</v>
          </cell>
          <cell r="B1163" t="str">
            <v>USWOP01501</v>
          </cell>
          <cell r="C1163">
            <v>3921200050</v>
          </cell>
          <cell r="D1163" t="str">
            <v>SAFETY EQUIPMENT - SUPPLIES</v>
          </cell>
          <cell r="E1163">
            <v>0</v>
          </cell>
          <cell r="F1163">
            <v>2308</v>
          </cell>
          <cell r="G1163">
            <v>692</v>
          </cell>
          <cell r="H1163">
            <v>1369</v>
          </cell>
          <cell r="I1163">
            <v>3935</v>
          </cell>
          <cell r="J1163">
            <v>97</v>
          </cell>
          <cell r="K1163">
            <v>2002</v>
          </cell>
          <cell r="L1163">
            <v>639</v>
          </cell>
          <cell r="M1163">
            <v>1400</v>
          </cell>
          <cell r="N1163">
            <v>86</v>
          </cell>
          <cell r="O1163">
            <v>915</v>
          </cell>
          <cell r="P1163">
            <v>871</v>
          </cell>
          <cell r="Q1163">
            <v>14314</v>
          </cell>
        </row>
        <row r="1164">
          <cell r="A1164" t="str">
            <v>USWOP015503921200050</v>
          </cell>
          <cell r="B1164" t="str">
            <v>USWOP01550</v>
          </cell>
          <cell r="C1164">
            <v>3921200050</v>
          </cell>
          <cell r="D1164" t="str">
            <v>SAFETY EQUIPMENT - SUPPLIES</v>
          </cell>
          <cell r="E1164">
            <v>0</v>
          </cell>
          <cell r="F1164">
            <v>0</v>
          </cell>
          <cell r="G1164">
            <v>0</v>
          </cell>
          <cell r="H1164">
            <v>0</v>
          </cell>
          <cell r="I1164">
            <v>0</v>
          </cell>
          <cell r="J1164">
            <v>502</v>
          </cell>
          <cell r="K1164">
            <v>0</v>
          </cell>
          <cell r="L1164">
            <v>0</v>
          </cell>
          <cell r="M1164">
            <v>0</v>
          </cell>
          <cell r="N1164">
            <v>0</v>
          </cell>
          <cell r="O1164">
            <v>0</v>
          </cell>
          <cell r="P1164">
            <v>0</v>
          </cell>
          <cell r="Q1164">
            <v>502</v>
          </cell>
        </row>
        <row r="1165">
          <cell r="A1165" t="str">
            <v>USWOP015533921200050</v>
          </cell>
          <cell r="B1165" t="str">
            <v>USWOP01553</v>
          </cell>
          <cell r="C1165">
            <v>3921200050</v>
          </cell>
          <cell r="D1165" t="str">
            <v>SAFETY EQUIPMENT - SUPPLIES</v>
          </cell>
          <cell r="E1165">
            <v>0</v>
          </cell>
          <cell r="F1165">
            <v>0</v>
          </cell>
          <cell r="G1165">
            <v>0</v>
          </cell>
          <cell r="H1165">
            <v>0</v>
          </cell>
          <cell r="I1165">
            <v>3347</v>
          </cell>
          <cell r="J1165">
            <v>2962</v>
          </cell>
          <cell r="K1165">
            <v>0</v>
          </cell>
          <cell r="L1165">
            <v>0</v>
          </cell>
          <cell r="M1165">
            <v>0</v>
          </cell>
          <cell r="N1165">
            <v>0</v>
          </cell>
          <cell r="O1165">
            <v>0</v>
          </cell>
          <cell r="P1165">
            <v>0</v>
          </cell>
          <cell r="Q1165">
            <v>6309</v>
          </cell>
        </row>
        <row r="1166">
          <cell r="A1166" t="str">
            <v>USWOP015603921200050</v>
          </cell>
          <cell r="B1166" t="str">
            <v>USWOP01560</v>
          </cell>
          <cell r="C1166">
            <v>3921200050</v>
          </cell>
          <cell r="D1166" t="str">
            <v>SAFETY EQUIPMENT - SUPPLIES</v>
          </cell>
          <cell r="E1166">
            <v>0</v>
          </cell>
          <cell r="F1166">
            <v>2336</v>
          </cell>
          <cell r="G1166">
            <v>1856</v>
          </cell>
          <cell r="H1166">
            <v>729</v>
          </cell>
          <cell r="I1166">
            <v>677</v>
          </cell>
          <cell r="J1166">
            <v>717</v>
          </cell>
          <cell r="K1166">
            <v>326</v>
          </cell>
          <cell r="L1166">
            <v>186</v>
          </cell>
          <cell r="M1166">
            <v>641</v>
          </cell>
          <cell r="N1166">
            <v>5104</v>
          </cell>
          <cell r="O1166">
            <v>122</v>
          </cell>
          <cell r="P1166">
            <v>581</v>
          </cell>
          <cell r="Q1166">
            <v>13275</v>
          </cell>
        </row>
        <row r="1167">
          <cell r="A1167" t="str">
            <v>USWOP015643921200050</v>
          </cell>
          <cell r="B1167" t="str">
            <v>USWOP01564</v>
          </cell>
          <cell r="C1167">
            <v>3921200050</v>
          </cell>
          <cell r="D1167" t="str">
            <v>SAFETY EQUIPMENT - SUPPLIES</v>
          </cell>
          <cell r="E1167">
            <v>0</v>
          </cell>
          <cell r="F1167">
            <v>0</v>
          </cell>
          <cell r="G1167">
            <v>1071</v>
          </cell>
          <cell r="H1167">
            <v>47</v>
          </cell>
          <cell r="I1167">
            <v>0</v>
          </cell>
          <cell r="J1167">
            <v>0</v>
          </cell>
          <cell r="K1167">
            <v>1273</v>
          </cell>
          <cell r="L1167">
            <v>4805</v>
          </cell>
          <cell r="M1167">
            <v>2788</v>
          </cell>
          <cell r="N1167">
            <v>380</v>
          </cell>
          <cell r="O1167">
            <v>0</v>
          </cell>
          <cell r="P1167">
            <v>425</v>
          </cell>
          <cell r="Q1167">
            <v>10789</v>
          </cell>
        </row>
        <row r="1168">
          <cell r="A1168" t="str">
            <v>US59P015013921200050</v>
          </cell>
          <cell r="B1168" t="str">
            <v>US59P01501</v>
          </cell>
          <cell r="C1168">
            <v>3921200050</v>
          </cell>
          <cell r="D1168" t="str">
            <v>SAFETY EQUIPMENT - SUPPLIES</v>
          </cell>
          <cell r="E1168">
            <v>65</v>
          </cell>
          <cell r="F1168">
            <v>247</v>
          </cell>
          <cell r="G1168">
            <v>0</v>
          </cell>
          <cell r="H1168">
            <v>0</v>
          </cell>
          <cell r="I1168">
            <v>160</v>
          </cell>
          <cell r="J1168">
            <v>560</v>
          </cell>
          <cell r="K1168">
            <v>0</v>
          </cell>
          <cell r="L1168">
            <v>649</v>
          </cell>
          <cell r="M1168">
            <v>0</v>
          </cell>
          <cell r="N1168">
            <v>100</v>
          </cell>
          <cell r="O1168">
            <v>977</v>
          </cell>
          <cell r="P1168">
            <v>0</v>
          </cell>
          <cell r="Q1168">
            <v>2758</v>
          </cell>
        </row>
        <row r="1169">
          <cell r="A1169" t="str">
            <v>US59P015503921200050</v>
          </cell>
          <cell r="B1169" t="str">
            <v>US59P01550</v>
          </cell>
          <cell r="C1169">
            <v>3921200050</v>
          </cell>
          <cell r="D1169" t="str">
            <v>SAFETY EQUIPMENT - SUPPLIES</v>
          </cell>
          <cell r="E1169">
            <v>0</v>
          </cell>
          <cell r="F1169">
            <v>154</v>
          </cell>
          <cell r="G1169">
            <v>0</v>
          </cell>
          <cell r="H1169">
            <v>0</v>
          </cell>
          <cell r="I1169">
            <v>640</v>
          </cell>
          <cell r="J1169">
            <v>121</v>
          </cell>
          <cell r="K1169">
            <v>487</v>
          </cell>
          <cell r="L1169">
            <v>0</v>
          </cell>
          <cell r="M1169">
            <v>166</v>
          </cell>
          <cell r="N1169">
            <v>-166</v>
          </cell>
          <cell r="O1169">
            <v>162</v>
          </cell>
          <cell r="P1169">
            <v>0</v>
          </cell>
          <cell r="Q1169">
            <v>1564</v>
          </cell>
        </row>
        <row r="1170">
          <cell r="A1170" t="str">
            <v>US59P015533921200050</v>
          </cell>
          <cell r="B1170" t="str">
            <v>US59P01553</v>
          </cell>
          <cell r="C1170">
            <v>3921200050</v>
          </cell>
          <cell r="D1170" t="str">
            <v>SAFETY EQUIPMENT - SUPPLIES</v>
          </cell>
          <cell r="E1170">
            <v>0</v>
          </cell>
          <cell r="F1170">
            <v>0</v>
          </cell>
          <cell r="G1170">
            <v>0</v>
          </cell>
          <cell r="H1170">
            <v>0</v>
          </cell>
          <cell r="I1170">
            <v>0</v>
          </cell>
          <cell r="J1170">
            <v>1080</v>
          </cell>
          <cell r="K1170">
            <v>1944</v>
          </cell>
          <cell r="L1170">
            <v>660</v>
          </cell>
          <cell r="M1170">
            <v>0</v>
          </cell>
          <cell r="N1170">
            <v>0</v>
          </cell>
          <cell r="O1170">
            <v>0</v>
          </cell>
          <cell r="P1170">
            <v>0</v>
          </cell>
          <cell r="Q1170">
            <v>3684</v>
          </cell>
        </row>
        <row r="1171">
          <cell r="A1171" t="str">
            <v>US59P015603921200050</v>
          </cell>
          <cell r="B1171" t="str">
            <v>US59P01560</v>
          </cell>
          <cell r="C1171">
            <v>3921200050</v>
          </cell>
          <cell r="D1171" t="str">
            <v>SAFETY EQUIPMENT - SUPPLIES</v>
          </cell>
          <cell r="E1171">
            <v>1059</v>
          </cell>
          <cell r="F1171">
            <v>346</v>
          </cell>
          <cell r="G1171">
            <v>0</v>
          </cell>
          <cell r="H1171">
            <v>0</v>
          </cell>
          <cell r="I1171">
            <v>0</v>
          </cell>
          <cell r="J1171">
            <v>943</v>
          </cell>
          <cell r="K1171">
            <v>198</v>
          </cell>
          <cell r="L1171">
            <v>586</v>
          </cell>
          <cell r="M1171">
            <v>1158</v>
          </cell>
          <cell r="N1171">
            <v>2084</v>
          </cell>
          <cell r="O1171">
            <v>149</v>
          </cell>
          <cell r="P1171">
            <v>427</v>
          </cell>
          <cell r="Q1171">
            <v>6950</v>
          </cell>
        </row>
        <row r="1172">
          <cell r="A1172" t="str">
            <v>US59P015643921200050</v>
          </cell>
          <cell r="B1172" t="str">
            <v>US59P01564</v>
          </cell>
          <cell r="C1172">
            <v>3921200050</v>
          </cell>
          <cell r="D1172" t="str">
            <v>SAFETY EQUIPMENT - SUPPLIES</v>
          </cell>
          <cell r="E1172">
            <v>0</v>
          </cell>
          <cell r="F1172">
            <v>0</v>
          </cell>
          <cell r="G1172">
            <v>0</v>
          </cell>
          <cell r="H1172">
            <v>0</v>
          </cell>
          <cell r="I1172">
            <v>0</v>
          </cell>
          <cell r="J1172">
            <v>0</v>
          </cell>
          <cell r="K1172">
            <v>0</v>
          </cell>
          <cell r="L1172">
            <v>0</v>
          </cell>
          <cell r="M1172">
            <v>633</v>
          </cell>
          <cell r="N1172">
            <v>5335</v>
          </cell>
          <cell r="O1172">
            <v>0</v>
          </cell>
          <cell r="P1172">
            <v>0</v>
          </cell>
          <cell r="Q1172">
            <v>5968</v>
          </cell>
        </row>
        <row r="1173">
          <cell r="A1173" t="str">
            <v>US59P015753921200050</v>
          </cell>
          <cell r="B1173" t="str">
            <v>US59P01575</v>
          </cell>
          <cell r="C1173">
            <v>3921200050</v>
          </cell>
          <cell r="D1173" t="str">
            <v>SAFETY EQUIPMENT - SUPPLIES</v>
          </cell>
          <cell r="E1173">
            <v>0</v>
          </cell>
          <cell r="F1173">
            <v>0</v>
          </cell>
          <cell r="G1173">
            <v>295</v>
          </cell>
          <cell r="H1173">
            <v>0</v>
          </cell>
          <cell r="I1173">
            <v>0</v>
          </cell>
          <cell r="J1173">
            <v>0</v>
          </cell>
          <cell r="K1173">
            <v>0</v>
          </cell>
          <cell r="L1173">
            <v>0</v>
          </cell>
          <cell r="M1173">
            <v>0</v>
          </cell>
          <cell r="N1173">
            <v>0</v>
          </cell>
          <cell r="O1173">
            <v>0</v>
          </cell>
          <cell r="P1173">
            <v>0</v>
          </cell>
          <cell r="Q1173">
            <v>295</v>
          </cell>
        </row>
        <row r="1174">
          <cell r="A1174" t="str">
            <v>US59P3C5013921200050</v>
          </cell>
          <cell r="B1174" t="str">
            <v>US59P3C501</v>
          </cell>
          <cell r="C1174">
            <v>3921200050</v>
          </cell>
          <cell r="D1174" t="str">
            <v>SAFETY EQUIPMENT - SUPPLIES</v>
          </cell>
          <cell r="E1174">
            <v>65</v>
          </cell>
          <cell r="F1174">
            <v>0</v>
          </cell>
          <cell r="G1174">
            <v>0</v>
          </cell>
          <cell r="H1174">
            <v>0</v>
          </cell>
          <cell r="I1174">
            <v>0</v>
          </cell>
          <cell r="J1174">
            <v>0</v>
          </cell>
          <cell r="K1174">
            <v>0</v>
          </cell>
          <cell r="L1174">
            <v>0</v>
          </cell>
          <cell r="M1174">
            <v>0</v>
          </cell>
          <cell r="N1174">
            <v>0</v>
          </cell>
          <cell r="O1174">
            <v>454</v>
          </cell>
          <cell r="P1174">
            <v>0</v>
          </cell>
          <cell r="Q1174">
            <v>519</v>
          </cell>
        </row>
        <row r="1175">
          <cell r="A1175" t="str">
            <v>US59P3C5603921200050</v>
          </cell>
          <cell r="B1175" t="str">
            <v>US59P3C560</v>
          </cell>
          <cell r="C1175">
            <v>3921200050</v>
          </cell>
          <cell r="D1175" t="str">
            <v>SAFETY EQUIPMENT - SUPPLIES</v>
          </cell>
          <cell r="E1175">
            <v>1649</v>
          </cell>
          <cell r="F1175">
            <v>2294</v>
          </cell>
          <cell r="G1175">
            <v>0</v>
          </cell>
          <cell r="H1175">
            <v>859</v>
          </cell>
          <cell r="I1175">
            <v>674</v>
          </cell>
          <cell r="J1175">
            <v>1620</v>
          </cell>
          <cell r="K1175">
            <v>1845</v>
          </cell>
          <cell r="L1175">
            <v>1285</v>
          </cell>
          <cell r="M1175">
            <v>84</v>
          </cell>
          <cell r="N1175">
            <v>1144</v>
          </cell>
          <cell r="O1175">
            <v>74</v>
          </cell>
          <cell r="P1175">
            <v>249</v>
          </cell>
          <cell r="Q1175">
            <v>11777</v>
          </cell>
        </row>
        <row r="1176">
          <cell r="A1176" t="str">
            <v>USCLP015013921200050</v>
          </cell>
          <cell r="B1176" t="str">
            <v>USCLP01501</v>
          </cell>
          <cell r="C1176">
            <v>3921200050</v>
          </cell>
          <cell r="D1176" t="str">
            <v>SAFETY EQUIPMENT - SUPPLIES</v>
          </cell>
          <cell r="E1176">
            <v>0</v>
          </cell>
          <cell r="F1176">
            <v>0</v>
          </cell>
          <cell r="G1176">
            <v>0</v>
          </cell>
          <cell r="H1176">
            <v>0</v>
          </cell>
          <cell r="I1176">
            <v>0</v>
          </cell>
          <cell r="J1176">
            <v>0</v>
          </cell>
          <cell r="K1176">
            <v>168</v>
          </cell>
          <cell r="L1176">
            <v>0</v>
          </cell>
          <cell r="M1176">
            <v>0</v>
          </cell>
          <cell r="N1176">
            <v>0</v>
          </cell>
          <cell r="O1176">
            <v>0</v>
          </cell>
          <cell r="P1176">
            <v>0</v>
          </cell>
          <cell r="Q1176">
            <v>168</v>
          </cell>
        </row>
        <row r="1177">
          <cell r="A1177" t="str">
            <v>USCRP015013921200050</v>
          </cell>
          <cell r="B1177" t="str">
            <v>USCRP01501</v>
          </cell>
          <cell r="C1177">
            <v>3921200050</v>
          </cell>
          <cell r="D1177" t="str">
            <v>SAFETY EQUIPMENT - SUPPLIES</v>
          </cell>
          <cell r="E1177">
            <v>249</v>
          </cell>
          <cell r="F1177">
            <v>0</v>
          </cell>
          <cell r="G1177">
            <v>161</v>
          </cell>
          <cell r="H1177">
            <v>137</v>
          </cell>
          <cell r="I1177">
            <v>993</v>
          </cell>
          <cell r="J1177">
            <v>638</v>
          </cell>
          <cell r="K1177">
            <v>0</v>
          </cell>
          <cell r="L1177">
            <v>405</v>
          </cell>
          <cell r="M1177">
            <v>572</v>
          </cell>
          <cell r="N1177">
            <v>324</v>
          </cell>
          <cell r="O1177">
            <v>599</v>
          </cell>
          <cell r="P1177">
            <v>155</v>
          </cell>
          <cell r="Q1177">
            <v>4233</v>
          </cell>
        </row>
        <row r="1178">
          <cell r="A1178" t="str">
            <v>USCRP015503921200050</v>
          </cell>
          <cell r="B1178" t="str">
            <v>USCRP01550</v>
          </cell>
          <cell r="C1178">
            <v>3921200050</v>
          </cell>
          <cell r="D1178" t="str">
            <v>SAFETY EQUIPMENT - SUPPLIES</v>
          </cell>
          <cell r="E1178">
            <v>0</v>
          </cell>
          <cell r="F1178">
            <v>0</v>
          </cell>
          <cell r="G1178">
            <v>0</v>
          </cell>
          <cell r="H1178">
            <v>0</v>
          </cell>
          <cell r="I1178">
            <v>0</v>
          </cell>
          <cell r="J1178">
            <v>0</v>
          </cell>
          <cell r="K1178">
            <v>315</v>
          </cell>
          <cell r="L1178">
            <v>344</v>
          </cell>
          <cell r="M1178">
            <v>0</v>
          </cell>
          <cell r="N1178">
            <v>0</v>
          </cell>
          <cell r="O1178">
            <v>0</v>
          </cell>
          <cell r="P1178">
            <v>128</v>
          </cell>
          <cell r="Q1178">
            <v>787</v>
          </cell>
        </row>
        <row r="1179">
          <cell r="A1179" t="str">
            <v>USCRP015533921200050</v>
          </cell>
          <cell r="B1179" t="str">
            <v>USCRP01553</v>
          </cell>
          <cell r="C1179">
            <v>3921200050</v>
          </cell>
          <cell r="D1179" t="str">
            <v>SAFETY EQUIPMENT - SUPPLIES</v>
          </cell>
          <cell r="E1179">
            <v>0</v>
          </cell>
          <cell r="F1179">
            <v>0</v>
          </cell>
          <cell r="G1179">
            <v>0</v>
          </cell>
          <cell r="H1179">
            <v>0</v>
          </cell>
          <cell r="I1179">
            <v>0</v>
          </cell>
          <cell r="J1179">
            <v>4133</v>
          </cell>
          <cell r="K1179">
            <v>0</v>
          </cell>
          <cell r="L1179">
            <v>138</v>
          </cell>
          <cell r="M1179">
            <v>1</v>
          </cell>
          <cell r="N1179">
            <v>0</v>
          </cell>
          <cell r="O1179">
            <v>0</v>
          </cell>
          <cell r="P1179">
            <v>0</v>
          </cell>
          <cell r="Q1179">
            <v>4272</v>
          </cell>
        </row>
        <row r="1180">
          <cell r="A1180" t="str">
            <v>USCRP015603921200050</v>
          </cell>
          <cell r="B1180" t="str">
            <v>USCRP01560</v>
          </cell>
          <cell r="C1180">
            <v>3921200050</v>
          </cell>
          <cell r="D1180" t="str">
            <v>SAFETY EQUIPMENT - SUPPLIES</v>
          </cell>
          <cell r="E1180">
            <v>0</v>
          </cell>
          <cell r="F1180">
            <v>0</v>
          </cell>
          <cell r="G1180">
            <v>0</v>
          </cell>
          <cell r="H1180">
            <v>0</v>
          </cell>
          <cell r="I1180">
            <v>0</v>
          </cell>
          <cell r="J1180">
            <v>0</v>
          </cell>
          <cell r="K1180">
            <v>0</v>
          </cell>
          <cell r="L1180">
            <v>0</v>
          </cell>
          <cell r="M1180">
            <v>23</v>
          </cell>
          <cell r="N1180">
            <v>160</v>
          </cell>
          <cell r="O1180">
            <v>0</v>
          </cell>
          <cell r="P1180">
            <v>0</v>
          </cell>
          <cell r="Q1180">
            <v>183</v>
          </cell>
        </row>
        <row r="1181">
          <cell r="A1181" t="str">
            <v>USCRP015643921200050</v>
          </cell>
          <cell r="B1181" t="str">
            <v>USCRP01564</v>
          </cell>
          <cell r="C1181">
            <v>3921200050</v>
          </cell>
          <cell r="D1181" t="str">
            <v>SAFETY EQUIPMENT - SUPPLIES</v>
          </cell>
          <cell r="E1181">
            <v>0</v>
          </cell>
          <cell r="F1181">
            <v>0</v>
          </cell>
          <cell r="G1181">
            <v>0</v>
          </cell>
          <cell r="H1181">
            <v>0</v>
          </cell>
          <cell r="I1181">
            <v>0</v>
          </cell>
          <cell r="J1181">
            <v>0</v>
          </cell>
          <cell r="K1181">
            <v>0</v>
          </cell>
          <cell r="L1181">
            <v>0</v>
          </cell>
          <cell r="M1181">
            <v>1542</v>
          </cell>
          <cell r="N1181">
            <v>843</v>
          </cell>
          <cell r="O1181">
            <v>0</v>
          </cell>
          <cell r="P1181">
            <v>0</v>
          </cell>
          <cell r="Q1181">
            <v>2385</v>
          </cell>
        </row>
        <row r="1182">
          <cell r="A1182" t="str">
            <v>USCRP015753921200050</v>
          </cell>
          <cell r="B1182" t="str">
            <v>USCRP01575</v>
          </cell>
          <cell r="C1182">
            <v>3921200050</v>
          </cell>
          <cell r="D1182" t="str">
            <v>SAFETY EQUIPMENT - SUPPLIES</v>
          </cell>
          <cell r="E1182">
            <v>0</v>
          </cell>
          <cell r="F1182">
            <v>0</v>
          </cell>
          <cell r="G1182">
            <v>441</v>
          </cell>
          <cell r="H1182">
            <v>0</v>
          </cell>
          <cell r="I1182">
            <v>0</v>
          </cell>
          <cell r="J1182">
            <v>0</v>
          </cell>
          <cell r="K1182">
            <v>0</v>
          </cell>
          <cell r="L1182">
            <v>0</v>
          </cell>
          <cell r="M1182">
            <v>0</v>
          </cell>
          <cell r="N1182">
            <v>0</v>
          </cell>
          <cell r="O1182">
            <v>0</v>
          </cell>
          <cell r="P1182">
            <v>0</v>
          </cell>
          <cell r="Q1182">
            <v>441</v>
          </cell>
        </row>
        <row r="1183">
          <cell r="A1183" t="str">
            <v>US22P015013921200100</v>
          </cell>
          <cell r="B1183" t="str">
            <v>US22P01501</v>
          </cell>
          <cell r="C1183">
            <v>3921200100</v>
          </cell>
          <cell r="D1183" t="str">
            <v>FIELD &amp; PRODUCTION SUPPLIES</v>
          </cell>
          <cell r="E1183">
            <v>0</v>
          </cell>
          <cell r="F1183">
            <v>0</v>
          </cell>
          <cell r="G1183">
            <v>0</v>
          </cell>
          <cell r="H1183">
            <v>0</v>
          </cell>
          <cell r="I1183">
            <v>11</v>
          </cell>
          <cell r="J1183">
            <v>234</v>
          </cell>
          <cell r="K1183">
            <v>0</v>
          </cell>
          <cell r="L1183">
            <v>363</v>
          </cell>
          <cell r="M1183">
            <v>0</v>
          </cell>
          <cell r="N1183">
            <v>0</v>
          </cell>
          <cell r="O1183">
            <v>0</v>
          </cell>
          <cell r="P1183">
            <v>0</v>
          </cell>
          <cell r="Q1183">
            <v>608</v>
          </cell>
        </row>
        <row r="1184">
          <cell r="A1184" t="str">
            <v>US22P015503921200100</v>
          </cell>
          <cell r="B1184" t="str">
            <v>US22P01550</v>
          </cell>
          <cell r="C1184">
            <v>3921200100</v>
          </cell>
          <cell r="D1184" t="str">
            <v>FIELD &amp; PRODUCTION SUPPLIES</v>
          </cell>
          <cell r="E1184">
            <v>0</v>
          </cell>
          <cell r="F1184">
            <v>1000</v>
          </cell>
          <cell r="G1184">
            <v>0</v>
          </cell>
          <cell r="H1184">
            <v>663</v>
          </cell>
          <cell r="I1184">
            <v>0</v>
          </cell>
          <cell r="J1184">
            <v>0</v>
          </cell>
          <cell r="K1184">
            <v>2020</v>
          </cell>
          <cell r="L1184">
            <v>6</v>
          </cell>
          <cell r="M1184">
            <v>0</v>
          </cell>
          <cell r="N1184">
            <v>0</v>
          </cell>
          <cell r="O1184">
            <v>0</v>
          </cell>
          <cell r="P1184">
            <v>80</v>
          </cell>
          <cell r="Q1184">
            <v>3769</v>
          </cell>
        </row>
        <row r="1185">
          <cell r="A1185" t="str">
            <v>US22P015603921200100</v>
          </cell>
          <cell r="B1185" t="str">
            <v>US22P01560</v>
          </cell>
          <cell r="C1185">
            <v>3921200100</v>
          </cell>
          <cell r="D1185" t="str">
            <v>FIELD &amp; PRODUCTION SUPPLIES</v>
          </cell>
          <cell r="E1185">
            <v>0</v>
          </cell>
          <cell r="F1185">
            <v>0</v>
          </cell>
          <cell r="G1185">
            <v>0</v>
          </cell>
          <cell r="H1185">
            <v>1302</v>
          </cell>
          <cell r="I1185">
            <v>1911</v>
          </cell>
          <cell r="J1185">
            <v>0</v>
          </cell>
          <cell r="K1185">
            <v>720</v>
          </cell>
          <cell r="L1185">
            <v>16946</v>
          </cell>
          <cell r="M1185">
            <v>4809</v>
          </cell>
          <cell r="N1185">
            <v>0</v>
          </cell>
          <cell r="O1185">
            <v>7278</v>
          </cell>
          <cell r="P1185">
            <v>466</v>
          </cell>
          <cell r="Q1185">
            <v>33432</v>
          </cell>
        </row>
        <row r="1186">
          <cell r="A1186" t="str">
            <v>US22P015643921200100</v>
          </cell>
          <cell r="B1186" t="str">
            <v>US22P01564</v>
          </cell>
          <cell r="C1186">
            <v>3921200100</v>
          </cell>
          <cell r="D1186" t="str">
            <v>FIELD &amp; PRODUCTION SUPPLIES</v>
          </cell>
          <cell r="E1186">
            <v>0</v>
          </cell>
          <cell r="F1186">
            <v>0</v>
          </cell>
          <cell r="G1186">
            <v>0</v>
          </cell>
          <cell r="H1186">
            <v>0</v>
          </cell>
          <cell r="I1186">
            <v>0</v>
          </cell>
          <cell r="J1186">
            <v>0</v>
          </cell>
          <cell r="K1186">
            <v>0</v>
          </cell>
          <cell r="L1186">
            <v>0</v>
          </cell>
          <cell r="M1186">
            <v>521</v>
          </cell>
          <cell r="N1186">
            <v>0</v>
          </cell>
          <cell r="O1186">
            <v>0</v>
          </cell>
          <cell r="P1186">
            <v>0</v>
          </cell>
          <cell r="Q1186">
            <v>521</v>
          </cell>
        </row>
        <row r="1187">
          <cell r="A1187" t="str">
            <v>US28P015013921200100</v>
          </cell>
          <cell r="B1187" t="str">
            <v>US28P01501</v>
          </cell>
          <cell r="C1187">
            <v>3921200100</v>
          </cell>
          <cell r="D1187" t="str">
            <v>FIELD &amp; PRODUCTION SUPPLIES</v>
          </cell>
          <cell r="E1187">
            <v>0</v>
          </cell>
          <cell r="F1187">
            <v>0</v>
          </cell>
          <cell r="G1187">
            <v>0</v>
          </cell>
          <cell r="H1187">
            <v>0</v>
          </cell>
          <cell r="I1187">
            <v>0</v>
          </cell>
          <cell r="J1187">
            <v>0</v>
          </cell>
          <cell r="K1187">
            <v>0</v>
          </cell>
          <cell r="L1187">
            <v>0</v>
          </cell>
          <cell r="M1187">
            <v>0</v>
          </cell>
          <cell r="N1187">
            <v>0</v>
          </cell>
          <cell r="O1187">
            <v>523</v>
          </cell>
          <cell r="P1187">
            <v>0</v>
          </cell>
          <cell r="Q1187">
            <v>523</v>
          </cell>
        </row>
        <row r="1188">
          <cell r="A1188" t="str">
            <v>US28P015503921200100</v>
          </cell>
          <cell r="B1188" t="str">
            <v>US28P01550</v>
          </cell>
          <cell r="C1188">
            <v>3921200100</v>
          </cell>
          <cell r="D1188" t="str">
            <v>FIELD &amp; PRODUCTION SUPPLIES</v>
          </cell>
          <cell r="E1188">
            <v>478</v>
          </cell>
          <cell r="F1188">
            <v>0</v>
          </cell>
          <cell r="G1188">
            <v>-49</v>
          </cell>
          <cell r="H1188">
            <v>0</v>
          </cell>
          <cell r="I1188">
            <v>342</v>
          </cell>
          <cell r="J1188">
            <v>826</v>
          </cell>
          <cell r="K1188">
            <v>0</v>
          </cell>
          <cell r="L1188">
            <v>0</v>
          </cell>
          <cell r="M1188">
            <v>0</v>
          </cell>
          <cell r="N1188">
            <v>56</v>
          </cell>
          <cell r="O1188">
            <v>0</v>
          </cell>
          <cell r="P1188">
            <v>0</v>
          </cell>
          <cell r="Q1188">
            <v>1653</v>
          </cell>
        </row>
        <row r="1189">
          <cell r="A1189" t="str">
            <v>US28P015603921200100</v>
          </cell>
          <cell r="B1189" t="str">
            <v>US28P01560</v>
          </cell>
          <cell r="C1189">
            <v>3921200100</v>
          </cell>
          <cell r="D1189" t="str">
            <v>FIELD &amp; PRODUCTION SUPPLIES</v>
          </cell>
          <cell r="E1189">
            <v>3335</v>
          </cell>
          <cell r="F1189">
            <v>1967</v>
          </cell>
          <cell r="G1189">
            <v>0</v>
          </cell>
          <cell r="H1189">
            <v>1328</v>
          </cell>
          <cell r="I1189">
            <v>0</v>
          </cell>
          <cell r="J1189">
            <v>0</v>
          </cell>
          <cell r="K1189">
            <v>3028</v>
          </cell>
          <cell r="L1189">
            <v>37748</v>
          </cell>
          <cell r="M1189">
            <v>12618</v>
          </cell>
          <cell r="N1189">
            <v>11388</v>
          </cell>
          <cell r="O1189">
            <v>34</v>
          </cell>
          <cell r="P1189">
            <v>3</v>
          </cell>
          <cell r="Q1189">
            <v>71449</v>
          </cell>
        </row>
        <row r="1190">
          <cell r="A1190" t="str">
            <v>US28P015753921200100</v>
          </cell>
          <cell r="B1190" t="str">
            <v>US28P01575</v>
          </cell>
          <cell r="C1190">
            <v>3921200100</v>
          </cell>
          <cell r="D1190" t="str">
            <v>FIELD &amp; PRODUCTION SUPPLIES</v>
          </cell>
          <cell r="E1190">
            <v>0</v>
          </cell>
          <cell r="F1190">
            <v>0</v>
          </cell>
          <cell r="G1190">
            <v>0</v>
          </cell>
          <cell r="H1190">
            <v>0</v>
          </cell>
          <cell r="I1190">
            <v>0</v>
          </cell>
          <cell r="J1190">
            <v>11</v>
          </cell>
          <cell r="K1190">
            <v>1855</v>
          </cell>
          <cell r="L1190">
            <v>0</v>
          </cell>
          <cell r="M1190">
            <v>0</v>
          </cell>
          <cell r="N1190">
            <v>0</v>
          </cell>
          <cell r="O1190">
            <v>0</v>
          </cell>
          <cell r="P1190">
            <v>0</v>
          </cell>
          <cell r="Q1190">
            <v>1866</v>
          </cell>
        </row>
        <row r="1191">
          <cell r="A1191" t="str">
            <v>US35P015503921200100</v>
          </cell>
          <cell r="B1191" t="str">
            <v>US35P01550</v>
          </cell>
          <cell r="C1191">
            <v>3921200100</v>
          </cell>
          <cell r="D1191" t="str">
            <v>FIELD &amp; PRODUCTION SUPPLIES</v>
          </cell>
          <cell r="E1191">
            <v>0</v>
          </cell>
          <cell r="F1191">
            <v>0</v>
          </cell>
          <cell r="G1191">
            <v>35</v>
          </cell>
          <cell r="H1191">
            <v>1018</v>
          </cell>
          <cell r="I1191">
            <v>267</v>
          </cell>
          <cell r="J1191">
            <v>0</v>
          </cell>
          <cell r="K1191">
            <v>1271</v>
          </cell>
          <cell r="L1191">
            <v>2325</v>
          </cell>
          <cell r="M1191">
            <v>0</v>
          </cell>
          <cell r="N1191">
            <v>0</v>
          </cell>
          <cell r="O1191">
            <v>0</v>
          </cell>
          <cell r="P1191">
            <v>0</v>
          </cell>
          <cell r="Q1191">
            <v>4916</v>
          </cell>
        </row>
        <row r="1192">
          <cell r="A1192" t="str">
            <v>US35P015533921200100</v>
          </cell>
          <cell r="B1192" t="str">
            <v>US35P01553</v>
          </cell>
          <cell r="C1192">
            <v>3921200100</v>
          </cell>
          <cell r="D1192" t="str">
            <v>FIELD &amp; PRODUCTION SUPPLIES</v>
          </cell>
          <cell r="E1192">
            <v>0</v>
          </cell>
          <cell r="F1192">
            <v>0</v>
          </cell>
          <cell r="G1192">
            <v>0</v>
          </cell>
          <cell r="H1192">
            <v>0</v>
          </cell>
          <cell r="I1192">
            <v>0</v>
          </cell>
          <cell r="J1192">
            <v>116</v>
          </cell>
          <cell r="K1192">
            <v>0</v>
          </cell>
          <cell r="L1192">
            <v>6071</v>
          </cell>
          <cell r="M1192">
            <v>19683</v>
          </cell>
          <cell r="N1192">
            <v>0</v>
          </cell>
          <cell r="O1192">
            <v>0</v>
          </cell>
          <cell r="P1192">
            <v>0</v>
          </cell>
          <cell r="Q1192">
            <v>25870</v>
          </cell>
        </row>
        <row r="1193">
          <cell r="A1193" t="str">
            <v>US35P015603921200100</v>
          </cell>
          <cell r="B1193" t="str">
            <v>US35P01560</v>
          </cell>
          <cell r="C1193">
            <v>3921200100</v>
          </cell>
          <cell r="D1193" t="str">
            <v>FIELD &amp; PRODUCTION SUPPLIES</v>
          </cell>
          <cell r="E1193">
            <v>0</v>
          </cell>
          <cell r="F1193">
            <v>13348</v>
          </cell>
          <cell r="G1193">
            <v>1523</v>
          </cell>
          <cell r="H1193">
            <v>4301</v>
          </cell>
          <cell r="I1193">
            <v>0</v>
          </cell>
          <cell r="J1193">
            <v>3586</v>
          </cell>
          <cell r="K1193">
            <v>17191</v>
          </cell>
          <cell r="L1193">
            <v>15260</v>
          </cell>
          <cell r="M1193">
            <v>8154</v>
          </cell>
          <cell r="N1193">
            <v>211</v>
          </cell>
          <cell r="O1193">
            <v>240</v>
          </cell>
          <cell r="P1193">
            <v>0</v>
          </cell>
          <cell r="Q1193">
            <v>63814</v>
          </cell>
        </row>
        <row r="1194">
          <cell r="A1194" t="str">
            <v>USWOP015013921200100</v>
          </cell>
          <cell r="B1194" t="str">
            <v>USWOP01501</v>
          </cell>
          <cell r="C1194">
            <v>3921200100</v>
          </cell>
          <cell r="D1194" t="str">
            <v>FIELD &amp; PRODUCTION SUPPLIES</v>
          </cell>
          <cell r="E1194">
            <v>0</v>
          </cell>
          <cell r="F1194">
            <v>5</v>
          </cell>
          <cell r="G1194">
            <v>0</v>
          </cell>
          <cell r="H1194">
            <v>0</v>
          </cell>
          <cell r="I1194">
            <v>0</v>
          </cell>
          <cell r="J1194">
            <v>0</v>
          </cell>
          <cell r="K1194">
            <v>0</v>
          </cell>
          <cell r="L1194">
            <v>136</v>
          </cell>
          <cell r="M1194">
            <v>418</v>
          </cell>
          <cell r="N1194">
            <v>422</v>
          </cell>
          <cell r="O1194">
            <v>81</v>
          </cell>
          <cell r="P1194">
            <v>0</v>
          </cell>
          <cell r="Q1194">
            <v>1062</v>
          </cell>
        </row>
        <row r="1195">
          <cell r="A1195" t="str">
            <v>USWOP015503921200100</v>
          </cell>
          <cell r="B1195" t="str">
            <v>USWOP01550</v>
          </cell>
          <cell r="C1195">
            <v>3921200100</v>
          </cell>
          <cell r="D1195" t="str">
            <v>FIELD &amp; PRODUCTION SUPPLIES</v>
          </cell>
          <cell r="E1195">
            <v>223</v>
          </cell>
          <cell r="F1195">
            <v>0</v>
          </cell>
          <cell r="G1195">
            <v>0</v>
          </cell>
          <cell r="H1195">
            <v>807</v>
          </cell>
          <cell r="I1195">
            <v>8439</v>
          </cell>
          <cell r="J1195">
            <v>0</v>
          </cell>
          <cell r="K1195">
            <v>0</v>
          </cell>
          <cell r="L1195">
            <v>0</v>
          </cell>
          <cell r="M1195">
            <v>0</v>
          </cell>
          <cell r="N1195">
            <v>0</v>
          </cell>
          <cell r="O1195">
            <v>0</v>
          </cell>
          <cell r="P1195">
            <v>0</v>
          </cell>
          <cell r="Q1195">
            <v>9469</v>
          </cell>
        </row>
        <row r="1196">
          <cell r="A1196" t="str">
            <v>USWOP015533921200100</v>
          </cell>
          <cell r="B1196" t="str">
            <v>USWOP01553</v>
          </cell>
          <cell r="C1196">
            <v>3921200100</v>
          </cell>
          <cell r="D1196" t="str">
            <v>FIELD &amp; PRODUCTION SUPPLIES</v>
          </cell>
          <cell r="E1196">
            <v>0</v>
          </cell>
          <cell r="F1196">
            <v>0</v>
          </cell>
          <cell r="G1196">
            <v>0</v>
          </cell>
          <cell r="H1196">
            <v>0</v>
          </cell>
          <cell r="I1196">
            <v>0</v>
          </cell>
          <cell r="J1196">
            <v>137</v>
          </cell>
          <cell r="K1196">
            <v>0</v>
          </cell>
          <cell r="L1196">
            <v>0</v>
          </cell>
          <cell r="M1196">
            <v>0</v>
          </cell>
          <cell r="N1196">
            <v>0</v>
          </cell>
          <cell r="O1196">
            <v>0</v>
          </cell>
          <cell r="P1196">
            <v>0</v>
          </cell>
          <cell r="Q1196">
            <v>137</v>
          </cell>
        </row>
        <row r="1197">
          <cell r="A1197" t="str">
            <v>USWOP015603921200100</v>
          </cell>
          <cell r="B1197" t="str">
            <v>USWOP01560</v>
          </cell>
          <cell r="C1197">
            <v>3921200100</v>
          </cell>
          <cell r="D1197" t="str">
            <v>FIELD &amp; PRODUCTION SUPPLIES</v>
          </cell>
          <cell r="E1197">
            <v>0</v>
          </cell>
          <cell r="F1197">
            <v>1264</v>
          </cell>
          <cell r="G1197">
            <v>0</v>
          </cell>
          <cell r="H1197">
            <v>5101</v>
          </cell>
          <cell r="I1197">
            <v>125</v>
          </cell>
          <cell r="J1197">
            <v>1594</v>
          </cell>
          <cell r="K1197">
            <v>2399</v>
          </cell>
          <cell r="L1197">
            <v>8997</v>
          </cell>
          <cell r="M1197">
            <v>22751</v>
          </cell>
          <cell r="N1197">
            <v>6490</v>
          </cell>
          <cell r="O1197">
            <v>671</v>
          </cell>
          <cell r="P1197">
            <v>22345</v>
          </cell>
          <cell r="Q1197">
            <v>71737</v>
          </cell>
        </row>
        <row r="1198">
          <cell r="A1198" t="str">
            <v>US59P015013921200100</v>
          </cell>
          <cell r="B1198" t="str">
            <v>US59P01501</v>
          </cell>
          <cell r="C1198">
            <v>3921200100</v>
          </cell>
          <cell r="D1198" t="str">
            <v>FIELD &amp; PRODUCTION SUPPLIES</v>
          </cell>
          <cell r="E1198">
            <v>0</v>
          </cell>
          <cell r="F1198">
            <v>0</v>
          </cell>
          <cell r="G1198">
            <v>30</v>
          </cell>
          <cell r="H1198">
            <v>0</v>
          </cell>
          <cell r="I1198">
            <v>667</v>
          </cell>
          <cell r="J1198">
            <v>0</v>
          </cell>
          <cell r="K1198">
            <v>0</v>
          </cell>
          <cell r="L1198">
            <v>0</v>
          </cell>
          <cell r="M1198">
            <v>0</v>
          </cell>
          <cell r="N1198">
            <v>0</v>
          </cell>
          <cell r="O1198">
            <v>0</v>
          </cell>
          <cell r="P1198">
            <v>0</v>
          </cell>
          <cell r="Q1198">
            <v>697</v>
          </cell>
        </row>
        <row r="1199">
          <cell r="A1199" t="str">
            <v>US59P015503921200100</v>
          </cell>
          <cell r="B1199" t="str">
            <v>US59P01550</v>
          </cell>
          <cell r="C1199">
            <v>3921200100</v>
          </cell>
          <cell r="D1199" t="str">
            <v>FIELD &amp; PRODUCTION SUPPLIES</v>
          </cell>
          <cell r="E1199">
            <v>0</v>
          </cell>
          <cell r="F1199">
            <v>0</v>
          </cell>
          <cell r="G1199">
            <v>0</v>
          </cell>
          <cell r="H1199">
            <v>30</v>
          </cell>
          <cell r="I1199">
            <v>7905</v>
          </cell>
          <cell r="J1199">
            <v>12</v>
          </cell>
          <cell r="K1199">
            <v>0</v>
          </cell>
          <cell r="L1199">
            <v>0</v>
          </cell>
          <cell r="M1199">
            <v>0</v>
          </cell>
          <cell r="N1199">
            <v>0</v>
          </cell>
          <cell r="O1199">
            <v>0</v>
          </cell>
          <cell r="P1199">
            <v>0</v>
          </cell>
          <cell r="Q1199">
            <v>7947</v>
          </cell>
        </row>
        <row r="1200">
          <cell r="A1200" t="str">
            <v>US59P015533921200100</v>
          </cell>
          <cell r="B1200" t="str">
            <v>US59P01553</v>
          </cell>
          <cell r="C1200">
            <v>3921200100</v>
          </cell>
          <cell r="D1200" t="str">
            <v>FIELD &amp; PRODUCTION SUPPLIES</v>
          </cell>
          <cell r="E1200">
            <v>0</v>
          </cell>
          <cell r="F1200">
            <v>0</v>
          </cell>
          <cell r="G1200">
            <v>0</v>
          </cell>
          <cell r="H1200">
            <v>0</v>
          </cell>
          <cell r="I1200">
            <v>0</v>
          </cell>
          <cell r="J1200">
            <v>0</v>
          </cell>
          <cell r="K1200">
            <v>291</v>
          </cell>
          <cell r="L1200">
            <v>633</v>
          </cell>
          <cell r="M1200">
            <v>0</v>
          </cell>
          <cell r="N1200">
            <v>0</v>
          </cell>
          <cell r="O1200">
            <v>0</v>
          </cell>
          <cell r="P1200">
            <v>0</v>
          </cell>
          <cell r="Q1200">
            <v>924</v>
          </cell>
        </row>
        <row r="1201">
          <cell r="A1201" t="str">
            <v>US59P015603921200100</v>
          </cell>
          <cell r="B1201" t="str">
            <v>US59P01560</v>
          </cell>
          <cell r="C1201">
            <v>3921200100</v>
          </cell>
          <cell r="D1201" t="str">
            <v>FIELD &amp; PRODUCTION SUPPLIES</v>
          </cell>
          <cell r="E1201">
            <v>358</v>
          </cell>
          <cell r="F1201">
            <v>418</v>
          </cell>
          <cell r="G1201">
            <v>0</v>
          </cell>
          <cell r="H1201">
            <v>0</v>
          </cell>
          <cell r="I1201">
            <v>0</v>
          </cell>
          <cell r="J1201">
            <v>0</v>
          </cell>
          <cell r="K1201">
            <v>0</v>
          </cell>
          <cell r="L1201">
            <v>11453</v>
          </cell>
          <cell r="M1201">
            <v>62757</v>
          </cell>
          <cell r="N1201">
            <v>0</v>
          </cell>
          <cell r="O1201">
            <v>350</v>
          </cell>
          <cell r="P1201">
            <v>98</v>
          </cell>
          <cell r="Q1201">
            <v>75434</v>
          </cell>
        </row>
        <row r="1202">
          <cell r="A1202" t="str">
            <v>US59P015643921200100</v>
          </cell>
          <cell r="B1202" t="str">
            <v>US59P01564</v>
          </cell>
          <cell r="C1202">
            <v>3921200100</v>
          </cell>
          <cell r="D1202" t="str">
            <v>FIELD &amp; PRODUCTION SUPPLIES</v>
          </cell>
          <cell r="E1202">
            <v>0</v>
          </cell>
          <cell r="F1202">
            <v>0</v>
          </cell>
          <cell r="G1202">
            <v>0</v>
          </cell>
          <cell r="H1202">
            <v>0</v>
          </cell>
          <cell r="I1202">
            <v>0</v>
          </cell>
          <cell r="J1202">
            <v>0</v>
          </cell>
          <cell r="K1202">
            <v>361</v>
          </cell>
          <cell r="L1202">
            <v>0</v>
          </cell>
          <cell r="M1202">
            <v>0</v>
          </cell>
          <cell r="N1202">
            <v>0</v>
          </cell>
          <cell r="O1202">
            <v>0</v>
          </cell>
          <cell r="P1202">
            <v>0</v>
          </cell>
          <cell r="Q1202">
            <v>361</v>
          </cell>
        </row>
        <row r="1203">
          <cell r="A1203" t="str">
            <v>US59P3C5013921200100</v>
          </cell>
          <cell r="B1203" t="str">
            <v>US59P3C501</v>
          </cell>
          <cell r="C1203">
            <v>3921200100</v>
          </cell>
          <cell r="D1203" t="str">
            <v>FIELD &amp; PRODUCTION SUPPLIES</v>
          </cell>
          <cell r="E1203">
            <v>0</v>
          </cell>
          <cell r="F1203">
            <v>0</v>
          </cell>
          <cell r="G1203">
            <v>0</v>
          </cell>
          <cell r="H1203">
            <v>0</v>
          </cell>
          <cell r="I1203">
            <v>747</v>
          </cell>
          <cell r="J1203">
            <v>49</v>
          </cell>
          <cell r="K1203">
            <v>0</v>
          </cell>
          <cell r="L1203">
            <v>0</v>
          </cell>
          <cell r="M1203">
            <v>0</v>
          </cell>
          <cell r="N1203">
            <v>161</v>
          </cell>
          <cell r="O1203">
            <v>5</v>
          </cell>
          <cell r="P1203">
            <v>42</v>
          </cell>
          <cell r="Q1203">
            <v>1004</v>
          </cell>
        </row>
        <row r="1204">
          <cell r="A1204" t="str">
            <v>US59P3C5603921200100</v>
          </cell>
          <cell r="B1204" t="str">
            <v>US59P3C560</v>
          </cell>
          <cell r="C1204">
            <v>3921200100</v>
          </cell>
          <cell r="D1204" t="str">
            <v>FIELD &amp; PRODUCTION SUPPLIES</v>
          </cell>
          <cell r="E1204">
            <v>1079</v>
          </cell>
          <cell r="F1204">
            <v>208</v>
          </cell>
          <cell r="G1204">
            <v>1187</v>
          </cell>
          <cell r="H1204">
            <v>-148</v>
          </cell>
          <cell r="I1204">
            <v>0</v>
          </cell>
          <cell r="J1204">
            <v>2160</v>
          </cell>
          <cell r="K1204">
            <v>310</v>
          </cell>
          <cell r="L1204">
            <v>2009</v>
          </cell>
          <cell r="M1204">
            <v>5126</v>
          </cell>
          <cell r="N1204">
            <v>896</v>
          </cell>
          <cell r="O1204">
            <v>648</v>
          </cell>
          <cell r="P1204">
            <v>-1100</v>
          </cell>
          <cell r="Q1204">
            <v>12375</v>
          </cell>
        </row>
        <row r="1205">
          <cell r="A1205" t="str">
            <v>USCOP015603921200100</v>
          </cell>
          <cell r="B1205" t="str">
            <v>USCOP01560</v>
          </cell>
          <cell r="C1205">
            <v>3921200100</v>
          </cell>
          <cell r="D1205" t="str">
            <v>FIELD &amp; PRODUCTION SUPPLIES</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row>
        <row r="1206">
          <cell r="A1206" t="str">
            <v>USCRP015503921200100</v>
          </cell>
          <cell r="B1206" t="str">
            <v>USCRP01550</v>
          </cell>
          <cell r="C1206">
            <v>3921200100</v>
          </cell>
          <cell r="D1206" t="str">
            <v>FIELD &amp; PRODUCTION SUPPLIES</v>
          </cell>
          <cell r="E1206">
            <v>0</v>
          </cell>
          <cell r="F1206">
            <v>0</v>
          </cell>
          <cell r="G1206">
            <v>0</v>
          </cell>
          <cell r="H1206">
            <v>0</v>
          </cell>
          <cell r="I1206">
            <v>0</v>
          </cell>
          <cell r="J1206">
            <v>105</v>
          </cell>
          <cell r="K1206">
            <v>299</v>
          </cell>
          <cell r="L1206">
            <v>0</v>
          </cell>
          <cell r="M1206">
            <v>150</v>
          </cell>
          <cell r="N1206">
            <v>0</v>
          </cell>
          <cell r="O1206">
            <v>0</v>
          </cell>
          <cell r="P1206">
            <v>0</v>
          </cell>
          <cell r="Q1206">
            <v>554</v>
          </cell>
        </row>
        <row r="1207">
          <cell r="A1207" t="str">
            <v>USCRP015603921200100</v>
          </cell>
          <cell r="B1207" t="str">
            <v>USCRP01560</v>
          </cell>
          <cell r="C1207">
            <v>3921200100</v>
          </cell>
          <cell r="D1207" t="str">
            <v>FIELD &amp; PRODUCTION SUPPLIES</v>
          </cell>
          <cell r="E1207">
            <v>950</v>
          </cell>
          <cell r="F1207">
            <v>0</v>
          </cell>
          <cell r="G1207">
            <v>1318</v>
          </cell>
          <cell r="H1207">
            <v>0</v>
          </cell>
          <cell r="I1207">
            <v>0</v>
          </cell>
          <cell r="J1207">
            <v>6325</v>
          </cell>
          <cell r="K1207">
            <v>431</v>
          </cell>
          <cell r="L1207">
            <v>19103</v>
          </cell>
          <cell r="M1207">
            <v>1172</v>
          </cell>
          <cell r="N1207">
            <v>4269</v>
          </cell>
          <cell r="O1207">
            <v>0</v>
          </cell>
          <cell r="P1207">
            <v>0</v>
          </cell>
          <cell r="Q1207">
            <v>33568</v>
          </cell>
        </row>
        <row r="1208">
          <cell r="A1208" t="str">
            <v>US35P015503941100001</v>
          </cell>
          <cell r="B1208" t="str">
            <v>US35P01550</v>
          </cell>
          <cell r="C1208">
            <v>3941100001</v>
          </cell>
          <cell r="D1208" t="str">
            <v>FREIGHT ON SALES</v>
          </cell>
          <cell r="E1208">
            <v>0</v>
          </cell>
          <cell r="F1208">
            <v>0</v>
          </cell>
          <cell r="G1208">
            <v>0</v>
          </cell>
          <cell r="H1208">
            <v>0</v>
          </cell>
          <cell r="I1208">
            <v>0</v>
          </cell>
          <cell r="J1208">
            <v>0</v>
          </cell>
          <cell r="K1208">
            <v>0</v>
          </cell>
          <cell r="L1208">
            <v>0</v>
          </cell>
          <cell r="M1208">
            <v>0</v>
          </cell>
          <cell r="N1208">
            <v>500</v>
          </cell>
          <cell r="O1208">
            <v>0</v>
          </cell>
          <cell r="P1208">
            <v>0</v>
          </cell>
          <cell r="Q1208">
            <v>500</v>
          </cell>
        </row>
        <row r="1209">
          <cell r="A1209" t="str">
            <v>US28P015503941100002</v>
          </cell>
          <cell r="B1209" t="str">
            <v>US28P01550</v>
          </cell>
          <cell r="C1209">
            <v>3941100002</v>
          </cell>
          <cell r="D1209" t="str">
            <v>FREIGHT BETWEEN PLANTS</v>
          </cell>
          <cell r="E1209">
            <v>0</v>
          </cell>
          <cell r="F1209">
            <v>0</v>
          </cell>
          <cell r="G1209">
            <v>1002</v>
          </cell>
          <cell r="H1209">
            <v>0</v>
          </cell>
          <cell r="I1209">
            <v>0</v>
          </cell>
          <cell r="J1209">
            <v>0</v>
          </cell>
          <cell r="K1209">
            <v>0</v>
          </cell>
          <cell r="L1209">
            <v>0</v>
          </cell>
          <cell r="M1209">
            <v>0</v>
          </cell>
          <cell r="N1209">
            <v>0</v>
          </cell>
          <cell r="O1209">
            <v>0</v>
          </cell>
          <cell r="P1209">
            <v>0</v>
          </cell>
          <cell r="Q1209">
            <v>1002</v>
          </cell>
        </row>
        <row r="1210">
          <cell r="A1210" t="str">
            <v>US28P015643941100002</v>
          </cell>
          <cell r="B1210" t="str">
            <v>US28P01564</v>
          </cell>
          <cell r="C1210">
            <v>3941100002</v>
          </cell>
          <cell r="D1210" t="str">
            <v>FREIGHT BETWEEN PLANTS</v>
          </cell>
          <cell r="E1210">
            <v>1350</v>
          </cell>
          <cell r="F1210">
            <v>0</v>
          </cell>
          <cell r="G1210">
            <v>0</v>
          </cell>
          <cell r="H1210">
            <v>0</v>
          </cell>
          <cell r="I1210">
            <v>0</v>
          </cell>
          <cell r="J1210">
            <v>0</v>
          </cell>
          <cell r="K1210">
            <v>0</v>
          </cell>
          <cell r="L1210">
            <v>0</v>
          </cell>
          <cell r="M1210">
            <v>0</v>
          </cell>
          <cell r="N1210">
            <v>0</v>
          </cell>
          <cell r="O1210">
            <v>0</v>
          </cell>
          <cell r="P1210">
            <v>0</v>
          </cell>
          <cell r="Q1210">
            <v>1350</v>
          </cell>
        </row>
        <row r="1211">
          <cell r="A1211" t="str">
            <v>USWOP015503941100002</v>
          </cell>
          <cell r="B1211" t="str">
            <v>USWOP01550</v>
          </cell>
          <cell r="C1211">
            <v>3941100002</v>
          </cell>
          <cell r="D1211" t="str">
            <v>FREIGHT BETWEEN PLANTS</v>
          </cell>
          <cell r="E1211">
            <v>0</v>
          </cell>
          <cell r="F1211">
            <v>0</v>
          </cell>
          <cell r="G1211">
            <v>0</v>
          </cell>
          <cell r="H1211">
            <v>0</v>
          </cell>
          <cell r="I1211">
            <v>970</v>
          </cell>
          <cell r="J1211">
            <v>0</v>
          </cell>
          <cell r="K1211">
            <v>958</v>
          </cell>
          <cell r="L1211">
            <v>0</v>
          </cell>
          <cell r="M1211">
            <v>0</v>
          </cell>
          <cell r="N1211">
            <v>0</v>
          </cell>
          <cell r="O1211">
            <v>0</v>
          </cell>
          <cell r="P1211">
            <v>0</v>
          </cell>
          <cell r="Q1211">
            <v>1928</v>
          </cell>
        </row>
        <row r="1212">
          <cell r="A1212" t="str">
            <v>US59P015503941100002</v>
          </cell>
          <cell r="B1212" t="str">
            <v>US59P01550</v>
          </cell>
          <cell r="C1212">
            <v>3941100002</v>
          </cell>
          <cell r="D1212" t="str">
            <v>FREIGHT BETWEEN PLANTS</v>
          </cell>
          <cell r="E1212">
            <v>34891</v>
          </cell>
          <cell r="F1212">
            <v>0</v>
          </cell>
          <cell r="G1212">
            <v>2594</v>
          </cell>
          <cell r="H1212">
            <v>0</v>
          </cell>
          <cell r="I1212">
            <v>0</v>
          </cell>
          <cell r="J1212">
            <v>0</v>
          </cell>
          <cell r="K1212">
            <v>0</v>
          </cell>
          <cell r="L1212">
            <v>0</v>
          </cell>
          <cell r="M1212">
            <v>0</v>
          </cell>
          <cell r="N1212">
            <v>0</v>
          </cell>
          <cell r="O1212">
            <v>2819</v>
          </cell>
          <cell r="P1212">
            <v>9019</v>
          </cell>
          <cell r="Q1212">
            <v>49323</v>
          </cell>
        </row>
        <row r="1213">
          <cell r="A1213" t="str">
            <v>US59P015603941100002</v>
          </cell>
          <cell r="B1213" t="str">
            <v>US59P01560</v>
          </cell>
          <cell r="C1213">
            <v>3941100002</v>
          </cell>
          <cell r="D1213" t="str">
            <v>FREIGHT BETWEEN PLANTS</v>
          </cell>
          <cell r="E1213">
            <v>500</v>
          </cell>
          <cell r="F1213">
            <v>0</v>
          </cell>
          <cell r="G1213">
            <v>0</v>
          </cell>
          <cell r="H1213">
            <v>0</v>
          </cell>
          <cell r="I1213">
            <v>0</v>
          </cell>
          <cell r="J1213">
            <v>0</v>
          </cell>
          <cell r="K1213">
            <v>0</v>
          </cell>
          <cell r="L1213">
            <v>0</v>
          </cell>
          <cell r="M1213">
            <v>0</v>
          </cell>
          <cell r="N1213">
            <v>0</v>
          </cell>
          <cell r="O1213">
            <v>0</v>
          </cell>
          <cell r="P1213">
            <v>0</v>
          </cell>
          <cell r="Q1213">
            <v>500</v>
          </cell>
        </row>
        <row r="1214">
          <cell r="A1214" t="str">
            <v>US59P3C5603941100002</v>
          </cell>
          <cell r="B1214" t="str">
            <v>US59P3C560</v>
          </cell>
          <cell r="C1214">
            <v>3941100002</v>
          </cell>
          <cell r="D1214" t="str">
            <v>FREIGHT BETWEEN PLANTS</v>
          </cell>
          <cell r="E1214">
            <v>0</v>
          </cell>
          <cell r="F1214">
            <v>0</v>
          </cell>
          <cell r="G1214">
            <v>0</v>
          </cell>
          <cell r="H1214">
            <v>0</v>
          </cell>
          <cell r="I1214">
            <v>0</v>
          </cell>
          <cell r="J1214">
            <v>0</v>
          </cell>
          <cell r="K1214">
            <v>0</v>
          </cell>
          <cell r="L1214">
            <v>0</v>
          </cell>
          <cell r="M1214">
            <v>0</v>
          </cell>
          <cell r="N1214">
            <v>0</v>
          </cell>
          <cell r="O1214">
            <v>0</v>
          </cell>
          <cell r="P1214">
            <v>2055</v>
          </cell>
          <cell r="Q1214">
            <v>2055</v>
          </cell>
        </row>
        <row r="1215">
          <cell r="A1215" t="str">
            <v>US22P015503941100013</v>
          </cell>
          <cell r="B1215" t="str">
            <v>US22P01550</v>
          </cell>
          <cell r="C1215">
            <v>3941100013</v>
          </cell>
          <cell r="D1215" t="str">
            <v>FREIGHT IN</v>
          </cell>
          <cell r="E1215">
            <v>0</v>
          </cell>
          <cell r="F1215">
            <v>0</v>
          </cell>
          <cell r="G1215">
            <v>0</v>
          </cell>
          <cell r="H1215">
            <v>0</v>
          </cell>
          <cell r="I1215">
            <v>2946</v>
          </cell>
          <cell r="J1215">
            <v>0</v>
          </cell>
          <cell r="K1215">
            <v>0</v>
          </cell>
          <cell r="L1215">
            <v>0</v>
          </cell>
          <cell r="M1215">
            <v>518064</v>
          </cell>
          <cell r="N1215">
            <v>185618</v>
          </cell>
          <cell r="O1215">
            <v>500</v>
          </cell>
          <cell r="P1215">
            <v>0</v>
          </cell>
          <cell r="Q1215">
            <v>707128</v>
          </cell>
        </row>
        <row r="1216">
          <cell r="A1216" t="str">
            <v>US22P015643941100013</v>
          </cell>
          <cell r="B1216" t="str">
            <v>US22P01564</v>
          </cell>
          <cell r="C1216">
            <v>3941100013</v>
          </cell>
          <cell r="D1216" t="str">
            <v>FREIGHT IN</v>
          </cell>
          <cell r="E1216">
            <v>0</v>
          </cell>
          <cell r="F1216">
            <v>0</v>
          </cell>
          <cell r="G1216">
            <v>0</v>
          </cell>
          <cell r="H1216">
            <v>0</v>
          </cell>
          <cell r="I1216">
            <v>0</v>
          </cell>
          <cell r="J1216">
            <v>0</v>
          </cell>
          <cell r="K1216">
            <v>0</v>
          </cell>
          <cell r="L1216">
            <v>0</v>
          </cell>
          <cell r="M1216">
            <v>0</v>
          </cell>
          <cell r="N1216">
            <v>0</v>
          </cell>
          <cell r="O1216">
            <v>0</v>
          </cell>
          <cell r="P1216">
            <v>21000</v>
          </cell>
          <cell r="Q1216">
            <v>21000</v>
          </cell>
        </row>
        <row r="1217">
          <cell r="A1217" t="str">
            <v>US28P015503941100013</v>
          </cell>
          <cell r="B1217" t="str">
            <v>US28P01550</v>
          </cell>
          <cell r="C1217">
            <v>3941100013</v>
          </cell>
          <cell r="D1217" t="str">
            <v>FREIGHT IN</v>
          </cell>
          <cell r="E1217">
            <v>231</v>
          </cell>
          <cell r="F1217">
            <v>0</v>
          </cell>
          <cell r="G1217">
            <v>1059.42</v>
          </cell>
          <cell r="H1217">
            <v>3286.05</v>
          </cell>
          <cell r="I1217">
            <v>0</v>
          </cell>
          <cell r="J1217">
            <v>0</v>
          </cell>
          <cell r="K1217">
            <v>0</v>
          </cell>
          <cell r="L1217">
            <v>0</v>
          </cell>
          <cell r="M1217">
            <v>123321</v>
          </cell>
          <cell r="N1217">
            <v>91828</v>
          </cell>
          <cell r="O1217">
            <v>25243</v>
          </cell>
          <cell r="P1217">
            <v>0</v>
          </cell>
          <cell r="Q1217">
            <v>244968.47</v>
          </cell>
        </row>
        <row r="1218">
          <cell r="A1218" t="str">
            <v>US28P015643941100013</v>
          </cell>
          <cell r="B1218" t="str">
            <v>US28P01564</v>
          </cell>
          <cell r="C1218">
            <v>3941100013</v>
          </cell>
          <cell r="D1218" t="str">
            <v>FREIGHT IN</v>
          </cell>
          <cell r="E1218">
            <v>0</v>
          </cell>
          <cell r="F1218">
            <v>0</v>
          </cell>
          <cell r="G1218">
            <v>675</v>
          </cell>
          <cell r="H1218">
            <v>0</v>
          </cell>
          <cell r="I1218">
            <v>0</v>
          </cell>
          <cell r="J1218">
            <v>0</v>
          </cell>
          <cell r="K1218">
            <v>0</v>
          </cell>
          <cell r="L1218">
            <v>0</v>
          </cell>
          <cell r="M1218">
            <v>0</v>
          </cell>
          <cell r="N1218">
            <v>0</v>
          </cell>
          <cell r="O1218">
            <v>0</v>
          </cell>
          <cell r="P1218">
            <v>0</v>
          </cell>
          <cell r="Q1218">
            <v>675</v>
          </cell>
        </row>
        <row r="1219">
          <cell r="A1219" t="str">
            <v>US35P015503941100013</v>
          </cell>
          <cell r="B1219" t="str">
            <v>US35P01550</v>
          </cell>
          <cell r="C1219">
            <v>3941100013</v>
          </cell>
          <cell r="D1219" t="str">
            <v>FREIGHT IN</v>
          </cell>
          <cell r="E1219">
            <v>0</v>
          </cell>
          <cell r="F1219">
            <v>1400</v>
          </cell>
          <cell r="G1219">
            <v>0</v>
          </cell>
          <cell r="H1219">
            <v>0</v>
          </cell>
          <cell r="I1219">
            <v>0</v>
          </cell>
          <cell r="J1219">
            <v>0</v>
          </cell>
          <cell r="K1219">
            <v>0</v>
          </cell>
          <cell r="L1219">
            <v>3500</v>
          </cell>
          <cell r="M1219">
            <v>0</v>
          </cell>
          <cell r="N1219">
            <v>303499</v>
          </cell>
          <cell r="O1219">
            <v>0</v>
          </cell>
          <cell r="P1219">
            <v>0</v>
          </cell>
          <cell r="Q1219">
            <v>308399</v>
          </cell>
        </row>
        <row r="1220">
          <cell r="A1220" t="str">
            <v>US35P015643941100013</v>
          </cell>
          <cell r="B1220" t="str">
            <v>US35P01564</v>
          </cell>
          <cell r="C1220">
            <v>3941100013</v>
          </cell>
          <cell r="D1220" t="str">
            <v>FREIGHT IN</v>
          </cell>
          <cell r="E1220">
            <v>0</v>
          </cell>
          <cell r="F1220">
            <v>0</v>
          </cell>
          <cell r="G1220">
            <v>0</v>
          </cell>
          <cell r="H1220">
            <v>0</v>
          </cell>
          <cell r="I1220">
            <v>0</v>
          </cell>
          <cell r="J1220">
            <v>0</v>
          </cell>
          <cell r="K1220">
            <v>0</v>
          </cell>
          <cell r="L1220">
            <v>0</v>
          </cell>
          <cell r="M1220">
            <v>0</v>
          </cell>
          <cell r="N1220">
            <v>0</v>
          </cell>
          <cell r="O1220">
            <v>3300</v>
          </cell>
          <cell r="P1220">
            <v>0</v>
          </cell>
          <cell r="Q1220">
            <v>3300</v>
          </cell>
        </row>
        <row r="1221">
          <cell r="A1221" t="str">
            <v>USWOP015503941100013</v>
          </cell>
          <cell r="B1221" t="str">
            <v>USWOP01550</v>
          </cell>
          <cell r="C1221">
            <v>3941100013</v>
          </cell>
          <cell r="D1221" t="str">
            <v>FREIGHT IN</v>
          </cell>
          <cell r="E1221">
            <v>0</v>
          </cell>
          <cell r="F1221">
            <v>0</v>
          </cell>
          <cell r="G1221">
            <v>0</v>
          </cell>
          <cell r="H1221">
            <v>0</v>
          </cell>
          <cell r="I1221">
            <v>0</v>
          </cell>
          <cell r="J1221">
            <v>0</v>
          </cell>
          <cell r="K1221">
            <v>0</v>
          </cell>
          <cell r="L1221">
            <v>0</v>
          </cell>
          <cell r="M1221">
            <v>319420</v>
          </cell>
          <cell r="N1221">
            <v>244222</v>
          </cell>
          <cell r="O1221">
            <v>0</v>
          </cell>
          <cell r="P1221">
            <v>0</v>
          </cell>
          <cell r="Q1221">
            <v>563642</v>
          </cell>
        </row>
        <row r="1222">
          <cell r="A1222" t="str">
            <v>USWOP015643941100013</v>
          </cell>
          <cell r="B1222" t="str">
            <v>USWOP01564</v>
          </cell>
          <cell r="C1222">
            <v>3941100013</v>
          </cell>
          <cell r="D1222" t="str">
            <v>FREIGHT IN</v>
          </cell>
          <cell r="E1222">
            <v>0</v>
          </cell>
          <cell r="F1222">
            <v>860</v>
          </cell>
          <cell r="G1222">
            <v>14890</v>
          </cell>
          <cell r="H1222">
            <v>0</v>
          </cell>
          <cell r="I1222">
            <v>0</v>
          </cell>
          <cell r="J1222">
            <v>0</v>
          </cell>
          <cell r="K1222">
            <v>0</v>
          </cell>
          <cell r="L1222">
            <v>0</v>
          </cell>
          <cell r="M1222">
            <v>0</v>
          </cell>
          <cell r="N1222">
            <v>0</v>
          </cell>
          <cell r="O1222">
            <v>0</v>
          </cell>
          <cell r="P1222">
            <v>0</v>
          </cell>
          <cell r="Q1222">
            <v>15750</v>
          </cell>
        </row>
        <row r="1223">
          <cell r="A1223" t="str">
            <v>US59P015503941100013</v>
          </cell>
          <cell r="B1223" t="str">
            <v>US59P01550</v>
          </cell>
          <cell r="C1223">
            <v>3941100013</v>
          </cell>
          <cell r="D1223" t="str">
            <v>FREIGHT IN</v>
          </cell>
          <cell r="E1223">
            <v>0</v>
          </cell>
          <cell r="F1223">
            <v>0</v>
          </cell>
          <cell r="G1223">
            <v>0</v>
          </cell>
          <cell r="H1223">
            <v>0</v>
          </cell>
          <cell r="I1223">
            <v>0</v>
          </cell>
          <cell r="J1223">
            <v>0</v>
          </cell>
          <cell r="K1223">
            <v>0</v>
          </cell>
          <cell r="L1223">
            <v>0</v>
          </cell>
          <cell r="M1223">
            <v>110468</v>
          </cell>
          <cell r="N1223">
            <v>115892</v>
          </cell>
          <cell r="O1223">
            <v>14605</v>
          </cell>
          <cell r="P1223">
            <v>7918</v>
          </cell>
          <cell r="Q1223">
            <v>248883</v>
          </cell>
        </row>
        <row r="1224">
          <cell r="A1224" t="str">
            <v>US59P015603941100013</v>
          </cell>
          <cell r="B1224" t="str">
            <v>US59P01560</v>
          </cell>
          <cell r="C1224">
            <v>3941100013</v>
          </cell>
          <cell r="D1224" t="str">
            <v>FREIGHT IN</v>
          </cell>
          <cell r="E1224">
            <v>0</v>
          </cell>
          <cell r="F1224">
            <v>0</v>
          </cell>
          <cell r="G1224">
            <v>2000</v>
          </cell>
          <cell r="H1224">
            <v>0</v>
          </cell>
          <cell r="I1224">
            <v>0</v>
          </cell>
          <cell r="J1224">
            <v>0</v>
          </cell>
          <cell r="K1224">
            <v>0</v>
          </cell>
          <cell r="L1224">
            <v>0</v>
          </cell>
          <cell r="M1224">
            <v>0</v>
          </cell>
          <cell r="N1224">
            <v>0</v>
          </cell>
          <cell r="O1224">
            <v>0</v>
          </cell>
          <cell r="P1224">
            <v>0</v>
          </cell>
          <cell r="Q1224">
            <v>2000</v>
          </cell>
        </row>
        <row r="1225">
          <cell r="A1225" t="str">
            <v>US59P3C5503941100013</v>
          </cell>
          <cell r="B1225" t="str">
            <v>US59P3C550</v>
          </cell>
          <cell r="C1225">
            <v>3941100013</v>
          </cell>
          <cell r="D1225" t="str">
            <v>FREIGHT IN</v>
          </cell>
          <cell r="E1225">
            <v>237</v>
          </cell>
          <cell r="F1225">
            <v>1895</v>
          </cell>
          <cell r="G1225">
            <v>15347</v>
          </cell>
          <cell r="H1225">
            <v>6150</v>
          </cell>
          <cell r="I1225">
            <v>895</v>
          </cell>
          <cell r="J1225">
            <v>323</v>
          </cell>
          <cell r="K1225">
            <v>0</v>
          </cell>
          <cell r="L1225">
            <v>0</v>
          </cell>
          <cell r="M1225">
            <v>0</v>
          </cell>
          <cell r="N1225">
            <v>0</v>
          </cell>
          <cell r="O1225">
            <v>13735</v>
          </cell>
          <cell r="P1225">
            <v>30582</v>
          </cell>
          <cell r="Q1225">
            <v>69164</v>
          </cell>
        </row>
        <row r="1226">
          <cell r="A1226" t="str">
            <v>US59P3C5603941100013</v>
          </cell>
          <cell r="B1226" t="str">
            <v>US59P3C560</v>
          </cell>
          <cell r="C1226">
            <v>3941100013</v>
          </cell>
          <cell r="D1226" t="str">
            <v>FREIGHT IN</v>
          </cell>
          <cell r="E1226">
            <v>25323</v>
          </cell>
          <cell r="F1226">
            <v>9428</v>
          </cell>
          <cell r="G1226">
            <v>2428</v>
          </cell>
          <cell r="H1226">
            <v>1228</v>
          </cell>
          <cell r="I1226">
            <v>2588</v>
          </cell>
          <cell r="J1226">
            <v>8157</v>
          </cell>
          <cell r="K1226">
            <v>0</v>
          </cell>
          <cell r="L1226">
            <v>0</v>
          </cell>
          <cell r="M1226">
            <v>0</v>
          </cell>
          <cell r="N1226">
            <v>0</v>
          </cell>
          <cell r="O1226">
            <v>0</v>
          </cell>
          <cell r="P1226">
            <v>0</v>
          </cell>
          <cell r="Q1226">
            <v>49152</v>
          </cell>
        </row>
        <row r="1227">
          <cell r="A1227" t="str">
            <v>US59PZA5503941100013</v>
          </cell>
          <cell r="B1227" t="str">
            <v>US59PZA550</v>
          </cell>
          <cell r="C1227">
            <v>3941100013</v>
          </cell>
          <cell r="D1227" t="str">
            <v>FREIGHT IN</v>
          </cell>
          <cell r="E1227">
            <v>5137</v>
          </cell>
          <cell r="F1227">
            <v>0</v>
          </cell>
          <cell r="G1227">
            <v>0</v>
          </cell>
          <cell r="H1227">
            <v>0</v>
          </cell>
          <cell r="I1227">
            <v>0</v>
          </cell>
          <cell r="J1227">
            <v>0</v>
          </cell>
          <cell r="K1227">
            <v>0</v>
          </cell>
          <cell r="L1227">
            <v>0</v>
          </cell>
          <cell r="M1227">
            <v>0</v>
          </cell>
          <cell r="N1227">
            <v>0</v>
          </cell>
          <cell r="O1227">
            <v>0</v>
          </cell>
          <cell r="P1227">
            <v>0</v>
          </cell>
          <cell r="Q1227">
            <v>5137</v>
          </cell>
        </row>
        <row r="1228">
          <cell r="A1228" t="str">
            <v>USCRP015503941100013</v>
          </cell>
          <cell r="B1228" t="str">
            <v>USCRP01550</v>
          </cell>
          <cell r="C1228">
            <v>3941100013</v>
          </cell>
          <cell r="D1228" t="str">
            <v>FREIGHT IN</v>
          </cell>
          <cell r="E1228">
            <v>0</v>
          </cell>
          <cell r="F1228">
            <v>0</v>
          </cell>
          <cell r="G1228">
            <v>0</v>
          </cell>
          <cell r="H1228">
            <v>0</v>
          </cell>
          <cell r="I1228">
            <v>0</v>
          </cell>
          <cell r="J1228">
            <v>0</v>
          </cell>
          <cell r="K1228">
            <v>0</v>
          </cell>
          <cell r="L1228">
            <v>0</v>
          </cell>
          <cell r="M1228">
            <v>332770</v>
          </cell>
          <cell r="N1228">
            <v>185017</v>
          </cell>
          <cell r="O1228">
            <v>12109</v>
          </cell>
          <cell r="P1228">
            <v>0</v>
          </cell>
          <cell r="Q1228">
            <v>529896</v>
          </cell>
        </row>
        <row r="1229">
          <cell r="A1229" t="str">
            <v>US22P015603941200000</v>
          </cell>
          <cell r="B1229" t="str">
            <v>US22P01560</v>
          </cell>
          <cell r="C1229">
            <v>3941200000</v>
          </cell>
          <cell r="D1229" t="str">
            <v>PACKING MATERIAL (FOR DISPATCH)</v>
          </cell>
          <cell r="E1229">
            <v>0</v>
          </cell>
          <cell r="F1229">
            <v>0</v>
          </cell>
          <cell r="G1229">
            <v>644</v>
          </cell>
          <cell r="H1229">
            <v>525</v>
          </cell>
          <cell r="I1229">
            <v>1281</v>
          </cell>
          <cell r="J1229">
            <v>0</v>
          </cell>
          <cell r="K1229">
            <v>0</v>
          </cell>
          <cell r="L1229">
            <v>0</v>
          </cell>
          <cell r="M1229">
            <v>0</v>
          </cell>
          <cell r="N1229">
            <v>0</v>
          </cell>
          <cell r="O1229">
            <v>0</v>
          </cell>
          <cell r="P1229">
            <v>0</v>
          </cell>
          <cell r="Q1229">
            <v>2450</v>
          </cell>
        </row>
        <row r="1230">
          <cell r="A1230" t="str">
            <v>US28P015603941200000</v>
          </cell>
          <cell r="B1230" t="str">
            <v>US28P01560</v>
          </cell>
          <cell r="C1230">
            <v>3941200000</v>
          </cell>
          <cell r="D1230" t="str">
            <v>PACKING MATERIAL (FOR DISPATCH)</v>
          </cell>
          <cell r="E1230">
            <v>0</v>
          </cell>
          <cell r="F1230">
            <v>0</v>
          </cell>
          <cell r="G1230">
            <v>2542</v>
          </cell>
          <cell r="H1230">
            <v>360</v>
          </cell>
          <cell r="I1230">
            <v>147</v>
          </cell>
          <cell r="J1230">
            <v>0</v>
          </cell>
          <cell r="K1230">
            <v>0</v>
          </cell>
          <cell r="L1230">
            <v>0</v>
          </cell>
          <cell r="M1230">
            <v>0</v>
          </cell>
          <cell r="N1230">
            <v>0</v>
          </cell>
          <cell r="O1230">
            <v>0</v>
          </cell>
          <cell r="P1230">
            <v>0</v>
          </cell>
          <cell r="Q1230">
            <v>3049</v>
          </cell>
        </row>
        <row r="1231">
          <cell r="A1231" t="str">
            <v>USWOP015603941200000</v>
          </cell>
          <cell r="B1231" t="str">
            <v>USWOP01560</v>
          </cell>
          <cell r="C1231">
            <v>3941200000</v>
          </cell>
          <cell r="D1231" t="str">
            <v>PACKING MATERIAL (FOR DISPATCH)</v>
          </cell>
          <cell r="E1231">
            <v>0</v>
          </cell>
          <cell r="F1231">
            <v>0</v>
          </cell>
          <cell r="G1231">
            <v>0</v>
          </cell>
          <cell r="H1231">
            <v>525</v>
          </cell>
          <cell r="I1231">
            <v>0</v>
          </cell>
          <cell r="J1231">
            <v>0</v>
          </cell>
          <cell r="K1231">
            <v>0</v>
          </cell>
          <cell r="L1231">
            <v>0</v>
          </cell>
          <cell r="M1231">
            <v>0</v>
          </cell>
          <cell r="N1231">
            <v>0</v>
          </cell>
          <cell r="O1231">
            <v>0</v>
          </cell>
          <cell r="P1231">
            <v>0</v>
          </cell>
          <cell r="Q1231">
            <v>525</v>
          </cell>
        </row>
        <row r="1232">
          <cell r="A1232" t="str">
            <v>US22P015013951100002</v>
          </cell>
          <cell r="B1232" t="str">
            <v>US22P01501</v>
          </cell>
          <cell r="C1232">
            <v>3951100002</v>
          </cell>
          <cell r="D1232" t="str">
            <v>RENTALS - REAL ESTATE</v>
          </cell>
          <cell r="E1232">
            <v>0</v>
          </cell>
          <cell r="F1232">
            <v>0</v>
          </cell>
          <cell r="G1232">
            <v>0</v>
          </cell>
          <cell r="H1232">
            <v>0</v>
          </cell>
          <cell r="I1232">
            <v>20</v>
          </cell>
          <cell r="J1232">
            <v>0</v>
          </cell>
          <cell r="K1232">
            <v>0</v>
          </cell>
          <cell r="L1232">
            <v>0</v>
          </cell>
          <cell r="M1232">
            <v>0</v>
          </cell>
          <cell r="N1232">
            <v>0</v>
          </cell>
          <cell r="O1232">
            <v>0</v>
          </cell>
          <cell r="P1232">
            <v>0</v>
          </cell>
          <cell r="Q1232">
            <v>20</v>
          </cell>
        </row>
        <row r="1233">
          <cell r="A1233" t="str">
            <v>US22P015503951100002</v>
          </cell>
          <cell r="B1233" t="str">
            <v>US22P01550</v>
          </cell>
          <cell r="C1233">
            <v>3951100002</v>
          </cell>
          <cell r="D1233" t="str">
            <v>RENTALS - REAL ESTATE</v>
          </cell>
          <cell r="E1233">
            <v>2550</v>
          </cell>
          <cell r="F1233">
            <v>2550</v>
          </cell>
          <cell r="G1233">
            <v>1600</v>
          </cell>
          <cell r="H1233">
            <v>3500</v>
          </cell>
          <cell r="I1233">
            <v>2550</v>
          </cell>
          <cell r="J1233">
            <v>2550</v>
          </cell>
          <cell r="K1233">
            <v>2550</v>
          </cell>
          <cell r="L1233">
            <v>3700</v>
          </cell>
          <cell r="M1233">
            <v>2550</v>
          </cell>
          <cell r="N1233">
            <v>2550</v>
          </cell>
          <cell r="O1233">
            <v>2550</v>
          </cell>
          <cell r="P1233">
            <v>5050</v>
          </cell>
          <cell r="Q1233">
            <v>34250</v>
          </cell>
        </row>
        <row r="1234">
          <cell r="A1234" t="str">
            <v>US22P015533951100002</v>
          </cell>
          <cell r="B1234" t="str">
            <v>US22P01553</v>
          </cell>
          <cell r="C1234">
            <v>3951100002</v>
          </cell>
          <cell r="D1234" t="str">
            <v>RENTALS - REAL ESTATE</v>
          </cell>
          <cell r="E1234">
            <v>950</v>
          </cell>
          <cell r="F1234">
            <v>950</v>
          </cell>
          <cell r="G1234">
            <v>0</v>
          </cell>
          <cell r="H1234">
            <v>1900</v>
          </cell>
          <cell r="I1234">
            <v>950</v>
          </cell>
          <cell r="J1234">
            <v>950</v>
          </cell>
          <cell r="K1234">
            <v>950</v>
          </cell>
          <cell r="L1234">
            <v>4400</v>
          </cell>
          <cell r="M1234">
            <v>950</v>
          </cell>
          <cell r="N1234">
            <v>950</v>
          </cell>
          <cell r="O1234">
            <v>950</v>
          </cell>
          <cell r="P1234">
            <v>3450</v>
          </cell>
          <cell r="Q1234">
            <v>17350</v>
          </cell>
        </row>
        <row r="1235">
          <cell r="A1235" t="str">
            <v>USWOP015503951100002</v>
          </cell>
          <cell r="B1235" t="str">
            <v>USWOP01550</v>
          </cell>
          <cell r="C1235">
            <v>3951100002</v>
          </cell>
          <cell r="D1235" t="str">
            <v>RENTALS - REAL ESTATE</v>
          </cell>
          <cell r="E1235">
            <v>0</v>
          </cell>
          <cell r="F1235">
            <v>0</v>
          </cell>
          <cell r="G1235">
            <v>0</v>
          </cell>
          <cell r="H1235">
            <v>0</v>
          </cell>
          <cell r="I1235">
            <v>0</v>
          </cell>
          <cell r="J1235">
            <v>0</v>
          </cell>
          <cell r="K1235">
            <v>0</v>
          </cell>
          <cell r="L1235">
            <v>0</v>
          </cell>
          <cell r="M1235">
            <v>0</v>
          </cell>
          <cell r="N1235">
            <v>0</v>
          </cell>
          <cell r="O1235">
            <v>0</v>
          </cell>
          <cell r="P1235">
            <v>909</v>
          </cell>
          <cell r="Q1235">
            <v>909</v>
          </cell>
        </row>
        <row r="1236">
          <cell r="A1236" t="str">
            <v>US59P015503951100002</v>
          </cell>
          <cell r="B1236" t="str">
            <v>US59P01550</v>
          </cell>
          <cell r="C1236">
            <v>3951100002</v>
          </cell>
          <cell r="D1236" t="str">
            <v>RENTALS - REAL ESTATE</v>
          </cell>
          <cell r="E1236">
            <v>0</v>
          </cell>
          <cell r="F1236">
            <v>0</v>
          </cell>
          <cell r="G1236">
            <v>0</v>
          </cell>
          <cell r="H1236">
            <v>0</v>
          </cell>
          <cell r="I1236">
            <v>0</v>
          </cell>
          <cell r="J1236">
            <v>2500</v>
          </cell>
          <cell r="K1236">
            <v>0</v>
          </cell>
          <cell r="L1236">
            <v>0</v>
          </cell>
          <cell r="M1236">
            <v>0</v>
          </cell>
          <cell r="N1236">
            <v>0</v>
          </cell>
          <cell r="O1236">
            <v>0</v>
          </cell>
          <cell r="P1236">
            <v>0</v>
          </cell>
          <cell r="Q1236">
            <v>2500</v>
          </cell>
        </row>
        <row r="1237">
          <cell r="A1237" t="str">
            <v>USCRP015013951100002</v>
          </cell>
          <cell r="B1237" t="str">
            <v>USCRP01501</v>
          </cell>
          <cell r="C1237">
            <v>3951100002</v>
          </cell>
          <cell r="D1237" t="str">
            <v>RENTALS - REAL ESTATE</v>
          </cell>
          <cell r="E1237">
            <v>0</v>
          </cell>
          <cell r="F1237">
            <v>0</v>
          </cell>
          <cell r="G1237">
            <v>-139</v>
          </cell>
          <cell r="H1237">
            <v>0</v>
          </cell>
          <cell r="I1237">
            <v>0</v>
          </cell>
          <cell r="J1237">
            <v>0</v>
          </cell>
          <cell r="K1237">
            <v>4454</v>
          </cell>
          <cell r="L1237">
            <v>0</v>
          </cell>
          <cell r="M1237">
            <v>0</v>
          </cell>
          <cell r="N1237">
            <v>0</v>
          </cell>
          <cell r="O1237">
            <v>0</v>
          </cell>
          <cell r="P1237">
            <v>0</v>
          </cell>
          <cell r="Q1237">
            <v>4315</v>
          </cell>
        </row>
        <row r="1238">
          <cell r="A1238" t="str">
            <v>USCRP015503951100002</v>
          </cell>
          <cell r="B1238" t="str">
            <v>USCRP01550</v>
          </cell>
          <cell r="C1238">
            <v>3951100002</v>
          </cell>
          <cell r="D1238" t="str">
            <v>RENTALS - REAL ESTATE</v>
          </cell>
          <cell r="E1238">
            <v>0</v>
          </cell>
          <cell r="F1238">
            <v>0</v>
          </cell>
          <cell r="G1238">
            <v>0</v>
          </cell>
          <cell r="H1238">
            <v>0</v>
          </cell>
          <cell r="I1238">
            <v>0</v>
          </cell>
          <cell r="J1238">
            <v>500</v>
          </cell>
          <cell r="K1238">
            <v>0</v>
          </cell>
          <cell r="L1238">
            <v>0</v>
          </cell>
          <cell r="M1238">
            <v>0</v>
          </cell>
          <cell r="N1238">
            <v>0</v>
          </cell>
          <cell r="O1238">
            <v>0</v>
          </cell>
          <cell r="P1238">
            <v>0</v>
          </cell>
          <cell r="Q1238">
            <v>500</v>
          </cell>
        </row>
        <row r="1239">
          <cell r="A1239" t="str">
            <v>US22P015013951100005</v>
          </cell>
          <cell r="B1239" t="str">
            <v>US22P01501</v>
          </cell>
          <cell r="C1239">
            <v>3951100005</v>
          </cell>
          <cell r="D1239" t="str">
            <v>OTHER RENTALS</v>
          </cell>
          <cell r="E1239">
            <v>817</v>
          </cell>
          <cell r="F1239">
            <v>187</v>
          </cell>
          <cell r="G1239">
            <v>2119</v>
          </cell>
          <cell r="H1239">
            <v>405</v>
          </cell>
          <cell r="I1239">
            <v>649</v>
          </cell>
          <cell r="J1239">
            <v>1763</v>
          </cell>
          <cell r="K1239">
            <v>1279</v>
          </cell>
          <cell r="L1239">
            <v>1319</v>
          </cell>
          <cell r="M1239">
            <v>1940</v>
          </cell>
          <cell r="N1239">
            <v>1803</v>
          </cell>
          <cell r="O1239">
            <v>1787</v>
          </cell>
          <cell r="P1239">
            <v>2671</v>
          </cell>
          <cell r="Q1239">
            <v>16739</v>
          </cell>
        </row>
        <row r="1240">
          <cell r="A1240" t="str">
            <v>US22P015503951100005</v>
          </cell>
          <cell r="B1240" t="str">
            <v>US22P01550</v>
          </cell>
          <cell r="C1240">
            <v>3951100005</v>
          </cell>
          <cell r="D1240" t="str">
            <v>OTHER RENTALS</v>
          </cell>
          <cell r="E1240">
            <v>-97</v>
          </cell>
          <cell r="F1240">
            <v>0</v>
          </cell>
          <cell r="G1240">
            <v>0</v>
          </cell>
          <cell r="H1240">
            <v>0</v>
          </cell>
          <cell r="I1240">
            <v>1224</v>
          </cell>
          <cell r="J1240">
            <v>3824</v>
          </cell>
          <cell r="K1240">
            <v>10169</v>
          </cell>
          <cell r="L1240">
            <v>6523</v>
          </cell>
          <cell r="M1240">
            <v>4300</v>
          </cell>
          <cell r="N1240">
            <v>758</v>
          </cell>
          <cell r="O1240">
            <v>0</v>
          </cell>
          <cell r="P1240">
            <v>0</v>
          </cell>
          <cell r="Q1240">
            <v>26701</v>
          </cell>
        </row>
        <row r="1241">
          <cell r="A1241" t="str">
            <v>US22P015533951100005</v>
          </cell>
          <cell r="B1241" t="str">
            <v>US22P01553</v>
          </cell>
          <cell r="C1241">
            <v>3951100005</v>
          </cell>
          <cell r="D1241" t="str">
            <v>OTHER RENTALS</v>
          </cell>
          <cell r="E1241">
            <v>0</v>
          </cell>
          <cell r="F1241">
            <v>0</v>
          </cell>
          <cell r="G1241">
            <v>0</v>
          </cell>
          <cell r="H1241">
            <v>0</v>
          </cell>
          <cell r="I1241">
            <v>0</v>
          </cell>
          <cell r="J1241">
            <v>7105</v>
          </cell>
          <cell r="K1241">
            <v>9680</v>
          </cell>
          <cell r="L1241">
            <v>-1250</v>
          </cell>
          <cell r="M1241">
            <v>10144</v>
          </cell>
          <cell r="N1241">
            <v>0</v>
          </cell>
          <cell r="O1241">
            <v>0</v>
          </cell>
          <cell r="P1241">
            <v>0</v>
          </cell>
          <cell r="Q1241">
            <v>25679</v>
          </cell>
        </row>
        <row r="1242">
          <cell r="A1242" t="str">
            <v>US22P015603951100005</v>
          </cell>
          <cell r="B1242" t="str">
            <v>US22P01560</v>
          </cell>
          <cell r="C1242">
            <v>3951100005</v>
          </cell>
          <cell r="D1242" t="str">
            <v>OTHER RENTALS</v>
          </cell>
          <cell r="E1242">
            <v>0</v>
          </cell>
          <cell r="F1242">
            <v>0</v>
          </cell>
          <cell r="G1242">
            <v>0</v>
          </cell>
          <cell r="H1242">
            <v>0</v>
          </cell>
          <cell r="I1242">
            <v>0</v>
          </cell>
          <cell r="J1242">
            <v>0</v>
          </cell>
          <cell r="K1242">
            <v>0</v>
          </cell>
          <cell r="L1242">
            <v>0</v>
          </cell>
          <cell r="M1242">
            <v>0</v>
          </cell>
          <cell r="N1242">
            <v>400</v>
          </cell>
          <cell r="O1242">
            <v>500</v>
          </cell>
          <cell r="P1242">
            <v>300</v>
          </cell>
          <cell r="Q1242">
            <v>1200</v>
          </cell>
        </row>
        <row r="1243">
          <cell r="A1243" t="str">
            <v>US22P015643951100005</v>
          </cell>
          <cell r="B1243" t="str">
            <v>US22P01564</v>
          </cell>
          <cell r="C1243">
            <v>3951100005</v>
          </cell>
          <cell r="D1243" t="str">
            <v>OTHER RENTALS</v>
          </cell>
          <cell r="E1243">
            <v>0</v>
          </cell>
          <cell r="F1243">
            <v>0</v>
          </cell>
          <cell r="G1243">
            <v>0</v>
          </cell>
          <cell r="H1243">
            <v>0</v>
          </cell>
          <cell r="I1243">
            <v>0</v>
          </cell>
          <cell r="J1243">
            <v>0</v>
          </cell>
          <cell r="K1243">
            <v>0</v>
          </cell>
          <cell r="L1243">
            <v>0</v>
          </cell>
          <cell r="M1243">
            <v>0</v>
          </cell>
          <cell r="N1243">
            <v>400</v>
          </cell>
          <cell r="O1243">
            <v>0</v>
          </cell>
          <cell r="P1243">
            <v>0</v>
          </cell>
          <cell r="Q1243">
            <v>400</v>
          </cell>
        </row>
        <row r="1244">
          <cell r="A1244" t="str">
            <v>US22P015753951100005</v>
          </cell>
          <cell r="B1244" t="str">
            <v>US22P01575</v>
          </cell>
          <cell r="C1244">
            <v>3951100005</v>
          </cell>
          <cell r="D1244" t="str">
            <v>OTHER RENTALS</v>
          </cell>
          <cell r="E1244">
            <v>0</v>
          </cell>
          <cell r="F1244">
            <v>0</v>
          </cell>
          <cell r="G1244">
            <v>0</v>
          </cell>
          <cell r="H1244">
            <v>0</v>
          </cell>
          <cell r="I1244">
            <v>986</v>
          </cell>
          <cell r="J1244">
            <v>165</v>
          </cell>
          <cell r="K1244">
            <v>0</v>
          </cell>
          <cell r="L1244">
            <v>0</v>
          </cell>
          <cell r="M1244">
            <v>0</v>
          </cell>
          <cell r="N1244">
            <v>0</v>
          </cell>
          <cell r="O1244">
            <v>0</v>
          </cell>
          <cell r="P1244">
            <v>200</v>
          </cell>
          <cell r="Q1244">
            <v>1351</v>
          </cell>
        </row>
        <row r="1245">
          <cell r="A1245" t="str">
            <v>US28P015013951100005</v>
          </cell>
          <cell r="B1245" t="str">
            <v>US28P01501</v>
          </cell>
          <cell r="C1245">
            <v>3951100005</v>
          </cell>
          <cell r="D1245" t="str">
            <v>OTHER RENTALS</v>
          </cell>
          <cell r="E1245">
            <v>0</v>
          </cell>
          <cell r="F1245">
            <v>0</v>
          </cell>
          <cell r="G1245">
            <v>0</v>
          </cell>
          <cell r="H1245">
            <v>0</v>
          </cell>
          <cell r="I1245">
            <v>0</v>
          </cell>
          <cell r="J1245">
            <v>0</v>
          </cell>
          <cell r="K1245">
            <v>0</v>
          </cell>
          <cell r="L1245">
            <v>0</v>
          </cell>
          <cell r="M1245">
            <v>0</v>
          </cell>
          <cell r="N1245">
            <v>-500</v>
          </cell>
          <cell r="O1245">
            <v>0</v>
          </cell>
          <cell r="P1245">
            <v>25</v>
          </cell>
          <cell r="Q1245">
            <v>-475</v>
          </cell>
        </row>
        <row r="1246">
          <cell r="A1246" t="str">
            <v>US28P015503951100005</v>
          </cell>
          <cell r="B1246" t="str">
            <v>US28P01550</v>
          </cell>
          <cell r="C1246">
            <v>3951100005</v>
          </cell>
          <cell r="D1246" t="str">
            <v>OTHER RENTALS</v>
          </cell>
          <cell r="E1246">
            <v>100</v>
          </cell>
          <cell r="F1246">
            <v>100</v>
          </cell>
          <cell r="G1246">
            <v>100</v>
          </cell>
          <cell r="H1246">
            <v>100</v>
          </cell>
          <cell r="I1246">
            <v>100</v>
          </cell>
          <cell r="J1246">
            <v>2216</v>
          </cell>
          <cell r="K1246">
            <v>2593</v>
          </cell>
          <cell r="L1246">
            <v>0</v>
          </cell>
          <cell r="M1246">
            <v>100</v>
          </cell>
          <cell r="N1246">
            <v>1654</v>
          </cell>
          <cell r="O1246">
            <v>733</v>
          </cell>
          <cell r="P1246">
            <v>100</v>
          </cell>
          <cell r="Q1246">
            <v>7896</v>
          </cell>
        </row>
        <row r="1247">
          <cell r="A1247" t="str">
            <v>US28P015533951100005</v>
          </cell>
          <cell r="B1247" t="str">
            <v>US28P01553</v>
          </cell>
          <cell r="C1247">
            <v>3951100005</v>
          </cell>
          <cell r="D1247" t="str">
            <v>OTHER RENTALS</v>
          </cell>
          <cell r="E1247">
            <v>0</v>
          </cell>
          <cell r="F1247">
            <v>0</v>
          </cell>
          <cell r="G1247">
            <v>0</v>
          </cell>
          <cell r="H1247">
            <v>0</v>
          </cell>
          <cell r="I1247">
            <v>0</v>
          </cell>
          <cell r="J1247">
            <v>693</v>
          </cell>
          <cell r="K1247">
            <v>15205</v>
          </cell>
          <cell r="L1247">
            <v>22287</v>
          </cell>
          <cell r="M1247">
            <v>0</v>
          </cell>
          <cell r="N1247">
            <v>0</v>
          </cell>
          <cell r="O1247">
            <v>0</v>
          </cell>
          <cell r="P1247">
            <v>0</v>
          </cell>
          <cell r="Q1247">
            <v>38185</v>
          </cell>
        </row>
        <row r="1248">
          <cell r="A1248" t="str">
            <v>US28P015603951100005</v>
          </cell>
          <cell r="B1248" t="str">
            <v>US28P01560</v>
          </cell>
          <cell r="C1248">
            <v>3951100005</v>
          </cell>
          <cell r="D1248" t="str">
            <v>OTHER RENTALS</v>
          </cell>
          <cell r="E1248">
            <v>0</v>
          </cell>
          <cell r="F1248">
            <v>833</v>
          </cell>
          <cell r="G1248">
            <v>0</v>
          </cell>
          <cell r="H1248">
            <v>-204</v>
          </cell>
          <cell r="I1248">
            <v>0</v>
          </cell>
          <cell r="J1248">
            <v>0</v>
          </cell>
          <cell r="K1248">
            <v>0</v>
          </cell>
          <cell r="L1248">
            <v>0</v>
          </cell>
          <cell r="M1248">
            <v>0</v>
          </cell>
          <cell r="N1248">
            <v>0</v>
          </cell>
          <cell r="O1248">
            <v>0</v>
          </cell>
          <cell r="P1248">
            <v>0</v>
          </cell>
          <cell r="Q1248">
            <v>629</v>
          </cell>
        </row>
        <row r="1249">
          <cell r="A1249" t="str">
            <v>US28P015643951100005</v>
          </cell>
          <cell r="B1249" t="str">
            <v>US28P01564</v>
          </cell>
          <cell r="C1249">
            <v>3951100005</v>
          </cell>
          <cell r="D1249" t="str">
            <v>OTHER RENTALS</v>
          </cell>
          <cell r="E1249">
            <v>0</v>
          </cell>
          <cell r="F1249">
            <v>0</v>
          </cell>
          <cell r="G1249">
            <v>0</v>
          </cell>
          <cell r="H1249">
            <v>0</v>
          </cell>
          <cell r="I1249">
            <v>0</v>
          </cell>
          <cell r="J1249">
            <v>0</v>
          </cell>
          <cell r="K1249">
            <v>0</v>
          </cell>
          <cell r="L1249">
            <v>0</v>
          </cell>
          <cell r="M1249">
            <v>1454</v>
          </cell>
          <cell r="N1249">
            <v>0</v>
          </cell>
          <cell r="O1249">
            <v>0</v>
          </cell>
          <cell r="P1249">
            <v>0</v>
          </cell>
          <cell r="Q1249">
            <v>1454</v>
          </cell>
        </row>
        <row r="1250">
          <cell r="A1250" t="str">
            <v>US35P015013951100005</v>
          </cell>
          <cell r="B1250" t="str">
            <v>US35P01501</v>
          </cell>
          <cell r="C1250">
            <v>3951100005</v>
          </cell>
          <cell r="D1250" t="str">
            <v>OTHER RENTALS</v>
          </cell>
          <cell r="E1250">
            <v>249</v>
          </cell>
          <cell r="F1250">
            <v>337</v>
          </cell>
          <cell r="G1250">
            <v>712</v>
          </cell>
          <cell r="H1250">
            <v>1348</v>
          </cell>
          <cell r="I1250">
            <v>340</v>
          </cell>
          <cell r="J1250">
            <v>712</v>
          </cell>
          <cell r="K1250">
            <v>1902</v>
          </cell>
          <cell r="L1250">
            <v>240</v>
          </cell>
          <cell r="M1250">
            <v>1361</v>
          </cell>
          <cell r="N1250">
            <v>794</v>
          </cell>
          <cell r="O1250">
            <v>240</v>
          </cell>
          <cell r="P1250">
            <v>712</v>
          </cell>
          <cell r="Q1250">
            <v>8947</v>
          </cell>
        </row>
        <row r="1251">
          <cell r="A1251" t="str">
            <v>US35P015503951100005</v>
          </cell>
          <cell r="B1251" t="str">
            <v>US35P01550</v>
          </cell>
          <cell r="C1251">
            <v>3951100005</v>
          </cell>
          <cell r="D1251" t="str">
            <v>OTHER RENTALS</v>
          </cell>
          <cell r="E1251">
            <v>0</v>
          </cell>
          <cell r="F1251">
            <v>0</v>
          </cell>
          <cell r="G1251">
            <v>11290</v>
          </cell>
          <cell r="H1251">
            <v>0</v>
          </cell>
          <cell r="I1251">
            <v>0</v>
          </cell>
          <cell r="J1251">
            <v>0</v>
          </cell>
          <cell r="K1251">
            <v>1174</v>
          </cell>
          <cell r="L1251">
            <v>0</v>
          </cell>
          <cell r="M1251">
            <v>0</v>
          </cell>
          <cell r="N1251">
            <v>0</v>
          </cell>
          <cell r="O1251">
            <v>0</v>
          </cell>
          <cell r="P1251">
            <v>0</v>
          </cell>
          <cell r="Q1251">
            <v>12464</v>
          </cell>
        </row>
        <row r="1252">
          <cell r="A1252" t="str">
            <v>US35P015533951100005</v>
          </cell>
          <cell r="B1252" t="str">
            <v>US35P01553</v>
          </cell>
          <cell r="C1252">
            <v>3951100005</v>
          </cell>
          <cell r="D1252" t="str">
            <v>OTHER RENTALS</v>
          </cell>
          <cell r="E1252">
            <v>0</v>
          </cell>
          <cell r="F1252">
            <v>0</v>
          </cell>
          <cell r="G1252">
            <v>0</v>
          </cell>
          <cell r="H1252">
            <v>0</v>
          </cell>
          <cell r="I1252">
            <v>1171</v>
          </cell>
          <cell r="J1252">
            <v>0</v>
          </cell>
          <cell r="K1252">
            <v>0</v>
          </cell>
          <cell r="L1252">
            <v>67309</v>
          </cell>
          <cell r="M1252">
            <v>3874</v>
          </cell>
          <cell r="N1252">
            <v>-3275</v>
          </cell>
          <cell r="O1252">
            <v>0</v>
          </cell>
          <cell r="P1252">
            <v>0</v>
          </cell>
          <cell r="Q1252">
            <v>69079</v>
          </cell>
        </row>
        <row r="1253">
          <cell r="A1253" t="str">
            <v>US35P015603951100005</v>
          </cell>
          <cell r="B1253" t="str">
            <v>US35P01560</v>
          </cell>
          <cell r="C1253">
            <v>3951100005</v>
          </cell>
          <cell r="D1253" t="str">
            <v>OTHER RENTALS</v>
          </cell>
          <cell r="E1253">
            <v>7395</v>
          </cell>
          <cell r="F1253">
            <v>1191</v>
          </cell>
          <cell r="G1253">
            <v>6309</v>
          </cell>
          <cell r="H1253">
            <v>4014</v>
          </cell>
          <cell r="I1253">
            <v>8259</v>
          </cell>
          <cell r="J1253">
            <v>5410</v>
          </cell>
          <cell r="K1253">
            <v>5590</v>
          </cell>
          <cell r="L1253">
            <v>51</v>
          </cell>
          <cell r="M1253">
            <v>3849</v>
          </cell>
          <cell r="N1253">
            <v>3849</v>
          </cell>
          <cell r="O1253">
            <v>1950</v>
          </cell>
          <cell r="P1253">
            <v>8042</v>
          </cell>
          <cell r="Q1253">
            <v>55909</v>
          </cell>
        </row>
        <row r="1254">
          <cell r="A1254" t="str">
            <v>US35P015643951100005</v>
          </cell>
          <cell r="B1254" t="str">
            <v>US35P01564</v>
          </cell>
          <cell r="C1254">
            <v>3951100005</v>
          </cell>
          <cell r="D1254" t="str">
            <v>OTHER RENTALS</v>
          </cell>
          <cell r="E1254">
            <v>0</v>
          </cell>
          <cell r="F1254">
            <v>0</v>
          </cell>
          <cell r="G1254">
            <v>0</v>
          </cell>
          <cell r="H1254">
            <v>65</v>
          </cell>
          <cell r="I1254">
            <v>431</v>
          </cell>
          <cell r="J1254">
            <v>0</v>
          </cell>
          <cell r="K1254">
            <v>950</v>
          </cell>
          <cell r="L1254">
            <v>1968</v>
          </cell>
          <cell r="M1254">
            <v>102</v>
          </cell>
          <cell r="N1254">
            <v>20810</v>
          </cell>
          <cell r="O1254">
            <v>38</v>
          </cell>
          <cell r="P1254">
            <v>0</v>
          </cell>
          <cell r="Q1254">
            <v>24364</v>
          </cell>
        </row>
        <row r="1255">
          <cell r="A1255" t="str">
            <v>US35P015753951100005</v>
          </cell>
          <cell r="B1255" t="str">
            <v>US35P01575</v>
          </cell>
          <cell r="C1255">
            <v>3951100005</v>
          </cell>
          <cell r="D1255" t="str">
            <v>OTHER RENTALS</v>
          </cell>
          <cell r="E1255">
            <v>20</v>
          </cell>
          <cell r="F1255">
            <v>20</v>
          </cell>
          <cell r="G1255">
            <v>20</v>
          </cell>
          <cell r="H1255">
            <v>20</v>
          </cell>
          <cell r="I1255">
            <v>0</v>
          </cell>
          <cell r="J1255">
            <v>20</v>
          </cell>
          <cell r="K1255">
            <v>23</v>
          </cell>
          <cell r="L1255">
            <v>23</v>
          </cell>
          <cell r="M1255">
            <v>23</v>
          </cell>
          <cell r="N1255">
            <v>23</v>
          </cell>
          <cell r="O1255">
            <v>139</v>
          </cell>
          <cell r="P1255">
            <v>23</v>
          </cell>
          <cell r="Q1255">
            <v>354</v>
          </cell>
        </row>
        <row r="1256">
          <cell r="A1256" t="str">
            <v>USWOP015013951100005</v>
          </cell>
          <cell r="B1256" t="str">
            <v>USWOP01501</v>
          </cell>
          <cell r="C1256">
            <v>3951100005</v>
          </cell>
          <cell r="D1256" t="str">
            <v>OTHER RENTALS</v>
          </cell>
          <cell r="E1256">
            <v>0</v>
          </cell>
          <cell r="F1256">
            <v>0</v>
          </cell>
          <cell r="G1256">
            <v>0</v>
          </cell>
          <cell r="H1256">
            <v>394</v>
          </cell>
          <cell r="I1256">
            <v>0</v>
          </cell>
          <cell r="J1256">
            <v>0</v>
          </cell>
          <cell r="K1256">
            <v>0</v>
          </cell>
          <cell r="L1256">
            <v>0</v>
          </cell>
          <cell r="M1256">
            <v>0</v>
          </cell>
          <cell r="N1256">
            <v>0</v>
          </cell>
          <cell r="O1256">
            <v>0</v>
          </cell>
          <cell r="P1256">
            <v>0</v>
          </cell>
          <cell r="Q1256">
            <v>394</v>
          </cell>
        </row>
        <row r="1257">
          <cell r="A1257" t="str">
            <v>USWOP015503951100005</v>
          </cell>
          <cell r="B1257" t="str">
            <v>USWOP01550</v>
          </cell>
          <cell r="C1257">
            <v>3951100005</v>
          </cell>
          <cell r="D1257" t="str">
            <v>OTHER RENTALS</v>
          </cell>
          <cell r="E1257">
            <v>0</v>
          </cell>
          <cell r="F1257">
            <v>0</v>
          </cell>
          <cell r="G1257">
            <v>0</v>
          </cell>
          <cell r="H1257">
            <v>0</v>
          </cell>
          <cell r="I1257">
            <v>0</v>
          </cell>
          <cell r="J1257">
            <v>5452</v>
          </cell>
          <cell r="K1257">
            <v>0</v>
          </cell>
          <cell r="L1257">
            <v>0</v>
          </cell>
          <cell r="M1257">
            <v>0</v>
          </cell>
          <cell r="N1257">
            <v>0</v>
          </cell>
          <cell r="O1257">
            <v>0</v>
          </cell>
          <cell r="P1257">
            <v>0</v>
          </cell>
          <cell r="Q1257">
            <v>5452</v>
          </cell>
        </row>
        <row r="1258">
          <cell r="A1258" t="str">
            <v>USWOP015533951100005</v>
          </cell>
          <cell r="B1258" t="str">
            <v>USWOP01553</v>
          </cell>
          <cell r="C1258">
            <v>3951100005</v>
          </cell>
          <cell r="D1258" t="str">
            <v>OTHER RENTALS</v>
          </cell>
          <cell r="E1258">
            <v>0</v>
          </cell>
          <cell r="F1258">
            <v>0</v>
          </cell>
          <cell r="G1258">
            <v>0</v>
          </cell>
          <cell r="H1258">
            <v>0</v>
          </cell>
          <cell r="I1258">
            <v>0</v>
          </cell>
          <cell r="J1258">
            <v>0</v>
          </cell>
          <cell r="K1258">
            <v>0</v>
          </cell>
          <cell r="L1258">
            <v>0</v>
          </cell>
          <cell r="M1258">
            <v>0</v>
          </cell>
          <cell r="N1258">
            <v>0</v>
          </cell>
          <cell r="O1258">
            <v>0</v>
          </cell>
          <cell r="P1258">
            <v>2638</v>
          </cell>
          <cell r="Q1258">
            <v>2638</v>
          </cell>
        </row>
        <row r="1259">
          <cell r="A1259" t="str">
            <v>USWOP015603951100005</v>
          </cell>
          <cell r="B1259" t="str">
            <v>USWOP01560</v>
          </cell>
          <cell r="C1259">
            <v>3951100005</v>
          </cell>
          <cell r="D1259" t="str">
            <v>OTHER RENTALS</v>
          </cell>
          <cell r="E1259">
            <v>229</v>
          </cell>
          <cell r="F1259">
            <v>0</v>
          </cell>
          <cell r="G1259">
            <v>0</v>
          </cell>
          <cell r="H1259">
            <v>602</v>
          </cell>
          <cell r="I1259">
            <v>0</v>
          </cell>
          <cell r="J1259">
            <v>107</v>
          </cell>
          <cell r="K1259">
            <v>0</v>
          </cell>
          <cell r="L1259">
            <v>0</v>
          </cell>
          <cell r="M1259">
            <v>0</v>
          </cell>
          <cell r="N1259">
            <v>0</v>
          </cell>
          <cell r="O1259">
            <v>0</v>
          </cell>
          <cell r="P1259">
            <v>605</v>
          </cell>
          <cell r="Q1259">
            <v>1543</v>
          </cell>
        </row>
        <row r="1260">
          <cell r="A1260" t="str">
            <v>USWOP015753951100005</v>
          </cell>
          <cell r="B1260" t="str">
            <v>USWOP01575</v>
          </cell>
          <cell r="C1260">
            <v>3951100005</v>
          </cell>
          <cell r="D1260" t="str">
            <v>OTHER RENTALS</v>
          </cell>
          <cell r="E1260">
            <v>0</v>
          </cell>
          <cell r="F1260">
            <v>0</v>
          </cell>
          <cell r="G1260">
            <v>0</v>
          </cell>
          <cell r="H1260">
            <v>0</v>
          </cell>
          <cell r="I1260">
            <v>0</v>
          </cell>
          <cell r="J1260">
            <v>0</v>
          </cell>
          <cell r="K1260">
            <v>0</v>
          </cell>
          <cell r="L1260">
            <v>602</v>
          </cell>
          <cell r="M1260">
            <v>0</v>
          </cell>
          <cell r="N1260">
            <v>0</v>
          </cell>
          <cell r="O1260">
            <v>0</v>
          </cell>
          <cell r="P1260">
            <v>0</v>
          </cell>
          <cell r="Q1260">
            <v>602</v>
          </cell>
        </row>
        <row r="1261">
          <cell r="A1261" t="str">
            <v>US59P015503951100005</v>
          </cell>
          <cell r="B1261" t="str">
            <v>US59P01550</v>
          </cell>
          <cell r="C1261">
            <v>3951100005</v>
          </cell>
          <cell r="D1261" t="str">
            <v>OTHER RENTALS</v>
          </cell>
          <cell r="E1261">
            <v>0</v>
          </cell>
          <cell r="F1261">
            <v>0</v>
          </cell>
          <cell r="G1261">
            <v>0</v>
          </cell>
          <cell r="H1261">
            <v>0</v>
          </cell>
          <cell r="I1261">
            <v>0</v>
          </cell>
          <cell r="J1261">
            <v>0</v>
          </cell>
          <cell r="K1261">
            <v>0</v>
          </cell>
          <cell r="L1261">
            <v>3962</v>
          </cell>
          <cell r="M1261">
            <v>0</v>
          </cell>
          <cell r="N1261">
            <v>0</v>
          </cell>
          <cell r="O1261">
            <v>0</v>
          </cell>
          <cell r="P1261">
            <v>0</v>
          </cell>
          <cell r="Q1261">
            <v>3962</v>
          </cell>
        </row>
        <row r="1262">
          <cell r="A1262" t="str">
            <v>US59P015603951100005</v>
          </cell>
          <cell r="B1262" t="str">
            <v>US59P01560</v>
          </cell>
          <cell r="C1262">
            <v>3951100005</v>
          </cell>
          <cell r="D1262" t="str">
            <v>OTHER RENTALS</v>
          </cell>
          <cell r="E1262">
            <v>0</v>
          </cell>
          <cell r="F1262">
            <v>0</v>
          </cell>
          <cell r="G1262">
            <v>0</v>
          </cell>
          <cell r="H1262">
            <v>3000</v>
          </cell>
          <cell r="I1262">
            <v>0</v>
          </cell>
          <cell r="J1262">
            <v>0</v>
          </cell>
          <cell r="K1262">
            <v>0</v>
          </cell>
          <cell r="L1262">
            <v>0</v>
          </cell>
          <cell r="M1262">
            <v>0</v>
          </cell>
          <cell r="N1262">
            <v>0</v>
          </cell>
          <cell r="O1262">
            <v>0</v>
          </cell>
          <cell r="P1262">
            <v>0</v>
          </cell>
          <cell r="Q1262">
            <v>3000</v>
          </cell>
        </row>
        <row r="1263">
          <cell r="A1263" t="str">
            <v>US59P015643951100005</v>
          </cell>
          <cell r="B1263" t="str">
            <v>US59P01564</v>
          </cell>
          <cell r="C1263">
            <v>3951100005</v>
          </cell>
          <cell r="D1263" t="str">
            <v>OTHER RENTALS</v>
          </cell>
          <cell r="E1263">
            <v>0</v>
          </cell>
          <cell r="F1263">
            <v>0</v>
          </cell>
          <cell r="G1263">
            <v>0</v>
          </cell>
          <cell r="H1263">
            <v>0</v>
          </cell>
          <cell r="I1263">
            <v>0</v>
          </cell>
          <cell r="J1263">
            <v>0</v>
          </cell>
          <cell r="K1263">
            <v>0</v>
          </cell>
          <cell r="L1263">
            <v>0</v>
          </cell>
          <cell r="M1263">
            <v>102</v>
          </cell>
          <cell r="N1263">
            <v>0</v>
          </cell>
          <cell r="O1263">
            <v>0</v>
          </cell>
          <cell r="P1263">
            <v>1050</v>
          </cell>
          <cell r="Q1263">
            <v>1152</v>
          </cell>
        </row>
        <row r="1264">
          <cell r="A1264" t="str">
            <v>US59P3C5503951100005</v>
          </cell>
          <cell r="B1264" t="str">
            <v>US59P3C550</v>
          </cell>
          <cell r="C1264">
            <v>3951100005</v>
          </cell>
          <cell r="D1264" t="str">
            <v>OTHER RENTALS</v>
          </cell>
          <cell r="E1264">
            <v>0</v>
          </cell>
          <cell r="F1264">
            <v>0</v>
          </cell>
          <cell r="G1264">
            <v>0</v>
          </cell>
          <cell r="H1264">
            <v>0</v>
          </cell>
          <cell r="I1264">
            <v>266</v>
          </cell>
          <cell r="J1264">
            <v>0</v>
          </cell>
          <cell r="K1264">
            <v>0</v>
          </cell>
          <cell r="L1264">
            <v>0</v>
          </cell>
          <cell r="M1264">
            <v>0</v>
          </cell>
          <cell r="N1264">
            <v>0</v>
          </cell>
          <cell r="O1264">
            <v>0</v>
          </cell>
          <cell r="P1264">
            <v>0</v>
          </cell>
          <cell r="Q1264">
            <v>266</v>
          </cell>
        </row>
        <row r="1265">
          <cell r="A1265" t="str">
            <v>US59P3C5603951100005</v>
          </cell>
          <cell r="B1265" t="str">
            <v>US59P3C560</v>
          </cell>
          <cell r="C1265">
            <v>3951100005</v>
          </cell>
          <cell r="D1265" t="str">
            <v>OTHER RENTALS</v>
          </cell>
          <cell r="E1265">
            <v>0</v>
          </cell>
          <cell r="F1265">
            <v>0</v>
          </cell>
          <cell r="G1265">
            <v>1350</v>
          </cell>
          <cell r="H1265">
            <v>-1013</v>
          </cell>
          <cell r="I1265">
            <v>0</v>
          </cell>
          <cell r="J1265">
            <v>0</v>
          </cell>
          <cell r="K1265">
            <v>0</v>
          </cell>
          <cell r="L1265">
            <v>0</v>
          </cell>
          <cell r="M1265">
            <v>0</v>
          </cell>
          <cell r="N1265">
            <v>2400</v>
          </cell>
          <cell r="O1265">
            <v>0</v>
          </cell>
          <cell r="P1265">
            <v>950</v>
          </cell>
          <cell r="Q1265">
            <v>3687</v>
          </cell>
        </row>
        <row r="1266">
          <cell r="A1266" t="str">
            <v>USCRP015013951100005</v>
          </cell>
          <cell r="B1266" t="str">
            <v>USCRP01501</v>
          </cell>
          <cell r="C1266">
            <v>3951100005</v>
          </cell>
          <cell r="D1266" t="str">
            <v>OTHER RENTALS</v>
          </cell>
          <cell r="E1266">
            <v>1875</v>
          </cell>
          <cell r="F1266">
            <v>0</v>
          </cell>
          <cell r="G1266">
            <v>0</v>
          </cell>
          <cell r="H1266">
            <v>0</v>
          </cell>
          <cell r="I1266">
            <v>0</v>
          </cell>
          <cell r="J1266">
            <v>4250</v>
          </cell>
          <cell r="K1266">
            <v>850</v>
          </cell>
          <cell r="L1266">
            <v>850</v>
          </cell>
          <cell r="M1266">
            <v>850</v>
          </cell>
          <cell r="N1266">
            <v>850</v>
          </cell>
          <cell r="O1266">
            <v>850</v>
          </cell>
          <cell r="P1266">
            <v>2380</v>
          </cell>
          <cell r="Q1266">
            <v>12755</v>
          </cell>
        </row>
        <row r="1267">
          <cell r="A1267" t="str">
            <v>USCRP015503951100005</v>
          </cell>
          <cell r="B1267" t="str">
            <v>USCRP01550</v>
          </cell>
          <cell r="C1267">
            <v>3951100005</v>
          </cell>
          <cell r="D1267" t="str">
            <v>OTHER RENTALS</v>
          </cell>
          <cell r="E1267">
            <v>0</v>
          </cell>
          <cell r="F1267">
            <v>0</v>
          </cell>
          <cell r="G1267">
            <v>0</v>
          </cell>
          <cell r="H1267">
            <v>0</v>
          </cell>
          <cell r="I1267">
            <v>150</v>
          </cell>
          <cell r="J1267">
            <v>1088</v>
          </cell>
          <cell r="K1267">
            <v>300</v>
          </cell>
          <cell r="L1267">
            <v>0</v>
          </cell>
          <cell r="M1267">
            <v>150</v>
          </cell>
          <cell r="N1267">
            <v>0</v>
          </cell>
          <cell r="O1267">
            <v>0</v>
          </cell>
          <cell r="P1267">
            <v>150</v>
          </cell>
          <cell r="Q1267">
            <v>1838</v>
          </cell>
        </row>
        <row r="1268">
          <cell r="A1268" t="str">
            <v>USCRP015533951100005</v>
          </cell>
          <cell r="B1268" t="str">
            <v>USCRP01553</v>
          </cell>
          <cell r="C1268">
            <v>3951100005</v>
          </cell>
          <cell r="D1268" t="str">
            <v>OTHER RENTALS</v>
          </cell>
          <cell r="E1268">
            <v>0</v>
          </cell>
          <cell r="F1268">
            <v>0</v>
          </cell>
          <cell r="G1268">
            <v>0</v>
          </cell>
          <cell r="H1268">
            <v>0</v>
          </cell>
          <cell r="I1268">
            <v>0</v>
          </cell>
          <cell r="J1268">
            <v>0</v>
          </cell>
          <cell r="K1268">
            <v>43</v>
          </cell>
          <cell r="L1268">
            <v>9239</v>
          </cell>
          <cell r="M1268">
            <v>14006</v>
          </cell>
          <cell r="N1268">
            <v>0</v>
          </cell>
          <cell r="O1268">
            <v>0</v>
          </cell>
          <cell r="P1268">
            <v>0</v>
          </cell>
          <cell r="Q1268">
            <v>23288</v>
          </cell>
        </row>
        <row r="1269">
          <cell r="A1269" t="str">
            <v>US22P015013951200002</v>
          </cell>
          <cell r="B1269" t="str">
            <v>US22P01501</v>
          </cell>
          <cell r="C1269">
            <v>3951200002</v>
          </cell>
          <cell r="D1269" t="str">
            <v>OPERATING LEASES - VEHICLES (SHORT DURAT</v>
          </cell>
          <cell r="E1269">
            <v>393</v>
          </cell>
          <cell r="F1269">
            <v>392</v>
          </cell>
          <cell r="G1269">
            <v>-622</v>
          </cell>
          <cell r="H1269">
            <v>5454</v>
          </cell>
          <cell r="I1269">
            <v>-119</v>
          </cell>
          <cell r="J1269">
            <v>-197</v>
          </cell>
          <cell r="K1269">
            <v>-160</v>
          </cell>
          <cell r="L1269">
            <v>-160</v>
          </cell>
          <cell r="M1269">
            <v>-160</v>
          </cell>
          <cell r="N1269">
            <v>-160</v>
          </cell>
          <cell r="O1269">
            <v>-160</v>
          </cell>
          <cell r="P1269">
            <v>-160</v>
          </cell>
          <cell r="Q1269">
            <v>4341</v>
          </cell>
        </row>
        <row r="1270">
          <cell r="A1270" t="str">
            <v>US22P015503951200002</v>
          </cell>
          <cell r="B1270" t="str">
            <v>US22P01550</v>
          </cell>
          <cell r="C1270">
            <v>3951200002</v>
          </cell>
          <cell r="D1270" t="str">
            <v>OPERATING LEASES - VEHICLES (SHORT DURAT</v>
          </cell>
          <cell r="E1270">
            <v>5353</v>
          </cell>
          <cell r="F1270">
            <v>5364</v>
          </cell>
          <cell r="G1270">
            <v>5370</v>
          </cell>
          <cell r="H1270">
            <v>5332</v>
          </cell>
          <cell r="I1270">
            <v>4956</v>
          </cell>
          <cell r="J1270">
            <v>3913</v>
          </cell>
          <cell r="K1270">
            <v>3199</v>
          </cell>
          <cell r="L1270">
            <v>3206</v>
          </cell>
          <cell r="M1270">
            <v>3184</v>
          </cell>
          <cell r="N1270">
            <v>3177</v>
          </cell>
          <cell r="O1270">
            <v>3136</v>
          </cell>
          <cell r="P1270">
            <v>4601</v>
          </cell>
          <cell r="Q1270">
            <v>50791</v>
          </cell>
        </row>
        <row r="1271">
          <cell r="A1271" t="str">
            <v>US22P015533951200002</v>
          </cell>
          <cell r="B1271" t="str">
            <v>US22P01553</v>
          </cell>
          <cell r="C1271">
            <v>3951200002</v>
          </cell>
          <cell r="D1271" t="str">
            <v>OPERATING LEASES - VEHICLES (SHORT DURAT</v>
          </cell>
          <cell r="E1271">
            <v>0</v>
          </cell>
          <cell r="F1271">
            <v>0</v>
          </cell>
          <cell r="G1271">
            <v>0</v>
          </cell>
          <cell r="H1271">
            <v>0</v>
          </cell>
          <cell r="I1271">
            <v>0</v>
          </cell>
          <cell r="J1271">
            <v>0</v>
          </cell>
          <cell r="K1271">
            <v>0</v>
          </cell>
          <cell r="L1271">
            <v>0</v>
          </cell>
          <cell r="M1271">
            <v>562</v>
          </cell>
          <cell r="N1271">
            <v>0</v>
          </cell>
          <cell r="O1271">
            <v>0</v>
          </cell>
          <cell r="P1271">
            <v>0</v>
          </cell>
          <cell r="Q1271">
            <v>562</v>
          </cell>
        </row>
        <row r="1272">
          <cell r="A1272" t="str">
            <v>US28P015013951200002</v>
          </cell>
          <cell r="B1272" t="str">
            <v>US28P01501</v>
          </cell>
          <cell r="C1272">
            <v>3951200002</v>
          </cell>
          <cell r="D1272" t="str">
            <v>OPERATING LEASES - VEHICLES (SHORT DURAT</v>
          </cell>
          <cell r="E1272">
            <v>1251</v>
          </cell>
          <cell r="F1272">
            <v>1246</v>
          </cell>
          <cell r="G1272">
            <v>1240</v>
          </cell>
          <cell r="H1272">
            <v>1234</v>
          </cell>
          <cell r="I1272">
            <v>1236</v>
          </cell>
          <cell r="J1272">
            <v>356</v>
          </cell>
          <cell r="K1272">
            <v>440</v>
          </cell>
          <cell r="L1272">
            <v>438</v>
          </cell>
          <cell r="M1272">
            <v>991</v>
          </cell>
          <cell r="N1272">
            <v>436</v>
          </cell>
          <cell r="O1272">
            <v>752</v>
          </cell>
          <cell r="P1272">
            <v>427</v>
          </cell>
          <cell r="Q1272">
            <v>10047</v>
          </cell>
        </row>
        <row r="1273">
          <cell r="A1273" t="str">
            <v>US28P015503951200002</v>
          </cell>
          <cell r="B1273" t="str">
            <v>US28P01550</v>
          </cell>
          <cell r="C1273">
            <v>3951200002</v>
          </cell>
          <cell r="D1273" t="str">
            <v>OPERATING LEASES - VEHICLES (SHORT DURAT</v>
          </cell>
          <cell r="E1273">
            <v>1715</v>
          </cell>
          <cell r="F1273">
            <v>1709</v>
          </cell>
          <cell r="G1273">
            <v>1701</v>
          </cell>
          <cell r="H1273">
            <v>1317</v>
          </cell>
          <cell r="I1273">
            <v>1380</v>
          </cell>
          <cell r="J1273">
            <v>14786</v>
          </cell>
          <cell r="K1273">
            <v>3137</v>
          </cell>
          <cell r="L1273">
            <v>1251</v>
          </cell>
          <cell r="M1273">
            <v>2187</v>
          </cell>
          <cell r="N1273">
            <v>1251</v>
          </cell>
          <cell r="O1273">
            <v>1229</v>
          </cell>
          <cell r="P1273">
            <v>1212</v>
          </cell>
          <cell r="Q1273">
            <v>32875</v>
          </cell>
        </row>
        <row r="1274">
          <cell r="A1274" t="str">
            <v>US28P015533951200002</v>
          </cell>
          <cell r="B1274" t="str">
            <v>US28P01553</v>
          </cell>
          <cell r="C1274">
            <v>3951200002</v>
          </cell>
          <cell r="D1274" t="str">
            <v>OPERATING LEASES - VEHICLES (SHORT DURAT</v>
          </cell>
          <cell r="E1274">
            <v>0</v>
          </cell>
          <cell r="F1274">
            <v>0</v>
          </cell>
          <cell r="G1274">
            <v>0</v>
          </cell>
          <cell r="H1274">
            <v>0</v>
          </cell>
          <cell r="I1274">
            <v>0</v>
          </cell>
          <cell r="J1274">
            <v>0</v>
          </cell>
          <cell r="K1274">
            <v>7197</v>
          </cell>
          <cell r="L1274">
            <v>8800</v>
          </cell>
          <cell r="M1274">
            <v>2788</v>
          </cell>
          <cell r="N1274">
            <v>0</v>
          </cell>
          <cell r="O1274">
            <v>0</v>
          </cell>
          <cell r="P1274">
            <v>0</v>
          </cell>
          <cell r="Q1274">
            <v>18785</v>
          </cell>
        </row>
        <row r="1275">
          <cell r="A1275" t="str">
            <v>US28P015643951200002</v>
          </cell>
          <cell r="B1275" t="str">
            <v>US28P01564</v>
          </cell>
          <cell r="C1275">
            <v>3951200002</v>
          </cell>
          <cell r="D1275" t="str">
            <v>OPERATING LEASES - VEHICLES (SHORT DURAT</v>
          </cell>
          <cell r="E1275">
            <v>0</v>
          </cell>
          <cell r="F1275">
            <v>0</v>
          </cell>
          <cell r="G1275">
            <v>0</v>
          </cell>
          <cell r="H1275">
            <v>0</v>
          </cell>
          <cell r="I1275">
            <v>0</v>
          </cell>
          <cell r="J1275">
            <v>0</v>
          </cell>
          <cell r="K1275">
            <v>0</v>
          </cell>
          <cell r="L1275">
            <v>0</v>
          </cell>
          <cell r="M1275">
            <v>0</v>
          </cell>
          <cell r="N1275">
            <v>0</v>
          </cell>
          <cell r="O1275">
            <v>0</v>
          </cell>
          <cell r="P1275">
            <v>0</v>
          </cell>
          <cell r="Q1275">
            <v>0</v>
          </cell>
        </row>
        <row r="1276">
          <cell r="A1276" t="str">
            <v>US35P015013951200002</v>
          </cell>
          <cell r="B1276" t="str">
            <v>US35P01501</v>
          </cell>
          <cell r="C1276">
            <v>3951200002</v>
          </cell>
          <cell r="D1276" t="str">
            <v>OPERATING LEASES - VEHICLES (SHORT DURAT</v>
          </cell>
          <cell r="E1276">
            <v>459</v>
          </cell>
          <cell r="F1276">
            <v>457</v>
          </cell>
          <cell r="G1276">
            <v>455</v>
          </cell>
          <cell r="H1276">
            <v>453</v>
          </cell>
          <cell r="I1276">
            <v>453</v>
          </cell>
          <cell r="J1276">
            <v>411</v>
          </cell>
          <cell r="K1276">
            <v>428</v>
          </cell>
          <cell r="L1276">
            <v>426</v>
          </cell>
          <cell r="M1276">
            <v>425</v>
          </cell>
          <cell r="N1276">
            <v>424</v>
          </cell>
          <cell r="O1276">
            <v>418</v>
          </cell>
          <cell r="P1276">
            <v>414</v>
          </cell>
          <cell r="Q1276">
            <v>5223</v>
          </cell>
        </row>
        <row r="1277">
          <cell r="A1277" t="str">
            <v>US35P015503951200002</v>
          </cell>
          <cell r="B1277" t="str">
            <v>US35P01550</v>
          </cell>
          <cell r="C1277">
            <v>3951200002</v>
          </cell>
          <cell r="D1277" t="str">
            <v>OPERATING LEASES - VEHICLES (SHORT DURAT</v>
          </cell>
          <cell r="E1277">
            <v>4315</v>
          </cell>
          <cell r="F1277">
            <v>4300</v>
          </cell>
          <cell r="G1277">
            <v>4280</v>
          </cell>
          <cell r="H1277">
            <v>4262</v>
          </cell>
          <cell r="I1277">
            <v>4260</v>
          </cell>
          <cell r="J1277">
            <v>3997</v>
          </cell>
          <cell r="K1277">
            <v>4095</v>
          </cell>
          <cell r="L1277">
            <v>4078</v>
          </cell>
          <cell r="M1277">
            <v>4074</v>
          </cell>
          <cell r="N1277">
            <v>4064</v>
          </cell>
          <cell r="O1277">
            <v>4011</v>
          </cell>
          <cell r="P1277">
            <v>3971</v>
          </cell>
          <cell r="Q1277">
            <v>49707</v>
          </cell>
        </row>
        <row r="1278">
          <cell r="A1278" t="str">
            <v>USWOP015013951200002</v>
          </cell>
          <cell r="B1278" t="str">
            <v>USWOP01501</v>
          </cell>
          <cell r="C1278">
            <v>3951200002</v>
          </cell>
          <cell r="D1278" t="str">
            <v>OPERATING LEASES - VEHICLES (SHORT DURAT</v>
          </cell>
          <cell r="E1278">
            <v>492</v>
          </cell>
          <cell r="F1278">
            <v>477</v>
          </cell>
          <cell r="G1278">
            <v>468</v>
          </cell>
          <cell r="H1278">
            <v>476</v>
          </cell>
          <cell r="I1278">
            <v>519</v>
          </cell>
          <cell r="J1278">
            <v>164</v>
          </cell>
          <cell r="K1278">
            <v>603</v>
          </cell>
          <cell r="L1278">
            <v>601</v>
          </cell>
          <cell r="M1278">
            <v>600</v>
          </cell>
          <cell r="N1278">
            <v>599</v>
          </cell>
          <cell r="O1278">
            <v>597</v>
          </cell>
          <cell r="P1278">
            <v>589</v>
          </cell>
          <cell r="Q1278">
            <v>6185</v>
          </cell>
        </row>
        <row r="1279">
          <cell r="A1279" t="str">
            <v>USWOP015503951200002</v>
          </cell>
          <cell r="B1279" t="str">
            <v>USWOP01550</v>
          </cell>
          <cell r="C1279">
            <v>3951200002</v>
          </cell>
          <cell r="D1279" t="str">
            <v>OPERATING LEASES - VEHICLES (SHORT DURAT</v>
          </cell>
          <cell r="E1279">
            <v>0</v>
          </cell>
          <cell r="F1279">
            <v>0</v>
          </cell>
          <cell r="G1279">
            <v>0</v>
          </cell>
          <cell r="H1279">
            <v>0</v>
          </cell>
          <cell r="I1279">
            <v>0</v>
          </cell>
          <cell r="J1279">
            <v>0</v>
          </cell>
          <cell r="K1279">
            <v>0</v>
          </cell>
          <cell r="L1279">
            <v>43428</v>
          </cell>
          <cell r="M1279">
            <v>6272</v>
          </cell>
          <cell r="N1279">
            <v>5452</v>
          </cell>
          <cell r="O1279">
            <v>0</v>
          </cell>
          <cell r="P1279">
            <v>4505</v>
          </cell>
          <cell r="Q1279">
            <v>59657</v>
          </cell>
        </row>
        <row r="1280">
          <cell r="A1280" t="str">
            <v>USWOP015533951200002</v>
          </cell>
          <cell r="B1280" t="str">
            <v>USWOP01553</v>
          </cell>
          <cell r="C1280">
            <v>3951200002</v>
          </cell>
          <cell r="D1280" t="str">
            <v>OPERATING LEASES - VEHICLES (SHORT DURAT</v>
          </cell>
          <cell r="E1280">
            <v>0</v>
          </cell>
          <cell r="F1280">
            <v>0</v>
          </cell>
          <cell r="G1280">
            <v>0</v>
          </cell>
          <cell r="H1280">
            <v>0</v>
          </cell>
          <cell r="I1280">
            <v>0</v>
          </cell>
          <cell r="J1280">
            <v>0</v>
          </cell>
          <cell r="K1280">
            <v>0</v>
          </cell>
          <cell r="L1280">
            <v>0</v>
          </cell>
          <cell r="M1280">
            <v>2497</v>
          </cell>
          <cell r="N1280">
            <v>0</v>
          </cell>
          <cell r="O1280">
            <v>0</v>
          </cell>
          <cell r="P1280">
            <v>0</v>
          </cell>
          <cell r="Q1280">
            <v>2497</v>
          </cell>
        </row>
        <row r="1281">
          <cell r="A1281" t="str">
            <v>US59P015013951200002</v>
          </cell>
          <cell r="B1281" t="str">
            <v>US59P01501</v>
          </cell>
          <cell r="C1281">
            <v>3951200002</v>
          </cell>
          <cell r="D1281" t="str">
            <v>OPERATING LEASES - VEHICLES (SHORT DURAT</v>
          </cell>
          <cell r="E1281">
            <v>2062</v>
          </cell>
          <cell r="F1281">
            <v>2064</v>
          </cell>
          <cell r="G1281">
            <v>2039</v>
          </cell>
          <cell r="H1281">
            <v>2039</v>
          </cell>
          <cell r="I1281">
            <v>2052</v>
          </cell>
          <cell r="J1281">
            <v>1761</v>
          </cell>
          <cell r="K1281">
            <v>1885</v>
          </cell>
          <cell r="L1281">
            <v>1878</v>
          </cell>
          <cell r="M1281">
            <v>1881</v>
          </cell>
          <cell r="N1281">
            <v>1879</v>
          </cell>
          <cell r="O1281">
            <v>1844</v>
          </cell>
          <cell r="P1281">
            <v>1819</v>
          </cell>
          <cell r="Q1281">
            <v>23203</v>
          </cell>
        </row>
        <row r="1282">
          <cell r="A1282" t="str">
            <v>US59P015503951200002</v>
          </cell>
          <cell r="B1282" t="str">
            <v>US59P01550</v>
          </cell>
          <cell r="C1282">
            <v>3951200002</v>
          </cell>
          <cell r="D1282" t="str">
            <v>OPERATING LEASES - VEHICLES (SHORT DURAT</v>
          </cell>
          <cell r="E1282">
            <v>0</v>
          </cell>
          <cell r="F1282">
            <v>0</v>
          </cell>
          <cell r="G1282">
            <v>0</v>
          </cell>
          <cell r="H1282">
            <v>0</v>
          </cell>
          <cell r="I1282">
            <v>0</v>
          </cell>
          <cell r="J1282">
            <v>0</v>
          </cell>
          <cell r="K1282">
            <v>0</v>
          </cell>
          <cell r="L1282">
            <v>34802</v>
          </cell>
          <cell r="M1282">
            <v>0</v>
          </cell>
          <cell r="N1282">
            <v>0</v>
          </cell>
          <cell r="O1282">
            <v>0</v>
          </cell>
          <cell r="P1282">
            <v>0</v>
          </cell>
          <cell r="Q1282">
            <v>34802</v>
          </cell>
        </row>
        <row r="1283">
          <cell r="A1283" t="str">
            <v>US59P3C5503951200002</v>
          </cell>
          <cell r="B1283" t="str">
            <v>US59P3C550</v>
          </cell>
          <cell r="C1283">
            <v>3951200002</v>
          </cell>
          <cell r="D1283" t="str">
            <v>OPERATING LEASES - VEHICLES (SHORT DURAT</v>
          </cell>
          <cell r="E1283">
            <v>0</v>
          </cell>
          <cell r="F1283">
            <v>0</v>
          </cell>
          <cell r="G1283">
            <v>0</v>
          </cell>
          <cell r="H1283">
            <v>0</v>
          </cell>
          <cell r="I1283">
            <v>0</v>
          </cell>
          <cell r="J1283">
            <v>0</v>
          </cell>
          <cell r="K1283">
            <v>0</v>
          </cell>
          <cell r="L1283">
            <v>0</v>
          </cell>
          <cell r="M1283">
            <v>0</v>
          </cell>
          <cell r="N1283">
            <v>0</v>
          </cell>
          <cell r="O1283">
            <v>0</v>
          </cell>
          <cell r="P1283">
            <v>2400</v>
          </cell>
          <cell r="Q1283">
            <v>2400</v>
          </cell>
        </row>
        <row r="1284">
          <cell r="A1284" t="str">
            <v>US59P3C5603951200002</v>
          </cell>
          <cell r="B1284" t="str">
            <v>US59P3C560</v>
          </cell>
          <cell r="C1284">
            <v>3951200002</v>
          </cell>
          <cell r="D1284" t="str">
            <v>OPERATING LEASES - VEHICLES (SHORT DURAT</v>
          </cell>
          <cell r="E1284">
            <v>0</v>
          </cell>
          <cell r="F1284">
            <v>0</v>
          </cell>
          <cell r="G1284">
            <v>1350</v>
          </cell>
          <cell r="H1284">
            <v>0</v>
          </cell>
          <cell r="I1284">
            <v>0</v>
          </cell>
          <cell r="J1284">
            <v>0</v>
          </cell>
          <cell r="K1284">
            <v>0</v>
          </cell>
          <cell r="L1284">
            <v>0</v>
          </cell>
          <cell r="M1284">
            <v>0</v>
          </cell>
          <cell r="N1284">
            <v>0</v>
          </cell>
          <cell r="O1284">
            <v>0</v>
          </cell>
          <cell r="P1284">
            <v>0</v>
          </cell>
          <cell r="Q1284">
            <v>1350</v>
          </cell>
        </row>
        <row r="1285">
          <cell r="A1285" t="str">
            <v>US59PZA5013951200002</v>
          </cell>
          <cell r="B1285" t="str">
            <v>US59PZA501</v>
          </cell>
          <cell r="C1285">
            <v>3951200002</v>
          </cell>
          <cell r="D1285" t="str">
            <v>OPERATING LEASES - VEHICLES (SHORT DURAT</v>
          </cell>
          <cell r="E1285">
            <v>-80</v>
          </cell>
          <cell r="F1285">
            <v>-80</v>
          </cell>
          <cell r="G1285">
            <v>-80</v>
          </cell>
          <cell r="H1285">
            <v>-80</v>
          </cell>
          <cell r="I1285">
            <v>-80</v>
          </cell>
          <cell r="J1285">
            <v>-80</v>
          </cell>
          <cell r="K1285">
            <v>-80</v>
          </cell>
          <cell r="L1285">
            <v>-80</v>
          </cell>
          <cell r="M1285">
            <v>-80</v>
          </cell>
          <cell r="N1285">
            <v>-80</v>
          </cell>
          <cell r="O1285">
            <v>-80</v>
          </cell>
          <cell r="P1285">
            <v>-80</v>
          </cell>
          <cell r="Q1285">
            <v>-960</v>
          </cell>
        </row>
        <row r="1286">
          <cell r="A1286" t="str">
            <v>USCRP015013951200002</v>
          </cell>
          <cell r="B1286" t="str">
            <v>USCRP01501</v>
          </cell>
          <cell r="C1286">
            <v>3951200002</v>
          </cell>
          <cell r="D1286" t="str">
            <v>OPERATING LEASES - VEHICLES (SHORT DURAT</v>
          </cell>
          <cell r="E1286">
            <v>478</v>
          </cell>
          <cell r="F1286">
            <v>478</v>
          </cell>
          <cell r="G1286">
            <v>478</v>
          </cell>
          <cell r="H1286">
            <v>478</v>
          </cell>
          <cell r="I1286">
            <v>527</v>
          </cell>
          <cell r="J1286">
            <v>-478</v>
          </cell>
          <cell r="K1286">
            <v>0</v>
          </cell>
          <cell r="L1286">
            <v>0</v>
          </cell>
          <cell r="M1286">
            <v>0</v>
          </cell>
          <cell r="N1286">
            <v>0</v>
          </cell>
          <cell r="O1286">
            <v>0</v>
          </cell>
          <cell r="P1286">
            <v>0</v>
          </cell>
          <cell r="Q1286">
            <v>1961</v>
          </cell>
        </row>
        <row r="1287">
          <cell r="A1287" t="str">
            <v>USCRP015503951200002</v>
          </cell>
          <cell r="B1287" t="str">
            <v>USCRP01550</v>
          </cell>
          <cell r="C1287">
            <v>3951200002</v>
          </cell>
          <cell r="D1287" t="str">
            <v>OPERATING LEASES - VEHICLES (SHORT DURAT</v>
          </cell>
          <cell r="E1287">
            <v>0</v>
          </cell>
          <cell r="F1287">
            <v>0</v>
          </cell>
          <cell r="G1287">
            <v>0</v>
          </cell>
          <cell r="H1287">
            <v>0</v>
          </cell>
          <cell r="I1287">
            <v>0</v>
          </cell>
          <cell r="J1287">
            <v>0</v>
          </cell>
          <cell r="K1287">
            <v>9996</v>
          </cell>
          <cell r="L1287">
            <v>9996</v>
          </cell>
          <cell r="M1287">
            <v>1817</v>
          </cell>
          <cell r="N1287">
            <v>275</v>
          </cell>
          <cell r="O1287">
            <v>0</v>
          </cell>
          <cell r="P1287">
            <v>0</v>
          </cell>
          <cell r="Q1287">
            <v>22084</v>
          </cell>
        </row>
        <row r="1288">
          <cell r="A1288" t="str">
            <v>USWOP015643951200008</v>
          </cell>
          <cell r="B1288" t="str">
            <v>USWOP01564</v>
          </cell>
          <cell r="C1288">
            <v>3951200008</v>
          </cell>
          <cell r="D1288" t="str">
            <v>OPERATING LEASES - PERSONAL COMPUTER</v>
          </cell>
          <cell r="E1288">
            <v>215</v>
          </cell>
          <cell r="F1288">
            <v>215</v>
          </cell>
          <cell r="G1288">
            <v>215</v>
          </cell>
          <cell r="H1288">
            <v>215</v>
          </cell>
          <cell r="I1288">
            <v>215</v>
          </cell>
          <cell r="J1288">
            <v>215</v>
          </cell>
          <cell r="K1288">
            <v>215</v>
          </cell>
          <cell r="L1288">
            <v>215</v>
          </cell>
          <cell r="M1288">
            <v>215</v>
          </cell>
          <cell r="N1288">
            <v>215</v>
          </cell>
          <cell r="O1288">
            <v>215</v>
          </cell>
          <cell r="P1288">
            <v>215</v>
          </cell>
          <cell r="Q1288">
            <v>2580</v>
          </cell>
        </row>
        <row r="1289">
          <cell r="A1289" t="str">
            <v>US22P015503961100000</v>
          </cell>
          <cell r="B1289" t="str">
            <v>US22P01550</v>
          </cell>
          <cell r="C1289">
            <v>3961100000</v>
          </cell>
          <cell r="D1289" t="str">
            <v>COMPREHENSIVE INSURANCES</v>
          </cell>
          <cell r="E1289">
            <v>0</v>
          </cell>
          <cell r="F1289">
            <v>-35612</v>
          </cell>
          <cell r="G1289">
            <v>0</v>
          </cell>
          <cell r="H1289">
            <v>0</v>
          </cell>
          <cell r="I1289">
            <v>0</v>
          </cell>
          <cell r="J1289">
            <v>0</v>
          </cell>
          <cell r="K1289">
            <v>0</v>
          </cell>
          <cell r="L1289">
            <v>0</v>
          </cell>
          <cell r="M1289">
            <v>0</v>
          </cell>
          <cell r="N1289">
            <v>150028</v>
          </cell>
          <cell r="O1289">
            <v>0</v>
          </cell>
          <cell r="P1289">
            <v>-17602</v>
          </cell>
          <cell r="Q1289">
            <v>96814</v>
          </cell>
        </row>
        <row r="1290">
          <cell r="A1290" t="str">
            <v>US22P015533961100000</v>
          </cell>
          <cell r="B1290" t="str">
            <v>US22P01553</v>
          </cell>
          <cell r="C1290">
            <v>3961100000</v>
          </cell>
          <cell r="D1290" t="str">
            <v>COMPREHENSIVE INSURANCES</v>
          </cell>
          <cell r="E1290">
            <v>0</v>
          </cell>
          <cell r="F1290">
            <v>0</v>
          </cell>
          <cell r="G1290">
            <v>0</v>
          </cell>
          <cell r="H1290">
            <v>0</v>
          </cell>
          <cell r="I1290">
            <v>0</v>
          </cell>
          <cell r="J1290">
            <v>0</v>
          </cell>
          <cell r="K1290">
            <v>0</v>
          </cell>
          <cell r="L1290">
            <v>75763</v>
          </cell>
          <cell r="M1290">
            <v>0</v>
          </cell>
          <cell r="N1290">
            <v>0</v>
          </cell>
          <cell r="O1290">
            <v>0</v>
          </cell>
          <cell r="P1290">
            <v>0</v>
          </cell>
          <cell r="Q1290">
            <v>75763</v>
          </cell>
        </row>
        <row r="1291">
          <cell r="A1291" t="str">
            <v>US28P015503961100000</v>
          </cell>
          <cell r="B1291" t="str">
            <v>US28P01550</v>
          </cell>
          <cell r="C1291">
            <v>3961100000</v>
          </cell>
          <cell r="D1291" t="str">
            <v>COMPREHENSIVE INSURANCES</v>
          </cell>
          <cell r="E1291">
            <v>0</v>
          </cell>
          <cell r="F1291">
            <v>0</v>
          </cell>
          <cell r="G1291">
            <v>0</v>
          </cell>
          <cell r="H1291">
            <v>0</v>
          </cell>
          <cell r="I1291">
            <v>0</v>
          </cell>
          <cell r="J1291">
            <v>0</v>
          </cell>
          <cell r="K1291">
            <v>0</v>
          </cell>
          <cell r="L1291">
            <v>0</v>
          </cell>
          <cell r="M1291">
            <v>0</v>
          </cell>
          <cell r="N1291">
            <v>123642</v>
          </cell>
          <cell r="O1291">
            <v>0</v>
          </cell>
          <cell r="P1291">
            <v>-14506</v>
          </cell>
          <cell r="Q1291">
            <v>109136</v>
          </cell>
        </row>
        <row r="1292">
          <cell r="A1292" t="str">
            <v>US28P015533961100000</v>
          </cell>
          <cell r="B1292" t="str">
            <v>US28P01553</v>
          </cell>
          <cell r="C1292">
            <v>3961100000</v>
          </cell>
          <cell r="D1292" t="str">
            <v>COMPREHENSIVE INSURANCES</v>
          </cell>
          <cell r="E1292">
            <v>0</v>
          </cell>
          <cell r="F1292">
            <v>0</v>
          </cell>
          <cell r="G1292">
            <v>0</v>
          </cell>
          <cell r="H1292">
            <v>0</v>
          </cell>
          <cell r="I1292">
            <v>0</v>
          </cell>
          <cell r="J1292">
            <v>0</v>
          </cell>
          <cell r="K1292">
            <v>0</v>
          </cell>
          <cell r="L1292">
            <v>26553</v>
          </cell>
          <cell r="M1292">
            <v>0</v>
          </cell>
          <cell r="N1292">
            <v>0</v>
          </cell>
          <cell r="O1292">
            <v>0</v>
          </cell>
          <cell r="P1292">
            <v>0</v>
          </cell>
          <cell r="Q1292">
            <v>26553</v>
          </cell>
        </row>
        <row r="1293">
          <cell r="A1293" t="str">
            <v>US35P015503961100000</v>
          </cell>
          <cell r="B1293" t="str">
            <v>US35P01550</v>
          </cell>
          <cell r="C1293">
            <v>3961100000</v>
          </cell>
          <cell r="D1293" t="str">
            <v>COMPREHENSIVE INSURANCES</v>
          </cell>
          <cell r="E1293">
            <v>0</v>
          </cell>
          <cell r="F1293">
            <v>0</v>
          </cell>
          <cell r="G1293">
            <v>0</v>
          </cell>
          <cell r="H1293">
            <v>0</v>
          </cell>
          <cell r="I1293">
            <v>0</v>
          </cell>
          <cell r="J1293">
            <v>0</v>
          </cell>
          <cell r="K1293">
            <v>0</v>
          </cell>
          <cell r="L1293">
            <v>0</v>
          </cell>
          <cell r="M1293">
            <v>0</v>
          </cell>
          <cell r="N1293">
            <v>70411</v>
          </cell>
          <cell r="O1293">
            <v>0</v>
          </cell>
          <cell r="P1293">
            <v>-8261</v>
          </cell>
          <cell r="Q1293">
            <v>62150</v>
          </cell>
        </row>
        <row r="1294">
          <cell r="A1294" t="str">
            <v>US35P015533961100000</v>
          </cell>
          <cell r="B1294" t="str">
            <v>US35P01553</v>
          </cell>
          <cell r="C1294">
            <v>3961100000</v>
          </cell>
          <cell r="D1294" t="str">
            <v>COMPREHENSIVE INSURANCES</v>
          </cell>
          <cell r="E1294">
            <v>0</v>
          </cell>
          <cell r="F1294">
            <v>0</v>
          </cell>
          <cell r="G1294">
            <v>0</v>
          </cell>
          <cell r="H1294">
            <v>0</v>
          </cell>
          <cell r="I1294">
            <v>0</v>
          </cell>
          <cell r="J1294">
            <v>0</v>
          </cell>
          <cell r="K1294">
            <v>0</v>
          </cell>
          <cell r="L1294">
            <v>51133</v>
          </cell>
          <cell r="M1294">
            <v>0</v>
          </cell>
          <cell r="N1294">
            <v>0</v>
          </cell>
          <cell r="O1294">
            <v>0</v>
          </cell>
          <cell r="P1294">
            <v>0</v>
          </cell>
          <cell r="Q1294">
            <v>51133</v>
          </cell>
        </row>
        <row r="1295">
          <cell r="A1295" t="str">
            <v>USWOP015503961100000</v>
          </cell>
          <cell r="B1295" t="str">
            <v>USWOP01550</v>
          </cell>
          <cell r="C1295">
            <v>3961100000</v>
          </cell>
          <cell r="D1295" t="str">
            <v>COMPREHENSIVE INSURANCES</v>
          </cell>
          <cell r="E1295">
            <v>0</v>
          </cell>
          <cell r="F1295">
            <v>0</v>
          </cell>
          <cell r="G1295">
            <v>0</v>
          </cell>
          <cell r="H1295">
            <v>0</v>
          </cell>
          <cell r="I1295">
            <v>0</v>
          </cell>
          <cell r="J1295">
            <v>-554</v>
          </cell>
          <cell r="K1295">
            <v>0</v>
          </cell>
          <cell r="L1295">
            <v>810</v>
          </cell>
          <cell r="M1295">
            <v>0</v>
          </cell>
          <cell r="N1295">
            <v>89199</v>
          </cell>
          <cell r="O1295">
            <v>0</v>
          </cell>
          <cell r="P1295">
            <v>-10465</v>
          </cell>
          <cell r="Q1295">
            <v>78990</v>
          </cell>
        </row>
        <row r="1296">
          <cell r="A1296" t="str">
            <v>USWOP015533961100000</v>
          </cell>
          <cell r="B1296" t="str">
            <v>USWOP01553</v>
          </cell>
          <cell r="C1296">
            <v>3961100000</v>
          </cell>
          <cell r="D1296" t="str">
            <v>COMPREHENSIVE INSURANCES</v>
          </cell>
          <cell r="E1296">
            <v>0</v>
          </cell>
          <cell r="F1296">
            <v>0</v>
          </cell>
          <cell r="G1296">
            <v>0</v>
          </cell>
          <cell r="H1296">
            <v>0</v>
          </cell>
          <cell r="I1296">
            <v>0</v>
          </cell>
          <cell r="J1296">
            <v>0</v>
          </cell>
          <cell r="K1296">
            <v>0</v>
          </cell>
          <cell r="L1296">
            <v>5732</v>
          </cell>
          <cell r="M1296">
            <v>7134</v>
          </cell>
          <cell r="N1296">
            <v>0</v>
          </cell>
          <cell r="O1296">
            <v>8370</v>
          </cell>
          <cell r="P1296">
            <v>0</v>
          </cell>
          <cell r="Q1296">
            <v>21236</v>
          </cell>
        </row>
        <row r="1297">
          <cell r="A1297" t="str">
            <v>US59P015503961100000</v>
          </cell>
          <cell r="B1297" t="str">
            <v>US59P01550</v>
          </cell>
          <cell r="C1297">
            <v>3961100000</v>
          </cell>
          <cell r="D1297" t="str">
            <v>COMPREHENSIVE INSURANCES</v>
          </cell>
          <cell r="E1297">
            <v>0</v>
          </cell>
          <cell r="F1297">
            <v>0</v>
          </cell>
          <cell r="G1297">
            <v>0</v>
          </cell>
          <cell r="H1297">
            <v>0</v>
          </cell>
          <cell r="I1297">
            <v>0</v>
          </cell>
          <cell r="J1297">
            <v>0</v>
          </cell>
          <cell r="K1297">
            <v>0</v>
          </cell>
          <cell r="L1297">
            <v>0</v>
          </cell>
          <cell r="M1297">
            <v>0</v>
          </cell>
          <cell r="N1297">
            <v>108004</v>
          </cell>
          <cell r="O1297">
            <v>0</v>
          </cell>
          <cell r="P1297">
            <v>-12671</v>
          </cell>
          <cell r="Q1297">
            <v>95333</v>
          </cell>
        </row>
        <row r="1298">
          <cell r="A1298" t="str">
            <v>US59P015533961100000</v>
          </cell>
          <cell r="B1298" t="str">
            <v>US59P01553</v>
          </cell>
          <cell r="C1298">
            <v>3961100000</v>
          </cell>
          <cell r="D1298" t="str">
            <v>COMPREHENSIVE INSURANCES</v>
          </cell>
          <cell r="E1298">
            <v>0</v>
          </cell>
          <cell r="F1298">
            <v>0</v>
          </cell>
          <cell r="G1298">
            <v>0</v>
          </cell>
          <cell r="H1298">
            <v>0</v>
          </cell>
          <cell r="I1298">
            <v>0</v>
          </cell>
          <cell r="J1298">
            <v>0</v>
          </cell>
          <cell r="K1298">
            <v>0</v>
          </cell>
          <cell r="L1298">
            <v>52980</v>
          </cell>
          <cell r="M1298">
            <v>0</v>
          </cell>
          <cell r="N1298">
            <v>0</v>
          </cell>
          <cell r="O1298">
            <v>0</v>
          </cell>
          <cell r="P1298">
            <v>0</v>
          </cell>
          <cell r="Q1298">
            <v>52980</v>
          </cell>
        </row>
        <row r="1299">
          <cell r="A1299" t="str">
            <v>USCRP015503961100000</v>
          </cell>
          <cell r="B1299" t="str">
            <v>USCRP01550</v>
          </cell>
          <cell r="C1299">
            <v>3961100000</v>
          </cell>
          <cell r="D1299" t="str">
            <v>COMPREHENSIVE INSURANCES</v>
          </cell>
          <cell r="E1299">
            <v>0</v>
          </cell>
          <cell r="F1299">
            <v>0</v>
          </cell>
          <cell r="G1299">
            <v>0</v>
          </cell>
          <cell r="H1299">
            <v>0</v>
          </cell>
          <cell r="I1299">
            <v>0</v>
          </cell>
          <cell r="J1299">
            <v>0</v>
          </cell>
          <cell r="K1299">
            <v>0</v>
          </cell>
          <cell r="L1299">
            <v>0</v>
          </cell>
          <cell r="M1299">
            <v>0</v>
          </cell>
          <cell r="N1299">
            <v>116850</v>
          </cell>
          <cell r="O1299">
            <v>0</v>
          </cell>
          <cell r="P1299">
            <v>-13709</v>
          </cell>
          <cell r="Q1299">
            <v>103141</v>
          </cell>
        </row>
        <row r="1300">
          <cell r="A1300" t="str">
            <v>USCRP015533961100000</v>
          </cell>
          <cell r="B1300" t="str">
            <v>USCRP01553</v>
          </cell>
          <cell r="C1300">
            <v>3961100000</v>
          </cell>
          <cell r="D1300" t="str">
            <v>COMPREHENSIVE INSURANCES</v>
          </cell>
          <cell r="E1300">
            <v>0</v>
          </cell>
          <cell r="F1300">
            <v>0</v>
          </cell>
          <cell r="G1300">
            <v>0</v>
          </cell>
          <cell r="H1300">
            <v>0</v>
          </cell>
          <cell r="I1300">
            <v>0</v>
          </cell>
          <cell r="J1300">
            <v>0</v>
          </cell>
          <cell r="K1300">
            <v>0</v>
          </cell>
          <cell r="L1300">
            <v>64561</v>
          </cell>
          <cell r="M1300">
            <v>0</v>
          </cell>
          <cell r="N1300">
            <v>0</v>
          </cell>
          <cell r="O1300">
            <v>0</v>
          </cell>
          <cell r="P1300">
            <v>0</v>
          </cell>
          <cell r="Q1300">
            <v>64561</v>
          </cell>
        </row>
        <row r="1301">
          <cell r="A1301" t="str">
            <v>US22P015013981100067</v>
          </cell>
          <cell r="B1301" t="str">
            <v>US22P01501</v>
          </cell>
          <cell r="C1301">
            <v>3981100067</v>
          </cell>
          <cell r="D1301" t="str">
            <v>NET BOOK VALUE OF FIXED ASSETS 3RD</v>
          </cell>
          <cell r="E1301">
            <v>0</v>
          </cell>
          <cell r="F1301">
            <v>0</v>
          </cell>
          <cell r="G1301">
            <v>0</v>
          </cell>
          <cell r="H1301">
            <v>0</v>
          </cell>
          <cell r="I1301">
            <v>0</v>
          </cell>
          <cell r="J1301">
            <v>-2000</v>
          </cell>
          <cell r="K1301">
            <v>0</v>
          </cell>
          <cell r="L1301">
            <v>0</v>
          </cell>
          <cell r="M1301">
            <v>0</v>
          </cell>
          <cell r="N1301">
            <v>0</v>
          </cell>
          <cell r="O1301">
            <v>0</v>
          </cell>
          <cell r="P1301">
            <v>0</v>
          </cell>
          <cell r="Q1301">
            <v>-2000</v>
          </cell>
        </row>
        <row r="1302">
          <cell r="A1302" t="str">
            <v>US22P015113981100067</v>
          </cell>
          <cell r="B1302" t="str">
            <v>US22P01511</v>
          </cell>
          <cell r="C1302">
            <v>3981100067</v>
          </cell>
          <cell r="D1302" t="str">
            <v>NET BOOK VALUE OF FIXED ASSETS 3RD</v>
          </cell>
          <cell r="E1302">
            <v>-60</v>
          </cell>
          <cell r="F1302">
            <v>0</v>
          </cell>
          <cell r="G1302">
            <v>0</v>
          </cell>
          <cell r="H1302">
            <v>0</v>
          </cell>
          <cell r="I1302">
            <v>0</v>
          </cell>
          <cell r="J1302">
            <v>0</v>
          </cell>
          <cell r="K1302">
            <v>0</v>
          </cell>
          <cell r="L1302">
            <v>0</v>
          </cell>
          <cell r="M1302">
            <v>0</v>
          </cell>
          <cell r="N1302">
            <v>0</v>
          </cell>
          <cell r="O1302">
            <v>0</v>
          </cell>
          <cell r="P1302">
            <v>0</v>
          </cell>
          <cell r="Q1302">
            <v>-60</v>
          </cell>
        </row>
        <row r="1303">
          <cell r="A1303" t="str">
            <v>US22P015603981100067</v>
          </cell>
          <cell r="B1303" t="str">
            <v>US22P01560</v>
          </cell>
          <cell r="C1303">
            <v>3981100067</v>
          </cell>
          <cell r="D1303" t="str">
            <v>NET BOOK VALUE OF FIXED ASSETS 3RD</v>
          </cell>
          <cell r="E1303">
            <v>0</v>
          </cell>
          <cell r="F1303">
            <v>0</v>
          </cell>
          <cell r="G1303">
            <v>0</v>
          </cell>
          <cell r="H1303">
            <v>0</v>
          </cell>
          <cell r="I1303">
            <v>0</v>
          </cell>
          <cell r="J1303">
            <v>2000</v>
          </cell>
          <cell r="K1303">
            <v>0</v>
          </cell>
          <cell r="L1303">
            <v>0</v>
          </cell>
          <cell r="M1303">
            <v>0</v>
          </cell>
          <cell r="N1303">
            <v>0</v>
          </cell>
          <cell r="O1303">
            <v>0</v>
          </cell>
          <cell r="P1303">
            <v>0</v>
          </cell>
          <cell r="Q1303">
            <v>2000</v>
          </cell>
        </row>
        <row r="1304">
          <cell r="A1304" t="str">
            <v>US28P015013981100067</v>
          </cell>
          <cell r="B1304" t="str">
            <v>US28P01501</v>
          </cell>
          <cell r="C1304">
            <v>3981100067</v>
          </cell>
          <cell r="D1304" t="str">
            <v>NET BOOK VALUE OF FIXED ASSETS 3RD</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row>
        <row r="1305">
          <cell r="A1305" t="str">
            <v>US28P015533981100067</v>
          </cell>
          <cell r="B1305" t="str">
            <v>US28P01553</v>
          </cell>
          <cell r="C1305">
            <v>3981100067</v>
          </cell>
          <cell r="D1305" t="str">
            <v>NET BOOK VALUE OF FIXED ASSETS 3RD</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row>
        <row r="1306">
          <cell r="A1306" t="str">
            <v>USWOP015013981100067</v>
          </cell>
          <cell r="B1306" t="str">
            <v>USWOP01501</v>
          </cell>
          <cell r="C1306">
            <v>3981100067</v>
          </cell>
          <cell r="D1306" t="str">
            <v>NET BOOK VALUE OF FIXED ASSETS 3RD</v>
          </cell>
          <cell r="E1306">
            <v>0</v>
          </cell>
          <cell r="F1306">
            <v>0</v>
          </cell>
          <cell r="G1306">
            <v>0</v>
          </cell>
          <cell r="H1306">
            <v>0</v>
          </cell>
          <cell r="I1306">
            <v>0</v>
          </cell>
          <cell r="J1306">
            <v>0</v>
          </cell>
          <cell r="K1306">
            <v>0</v>
          </cell>
          <cell r="L1306">
            <v>0</v>
          </cell>
          <cell r="M1306">
            <v>0</v>
          </cell>
          <cell r="N1306">
            <v>0</v>
          </cell>
          <cell r="O1306">
            <v>0</v>
          </cell>
          <cell r="P1306">
            <v>0</v>
          </cell>
          <cell r="Q1306">
            <v>0</v>
          </cell>
        </row>
        <row r="1307">
          <cell r="A1307" t="str">
            <v>US59P015013981100067</v>
          </cell>
          <cell r="B1307" t="str">
            <v>US59P01501</v>
          </cell>
          <cell r="C1307">
            <v>3981100067</v>
          </cell>
          <cell r="D1307" t="str">
            <v>NET BOOK VALUE OF FIXED ASSETS 3RD</v>
          </cell>
          <cell r="E1307">
            <v>0</v>
          </cell>
          <cell r="F1307">
            <v>0</v>
          </cell>
          <cell r="G1307">
            <v>0</v>
          </cell>
          <cell r="H1307">
            <v>0</v>
          </cell>
          <cell r="I1307">
            <v>0</v>
          </cell>
          <cell r="J1307">
            <v>0</v>
          </cell>
          <cell r="K1307">
            <v>0</v>
          </cell>
          <cell r="L1307">
            <v>0</v>
          </cell>
          <cell r="M1307">
            <v>0</v>
          </cell>
          <cell r="N1307">
            <v>0</v>
          </cell>
          <cell r="O1307">
            <v>0</v>
          </cell>
          <cell r="P1307">
            <v>0</v>
          </cell>
          <cell r="Q1307">
            <v>0</v>
          </cell>
        </row>
        <row r="1308">
          <cell r="A1308" t="str">
            <v>US59P015503981100067</v>
          </cell>
          <cell r="B1308" t="str">
            <v>US59P01550</v>
          </cell>
          <cell r="C1308">
            <v>3981100067</v>
          </cell>
          <cell r="D1308" t="str">
            <v>NET BOOK VALUE OF FIXED ASSETS 3RD</v>
          </cell>
          <cell r="E1308">
            <v>0</v>
          </cell>
          <cell r="F1308">
            <v>0</v>
          </cell>
          <cell r="G1308">
            <v>0</v>
          </cell>
          <cell r="H1308">
            <v>0</v>
          </cell>
          <cell r="I1308">
            <v>0</v>
          </cell>
          <cell r="J1308">
            <v>0</v>
          </cell>
          <cell r="K1308">
            <v>-100000</v>
          </cell>
          <cell r="L1308">
            <v>0</v>
          </cell>
          <cell r="M1308">
            <v>0</v>
          </cell>
          <cell r="N1308">
            <v>0</v>
          </cell>
          <cell r="O1308">
            <v>0</v>
          </cell>
          <cell r="P1308">
            <v>0</v>
          </cell>
          <cell r="Q1308">
            <v>-100000</v>
          </cell>
        </row>
        <row r="1309">
          <cell r="A1309" t="str">
            <v>US59P015643981100067</v>
          </cell>
          <cell r="B1309" t="str">
            <v>US59P01564</v>
          </cell>
          <cell r="C1309">
            <v>3981100067</v>
          </cell>
          <cell r="D1309" t="str">
            <v>NET BOOK VALUE OF FIXED ASSETS 3RD</v>
          </cell>
          <cell r="E1309">
            <v>0</v>
          </cell>
          <cell r="F1309">
            <v>0</v>
          </cell>
          <cell r="G1309">
            <v>0</v>
          </cell>
          <cell r="H1309">
            <v>0</v>
          </cell>
          <cell r="I1309">
            <v>0</v>
          </cell>
          <cell r="J1309">
            <v>0</v>
          </cell>
          <cell r="K1309">
            <v>100000</v>
          </cell>
          <cell r="L1309">
            <v>0</v>
          </cell>
          <cell r="M1309">
            <v>0</v>
          </cell>
          <cell r="N1309">
            <v>0</v>
          </cell>
          <cell r="O1309">
            <v>0</v>
          </cell>
          <cell r="P1309">
            <v>0</v>
          </cell>
          <cell r="Q1309">
            <v>100000</v>
          </cell>
        </row>
        <row r="1310">
          <cell r="A1310" t="str">
            <v>USSTP015013981100067</v>
          </cell>
          <cell r="B1310" t="str">
            <v>USSTP01501</v>
          </cell>
          <cell r="C1310">
            <v>3981100067</v>
          </cell>
          <cell r="D1310" t="str">
            <v>NET BOOK VALUE OF FIXED ASSETS 3RD</v>
          </cell>
          <cell r="E1310">
            <v>550</v>
          </cell>
          <cell r="F1310">
            <v>0</v>
          </cell>
          <cell r="G1310">
            <v>0</v>
          </cell>
          <cell r="H1310">
            <v>0</v>
          </cell>
          <cell r="I1310">
            <v>0</v>
          </cell>
          <cell r="J1310">
            <v>0</v>
          </cell>
          <cell r="K1310">
            <v>0</v>
          </cell>
          <cell r="L1310">
            <v>0</v>
          </cell>
          <cell r="M1310">
            <v>0</v>
          </cell>
          <cell r="N1310">
            <v>0</v>
          </cell>
          <cell r="O1310">
            <v>0</v>
          </cell>
          <cell r="P1310">
            <v>0</v>
          </cell>
          <cell r="Q1310">
            <v>550</v>
          </cell>
        </row>
        <row r="1311">
          <cell r="A1311" t="str">
            <v>USCRP015013981100067</v>
          </cell>
          <cell r="B1311" t="str">
            <v>USCRP01501</v>
          </cell>
          <cell r="C1311">
            <v>3981100067</v>
          </cell>
          <cell r="D1311" t="str">
            <v>NET BOOK VALUE OF FIXED ASSETS 3RD</v>
          </cell>
          <cell r="E1311">
            <v>16572</v>
          </cell>
          <cell r="F1311">
            <v>18600</v>
          </cell>
          <cell r="G1311">
            <v>0</v>
          </cell>
          <cell r="H1311">
            <v>0</v>
          </cell>
          <cell r="I1311">
            <v>0</v>
          </cell>
          <cell r="J1311">
            <v>9965</v>
          </cell>
          <cell r="K1311">
            <v>0</v>
          </cell>
          <cell r="L1311">
            <v>7500</v>
          </cell>
          <cell r="M1311">
            <v>0</v>
          </cell>
          <cell r="N1311">
            <v>0</v>
          </cell>
          <cell r="O1311">
            <v>0</v>
          </cell>
          <cell r="P1311">
            <v>0</v>
          </cell>
          <cell r="Q1311">
            <v>52637</v>
          </cell>
        </row>
        <row r="1312">
          <cell r="A1312" t="str">
            <v>US22P015013981100078</v>
          </cell>
          <cell r="B1312" t="str">
            <v>US22P01501</v>
          </cell>
          <cell r="C1312">
            <v>3981100078</v>
          </cell>
          <cell r="D1312" t="str">
            <v>GAIN ON FIXED ASSET</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row>
        <row r="1313">
          <cell r="A1313" t="str">
            <v>US22P015603981100078</v>
          </cell>
          <cell r="B1313" t="str">
            <v>US22P01560</v>
          </cell>
          <cell r="C1313">
            <v>3981100078</v>
          </cell>
          <cell r="D1313" t="str">
            <v>GAIN ON FIXED ASSET</v>
          </cell>
          <cell r="E1313">
            <v>0</v>
          </cell>
          <cell r="F1313">
            <v>0</v>
          </cell>
          <cell r="G1313">
            <v>0</v>
          </cell>
          <cell r="H1313">
            <v>0</v>
          </cell>
          <cell r="I1313">
            <v>0</v>
          </cell>
          <cell r="J1313">
            <v>-2000</v>
          </cell>
          <cell r="K1313">
            <v>0</v>
          </cell>
          <cell r="L1313">
            <v>0</v>
          </cell>
          <cell r="M1313">
            <v>0</v>
          </cell>
          <cell r="N1313">
            <v>0</v>
          </cell>
          <cell r="O1313">
            <v>0</v>
          </cell>
          <cell r="P1313">
            <v>8752</v>
          </cell>
          <cell r="Q1313">
            <v>6752</v>
          </cell>
        </row>
        <row r="1314">
          <cell r="A1314" t="str">
            <v>US22P015613981100078</v>
          </cell>
          <cell r="B1314" t="str">
            <v>US22P01561</v>
          </cell>
          <cell r="C1314">
            <v>3981100078</v>
          </cell>
          <cell r="D1314" t="str">
            <v>GAIN ON FIXED ASSET</v>
          </cell>
          <cell r="E1314">
            <v>0</v>
          </cell>
          <cell r="F1314">
            <v>0</v>
          </cell>
          <cell r="G1314">
            <v>0</v>
          </cell>
          <cell r="H1314">
            <v>0</v>
          </cell>
          <cell r="I1314">
            <v>0</v>
          </cell>
          <cell r="J1314">
            <v>0</v>
          </cell>
          <cell r="K1314">
            <v>0</v>
          </cell>
          <cell r="L1314">
            <v>0</v>
          </cell>
          <cell r="M1314">
            <v>0</v>
          </cell>
          <cell r="N1314">
            <v>0</v>
          </cell>
          <cell r="O1314">
            <v>0</v>
          </cell>
          <cell r="P1314">
            <v>15401</v>
          </cell>
          <cell r="Q1314">
            <v>15401</v>
          </cell>
        </row>
        <row r="1315">
          <cell r="A1315" t="str">
            <v>US28P015013981100078</v>
          </cell>
          <cell r="B1315" t="str">
            <v>US28P01501</v>
          </cell>
          <cell r="C1315">
            <v>3981100078</v>
          </cell>
          <cell r="D1315" t="str">
            <v>GAIN ON FIXED ASSET</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row>
        <row r="1316">
          <cell r="A1316" t="str">
            <v>US28P015533981100078</v>
          </cell>
          <cell r="B1316" t="str">
            <v>US28P01553</v>
          </cell>
          <cell r="C1316">
            <v>3981100078</v>
          </cell>
          <cell r="D1316" t="str">
            <v>GAIN ON FIXED ASSET</v>
          </cell>
          <cell r="E1316">
            <v>0</v>
          </cell>
          <cell r="F1316">
            <v>0</v>
          </cell>
          <cell r="G1316">
            <v>0</v>
          </cell>
          <cell r="H1316">
            <v>0</v>
          </cell>
          <cell r="I1316">
            <v>0</v>
          </cell>
          <cell r="J1316">
            <v>0</v>
          </cell>
          <cell r="K1316">
            <v>-12000</v>
          </cell>
          <cell r="L1316">
            <v>0</v>
          </cell>
          <cell r="M1316">
            <v>0</v>
          </cell>
          <cell r="N1316">
            <v>0</v>
          </cell>
          <cell r="O1316">
            <v>0</v>
          </cell>
          <cell r="P1316">
            <v>0</v>
          </cell>
          <cell r="Q1316">
            <v>-12000</v>
          </cell>
        </row>
        <row r="1317">
          <cell r="A1317" t="str">
            <v>US28P015603981100078</v>
          </cell>
          <cell r="B1317" t="str">
            <v>US28P01560</v>
          </cell>
          <cell r="C1317">
            <v>3981100078</v>
          </cell>
          <cell r="D1317" t="str">
            <v>GAIN ON FIXED ASSET</v>
          </cell>
          <cell r="E1317">
            <v>0</v>
          </cell>
          <cell r="F1317">
            <v>0</v>
          </cell>
          <cell r="G1317">
            <v>0</v>
          </cell>
          <cell r="H1317">
            <v>0</v>
          </cell>
          <cell r="I1317">
            <v>0</v>
          </cell>
          <cell r="J1317">
            <v>0</v>
          </cell>
          <cell r="K1317">
            <v>0</v>
          </cell>
          <cell r="L1317">
            <v>1870</v>
          </cell>
          <cell r="M1317">
            <v>0</v>
          </cell>
          <cell r="N1317">
            <v>0</v>
          </cell>
          <cell r="O1317">
            <v>0</v>
          </cell>
          <cell r="P1317">
            <v>0</v>
          </cell>
          <cell r="Q1317">
            <v>1870</v>
          </cell>
        </row>
        <row r="1318">
          <cell r="A1318" t="str">
            <v>US28P015643981100078</v>
          </cell>
          <cell r="B1318" t="str">
            <v>US28P01564</v>
          </cell>
          <cell r="C1318">
            <v>3981100078</v>
          </cell>
          <cell r="D1318" t="str">
            <v>GAIN ON FIXED ASSET</v>
          </cell>
          <cell r="E1318">
            <v>0</v>
          </cell>
          <cell r="F1318">
            <v>0</v>
          </cell>
          <cell r="G1318">
            <v>0</v>
          </cell>
          <cell r="H1318">
            <v>0</v>
          </cell>
          <cell r="I1318">
            <v>0</v>
          </cell>
          <cell r="J1318">
            <v>0</v>
          </cell>
          <cell r="K1318">
            <v>0</v>
          </cell>
          <cell r="L1318">
            <v>46847</v>
          </cell>
          <cell r="M1318">
            <v>0</v>
          </cell>
          <cell r="N1318">
            <v>0</v>
          </cell>
          <cell r="O1318">
            <v>0</v>
          </cell>
          <cell r="P1318">
            <v>0</v>
          </cell>
          <cell r="Q1318">
            <v>46847</v>
          </cell>
        </row>
        <row r="1319">
          <cell r="A1319" t="str">
            <v>USWOP015013981100078</v>
          </cell>
          <cell r="B1319" t="str">
            <v>USWOP01501</v>
          </cell>
          <cell r="C1319">
            <v>3981100078</v>
          </cell>
          <cell r="D1319" t="str">
            <v>GAIN ON FIXED ASSET</v>
          </cell>
          <cell r="E1319">
            <v>0</v>
          </cell>
          <cell r="F1319">
            <v>0</v>
          </cell>
          <cell r="G1319">
            <v>0</v>
          </cell>
          <cell r="H1319">
            <v>0</v>
          </cell>
          <cell r="I1319">
            <v>0</v>
          </cell>
          <cell r="J1319">
            <v>0</v>
          </cell>
          <cell r="K1319">
            <v>0</v>
          </cell>
          <cell r="L1319">
            <v>0</v>
          </cell>
          <cell r="M1319">
            <v>88603</v>
          </cell>
          <cell r="N1319">
            <v>0</v>
          </cell>
          <cell r="O1319">
            <v>0</v>
          </cell>
          <cell r="P1319">
            <v>0</v>
          </cell>
          <cell r="Q1319">
            <v>88603</v>
          </cell>
        </row>
        <row r="1320">
          <cell r="A1320" t="str">
            <v>USWOP015603981100078</v>
          </cell>
          <cell r="B1320" t="str">
            <v>USWOP01560</v>
          </cell>
          <cell r="C1320">
            <v>3981100078</v>
          </cell>
          <cell r="D1320" t="str">
            <v>GAIN ON FIXED ASSET</v>
          </cell>
          <cell r="E1320">
            <v>0</v>
          </cell>
          <cell r="F1320">
            <v>0</v>
          </cell>
          <cell r="G1320">
            <v>0</v>
          </cell>
          <cell r="H1320">
            <v>0</v>
          </cell>
          <cell r="I1320">
            <v>0</v>
          </cell>
          <cell r="J1320">
            <v>0</v>
          </cell>
          <cell r="K1320">
            <v>0</v>
          </cell>
          <cell r="L1320">
            <v>0</v>
          </cell>
          <cell r="M1320">
            <v>29985</v>
          </cell>
          <cell r="N1320">
            <v>0</v>
          </cell>
          <cell r="O1320">
            <v>0</v>
          </cell>
          <cell r="P1320">
            <v>0</v>
          </cell>
          <cell r="Q1320">
            <v>29985</v>
          </cell>
        </row>
        <row r="1321">
          <cell r="A1321" t="str">
            <v>USWOP015643981100078</v>
          </cell>
          <cell r="B1321" t="str">
            <v>USWOP01564</v>
          </cell>
          <cell r="C1321">
            <v>3981100078</v>
          </cell>
          <cell r="D1321" t="str">
            <v>GAIN ON FIXED ASSET</v>
          </cell>
          <cell r="E1321">
            <v>0</v>
          </cell>
          <cell r="F1321">
            <v>0</v>
          </cell>
          <cell r="G1321">
            <v>0</v>
          </cell>
          <cell r="H1321">
            <v>0</v>
          </cell>
          <cell r="I1321">
            <v>0</v>
          </cell>
          <cell r="J1321">
            <v>0</v>
          </cell>
          <cell r="K1321">
            <v>0</v>
          </cell>
          <cell r="L1321">
            <v>0</v>
          </cell>
          <cell r="M1321">
            <v>857</v>
          </cell>
          <cell r="N1321">
            <v>0</v>
          </cell>
          <cell r="O1321">
            <v>0</v>
          </cell>
          <cell r="P1321">
            <v>0</v>
          </cell>
          <cell r="Q1321">
            <v>857</v>
          </cell>
        </row>
        <row r="1322">
          <cell r="A1322" t="str">
            <v>US59P015013981100078</v>
          </cell>
          <cell r="B1322" t="str">
            <v>US59P01501</v>
          </cell>
          <cell r="C1322">
            <v>3981100078</v>
          </cell>
          <cell r="D1322" t="str">
            <v>GAIN ON FIXED ASSET</v>
          </cell>
          <cell r="E1322">
            <v>0</v>
          </cell>
          <cell r="F1322">
            <v>0</v>
          </cell>
          <cell r="G1322">
            <v>0</v>
          </cell>
          <cell r="H1322">
            <v>0</v>
          </cell>
          <cell r="I1322">
            <v>0</v>
          </cell>
          <cell r="J1322">
            <v>0</v>
          </cell>
          <cell r="K1322">
            <v>0</v>
          </cell>
          <cell r="L1322">
            <v>20999</v>
          </cell>
          <cell r="M1322">
            <v>0</v>
          </cell>
          <cell r="N1322">
            <v>0</v>
          </cell>
          <cell r="O1322">
            <v>0</v>
          </cell>
          <cell r="P1322">
            <v>0</v>
          </cell>
          <cell r="Q1322">
            <v>20999</v>
          </cell>
        </row>
        <row r="1323">
          <cell r="A1323" t="str">
            <v>US59P015503981100078</v>
          </cell>
          <cell r="B1323" t="str">
            <v>US59P01550</v>
          </cell>
          <cell r="C1323">
            <v>3981100078</v>
          </cell>
          <cell r="D1323" t="str">
            <v>GAIN ON FIXED ASSET</v>
          </cell>
          <cell r="E1323">
            <v>0</v>
          </cell>
          <cell r="F1323">
            <v>0</v>
          </cell>
          <cell r="G1323">
            <v>0</v>
          </cell>
          <cell r="H1323">
            <v>0</v>
          </cell>
          <cell r="I1323">
            <v>0</v>
          </cell>
          <cell r="J1323">
            <v>0</v>
          </cell>
          <cell r="K1323">
            <v>0</v>
          </cell>
          <cell r="L1323">
            <v>1629</v>
          </cell>
          <cell r="M1323">
            <v>0</v>
          </cell>
          <cell r="N1323">
            <v>0</v>
          </cell>
          <cell r="O1323">
            <v>0</v>
          </cell>
          <cell r="P1323">
            <v>0</v>
          </cell>
          <cell r="Q1323">
            <v>1629</v>
          </cell>
        </row>
        <row r="1324">
          <cell r="A1324" t="str">
            <v>US59P015533981100078</v>
          </cell>
          <cell r="B1324" t="str">
            <v>US59P01553</v>
          </cell>
          <cell r="C1324">
            <v>3981100078</v>
          </cell>
          <cell r="D1324" t="str">
            <v>GAIN ON FIXED ASSET</v>
          </cell>
          <cell r="E1324">
            <v>0</v>
          </cell>
          <cell r="F1324">
            <v>0</v>
          </cell>
          <cell r="G1324">
            <v>0</v>
          </cell>
          <cell r="H1324">
            <v>0</v>
          </cell>
          <cell r="I1324">
            <v>0</v>
          </cell>
          <cell r="J1324">
            <v>0</v>
          </cell>
          <cell r="K1324">
            <v>0</v>
          </cell>
          <cell r="L1324">
            <v>2641</v>
          </cell>
          <cell r="M1324">
            <v>0</v>
          </cell>
          <cell r="N1324">
            <v>0</v>
          </cell>
          <cell r="O1324">
            <v>0</v>
          </cell>
          <cell r="P1324">
            <v>0</v>
          </cell>
          <cell r="Q1324">
            <v>2641</v>
          </cell>
        </row>
        <row r="1325">
          <cell r="A1325" t="str">
            <v>US59P015603981100078</v>
          </cell>
          <cell r="B1325" t="str">
            <v>US59P01560</v>
          </cell>
          <cell r="C1325">
            <v>3981100078</v>
          </cell>
          <cell r="D1325" t="str">
            <v>GAIN ON FIXED ASSET</v>
          </cell>
          <cell r="E1325">
            <v>0</v>
          </cell>
          <cell r="F1325">
            <v>0</v>
          </cell>
          <cell r="G1325">
            <v>0</v>
          </cell>
          <cell r="H1325">
            <v>0</v>
          </cell>
          <cell r="I1325">
            <v>0</v>
          </cell>
          <cell r="J1325">
            <v>0</v>
          </cell>
          <cell r="K1325">
            <v>0</v>
          </cell>
          <cell r="L1325">
            <v>81496</v>
          </cell>
          <cell r="M1325">
            <v>0</v>
          </cell>
          <cell r="N1325">
            <v>0</v>
          </cell>
          <cell r="O1325">
            <v>0</v>
          </cell>
          <cell r="P1325">
            <v>31466</v>
          </cell>
          <cell r="Q1325">
            <v>112962</v>
          </cell>
        </row>
        <row r="1326">
          <cell r="A1326" t="str">
            <v>US59P015643981100078</v>
          </cell>
          <cell r="B1326" t="str">
            <v>US59P01564</v>
          </cell>
          <cell r="C1326">
            <v>3981100078</v>
          </cell>
          <cell r="D1326" t="str">
            <v>GAIN ON FIXED ASSET</v>
          </cell>
          <cell r="E1326">
            <v>0</v>
          </cell>
          <cell r="F1326">
            <v>0</v>
          </cell>
          <cell r="G1326">
            <v>0</v>
          </cell>
          <cell r="H1326">
            <v>0</v>
          </cell>
          <cell r="I1326">
            <v>0</v>
          </cell>
          <cell r="J1326">
            <v>0</v>
          </cell>
          <cell r="K1326">
            <v>-72256</v>
          </cell>
          <cell r="L1326">
            <v>681</v>
          </cell>
          <cell r="M1326">
            <v>0</v>
          </cell>
          <cell r="N1326">
            <v>0</v>
          </cell>
          <cell r="O1326">
            <v>0</v>
          </cell>
          <cell r="P1326">
            <v>0</v>
          </cell>
          <cell r="Q1326">
            <v>-71575</v>
          </cell>
        </row>
        <row r="1327">
          <cell r="A1327" t="str">
            <v>US59P3C5503981100078</v>
          </cell>
          <cell r="B1327" t="str">
            <v>US59P3C550</v>
          </cell>
          <cell r="C1327">
            <v>3981100078</v>
          </cell>
          <cell r="D1327" t="str">
            <v>GAIN ON FIXED ASSET</v>
          </cell>
          <cell r="E1327">
            <v>0</v>
          </cell>
          <cell r="F1327">
            <v>0</v>
          </cell>
          <cell r="G1327">
            <v>0</v>
          </cell>
          <cell r="H1327">
            <v>0</v>
          </cell>
          <cell r="I1327">
            <v>0</v>
          </cell>
          <cell r="J1327">
            <v>0</v>
          </cell>
          <cell r="K1327">
            <v>0</v>
          </cell>
          <cell r="L1327">
            <v>338</v>
          </cell>
          <cell r="M1327">
            <v>0</v>
          </cell>
          <cell r="N1327">
            <v>0</v>
          </cell>
          <cell r="O1327">
            <v>0</v>
          </cell>
          <cell r="P1327">
            <v>0</v>
          </cell>
          <cell r="Q1327">
            <v>338</v>
          </cell>
        </row>
        <row r="1328">
          <cell r="A1328" t="str">
            <v>US59P3C5603981100078</v>
          </cell>
          <cell r="B1328" t="str">
            <v>US59P3C560</v>
          </cell>
          <cell r="C1328">
            <v>3981100078</v>
          </cell>
          <cell r="D1328" t="str">
            <v>GAIN ON FIXED ASSET</v>
          </cell>
          <cell r="E1328">
            <v>0</v>
          </cell>
          <cell r="F1328">
            <v>0</v>
          </cell>
          <cell r="G1328">
            <v>0</v>
          </cell>
          <cell r="H1328">
            <v>0</v>
          </cell>
          <cell r="I1328">
            <v>0</v>
          </cell>
          <cell r="J1328">
            <v>0</v>
          </cell>
          <cell r="K1328">
            <v>0</v>
          </cell>
          <cell r="L1328">
            <v>27607</v>
          </cell>
          <cell r="M1328">
            <v>0</v>
          </cell>
          <cell r="N1328">
            <v>0</v>
          </cell>
          <cell r="O1328">
            <v>0</v>
          </cell>
          <cell r="P1328">
            <v>121</v>
          </cell>
          <cell r="Q1328">
            <v>27728</v>
          </cell>
        </row>
        <row r="1329">
          <cell r="A1329" t="str">
            <v>USCLP015013981100078</v>
          </cell>
          <cell r="B1329" t="str">
            <v>USCLP01501</v>
          </cell>
          <cell r="C1329">
            <v>3981100078</v>
          </cell>
          <cell r="D1329" t="str">
            <v>GAIN ON FIXED ASSET</v>
          </cell>
          <cell r="E1329">
            <v>0</v>
          </cell>
          <cell r="F1329">
            <v>0</v>
          </cell>
          <cell r="G1329">
            <v>0</v>
          </cell>
          <cell r="H1329">
            <v>0</v>
          </cell>
          <cell r="I1329">
            <v>0</v>
          </cell>
          <cell r="J1329">
            <v>0</v>
          </cell>
          <cell r="K1329">
            <v>0</v>
          </cell>
          <cell r="L1329">
            <v>0</v>
          </cell>
          <cell r="M1329">
            <v>8308</v>
          </cell>
          <cell r="N1329">
            <v>0</v>
          </cell>
          <cell r="O1329">
            <v>0</v>
          </cell>
          <cell r="P1329">
            <v>0</v>
          </cell>
          <cell r="Q1329">
            <v>8308</v>
          </cell>
        </row>
        <row r="1330">
          <cell r="A1330" t="str">
            <v>USSTP015013981100078</v>
          </cell>
          <cell r="B1330" t="str">
            <v>USSTP01501</v>
          </cell>
          <cell r="C1330">
            <v>3981100078</v>
          </cell>
          <cell r="D1330" t="str">
            <v>GAIN ON FIXED ASSET</v>
          </cell>
          <cell r="E1330">
            <v>171</v>
          </cell>
          <cell r="F1330">
            <v>0</v>
          </cell>
          <cell r="G1330">
            <v>0</v>
          </cell>
          <cell r="H1330">
            <v>0</v>
          </cell>
          <cell r="I1330">
            <v>0</v>
          </cell>
          <cell r="J1330">
            <v>0</v>
          </cell>
          <cell r="K1330">
            <v>0</v>
          </cell>
          <cell r="L1330">
            <v>0</v>
          </cell>
          <cell r="M1330">
            <v>0</v>
          </cell>
          <cell r="N1330">
            <v>0</v>
          </cell>
          <cell r="O1330">
            <v>35</v>
          </cell>
          <cell r="P1330">
            <v>0</v>
          </cell>
          <cell r="Q1330">
            <v>206</v>
          </cell>
        </row>
        <row r="1331">
          <cell r="A1331" t="str">
            <v>USCRP015013981100078</v>
          </cell>
          <cell r="B1331" t="str">
            <v>USCRP01501</v>
          </cell>
          <cell r="C1331">
            <v>3981100078</v>
          </cell>
          <cell r="D1331" t="str">
            <v>GAIN ON FIXED ASSET</v>
          </cell>
          <cell r="E1331">
            <v>-16571</v>
          </cell>
          <cell r="F1331">
            <v>-18597</v>
          </cell>
          <cell r="G1331">
            <v>0</v>
          </cell>
          <cell r="H1331">
            <v>0</v>
          </cell>
          <cell r="I1331">
            <v>0</v>
          </cell>
          <cell r="J1331">
            <v>-9709</v>
          </cell>
          <cell r="K1331">
            <v>0</v>
          </cell>
          <cell r="L1331">
            <v>-7498</v>
          </cell>
          <cell r="M1331">
            <v>0</v>
          </cell>
          <cell r="N1331">
            <v>0</v>
          </cell>
          <cell r="O1331">
            <v>0</v>
          </cell>
          <cell r="P1331">
            <v>106201</v>
          </cell>
          <cell r="Q1331">
            <v>53826</v>
          </cell>
        </row>
        <row r="1332">
          <cell r="A1332" t="str">
            <v>USCRP015603981100078</v>
          </cell>
          <cell r="B1332" t="str">
            <v>USCRP01560</v>
          </cell>
          <cell r="C1332">
            <v>3981100078</v>
          </cell>
          <cell r="D1332" t="str">
            <v>GAIN ON FIXED ASSET</v>
          </cell>
          <cell r="E1332">
            <v>0</v>
          </cell>
          <cell r="F1332">
            <v>0</v>
          </cell>
          <cell r="G1332">
            <v>0</v>
          </cell>
          <cell r="H1332">
            <v>0</v>
          </cell>
          <cell r="I1332">
            <v>0</v>
          </cell>
          <cell r="J1332">
            <v>0</v>
          </cell>
          <cell r="K1332">
            <v>0</v>
          </cell>
          <cell r="L1332">
            <v>0</v>
          </cell>
          <cell r="M1332">
            <v>0</v>
          </cell>
          <cell r="N1332">
            <v>0</v>
          </cell>
          <cell r="O1332">
            <v>0</v>
          </cell>
          <cell r="P1332">
            <v>4359</v>
          </cell>
          <cell r="Q1332">
            <v>4359</v>
          </cell>
        </row>
        <row r="1333">
          <cell r="A1333" t="str">
            <v>USCRP015753981100078</v>
          </cell>
          <cell r="B1333" t="str">
            <v>USCRP01575</v>
          </cell>
          <cell r="C1333">
            <v>3981100078</v>
          </cell>
          <cell r="D1333" t="str">
            <v>GAIN ON FIXED ASSET</v>
          </cell>
          <cell r="E1333">
            <v>0</v>
          </cell>
          <cell r="F1333">
            <v>0</v>
          </cell>
          <cell r="G1333">
            <v>0</v>
          </cell>
          <cell r="H1333">
            <v>0</v>
          </cell>
          <cell r="I1333">
            <v>0</v>
          </cell>
          <cell r="J1333">
            <v>0</v>
          </cell>
          <cell r="K1333">
            <v>0</v>
          </cell>
          <cell r="L1333">
            <v>0</v>
          </cell>
          <cell r="M1333">
            <v>0</v>
          </cell>
          <cell r="N1333">
            <v>0</v>
          </cell>
          <cell r="O1333">
            <v>0</v>
          </cell>
          <cell r="P1333">
            <v>52</v>
          </cell>
          <cell r="Q1333">
            <v>52</v>
          </cell>
        </row>
        <row r="1334">
          <cell r="A1334" t="str">
            <v>US22P015013991200001</v>
          </cell>
          <cell r="B1334" t="str">
            <v>US22P01501</v>
          </cell>
          <cell r="C1334">
            <v>3991200001</v>
          </cell>
          <cell r="D1334" t="str">
            <v>POSTAGE EXPENSES</v>
          </cell>
          <cell r="E1334">
            <v>0</v>
          </cell>
          <cell r="F1334">
            <v>-17</v>
          </cell>
          <cell r="G1334">
            <v>0</v>
          </cell>
          <cell r="H1334">
            <v>4</v>
          </cell>
          <cell r="I1334">
            <v>0</v>
          </cell>
          <cell r="J1334">
            <v>572</v>
          </cell>
          <cell r="K1334">
            <v>2</v>
          </cell>
          <cell r="L1334">
            <v>0</v>
          </cell>
          <cell r="M1334">
            <v>0</v>
          </cell>
          <cell r="N1334">
            <v>40</v>
          </cell>
          <cell r="O1334">
            <v>269</v>
          </cell>
          <cell r="P1334">
            <v>68</v>
          </cell>
          <cell r="Q1334">
            <v>938</v>
          </cell>
        </row>
        <row r="1335">
          <cell r="A1335" t="str">
            <v>US28P015013991200001</v>
          </cell>
          <cell r="B1335" t="str">
            <v>US28P01501</v>
          </cell>
          <cell r="C1335">
            <v>3991200001</v>
          </cell>
          <cell r="D1335" t="str">
            <v>POSTAGE EXPENSES</v>
          </cell>
          <cell r="E1335">
            <v>248</v>
          </cell>
          <cell r="F1335">
            <v>1019</v>
          </cell>
          <cell r="G1335">
            <v>305</v>
          </cell>
          <cell r="H1335">
            <v>40</v>
          </cell>
          <cell r="I1335">
            <v>0</v>
          </cell>
          <cell r="J1335">
            <v>0</v>
          </cell>
          <cell r="K1335">
            <v>248</v>
          </cell>
          <cell r="L1335">
            <v>197</v>
          </cell>
          <cell r="M1335">
            <v>0</v>
          </cell>
          <cell r="N1335">
            <v>248</v>
          </cell>
          <cell r="O1335">
            <v>0</v>
          </cell>
          <cell r="P1335">
            <v>0</v>
          </cell>
          <cell r="Q1335">
            <v>2305</v>
          </cell>
        </row>
        <row r="1336">
          <cell r="A1336" t="str">
            <v>US35P015013991200001</v>
          </cell>
          <cell r="B1336" t="str">
            <v>US35P01501</v>
          </cell>
          <cell r="C1336">
            <v>3991200001</v>
          </cell>
          <cell r="D1336" t="str">
            <v>POSTAGE EXPENSES</v>
          </cell>
          <cell r="E1336">
            <v>0</v>
          </cell>
          <cell r="F1336">
            <v>0</v>
          </cell>
          <cell r="G1336">
            <v>0</v>
          </cell>
          <cell r="H1336">
            <v>0</v>
          </cell>
          <cell r="I1336">
            <v>0</v>
          </cell>
          <cell r="J1336">
            <v>0</v>
          </cell>
          <cell r="K1336">
            <v>0</v>
          </cell>
          <cell r="L1336">
            <v>0</v>
          </cell>
          <cell r="M1336">
            <v>500</v>
          </cell>
          <cell r="N1336">
            <v>0</v>
          </cell>
          <cell r="O1336">
            <v>0</v>
          </cell>
          <cell r="P1336">
            <v>0</v>
          </cell>
          <cell r="Q1336">
            <v>500</v>
          </cell>
        </row>
        <row r="1337">
          <cell r="A1337" t="str">
            <v>USWOP015013991200001</v>
          </cell>
          <cell r="B1337" t="str">
            <v>USWOP01501</v>
          </cell>
          <cell r="C1337">
            <v>3991200001</v>
          </cell>
          <cell r="D1337" t="str">
            <v>POSTAGE EXPENSES</v>
          </cell>
          <cell r="E1337">
            <v>0</v>
          </cell>
          <cell r="F1337">
            <v>0</v>
          </cell>
          <cell r="G1337">
            <v>0</v>
          </cell>
          <cell r="H1337">
            <v>49</v>
          </cell>
          <cell r="I1337">
            <v>0</v>
          </cell>
          <cell r="J1337">
            <v>12</v>
          </cell>
          <cell r="K1337">
            <v>0</v>
          </cell>
          <cell r="L1337">
            <v>0</v>
          </cell>
          <cell r="M1337">
            <v>0</v>
          </cell>
          <cell r="N1337">
            <v>0</v>
          </cell>
          <cell r="O1337">
            <v>296</v>
          </cell>
          <cell r="P1337">
            <v>90</v>
          </cell>
          <cell r="Q1337">
            <v>447</v>
          </cell>
        </row>
        <row r="1338">
          <cell r="A1338" t="str">
            <v>US59P3C5013991200001</v>
          </cell>
          <cell r="B1338" t="str">
            <v>US59P3C501</v>
          </cell>
          <cell r="C1338">
            <v>3991200001</v>
          </cell>
          <cell r="D1338" t="str">
            <v>POSTAGE EXPENSES</v>
          </cell>
          <cell r="E1338">
            <v>527</v>
          </cell>
          <cell r="F1338">
            <v>0</v>
          </cell>
          <cell r="G1338">
            <v>0</v>
          </cell>
          <cell r="H1338">
            <v>0</v>
          </cell>
          <cell r="I1338">
            <v>0</v>
          </cell>
          <cell r="J1338">
            <v>0</v>
          </cell>
          <cell r="K1338">
            <v>0</v>
          </cell>
          <cell r="L1338">
            <v>0</v>
          </cell>
          <cell r="M1338">
            <v>0</v>
          </cell>
          <cell r="N1338">
            <v>0</v>
          </cell>
          <cell r="O1338">
            <v>0</v>
          </cell>
          <cell r="P1338">
            <v>0</v>
          </cell>
          <cell r="Q1338">
            <v>527</v>
          </cell>
        </row>
        <row r="1339">
          <cell r="A1339" t="str">
            <v>USCOP015013991200001</v>
          </cell>
          <cell r="B1339" t="str">
            <v>USCOP01501</v>
          </cell>
          <cell r="C1339">
            <v>3991200001</v>
          </cell>
          <cell r="D1339" t="str">
            <v>POSTAGE EXPENSES</v>
          </cell>
          <cell r="E1339">
            <v>0</v>
          </cell>
          <cell r="F1339">
            <v>0</v>
          </cell>
          <cell r="G1339">
            <v>0</v>
          </cell>
          <cell r="H1339">
            <v>0</v>
          </cell>
          <cell r="I1339">
            <v>0</v>
          </cell>
          <cell r="J1339">
            <v>0</v>
          </cell>
          <cell r="K1339">
            <v>75</v>
          </cell>
          <cell r="L1339">
            <v>0</v>
          </cell>
          <cell r="M1339">
            <v>0</v>
          </cell>
          <cell r="N1339">
            <v>0</v>
          </cell>
          <cell r="O1339">
            <v>0</v>
          </cell>
          <cell r="P1339">
            <v>0</v>
          </cell>
          <cell r="Q1339">
            <v>75</v>
          </cell>
        </row>
        <row r="1340">
          <cell r="A1340" t="str">
            <v>USCRP015013991200001</v>
          </cell>
          <cell r="B1340" t="str">
            <v>USCRP01501</v>
          </cell>
          <cell r="C1340">
            <v>3991200001</v>
          </cell>
          <cell r="D1340" t="str">
            <v>POSTAGE EXPENSES</v>
          </cell>
          <cell r="E1340">
            <v>0</v>
          </cell>
          <cell r="F1340">
            <v>0</v>
          </cell>
          <cell r="G1340">
            <v>0</v>
          </cell>
          <cell r="H1340">
            <v>0</v>
          </cell>
          <cell r="I1340">
            <v>0</v>
          </cell>
          <cell r="J1340">
            <v>51</v>
          </cell>
          <cell r="K1340">
            <v>11</v>
          </cell>
          <cell r="L1340">
            <v>6</v>
          </cell>
          <cell r="M1340">
            <v>60</v>
          </cell>
          <cell r="N1340">
            <v>0</v>
          </cell>
          <cell r="O1340">
            <v>0</v>
          </cell>
          <cell r="P1340">
            <v>0</v>
          </cell>
          <cell r="Q1340">
            <v>128</v>
          </cell>
        </row>
        <row r="1341">
          <cell r="A1341" t="str">
            <v>US22P015013991200012</v>
          </cell>
          <cell r="B1341" t="str">
            <v>US22P01501</v>
          </cell>
          <cell r="C1341">
            <v>3991200012</v>
          </cell>
          <cell r="D1341" t="str">
            <v>DELIVERY SERVICES</v>
          </cell>
          <cell r="E1341">
            <v>165</v>
          </cell>
          <cell r="F1341">
            <v>11</v>
          </cell>
          <cell r="G1341">
            <v>11</v>
          </cell>
          <cell r="H1341">
            <v>0</v>
          </cell>
          <cell r="I1341">
            <v>0</v>
          </cell>
          <cell r="J1341">
            <v>64</v>
          </cell>
          <cell r="K1341">
            <v>331</v>
          </cell>
          <cell r="L1341">
            <v>112</v>
          </cell>
          <cell r="M1341">
            <v>6</v>
          </cell>
          <cell r="N1341">
            <v>514</v>
          </cell>
          <cell r="O1341">
            <v>56</v>
          </cell>
          <cell r="P1341">
            <v>6</v>
          </cell>
          <cell r="Q1341">
            <v>1276</v>
          </cell>
        </row>
        <row r="1342">
          <cell r="A1342" t="str">
            <v>US22P015503991200012</v>
          </cell>
          <cell r="B1342" t="str">
            <v>US22P01550</v>
          </cell>
          <cell r="C1342">
            <v>3991200012</v>
          </cell>
          <cell r="D1342" t="str">
            <v>DELIVERY SERVICES</v>
          </cell>
          <cell r="E1342">
            <v>0</v>
          </cell>
          <cell r="F1342">
            <v>0</v>
          </cell>
          <cell r="G1342">
            <v>0</v>
          </cell>
          <cell r="H1342">
            <v>0</v>
          </cell>
          <cell r="I1342">
            <v>0</v>
          </cell>
          <cell r="J1342">
            <v>0</v>
          </cell>
          <cell r="K1342">
            <v>11</v>
          </cell>
          <cell r="L1342">
            <v>6</v>
          </cell>
          <cell r="M1342">
            <v>0</v>
          </cell>
          <cell r="N1342">
            <v>0</v>
          </cell>
          <cell r="O1342">
            <v>0</v>
          </cell>
          <cell r="P1342">
            <v>0</v>
          </cell>
          <cell r="Q1342">
            <v>17</v>
          </cell>
        </row>
        <row r="1343">
          <cell r="A1343" t="str">
            <v>US22P015533991200012</v>
          </cell>
          <cell r="B1343" t="str">
            <v>US22P01553</v>
          </cell>
          <cell r="C1343">
            <v>3991200012</v>
          </cell>
          <cell r="D1343" t="str">
            <v>DELIVERY SERVICES</v>
          </cell>
          <cell r="E1343">
            <v>0</v>
          </cell>
          <cell r="F1343">
            <v>0</v>
          </cell>
          <cell r="G1343">
            <v>0</v>
          </cell>
          <cell r="H1343">
            <v>0</v>
          </cell>
          <cell r="I1343">
            <v>0</v>
          </cell>
          <cell r="J1343">
            <v>0</v>
          </cell>
          <cell r="K1343">
            <v>0</v>
          </cell>
          <cell r="L1343">
            <v>26</v>
          </cell>
          <cell r="M1343">
            <v>0</v>
          </cell>
          <cell r="N1343">
            <v>0</v>
          </cell>
          <cell r="O1343">
            <v>0</v>
          </cell>
          <cell r="P1343">
            <v>0</v>
          </cell>
          <cell r="Q1343">
            <v>26</v>
          </cell>
        </row>
        <row r="1344">
          <cell r="A1344" t="str">
            <v>US22P015643991200012</v>
          </cell>
          <cell r="B1344" t="str">
            <v>US22P01564</v>
          </cell>
          <cell r="C1344">
            <v>3991200012</v>
          </cell>
          <cell r="D1344" t="str">
            <v>DELIVERY SERVICES</v>
          </cell>
          <cell r="E1344">
            <v>0</v>
          </cell>
          <cell r="F1344">
            <v>0</v>
          </cell>
          <cell r="G1344">
            <v>0</v>
          </cell>
          <cell r="H1344">
            <v>0</v>
          </cell>
          <cell r="I1344">
            <v>0</v>
          </cell>
          <cell r="J1344">
            <v>0</v>
          </cell>
          <cell r="K1344">
            <v>0</v>
          </cell>
          <cell r="L1344">
            <v>24</v>
          </cell>
          <cell r="M1344">
            <v>24</v>
          </cell>
          <cell r="N1344">
            <v>0</v>
          </cell>
          <cell r="O1344">
            <v>0</v>
          </cell>
          <cell r="P1344">
            <v>0</v>
          </cell>
          <cell r="Q1344">
            <v>48</v>
          </cell>
        </row>
        <row r="1345">
          <cell r="A1345" t="str">
            <v>US22P015903991200012</v>
          </cell>
          <cell r="B1345" t="str">
            <v>US22P01590</v>
          </cell>
          <cell r="C1345">
            <v>3991200012</v>
          </cell>
          <cell r="D1345" t="str">
            <v>DELIVERY SERVICES</v>
          </cell>
          <cell r="E1345">
            <v>450</v>
          </cell>
          <cell r="F1345">
            <v>0</v>
          </cell>
          <cell r="G1345">
            <v>7</v>
          </cell>
          <cell r="H1345">
            <v>0</v>
          </cell>
          <cell r="I1345">
            <v>800</v>
          </cell>
          <cell r="J1345">
            <v>0</v>
          </cell>
          <cell r="K1345">
            <v>500</v>
          </cell>
          <cell r="L1345">
            <v>139</v>
          </cell>
          <cell r="M1345">
            <v>0</v>
          </cell>
          <cell r="N1345">
            <v>0</v>
          </cell>
          <cell r="O1345">
            <v>0</v>
          </cell>
          <cell r="P1345">
            <v>12</v>
          </cell>
          <cell r="Q1345">
            <v>1908</v>
          </cell>
        </row>
        <row r="1346">
          <cell r="A1346" t="str">
            <v>US22P015923991200012</v>
          </cell>
          <cell r="B1346" t="str">
            <v>US22P01592</v>
          </cell>
          <cell r="C1346">
            <v>3991200012</v>
          </cell>
          <cell r="D1346" t="str">
            <v>DELIVERY SERVICES</v>
          </cell>
          <cell r="E1346">
            <v>0</v>
          </cell>
          <cell r="F1346">
            <v>0</v>
          </cell>
          <cell r="G1346">
            <v>0</v>
          </cell>
          <cell r="H1346">
            <v>0</v>
          </cell>
          <cell r="I1346">
            <v>0</v>
          </cell>
          <cell r="J1346">
            <v>0</v>
          </cell>
          <cell r="K1346">
            <v>0</v>
          </cell>
          <cell r="L1346">
            <v>0</v>
          </cell>
          <cell r="M1346">
            <v>0</v>
          </cell>
          <cell r="N1346">
            <v>600</v>
          </cell>
          <cell r="O1346">
            <v>0</v>
          </cell>
          <cell r="P1346">
            <v>0</v>
          </cell>
          <cell r="Q1346">
            <v>600</v>
          </cell>
        </row>
        <row r="1347">
          <cell r="A1347" t="str">
            <v>US28P015013991200012</v>
          </cell>
          <cell r="B1347" t="str">
            <v>US28P01501</v>
          </cell>
          <cell r="C1347">
            <v>3991200012</v>
          </cell>
          <cell r="D1347" t="str">
            <v>DELIVERY SERVICES</v>
          </cell>
          <cell r="E1347">
            <v>123</v>
          </cell>
          <cell r="F1347">
            <v>100</v>
          </cell>
          <cell r="G1347">
            <v>19</v>
          </cell>
          <cell r="H1347">
            <v>27</v>
          </cell>
          <cell r="I1347">
            <v>0</v>
          </cell>
          <cell r="J1347">
            <v>9</v>
          </cell>
          <cell r="K1347">
            <v>27</v>
          </cell>
          <cell r="L1347">
            <v>9</v>
          </cell>
          <cell r="M1347">
            <v>18</v>
          </cell>
          <cell r="N1347">
            <v>87</v>
          </cell>
          <cell r="O1347">
            <v>9</v>
          </cell>
          <cell r="P1347">
            <v>0</v>
          </cell>
          <cell r="Q1347">
            <v>428</v>
          </cell>
        </row>
        <row r="1348">
          <cell r="A1348" t="str">
            <v>US28P015533991200012</v>
          </cell>
          <cell r="B1348" t="str">
            <v>US28P01553</v>
          </cell>
          <cell r="C1348">
            <v>3991200012</v>
          </cell>
          <cell r="D1348" t="str">
            <v>DELIVERY SERVICES</v>
          </cell>
          <cell r="E1348">
            <v>0</v>
          </cell>
          <cell r="F1348">
            <v>0</v>
          </cell>
          <cell r="G1348">
            <v>0</v>
          </cell>
          <cell r="H1348">
            <v>0</v>
          </cell>
          <cell r="I1348">
            <v>0</v>
          </cell>
          <cell r="J1348">
            <v>0</v>
          </cell>
          <cell r="K1348">
            <v>9</v>
          </cell>
          <cell r="L1348">
            <v>0</v>
          </cell>
          <cell r="M1348">
            <v>0</v>
          </cell>
          <cell r="N1348">
            <v>0</v>
          </cell>
          <cell r="O1348">
            <v>0</v>
          </cell>
          <cell r="P1348">
            <v>0</v>
          </cell>
          <cell r="Q1348">
            <v>9</v>
          </cell>
        </row>
        <row r="1349">
          <cell r="A1349" t="str">
            <v>US28P015603991200012</v>
          </cell>
          <cell r="B1349" t="str">
            <v>US28P01560</v>
          </cell>
          <cell r="C1349">
            <v>3991200012</v>
          </cell>
          <cell r="D1349" t="str">
            <v>DELIVERY SERVICES</v>
          </cell>
          <cell r="E1349">
            <v>0</v>
          </cell>
          <cell r="F1349">
            <v>0</v>
          </cell>
          <cell r="G1349">
            <v>0</v>
          </cell>
          <cell r="H1349">
            <v>0</v>
          </cell>
          <cell r="I1349">
            <v>0</v>
          </cell>
          <cell r="J1349">
            <v>0</v>
          </cell>
          <cell r="K1349">
            <v>0</v>
          </cell>
          <cell r="L1349">
            <v>57</v>
          </cell>
          <cell r="M1349">
            <v>0</v>
          </cell>
          <cell r="N1349">
            <v>0</v>
          </cell>
          <cell r="O1349">
            <v>0</v>
          </cell>
          <cell r="P1349">
            <v>0</v>
          </cell>
          <cell r="Q1349">
            <v>57</v>
          </cell>
        </row>
        <row r="1350">
          <cell r="A1350" t="str">
            <v>US28P015643991200012</v>
          </cell>
          <cell r="B1350" t="str">
            <v>US28P01564</v>
          </cell>
          <cell r="C1350">
            <v>3991200012</v>
          </cell>
          <cell r="D1350" t="str">
            <v>DELIVERY SERVICES</v>
          </cell>
          <cell r="E1350">
            <v>0</v>
          </cell>
          <cell r="F1350">
            <v>0</v>
          </cell>
          <cell r="G1350">
            <v>0</v>
          </cell>
          <cell r="H1350">
            <v>0</v>
          </cell>
          <cell r="I1350">
            <v>0</v>
          </cell>
          <cell r="J1350">
            <v>0</v>
          </cell>
          <cell r="K1350">
            <v>0</v>
          </cell>
          <cell r="L1350">
            <v>0</v>
          </cell>
          <cell r="M1350">
            <v>9</v>
          </cell>
          <cell r="N1350">
            <v>18</v>
          </cell>
          <cell r="O1350">
            <v>18</v>
          </cell>
          <cell r="P1350">
            <v>0</v>
          </cell>
          <cell r="Q1350">
            <v>45</v>
          </cell>
        </row>
        <row r="1351">
          <cell r="A1351" t="str">
            <v>US28P015903991200012</v>
          </cell>
          <cell r="B1351" t="str">
            <v>US28P01590</v>
          </cell>
          <cell r="C1351">
            <v>3991200012</v>
          </cell>
          <cell r="D1351" t="str">
            <v>DELIVERY SERVICES</v>
          </cell>
          <cell r="E1351">
            <v>0</v>
          </cell>
          <cell r="F1351">
            <v>0</v>
          </cell>
          <cell r="G1351">
            <v>0</v>
          </cell>
          <cell r="H1351">
            <v>29</v>
          </cell>
          <cell r="I1351">
            <v>0</v>
          </cell>
          <cell r="J1351">
            <v>32</v>
          </cell>
          <cell r="K1351">
            <v>0</v>
          </cell>
          <cell r="L1351">
            <v>0</v>
          </cell>
          <cell r="M1351">
            <v>0</v>
          </cell>
          <cell r="N1351">
            <v>0</v>
          </cell>
          <cell r="O1351">
            <v>13</v>
          </cell>
          <cell r="P1351">
            <v>0</v>
          </cell>
          <cell r="Q1351">
            <v>74</v>
          </cell>
        </row>
        <row r="1352">
          <cell r="A1352" t="str">
            <v>US35P015013991200012</v>
          </cell>
          <cell r="B1352" t="str">
            <v>US35P01501</v>
          </cell>
          <cell r="C1352">
            <v>3991200012</v>
          </cell>
          <cell r="D1352" t="str">
            <v>DELIVERY SERVICES</v>
          </cell>
          <cell r="E1352">
            <v>171</v>
          </cell>
          <cell r="F1352">
            <v>254</v>
          </cell>
          <cell r="G1352">
            <v>376</v>
          </cell>
          <cell r="H1352">
            <v>274</v>
          </cell>
          <cell r="I1352">
            <v>271</v>
          </cell>
          <cell r="J1352">
            <v>126</v>
          </cell>
          <cell r="K1352">
            <v>96</v>
          </cell>
          <cell r="L1352">
            <v>119</v>
          </cell>
          <cell r="M1352">
            <v>111</v>
          </cell>
          <cell r="N1352">
            <v>15</v>
          </cell>
          <cell r="O1352">
            <v>245</v>
          </cell>
          <cell r="P1352">
            <v>104</v>
          </cell>
          <cell r="Q1352">
            <v>2162</v>
          </cell>
        </row>
        <row r="1353">
          <cell r="A1353" t="str">
            <v>US35P015503991200012</v>
          </cell>
          <cell r="B1353" t="str">
            <v>US35P01550</v>
          </cell>
          <cell r="C1353">
            <v>3991200012</v>
          </cell>
          <cell r="D1353" t="str">
            <v>DELIVERY SERVICES</v>
          </cell>
          <cell r="E1353">
            <v>6</v>
          </cell>
          <cell r="F1353">
            <v>50</v>
          </cell>
          <cell r="G1353">
            <v>10</v>
          </cell>
          <cell r="H1353">
            <v>0</v>
          </cell>
          <cell r="I1353">
            <v>20</v>
          </cell>
          <cell r="J1353">
            <v>7</v>
          </cell>
          <cell r="K1353">
            <v>0</v>
          </cell>
          <cell r="L1353">
            <v>0</v>
          </cell>
          <cell r="M1353">
            <v>0</v>
          </cell>
          <cell r="N1353">
            <v>0</v>
          </cell>
          <cell r="O1353">
            <v>0</v>
          </cell>
          <cell r="P1353">
            <v>0</v>
          </cell>
          <cell r="Q1353">
            <v>93</v>
          </cell>
        </row>
        <row r="1354">
          <cell r="A1354" t="str">
            <v>US35P015533991200012</v>
          </cell>
          <cell r="B1354" t="str">
            <v>US35P01553</v>
          </cell>
          <cell r="C1354">
            <v>3991200012</v>
          </cell>
          <cell r="D1354" t="str">
            <v>DELIVERY SERVICES</v>
          </cell>
          <cell r="E1354">
            <v>0</v>
          </cell>
          <cell r="F1354">
            <v>0</v>
          </cell>
          <cell r="G1354">
            <v>0</v>
          </cell>
          <cell r="H1354">
            <v>0</v>
          </cell>
          <cell r="I1354">
            <v>0</v>
          </cell>
          <cell r="J1354">
            <v>0</v>
          </cell>
          <cell r="K1354">
            <v>0</v>
          </cell>
          <cell r="L1354">
            <v>7</v>
          </cell>
          <cell r="M1354">
            <v>0</v>
          </cell>
          <cell r="N1354">
            <v>0</v>
          </cell>
          <cell r="O1354">
            <v>0</v>
          </cell>
          <cell r="P1354">
            <v>0</v>
          </cell>
          <cell r="Q1354">
            <v>7</v>
          </cell>
        </row>
        <row r="1355">
          <cell r="A1355" t="str">
            <v>US35P015603991200012</v>
          </cell>
          <cell r="B1355" t="str">
            <v>US35P01560</v>
          </cell>
          <cell r="C1355">
            <v>3991200012</v>
          </cell>
          <cell r="D1355" t="str">
            <v>DELIVERY SERVICES</v>
          </cell>
          <cell r="E1355">
            <v>0</v>
          </cell>
          <cell r="F1355">
            <v>104</v>
          </cell>
          <cell r="G1355">
            <v>0</v>
          </cell>
          <cell r="H1355">
            <v>0</v>
          </cell>
          <cell r="I1355">
            <v>0</v>
          </cell>
          <cell r="J1355">
            <v>0</v>
          </cell>
          <cell r="K1355">
            <v>93</v>
          </cell>
          <cell r="L1355">
            <v>502</v>
          </cell>
          <cell r="M1355">
            <v>12</v>
          </cell>
          <cell r="N1355">
            <v>0</v>
          </cell>
          <cell r="O1355">
            <v>67</v>
          </cell>
          <cell r="P1355">
            <v>98</v>
          </cell>
          <cell r="Q1355">
            <v>876</v>
          </cell>
        </row>
        <row r="1356">
          <cell r="A1356" t="str">
            <v>US35P015643991200012</v>
          </cell>
          <cell r="B1356" t="str">
            <v>US35P01564</v>
          </cell>
          <cell r="C1356">
            <v>3991200012</v>
          </cell>
          <cell r="D1356" t="str">
            <v>DELIVERY SERVICES</v>
          </cell>
          <cell r="E1356">
            <v>0</v>
          </cell>
          <cell r="F1356">
            <v>0</v>
          </cell>
          <cell r="G1356">
            <v>0</v>
          </cell>
          <cell r="H1356">
            <v>0</v>
          </cell>
          <cell r="I1356">
            <v>0</v>
          </cell>
          <cell r="J1356">
            <v>0</v>
          </cell>
          <cell r="K1356">
            <v>0</v>
          </cell>
          <cell r="L1356">
            <v>126</v>
          </cell>
          <cell r="M1356">
            <v>0</v>
          </cell>
          <cell r="N1356">
            <v>0</v>
          </cell>
          <cell r="O1356">
            <v>0</v>
          </cell>
          <cell r="P1356">
            <v>0</v>
          </cell>
          <cell r="Q1356">
            <v>126</v>
          </cell>
        </row>
        <row r="1357">
          <cell r="A1357" t="str">
            <v>US35P015903991200012</v>
          </cell>
          <cell r="B1357" t="str">
            <v>US35P01590</v>
          </cell>
          <cell r="C1357">
            <v>3991200012</v>
          </cell>
          <cell r="D1357" t="str">
            <v>DELIVERY SERVICES</v>
          </cell>
          <cell r="E1357">
            <v>815</v>
          </cell>
          <cell r="F1357">
            <v>608</v>
          </cell>
          <cell r="G1357">
            <v>1398</v>
          </cell>
          <cell r="H1357">
            <v>1365</v>
          </cell>
          <cell r="I1357">
            <v>1214</v>
          </cell>
          <cell r="J1357">
            <v>399</v>
          </cell>
          <cell r="K1357">
            <v>121</v>
          </cell>
          <cell r="L1357">
            <v>165</v>
          </cell>
          <cell r="M1357">
            <v>1350</v>
          </cell>
          <cell r="N1357">
            <v>0</v>
          </cell>
          <cell r="O1357">
            <v>1173</v>
          </cell>
          <cell r="P1357">
            <v>534</v>
          </cell>
          <cell r="Q1357">
            <v>9142</v>
          </cell>
        </row>
        <row r="1358">
          <cell r="A1358" t="str">
            <v>USWOP015013991200012</v>
          </cell>
          <cell r="B1358" t="str">
            <v>USWOP01501</v>
          </cell>
          <cell r="C1358">
            <v>3991200012</v>
          </cell>
          <cell r="D1358" t="str">
            <v>DELIVERY SERVICES</v>
          </cell>
          <cell r="E1358">
            <v>0</v>
          </cell>
          <cell r="F1358">
            <v>25</v>
          </cell>
          <cell r="G1358">
            <v>0</v>
          </cell>
          <cell r="H1358">
            <v>0</v>
          </cell>
          <cell r="I1358">
            <v>18</v>
          </cell>
          <cell r="J1358">
            <v>19</v>
          </cell>
          <cell r="K1358">
            <v>0</v>
          </cell>
          <cell r="L1358">
            <v>0</v>
          </cell>
          <cell r="M1358">
            <v>0</v>
          </cell>
          <cell r="N1358">
            <v>27</v>
          </cell>
          <cell r="O1358">
            <v>16</v>
          </cell>
          <cell r="P1358">
            <v>80</v>
          </cell>
          <cell r="Q1358">
            <v>185</v>
          </cell>
        </row>
        <row r="1359">
          <cell r="A1359" t="str">
            <v>USWOP015503991200012</v>
          </cell>
          <cell r="B1359" t="str">
            <v>USWOP01550</v>
          </cell>
          <cell r="C1359">
            <v>3991200012</v>
          </cell>
          <cell r="D1359" t="str">
            <v>DELIVERY SERVICES</v>
          </cell>
          <cell r="E1359">
            <v>0</v>
          </cell>
          <cell r="F1359">
            <v>0</v>
          </cell>
          <cell r="G1359">
            <v>0</v>
          </cell>
          <cell r="H1359">
            <v>0</v>
          </cell>
          <cell r="I1359">
            <v>0</v>
          </cell>
          <cell r="J1359">
            <v>0</v>
          </cell>
          <cell r="K1359">
            <v>0</v>
          </cell>
          <cell r="L1359">
            <v>0</v>
          </cell>
          <cell r="M1359">
            <v>0</v>
          </cell>
          <cell r="N1359">
            <v>22</v>
          </cell>
          <cell r="O1359">
            <v>0</v>
          </cell>
          <cell r="P1359">
            <v>0</v>
          </cell>
          <cell r="Q1359">
            <v>22</v>
          </cell>
        </row>
        <row r="1360">
          <cell r="A1360" t="str">
            <v>USWOP015533991200012</v>
          </cell>
          <cell r="B1360" t="str">
            <v>USWOP01553</v>
          </cell>
          <cell r="C1360">
            <v>3991200012</v>
          </cell>
          <cell r="D1360" t="str">
            <v>DELIVERY SERVICES</v>
          </cell>
          <cell r="E1360">
            <v>0</v>
          </cell>
          <cell r="F1360">
            <v>0</v>
          </cell>
          <cell r="G1360">
            <v>0</v>
          </cell>
          <cell r="H1360">
            <v>0</v>
          </cell>
          <cell r="I1360">
            <v>0</v>
          </cell>
          <cell r="J1360">
            <v>0</v>
          </cell>
          <cell r="K1360">
            <v>0</v>
          </cell>
          <cell r="L1360">
            <v>0</v>
          </cell>
          <cell r="M1360">
            <v>55</v>
          </cell>
          <cell r="N1360">
            <v>0</v>
          </cell>
          <cell r="O1360">
            <v>0</v>
          </cell>
          <cell r="P1360">
            <v>0</v>
          </cell>
          <cell r="Q1360">
            <v>55</v>
          </cell>
        </row>
        <row r="1361">
          <cell r="A1361" t="str">
            <v>USWOP015603991200012</v>
          </cell>
          <cell r="B1361" t="str">
            <v>USWOP01560</v>
          </cell>
          <cell r="C1361">
            <v>3991200012</v>
          </cell>
          <cell r="D1361" t="str">
            <v>DELIVERY SERVICES</v>
          </cell>
          <cell r="E1361">
            <v>0</v>
          </cell>
          <cell r="F1361">
            <v>0</v>
          </cell>
          <cell r="G1361">
            <v>0</v>
          </cell>
          <cell r="H1361">
            <v>0</v>
          </cell>
          <cell r="I1361">
            <v>0</v>
          </cell>
          <cell r="J1361">
            <v>0</v>
          </cell>
          <cell r="K1361">
            <v>0</v>
          </cell>
          <cell r="L1361">
            <v>9</v>
          </cell>
          <cell r="M1361">
            <v>0</v>
          </cell>
          <cell r="N1361">
            <v>0</v>
          </cell>
          <cell r="O1361">
            <v>0</v>
          </cell>
          <cell r="P1361">
            <v>0</v>
          </cell>
          <cell r="Q1361">
            <v>9</v>
          </cell>
        </row>
        <row r="1362">
          <cell r="A1362" t="str">
            <v>US59P015013991200012</v>
          </cell>
          <cell r="B1362" t="str">
            <v>US59P01501</v>
          </cell>
          <cell r="C1362">
            <v>3991200012</v>
          </cell>
          <cell r="D1362" t="str">
            <v>DELIVERY SERVICES</v>
          </cell>
          <cell r="E1362">
            <v>0</v>
          </cell>
          <cell r="F1362">
            <v>0</v>
          </cell>
          <cell r="G1362">
            <v>22</v>
          </cell>
          <cell r="H1362">
            <v>17</v>
          </cell>
          <cell r="I1362">
            <v>0</v>
          </cell>
          <cell r="J1362">
            <v>0</v>
          </cell>
          <cell r="K1362">
            <v>0</v>
          </cell>
          <cell r="L1362">
            <v>0</v>
          </cell>
          <cell r="M1362">
            <v>201</v>
          </cell>
          <cell r="N1362">
            <v>488</v>
          </cell>
          <cell r="O1362">
            <v>676</v>
          </cell>
          <cell r="P1362">
            <v>545</v>
          </cell>
          <cell r="Q1362">
            <v>1949</v>
          </cell>
        </row>
        <row r="1363">
          <cell r="A1363" t="str">
            <v>USWOP015903991200012</v>
          </cell>
          <cell r="B1363" t="str">
            <v>USWOP01590</v>
          </cell>
          <cell r="C1363">
            <v>3991200012</v>
          </cell>
          <cell r="D1363" t="str">
            <v>DELIVERY SERVICES</v>
          </cell>
          <cell r="E1363">
            <v>284</v>
          </cell>
          <cell r="F1363">
            <v>0</v>
          </cell>
          <cell r="G1363">
            <v>0</v>
          </cell>
          <cell r="H1363">
            <v>0</v>
          </cell>
          <cell r="I1363">
            <v>0</v>
          </cell>
          <cell r="J1363">
            <v>0</v>
          </cell>
          <cell r="K1363">
            <v>203</v>
          </cell>
          <cell r="L1363">
            <v>0</v>
          </cell>
          <cell r="M1363">
            <v>0</v>
          </cell>
          <cell r="N1363">
            <v>0</v>
          </cell>
          <cell r="O1363">
            <v>0</v>
          </cell>
          <cell r="P1363">
            <v>0</v>
          </cell>
          <cell r="Q1363">
            <v>487</v>
          </cell>
        </row>
        <row r="1364">
          <cell r="A1364" t="str">
            <v>US59P015643991200012</v>
          </cell>
          <cell r="B1364" t="str">
            <v>US59P01564</v>
          </cell>
          <cell r="C1364">
            <v>3991200012</v>
          </cell>
          <cell r="D1364" t="str">
            <v>DELIVERY SERVICES</v>
          </cell>
          <cell r="E1364">
            <v>0</v>
          </cell>
          <cell r="F1364">
            <v>0</v>
          </cell>
          <cell r="G1364">
            <v>0</v>
          </cell>
          <cell r="H1364">
            <v>0</v>
          </cell>
          <cell r="I1364">
            <v>0</v>
          </cell>
          <cell r="J1364">
            <v>0</v>
          </cell>
          <cell r="K1364">
            <v>0</v>
          </cell>
          <cell r="L1364">
            <v>0</v>
          </cell>
          <cell r="M1364">
            <v>10</v>
          </cell>
          <cell r="N1364">
            <v>0</v>
          </cell>
          <cell r="O1364">
            <v>0</v>
          </cell>
          <cell r="P1364">
            <v>0</v>
          </cell>
          <cell r="Q1364">
            <v>10</v>
          </cell>
        </row>
        <row r="1365">
          <cell r="A1365" t="str">
            <v>US59P015903991200012</v>
          </cell>
          <cell r="B1365" t="str">
            <v>US59P01590</v>
          </cell>
          <cell r="C1365">
            <v>3991200012</v>
          </cell>
          <cell r="D1365" t="str">
            <v>DELIVERY SERVICES</v>
          </cell>
          <cell r="E1365">
            <v>0</v>
          </cell>
          <cell r="F1365">
            <v>0</v>
          </cell>
          <cell r="G1365">
            <v>0</v>
          </cell>
          <cell r="H1365">
            <v>0</v>
          </cell>
          <cell r="I1365">
            <v>0</v>
          </cell>
          <cell r="J1365">
            <v>0</v>
          </cell>
          <cell r="K1365">
            <v>0</v>
          </cell>
          <cell r="L1365">
            <v>0</v>
          </cell>
          <cell r="M1365">
            <v>0</v>
          </cell>
          <cell r="N1365">
            <v>0</v>
          </cell>
          <cell r="O1365">
            <v>0</v>
          </cell>
          <cell r="P1365">
            <v>6</v>
          </cell>
          <cell r="Q1365">
            <v>6</v>
          </cell>
        </row>
        <row r="1366">
          <cell r="A1366" t="str">
            <v>US59P3C5013991200012</v>
          </cell>
          <cell r="B1366" t="str">
            <v>US59P3C501</v>
          </cell>
          <cell r="C1366">
            <v>3991200012</v>
          </cell>
          <cell r="D1366" t="str">
            <v>DELIVERY SERVICES</v>
          </cell>
          <cell r="E1366">
            <v>991</v>
          </cell>
          <cell r="F1366">
            <v>0</v>
          </cell>
          <cell r="G1366">
            <v>0</v>
          </cell>
          <cell r="H1366">
            <v>6</v>
          </cell>
          <cell r="I1366">
            <v>15</v>
          </cell>
          <cell r="J1366">
            <v>57</v>
          </cell>
          <cell r="K1366">
            <v>40</v>
          </cell>
          <cell r="L1366">
            <v>15</v>
          </cell>
          <cell r="M1366">
            <v>51</v>
          </cell>
          <cell r="N1366">
            <v>134</v>
          </cell>
          <cell r="O1366">
            <v>142</v>
          </cell>
          <cell r="P1366">
            <v>77</v>
          </cell>
          <cell r="Q1366">
            <v>1528</v>
          </cell>
        </row>
        <row r="1367">
          <cell r="A1367" t="str">
            <v>US59P3C5603991200012</v>
          </cell>
          <cell r="B1367" t="str">
            <v>US59P3C560</v>
          </cell>
          <cell r="C1367">
            <v>3991200012</v>
          </cell>
          <cell r="D1367" t="str">
            <v>DELIVERY SERVICES</v>
          </cell>
          <cell r="E1367">
            <v>582</v>
          </cell>
          <cell r="F1367">
            <v>531</v>
          </cell>
          <cell r="G1367">
            <v>1009</v>
          </cell>
          <cell r="H1367">
            <v>617</v>
          </cell>
          <cell r="I1367">
            <v>1605</v>
          </cell>
          <cell r="J1367">
            <v>0</v>
          </cell>
          <cell r="K1367">
            <v>6</v>
          </cell>
          <cell r="L1367">
            <v>0</v>
          </cell>
          <cell r="M1367">
            <v>0</v>
          </cell>
          <cell r="N1367">
            <v>144</v>
          </cell>
          <cell r="O1367">
            <v>269</v>
          </cell>
          <cell r="P1367">
            <v>0</v>
          </cell>
          <cell r="Q1367">
            <v>4763</v>
          </cell>
        </row>
        <row r="1368">
          <cell r="A1368" t="str">
            <v>USSTP015013991200012</v>
          </cell>
          <cell r="B1368" t="str">
            <v>USSTP01501</v>
          </cell>
          <cell r="C1368">
            <v>3991200012</v>
          </cell>
          <cell r="D1368" t="str">
            <v>DELIVERY SERVICES</v>
          </cell>
          <cell r="E1368">
            <v>0</v>
          </cell>
          <cell r="F1368">
            <v>501</v>
          </cell>
          <cell r="G1368">
            <v>18</v>
          </cell>
          <cell r="H1368">
            <v>0</v>
          </cell>
          <cell r="I1368">
            <v>-150</v>
          </cell>
          <cell r="J1368">
            <v>0</v>
          </cell>
          <cell r="K1368">
            <v>0</v>
          </cell>
          <cell r="L1368">
            <v>0</v>
          </cell>
          <cell r="M1368">
            <v>0</v>
          </cell>
          <cell r="N1368">
            <v>0</v>
          </cell>
          <cell r="O1368">
            <v>0</v>
          </cell>
          <cell r="P1368">
            <v>0</v>
          </cell>
          <cell r="Q1368">
            <v>369</v>
          </cell>
        </row>
        <row r="1369">
          <cell r="A1369" t="str">
            <v>USCOP015013991200012</v>
          </cell>
          <cell r="B1369" t="str">
            <v>USCOP01501</v>
          </cell>
          <cell r="C1369">
            <v>3991200012</v>
          </cell>
          <cell r="D1369" t="str">
            <v>DELIVERY SERVICES</v>
          </cell>
          <cell r="E1369">
            <v>0</v>
          </cell>
          <cell r="F1369">
            <v>54</v>
          </cell>
          <cell r="G1369">
            <v>0</v>
          </cell>
          <cell r="H1369">
            <v>0</v>
          </cell>
          <cell r="I1369">
            <v>0</v>
          </cell>
          <cell r="J1369">
            <v>0</v>
          </cell>
          <cell r="K1369">
            <v>0</v>
          </cell>
          <cell r="L1369">
            <v>0</v>
          </cell>
          <cell r="M1369">
            <v>0</v>
          </cell>
          <cell r="N1369">
            <v>0</v>
          </cell>
          <cell r="O1369">
            <v>0</v>
          </cell>
          <cell r="P1369">
            <v>0</v>
          </cell>
          <cell r="Q1369">
            <v>54</v>
          </cell>
        </row>
        <row r="1370">
          <cell r="A1370" t="str">
            <v>USCRP015013991200012</v>
          </cell>
          <cell r="B1370" t="str">
            <v>USCRP01501</v>
          </cell>
          <cell r="C1370">
            <v>3991200012</v>
          </cell>
          <cell r="D1370" t="str">
            <v>DELIVERY SERVICES</v>
          </cell>
          <cell r="E1370">
            <v>6</v>
          </cell>
          <cell r="F1370">
            <v>13</v>
          </cell>
          <cell r="G1370">
            <v>0</v>
          </cell>
          <cell r="H1370">
            <v>0</v>
          </cell>
          <cell r="I1370">
            <v>7</v>
          </cell>
          <cell r="J1370">
            <v>0</v>
          </cell>
          <cell r="K1370">
            <v>0</v>
          </cell>
          <cell r="L1370">
            <v>8</v>
          </cell>
          <cell r="M1370">
            <v>0</v>
          </cell>
          <cell r="N1370">
            <v>0</v>
          </cell>
          <cell r="O1370">
            <v>0</v>
          </cell>
          <cell r="P1370">
            <v>9</v>
          </cell>
          <cell r="Q1370">
            <v>43</v>
          </cell>
        </row>
        <row r="1371">
          <cell r="A1371" t="str">
            <v>USCRP015503991200012</v>
          </cell>
          <cell r="B1371" t="str">
            <v>USCRP01550</v>
          </cell>
          <cell r="C1371">
            <v>3991200012</v>
          </cell>
          <cell r="D1371" t="str">
            <v>DELIVERY SERVICES</v>
          </cell>
          <cell r="E1371">
            <v>0</v>
          </cell>
          <cell r="F1371">
            <v>0</v>
          </cell>
          <cell r="G1371">
            <v>0</v>
          </cell>
          <cell r="H1371">
            <v>0</v>
          </cell>
          <cell r="I1371">
            <v>0</v>
          </cell>
          <cell r="J1371">
            <v>13</v>
          </cell>
          <cell r="K1371">
            <v>17</v>
          </cell>
          <cell r="L1371">
            <v>53</v>
          </cell>
          <cell r="M1371">
            <v>25</v>
          </cell>
          <cell r="N1371">
            <v>8</v>
          </cell>
          <cell r="O1371">
            <v>0</v>
          </cell>
          <cell r="P1371">
            <v>0</v>
          </cell>
          <cell r="Q1371">
            <v>116</v>
          </cell>
        </row>
        <row r="1372">
          <cell r="A1372" t="str">
            <v>USCRP015603991200012</v>
          </cell>
          <cell r="B1372" t="str">
            <v>USCRP01560</v>
          </cell>
          <cell r="C1372">
            <v>3991200012</v>
          </cell>
          <cell r="D1372" t="str">
            <v>DELIVERY SERVICES</v>
          </cell>
          <cell r="E1372">
            <v>0</v>
          </cell>
          <cell r="F1372">
            <v>0</v>
          </cell>
          <cell r="G1372">
            <v>0</v>
          </cell>
          <cell r="H1372">
            <v>11</v>
          </cell>
          <cell r="I1372">
            <v>10</v>
          </cell>
          <cell r="J1372">
            <v>0</v>
          </cell>
          <cell r="K1372">
            <v>0</v>
          </cell>
          <cell r="L1372">
            <v>47</v>
          </cell>
          <cell r="M1372">
            <v>0</v>
          </cell>
          <cell r="N1372">
            <v>0</v>
          </cell>
          <cell r="O1372">
            <v>0</v>
          </cell>
          <cell r="P1372">
            <v>36</v>
          </cell>
          <cell r="Q1372">
            <v>104</v>
          </cell>
        </row>
        <row r="1373">
          <cell r="A1373" t="str">
            <v>USCRP015643991200012</v>
          </cell>
          <cell r="B1373" t="str">
            <v>USCRP01564</v>
          </cell>
          <cell r="C1373">
            <v>3991200012</v>
          </cell>
          <cell r="D1373" t="str">
            <v>DELIVERY SERVICES</v>
          </cell>
          <cell r="E1373">
            <v>0</v>
          </cell>
          <cell r="F1373">
            <v>0</v>
          </cell>
          <cell r="G1373">
            <v>0</v>
          </cell>
          <cell r="H1373">
            <v>0</v>
          </cell>
          <cell r="I1373">
            <v>0</v>
          </cell>
          <cell r="J1373">
            <v>0</v>
          </cell>
          <cell r="K1373">
            <v>0</v>
          </cell>
          <cell r="L1373">
            <v>12</v>
          </cell>
          <cell r="M1373">
            <v>6</v>
          </cell>
          <cell r="N1373">
            <v>0</v>
          </cell>
          <cell r="O1373">
            <v>0</v>
          </cell>
          <cell r="P1373">
            <v>0</v>
          </cell>
          <cell r="Q1373">
            <v>18</v>
          </cell>
        </row>
        <row r="1374">
          <cell r="A1374" t="str">
            <v>USCRP015903991200012</v>
          </cell>
          <cell r="B1374" t="str">
            <v>USCRP01590</v>
          </cell>
          <cell r="C1374">
            <v>3991200012</v>
          </cell>
          <cell r="D1374" t="str">
            <v>DELIVERY SERVICES</v>
          </cell>
          <cell r="E1374">
            <v>0</v>
          </cell>
          <cell r="F1374">
            <v>0</v>
          </cell>
          <cell r="G1374">
            <v>0</v>
          </cell>
          <cell r="H1374">
            <v>0</v>
          </cell>
          <cell r="I1374">
            <v>0</v>
          </cell>
          <cell r="J1374">
            <v>0</v>
          </cell>
          <cell r="K1374">
            <v>0</v>
          </cell>
          <cell r="L1374">
            <v>46</v>
          </cell>
          <cell r="M1374">
            <v>0</v>
          </cell>
          <cell r="N1374">
            <v>0</v>
          </cell>
          <cell r="O1374">
            <v>0</v>
          </cell>
          <cell r="P1374">
            <v>0</v>
          </cell>
          <cell r="Q1374">
            <v>46</v>
          </cell>
        </row>
        <row r="1375">
          <cell r="A1375" t="str">
            <v>US35P015013991200013</v>
          </cell>
          <cell r="B1375" t="str">
            <v>US35P01501</v>
          </cell>
          <cell r="C1375">
            <v>3991200013</v>
          </cell>
          <cell r="D1375" t="str">
            <v>CONTRIBUTIONS</v>
          </cell>
          <cell r="E1375">
            <v>0</v>
          </cell>
          <cell r="F1375">
            <v>150</v>
          </cell>
          <cell r="G1375">
            <v>260</v>
          </cell>
          <cell r="H1375">
            <v>100</v>
          </cell>
          <cell r="I1375">
            <v>20</v>
          </cell>
          <cell r="J1375">
            <v>50</v>
          </cell>
          <cell r="K1375">
            <v>0</v>
          </cell>
          <cell r="L1375">
            <v>0</v>
          </cell>
          <cell r="M1375">
            <v>0</v>
          </cell>
          <cell r="N1375">
            <v>0</v>
          </cell>
          <cell r="O1375">
            <v>150</v>
          </cell>
          <cell r="P1375">
            <v>0</v>
          </cell>
          <cell r="Q1375">
            <v>730</v>
          </cell>
        </row>
        <row r="1376">
          <cell r="A1376" t="str">
            <v>USCRP015013991200013</v>
          </cell>
          <cell r="B1376" t="str">
            <v>USCRP01501</v>
          </cell>
          <cell r="C1376">
            <v>3991200013</v>
          </cell>
          <cell r="D1376" t="str">
            <v>CONTRIBUTIONS</v>
          </cell>
          <cell r="E1376">
            <v>0</v>
          </cell>
          <cell r="F1376">
            <v>0</v>
          </cell>
          <cell r="G1376">
            <v>0</v>
          </cell>
          <cell r="H1376">
            <v>0</v>
          </cell>
          <cell r="I1376">
            <v>0</v>
          </cell>
          <cell r="J1376">
            <v>0</v>
          </cell>
          <cell r="K1376">
            <v>0</v>
          </cell>
          <cell r="L1376">
            <v>0</v>
          </cell>
          <cell r="M1376">
            <v>0</v>
          </cell>
          <cell r="N1376">
            <v>0</v>
          </cell>
          <cell r="O1376">
            <v>10000</v>
          </cell>
          <cell r="P1376">
            <v>0</v>
          </cell>
          <cell r="Q1376">
            <v>10000</v>
          </cell>
        </row>
        <row r="1377">
          <cell r="A1377" t="str">
            <v>US22P015013991200015</v>
          </cell>
          <cell r="B1377" t="str">
            <v>US22P01501</v>
          </cell>
          <cell r="C1377">
            <v>3991200015</v>
          </cell>
          <cell r="D1377" t="str">
            <v>TELEPHONE</v>
          </cell>
          <cell r="E1377">
            <v>2043</v>
          </cell>
          <cell r="F1377">
            <v>1189</v>
          </cell>
          <cell r="G1377">
            <v>3645</v>
          </cell>
          <cell r="H1377">
            <v>1213</v>
          </cell>
          <cell r="I1377">
            <v>2044</v>
          </cell>
          <cell r="J1377">
            <v>3827</v>
          </cell>
          <cell r="K1377">
            <v>2647</v>
          </cell>
          <cell r="L1377">
            <v>1517</v>
          </cell>
          <cell r="M1377">
            <v>1253</v>
          </cell>
          <cell r="N1377">
            <v>1688</v>
          </cell>
          <cell r="O1377">
            <v>3998</v>
          </cell>
          <cell r="P1377">
            <v>4098</v>
          </cell>
          <cell r="Q1377">
            <v>29162</v>
          </cell>
        </row>
        <row r="1378">
          <cell r="A1378" t="str">
            <v>US22P015503991200015</v>
          </cell>
          <cell r="B1378" t="str">
            <v>US22P01550</v>
          </cell>
          <cell r="C1378">
            <v>3991200015</v>
          </cell>
          <cell r="D1378" t="str">
            <v>TELEPHONE</v>
          </cell>
          <cell r="E1378">
            <v>351</v>
          </cell>
          <cell r="F1378">
            <v>188</v>
          </cell>
          <cell r="G1378">
            <v>515</v>
          </cell>
          <cell r="H1378">
            <v>353</v>
          </cell>
          <cell r="I1378">
            <v>737</v>
          </cell>
          <cell r="J1378">
            <v>441</v>
          </cell>
          <cell r="K1378">
            <v>360</v>
          </cell>
          <cell r="L1378">
            <v>454</v>
          </cell>
          <cell r="M1378">
            <v>296</v>
          </cell>
          <cell r="N1378">
            <v>542</v>
          </cell>
          <cell r="O1378">
            <v>356</v>
          </cell>
          <cell r="P1378">
            <v>352</v>
          </cell>
          <cell r="Q1378">
            <v>4945</v>
          </cell>
        </row>
        <row r="1379">
          <cell r="A1379" t="str">
            <v>US28P015013991200015</v>
          </cell>
          <cell r="B1379" t="str">
            <v>US28P01501</v>
          </cell>
          <cell r="C1379">
            <v>3991200015</v>
          </cell>
          <cell r="D1379" t="str">
            <v>TELEPHONE</v>
          </cell>
          <cell r="E1379">
            <v>1017</v>
          </cell>
          <cell r="F1379">
            <v>489</v>
          </cell>
          <cell r="G1379">
            <v>1829</v>
          </cell>
          <cell r="H1379">
            <v>642</v>
          </cell>
          <cell r="I1379">
            <v>863</v>
          </cell>
          <cell r="J1379">
            <v>3102</v>
          </cell>
          <cell r="K1379">
            <v>1795</v>
          </cell>
          <cell r="L1379">
            <v>661</v>
          </cell>
          <cell r="M1379">
            <v>1199</v>
          </cell>
          <cell r="N1379">
            <v>706</v>
          </cell>
          <cell r="O1379">
            <v>2734</v>
          </cell>
          <cell r="P1379">
            <v>2659</v>
          </cell>
          <cell r="Q1379">
            <v>17696</v>
          </cell>
        </row>
        <row r="1380">
          <cell r="A1380" t="str">
            <v>US28P015503991200015</v>
          </cell>
          <cell r="B1380" t="str">
            <v>US28P01550</v>
          </cell>
          <cell r="C1380">
            <v>3991200015</v>
          </cell>
          <cell r="D1380" t="str">
            <v>TELEPHONE</v>
          </cell>
          <cell r="E1380">
            <v>0</v>
          </cell>
          <cell r="F1380">
            <v>0</v>
          </cell>
          <cell r="G1380">
            <v>0</v>
          </cell>
          <cell r="H1380">
            <v>0</v>
          </cell>
          <cell r="I1380">
            <v>0</v>
          </cell>
          <cell r="J1380">
            <v>0</v>
          </cell>
          <cell r="K1380">
            <v>0</v>
          </cell>
          <cell r="L1380">
            <v>388</v>
          </cell>
          <cell r="M1380">
            <v>0</v>
          </cell>
          <cell r="N1380">
            <v>0</v>
          </cell>
          <cell r="O1380">
            <v>0</v>
          </cell>
          <cell r="P1380">
            <v>0</v>
          </cell>
          <cell r="Q1380">
            <v>388</v>
          </cell>
        </row>
        <row r="1381">
          <cell r="A1381" t="str">
            <v>US28P015533991200015</v>
          </cell>
          <cell r="B1381" t="str">
            <v>US28P01553</v>
          </cell>
          <cell r="C1381">
            <v>3991200015</v>
          </cell>
          <cell r="D1381" t="str">
            <v>TELEPHONE</v>
          </cell>
          <cell r="E1381">
            <v>0</v>
          </cell>
          <cell r="F1381">
            <v>0</v>
          </cell>
          <cell r="G1381">
            <v>0</v>
          </cell>
          <cell r="H1381">
            <v>0</v>
          </cell>
          <cell r="I1381">
            <v>0</v>
          </cell>
          <cell r="J1381">
            <v>0</v>
          </cell>
          <cell r="K1381">
            <v>62</v>
          </cell>
          <cell r="L1381">
            <v>0</v>
          </cell>
          <cell r="M1381">
            <v>0</v>
          </cell>
          <cell r="N1381">
            <v>0</v>
          </cell>
          <cell r="O1381">
            <v>0</v>
          </cell>
          <cell r="P1381">
            <v>0</v>
          </cell>
          <cell r="Q1381">
            <v>62</v>
          </cell>
        </row>
        <row r="1382">
          <cell r="A1382" t="str">
            <v>US35P015013991200015</v>
          </cell>
          <cell r="B1382" t="str">
            <v>US35P01501</v>
          </cell>
          <cell r="C1382">
            <v>3991200015</v>
          </cell>
          <cell r="D1382" t="str">
            <v>TELEPHONE</v>
          </cell>
          <cell r="E1382">
            <v>6247</v>
          </cell>
          <cell r="F1382">
            <v>2905</v>
          </cell>
          <cell r="G1382">
            <v>3697</v>
          </cell>
          <cell r="H1382">
            <v>43</v>
          </cell>
          <cell r="I1382">
            <v>6222</v>
          </cell>
          <cell r="J1382">
            <v>771</v>
          </cell>
          <cell r="K1382">
            <v>6335</v>
          </cell>
          <cell r="L1382">
            <v>2885</v>
          </cell>
          <cell r="M1382">
            <v>150</v>
          </cell>
          <cell r="N1382">
            <v>6031</v>
          </cell>
          <cell r="O1382">
            <v>877</v>
          </cell>
          <cell r="P1382">
            <v>3876</v>
          </cell>
          <cell r="Q1382">
            <v>40039</v>
          </cell>
        </row>
        <row r="1383">
          <cell r="A1383" t="str">
            <v>US35P015503991200015</v>
          </cell>
          <cell r="B1383" t="str">
            <v>US35P01550</v>
          </cell>
          <cell r="C1383">
            <v>3991200015</v>
          </cell>
          <cell r="D1383" t="str">
            <v>TELEPHONE</v>
          </cell>
          <cell r="E1383">
            <v>10</v>
          </cell>
          <cell r="F1383">
            <v>118</v>
          </cell>
          <cell r="G1383">
            <v>0</v>
          </cell>
          <cell r="H1383">
            <v>0</v>
          </cell>
          <cell r="I1383">
            <v>0</v>
          </cell>
          <cell r="J1383">
            <v>289</v>
          </cell>
          <cell r="K1383">
            <v>0</v>
          </cell>
          <cell r="L1383">
            <v>385</v>
          </cell>
          <cell r="M1383">
            <v>0</v>
          </cell>
          <cell r="N1383">
            <v>0</v>
          </cell>
          <cell r="O1383">
            <v>0</v>
          </cell>
          <cell r="P1383">
            <v>0</v>
          </cell>
          <cell r="Q1383">
            <v>802</v>
          </cell>
        </row>
        <row r="1384">
          <cell r="A1384" t="str">
            <v>US35P015603991200015</v>
          </cell>
          <cell r="B1384" t="str">
            <v>US35P01560</v>
          </cell>
          <cell r="C1384">
            <v>3991200015</v>
          </cell>
          <cell r="D1384" t="str">
            <v>TELEPHONE</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row>
        <row r="1385">
          <cell r="A1385" t="str">
            <v>USWOP015013991200015</v>
          </cell>
          <cell r="B1385" t="str">
            <v>USWOP01501</v>
          </cell>
          <cell r="C1385">
            <v>3991200015</v>
          </cell>
          <cell r="D1385" t="str">
            <v>TELEPHONE</v>
          </cell>
          <cell r="E1385">
            <v>0</v>
          </cell>
          <cell r="F1385">
            <v>0</v>
          </cell>
          <cell r="G1385">
            <v>90</v>
          </cell>
          <cell r="H1385">
            <v>0</v>
          </cell>
          <cell r="I1385">
            <v>246</v>
          </cell>
          <cell r="J1385">
            <v>0</v>
          </cell>
          <cell r="K1385">
            <v>5</v>
          </cell>
          <cell r="L1385">
            <v>444</v>
          </cell>
          <cell r="M1385">
            <v>451</v>
          </cell>
          <cell r="N1385">
            <v>135</v>
          </cell>
          <cell r="O1385">
            <v>0</v>
          </cell>
          <cell r="P1385">
            <v>0</v>
          </cell>
          <cell r="Q1385">
            <v>1371</v>
          </cell>
        </row>
        <row r="1386">
          <cell r="A1386" t="str">
            <v>USWOP015503991200015</v>
          </cell>
          <cell r="B1386" t="str">
            <v>USWOP01550</v>
          </cell>
          <cell r="C1386">
            <v>3991200015</v>
          </cell>
          <cell r="D1386" t="str">
            <v>TELEPHONE</v>
          </cell>
          <cell r="E1386">
            <v>0</v>
          </cell>
          <cell r="F1386">
            <v>0</v>
          </cell>
          <cell r="G1386">
            <v>0</v>
          </cell>
          <cell r="H1386">
            <v>0</v>
          </cell>
          <cell r="I1386">
            <v>0</v>
          </cell>
          <cell r="J1386">
            <v>30</v>
          </cell>
          <cell r="K1386">
            <v>114</v>
          </cell>
          <cell r="L1386">
            <v>114</v>
          </cell>
          <cell r="M1386">
            <v>0</v>
          </cell>
          <cell r="N1386">
            <v>0</v>
          </cell>
          <cell r="O1386">
            <v>0</v>
          </cell>
          <cell r="P1386">
            <v>0</v>
          </cell>
          <cell r="Q1386">
            <v>258</v>
          </cell>
        </row>
        <row r="1387">
          <cell r="A1387" t="str">
            <v>US59P015013991200015</v>
          </cell>
          <cell r="B1387" t="str">
            <v>US59P01501</v>
          </cell>
          <cell r="C1387">
            <v>3991200015</v>
          </cell>
          <cell r="D1387" t="str">
            <v>TELEPHONE</v>
          </cell>
          <cell r="E1387">
            <v>-118</v>
          </cell>
          <cell r="F1387">
            <v>21</v>
          </cell>
          <cell r="G1387">
            <v>0</v>
          </cell>
          <cell r="H1387">
            <v>0</v>
          </cell>
          <cell r="I1387">
            <v>22</v>
          </cell>
          <cell r="J1387">
            <v>0</v>
          </cell>
          <cell r="K1387">
            <v>0</v>
          </cell>
          <cell r="L1387">
            <v>0</v>
          </cell>
          <cell r="M1387">
            <v>0</v>
          </cell>
          <cell r="N1387">
            <v>1210</v>
          </cell>
          <cell r="O1387">
            <v>260</v>
          </cell>
          <cell r="P1387">
            <v>0</v>
          </cell>
          <cell r="Q1387">
            <v>1395</v>
          </cell>
        </row>
        <row r="1388">
          <cell r="A1388" t="str">
            <v>US59P015603991200015</v>
          </cell>
          <cell r="B1388" t="str">
            <v>US59P01560</v>
          </cell>
          <cell r="C1388">
            <v>3991200015</v>
          </cell>
          <cell r="D1388" t="str">
            <v>TELEPHONE</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row>
        <row r="1389">
          <cell r="A1389" t="str">
            <v>US59P3C5013991200015</v>
          </cell>
          <cell r="B1389" t="str">
            <v>US59P3C501</v>
          </cell>
          <cell r="C1389">
            <v>3991200015</v>
          </cell>
          <cell r="D1389" t="str">
            <v>TELEPHONE</v>
          </cell>
          <cell r="E1389">
            <v>-2</v>
          </cell>
          <cell r="F1389">
            <v>0</v>
          </cell>
          <cell r="G1389">
            <v>0</v>
          </cell>
          <cell r="H1389">
            <v>0</v>
          </cell>
          <cell r="I1389">
            <v>0</v>
          </cell>
          <cell r="J1389">
            <v>0</v>
          </cell>
          <cell r="K1389">
            <v>0</v>
          </cell>
          <cell r="L1389">
            <v>22</v>
          </cell>
          <cell r="M1389">
            <v>0</v>
          </cell>
          <cell r="N1389">
            <v>0</v>
          </cell>
          <cell r="O1389">
            <v>400</v>
          </cell>
          <cell r="P1389">
            <v>0</v>
          </cell>
          <cell r="Q1389">
            <v>420</v>
          </cell>
        </row>
        <row r="1390">
          <cell r="A1390" t="str">
            <v>US59P3C5603991200015</v>
          </cell>
          <cell r="B1390" t="str">
            <v>US59P3C560</v>
          </cell>
          <cell r="C1390">
            <v>3991200015</v>
          </cell>
          <cell r="D1390" t="str">
            <v>TELEPHONE</v>
          </cell>
          <cell r="E1390">
            <v>0</v>
          </cell>
          <cell r="F1390">
            <v>0</v>
          </cell>
          <cell r="G1390">
            <v>0</v>
          </cell>
          <cell r="H1390">
            <v>0</v>
          </cell>
          <cell r="I1390">
            <v>0</v>
          </cell>
          <cell r="J1390">
            <v>0</v>
          </cell>
          <cell r="K1390">
            <v>0</v>
          </cell>
          <cell r="L1390">
            <v>0</v>
          </cell>
          <cell r="M1390">
            <v>0</v>
          </cell>
          <cell r="N1390">
            <v>943</v>
          </cell>
          <cell r="O1390">
            <v>0</v>
          </cell>
          <cell r="P1390">
            <v>0</v>
          </cell>
          <cell r="Q1390">
            <v>943</v>
          </cell>
        </row>
        <row r="1391">
          <cell r="A1391" t="str">
            <v>US59PZA5013991200015</v>
          </cell>
          <cell r="B1391" t="str">
            <v>US59PZA501</v>
          </cell>
          <cell r="C1391">
            <v>3991200015</v>
          </cell>
          <cell r="D1391" t="str">
            <v>TELEPHONE</v>
          </cell>
          <cell r="E1391">
            <v>112</v>
          </cell>
          <cell r="F1391">
            <v>0</v>
          </cell>
          <cell r="G1391">
            <v>0</v>
          </cell>
          <cell r="H1391">
            <v>0</v>
          </cell>
          <cell r="I1391">
            <v>0</v>
          </cell>
          <cell r="J1391">
            <v>17</v>
          </cell>
          <cell r="K1391">
            <v>14</v>
          </cell>
          <cell r="L1391">
            <v>0</v>
          </cell>
          <cell r="M1391">
            <v>0</v>
          </cell>
          <cell r="N1391">
            <v>0</v>
          </cell>
          <cell r="O1391">
            <v>9</v>
          </cell>
          <cell r="P1391">
            <v>0</v>
          </cell>
          <cell r="Q1391">
            <v>152</v>
          </cell>
        </row>
        <row r="1392">
          <cell r="A1392" t="str">
            <v>US59PZA5503991200015</v>
          </cell>
          <cell r="B1392" t="str">
            <v>US59PZA550</v>
          </cell>
          <cell r="C1392">
            <v>3991200015</v>
          </cell>
          <cell r="D1392" t="str">
            <v>TELEPHONE</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row>
        <row r="1393">
          <cell r="A1393" t="str">
            <v>USSTP015013991200015</v>
          </cell>
          <cell r="B1393" t="str">
            <v>USSTP01501</v>
          </cell>
          <cell r="C1393">
            <v>3991200015</v>
          </cell>
          <cell r="D1393" t="str">
            <v>TELEPHONE</v>
          </cell>
          <cell r="E1393">
            <v>145</v>
          </cell>
          <cell r="F1393">
            <v>130</v>
          </cell>
          <cell r="G1393">
            <v>131</v>
          </cell>
          <cell r="H1393">
            <v>0</v>
          </cell>
          <cell r="I1393">
            <v>0</v>
          </cell>
          <cell r="J1393">
            <v>-86</v>
          </cell>
          <cell r="K1393">
            <v>0</v>
          </cell>
          <cell r="L1393">
            <v>0</v>
          </cell>
          <cell r="M1393">
            <v>0</v>
          </cell>
          <cell r="N1393">
            <v>0</v>
          </cell>
          <cell r="O1393">
            <v>0</v>
          </cell>
          <cell r="P1393">
            <v>0</v>
          </cell>
          <cell r="Q1393">
            <v>320</v>
          </cell>
        </row>
        <row r="1394">
          <cell r="A1394" t="str">
            <v>USCRP015013991200015</v>
          </cell>
          <cell r="B1394" t="str">
            <v>USCRP01501</v>
          </cell>
          <cell r="C1394">
            <v>3991200015</v>
          </cell>
          <cell r="D1394" t="str">
            <v>TELEPHONE</v>
          </cell>
          <cell r="E1394">
            <v>45</v>
          </cell>
          <cell r="F1394">
            <v>0</v>
          </cell>
          <cell r="G1394">
            <v>0</v>
          </cell>
          <cell r="H1394">
            <v>0</v>
          </cell>
          <cell r="I1394">
            <v>0</v>
          </cell>
          <cell r="J1394">
            <v>0</v>
          </cell>
          <cell r="K1394">
            <v>0</v>
          </cell>
          <cell r="L1394">
            <v>395</v>
          </cell>
          <cell r="M1394">
            <v>0</v>
          </cell>
          <cell r="N1394">
            <v>0</v>
          </cell>
          <cell r="O1394">
            <v>0</v>
          </cell>
          <cell r="P1394">
            <v>0</v>
          </cell>
          <cell r="Q1394">
            <v>440</v>
          </cell>
        </row>
        <row r="1395">
          <cell r="A1395" t="str">
            <v>USCRP015503991200015</v>
          </cell>
          <cell r="B1395" t="str">
            <v>USCRP01550</v>
          </cell>
          <cell r="C1395">
            <v>3991200015</v>
          </cell>
          <cell r="D1395" t="str">
            <v>TELEPHONE</v>
          </cell>
          <cell r="E1395">
            <v>0</v>
          </cell>
          <cell r="F1395">
            <v>0</v>
          </cell>
          <cell r="G1395">
            <v>0</v>
          </cell>
          <cell r="H1395">
            <v>0</v>
          </cell>
          <cell r="I1395">
            <v>338</v>
          </cell>
          <cell r="J1395">
            <v>159</v>
          </cell>
          <cell r="K1395">
            <v>270</v>
          </cell>
          <cell r="L1395">
            <v>624</v>
          </cell>
          <cell r="M1395">
            <v>130</v>
          </cell>
          <cell r="N1395">
            <v>69</v>
          </cell>
          <cell r="O1395">
            <v>-63</v>
          </cell>
          <cell r="P1395">
            <v>0</v>
          </cell>
          <cell r="Q1395">
            <v>1527</v>
          </cell>
        </row>
        <row r="1396">
          <cell r="A1396" t="str">
            <v>USCRP015643991200015</v>
          </cell>
          <cell r="B1396" t="str">
            <v>USCRP01564</v>
          </cell>
          <cell r="C1396">
            <v>3991200015</v>
          </cell>
          <cell r="D1396" t="str">
            <v>TELEPHONE</v>
          </cell>
          <cell r="E1396">
            <v>0</v>
          </cell>
          <cell r="F1396">
            <v>0</v>
          </cell>
          <cell r="G1396">
            <v>0</v>
          </cell>
          <cell r="H1396">
            <v>0</v>
          </cell>
          <cell r="I1396">
            <v>0</v>
          </cell>
          <cell r="J1396">
            <v>0</v>
          </cell>
          <cell r="K1396">
            <v>0</v>
          </cell>
          <cell r="L1396">
            <v>4790</v>
          </cell>
          <cell r="M1396">
            <v>0</v>
          </cell>
          <cell r="N1396">
            <v>0</v>
          </cell>
          <cell r="O1396">
            <v>0</v>
          </cell>
          <cell r="P1396">
            <v>0</v>
          </cell>
          <cell r="Q1396">
            <v>4790</v>
          </cell>
        </row>
        <row r="1397">
          <cell r="A1397" t="str">
            <v>USCRP015853991200015</v>
          </cell>
          <cell r="B1397" t="str">
            <v>USCRP01585</v>
          </cell>
          <cell r="C1397">
            <v>3991200015</v>
          </cell>
          <cell r="D1397" t="str">
            <v>TELEPHONE</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row>
        <row r="1398">
          <cell r="A1398" t="str">
            <v>US22P015013991200018</v>
          </cell>
          <cell r="B1398" t="str">
            <v>US22P01501</v>
          </cell>
          <cell r="C1398">
            <v>3991200018</v>
          </cell>
          <cell r="D1398" t="str">
            <v>SUBSCRIPTIONS</v>
          </cell>
          <cell r="E1398">
            <v>0</v>
          </cell>
          <cell r="F1398">
            <v>248</v>
          </cell>
          <cell r="G1398">
            <v>0</v>
          </cell>
          <cell r="H1398">
            <v>380</v>
          </cell>
          <cell r="I1398">
            <v>258</v>
          </cell>
          <cell r="J1398">
            <v>0</v>
          </cell>
          <cell r="K1398">
            <v>331</v>
          </cell>
          <cell r="L1398">
            <v>549</v>
          </cell>
          <cell r="M1398">
            <v>43</v>
          </cell>
          <cell r="N1398">
            <v>0</v>
          </cell>
          <cell r="O1398">
            <v>0</v>
          </cell>
          <cell r="P1398">
            <v>0</v>
          </cell>
          <cell r="Q1398">
            <v>1809</v>
          </cell>
        </row>
        <row r="1399">
          <cell r="A1399" t="str">
            <v>US28P015013991200018</v>
          </cell>
          <cell r="B1399" t="str">
            <v>US28P01501</v>
          </cell>
          <cell r="C1399">
            <v>3991200018</v>
          </cell>
          <cell r="D1399" t="str">
            <v>SUBSCRIPTIONS</v>
          </cell>
          <cell r="E1399">
            <v>75</v>
          </cell>
          <cell r="F1399">
            <v>0</v>
          </cell>
          <cell r="G1399">
            <v>0</v>
          </cell>
          <cell r="H1399">
            <v>0</v>
          </cell>
          <cell r="I1399">
            <v>0</v>
          </cell>
          <cell r="J1399">
            <v>0</v>
          </cell>
          <cell r="K1399">
            <v>0</v>
          </cell>
          <cell r="L1399">
            <v>0</v>
          </cell>
          <cell r="M1399">
            <v>58</v>
          </cell>
          <cell r="N1399">
            <v>0</v>
          </cell>
          <cell r="O1399">
            <v>0</v>
          </cell>
          <cell r="P1399">
            <v>0</v>
          </cell>
          <cell r="Q1399">
            <v>133</v>
          </cell>
        </row>
        <row r="1400">
          <cell r="A1400" t="str">
            <v>US35P015013991200018</v>
          </cell>
          <cell r="B1400" t="str">
            <v>US35P01501</v>
          </cell>
          <cell r="C1400">
            <v>3991200018</v>
          </cell>
          <cell r="D1400" t="str">
            <v>SUBSCRIPTIONS</v>
          </cell>
          <cell r="E1400">
            <v>0</v>
          </cell>
          <cell r="F1400">
            <v>0</v>
          </cell>
          <cell r="G1400">
            <v>0</v>
          </cell>
          <cell r="H1400">
            <v>0</v>
          </cell>
          <cell r="I1400">
            <v>0</v>
          </cell>
          <cell r="J1400">
            <v>0</v>
          </cell>
          <cell r="K1400">
            <v>78</v>
          </cell>
          <cell r="L1400">
            <v>0</v>
          </cell>
          <cell r="M1400">
            <v>0</v>
          </cell>
          <cell r="N1400">
            <v>0</v>
          </cell>
          <cell r="O1400">
            <v>0</v>
          </cell>
          <cell r="P1400">
            <v>0</v>
          </cell>
          <cell r="Q1400">
            <v>78</v>
          </cell>
        </row>
        <row r="1401">
          <cell r="A1401" t="str">
            <v>USWOP015013991200018</v>
          </cell>
          <cell r="B1401" t="str">
            <v>USWOP01501</v>
          </cell>
          <cell r="C1401">
            <v>3991200018</v>
          </cell>
          <cell r="D1401" t="str">
            <v>SUBSCRIPTIONS</v>
          </cell>
          <cell r="E1401">
            <v>160</v>
          </cell>
          <cell r="F1401">
            <v>0</v>
          </cell>
          <cell r="G1401">
            <v>100</v>
          </cell>
          <cell r="H1401">
            <v>0</v>
          </cell>
          <cell r="I1401">
            <v>0</v>
          </cell>
          <cell r="J1401">
            <v>0</v>
          </cell>
          <cell r="K1401">
            <v>0</v>
          </cell>
          <cell r="L1401">
            <v>237</v>
          </cell>
          <cell r="M1401">
            <v>40</v>
          </cell>
          <cell r="N1401">
            <v>0</v>
          </cell>
          <cell r="O1401">
            <v>0</v>
          </cell>
          <cell r="P1401">
            <v>744</v>
          </cell>
          <cell r="Q1401">
            <v>1281</v>
          </cell>
        </row>
        <row r="1402">
          <cell r="A1402" t="str">
            <v>US59P015013991200018</v>
          </cell>
          <cell r="B1402" t="str">
            <v>US59P01501</v>
          </cell>
          <cell r="C1402">
            <v>3991200018</v>
          </cell>
          <cell r="D1402" t="str">
            <v>SUBSCRIPTIONS</v>
          </cell>
          <cell r="E1402">
            <v>450</v>
          </cell>
          <cell r="F1402">
            <v>0</v>
          </cell>
          <cell r="G1402">
            <v>0</v>
          </cell>
          <cell r="H1402">
            <v>0</v>
          </cell>
          <cell r="I1402">
            <v>0</v>
          </cell>
          <cell r="J1402">
            <v>0</v>
          </cell>
          <cell r="K1402">
            <v>0</v>
          </cell>
          <cell r="L1402">
            <v>0</v>
          </cell>
          <cell r="M1402">
            <v>0</v>
          </cell>
          <cell r="N1402">
            <v>0</v>
          </cell>
          <cell r="O1402">
            <v>0</v>
          </cell>
          <cell r="P1402">
            <v>244</v>
          </cell>
          <cell r="Q1402">
            <v>694</v>
          </cell>
        </row>
        <row r="1403">
          <cell r="A1403" t="str">
            <v>US59P3C5013991200018</v>
          </cell>
          <cell r="B1403" t="str">
            <v>US59P3C501</v>
          </cell>
          <cell r="C1403">
            <v>3991200018</v>
          </cell>
          <cell r="D1403" t="str">
            <v>SUBSCRIPTIONS</v>
          </cell>
          <cell r="E1403">
            <v>0</v>
          </cell>
          <cell r="F1403">
            <v>0</v>
          </cell>
          <cell r="G1403">
            <v>0</v>
          </cell>
          <cell r="H1403">
            <v>0</v>
          </cell>
          <cell r="I1403">
            <v>0</v>
          </cell>
          <cell r="J1403">
            <v>0</v>
          </cell>
          <cell r="K1403">
            <v>0</v>
          </cell>
          <cell r="L1403">
            <v>0</v>
          </cell>
          <cell r="M1403">
            <v>0</v>
          </cell>
          <cell r="N1403">
            <v>39</v>
          </cell>
          <cell r="O1403">
            <v>0</v>
          </cell>
          <cell r="P1403">
            <v>0</v>
          </cell>
          <cell r="Q1403">
            <v>39</v>
          </cell>
        </row>
        <row r="1404">
          <cell r="A1404" t="str">
            <v>USCRP015013991200018</v>
          </cell>
          <cell r="B1404" t="str">
            <v>USCRP01501</v>
          </cell>
          <cell r="C1404">
            <v>3991200018</v>
          </cell>
          <cell r="D1404" t="str">
            <v>SUBSCRIPTIONS</v>
          </cell>
          <cell r="E1404">
            <v>0</v>
          </cell>
          <cell r="F1404">
            <v>220</v>
          </cell>
          <cell r="G1404">
            <v>269</v>
          </cell>
          <cell r="H1404">
            <v>0</v>
          </cell>
          <cell r="I1404">
            <v>1468</v>
          </cell>
          <cell r="J1404">
            <v>0</v>
          </cell>
          <cell r="K1404">
            <v>0</v>
          </cell>
          <cell r="L1404">
            <v>348</v>
          </cell>
          <cell r="M1404">
            <v>50</v>
          </cell>
          <cell r="N1404">
            <v>288</v>
          </cell>
          <cell r="O1404">
            <v>0</v>
          </cell>
          <cell r="P1404">
            <v>0</v>
          </cell>
          <cell r="Q1404">
            <v>2643</v>
          </cell>
        </row>
        <row r="1405">
          <cell r="A1405" t="str">
            <v>US59P015013991200023</v>
          </cell>
          <cell r="B1405" t="str">
            <v>US59P01501</v>
          </cell>
          <cell r="C1405">
            <v>3991200023</v>
          </cell>
          <cell r="D1405" t="str">
            <v>OTHER COMMUNICATION MEANS</v>
          </cell>
          <cell r="E1405">
            <v>0</v>
          </cell>
          <cell r="F1405">
            <v>0</v>
          </cell>
          <cell r="G1405">
            <v>0</v>
          </cell>
          <cell r="H1405">
            <v>0</v>
          </cell>
          <cell r="I1405">
            <v>0</v>
          </cell>
          <cell r="J1405">
            <v>0</v>
          </cell>
          <cell r="K1405">
            <v>0</v>
          </cell>
          <cell r="L1405">
            <v>34</v>
          </cell>
          <cell r="M1405">
            <v>0</v>
          </cell>
          <cell r="N1405">
            <v>0</v>
          </cell>
          <cell r="O1405">
            <v>0</v>
          </cell>
          <cell r="P1405">
            <v>0</v>
          </cell>
          <cell r="Q1405">
            <v>34</v>
          </cell>
        </row>
        <row r="1406">
          <cell r="A1406" t="str">
            <v>USCRP015013991200023</v>
          </cell>
          <cell r="B1406" t="str">
            <v>USCRP01501</v>
          </cell>
          <cell r="C1406">
            <v>3991200023</v>
          </cell>
          <cell r="D1406" t="str">
            <v>OTHER COMMUNICATION MEANS</v>
          </cell>
          <cell r="E1406">
            <v>0</v>
          </cell>
          <cell r="F1406">
            <v>0</v>
          </cell>
          <cell r="G1406">
            <v>0</v>
          </cell>
          <cell r="H1406">
            <v>535</v>
          </cell>
          <cell r="I1406">
            <v>0</v>
          </cell>
          <cell r="J1406">
            <v>268</v>
          </cell>
          <cell r="K1406">
            <v>268</v>
          </cell>
          <cell r="L1406">
            <v>268</v>
          </cell>
          <cell r="M1406">
            <v>0</v>
          </cell>
          <cell r="N1406">
            <v>268</v>
          </cell>
          <cell r="O1406">
            <v>268</v>
          </cell>
          <cell r="P1406">
            <v>268</v>
          </cell>
          <cell r="Q1406">
            <v>2143</v>
          </cell>
        </row>
        <row r="1407">
          <cell r="A1407" t="str">
            <v>USCRP015503991200023</v>
          </cell>
          <cell r="B1407" t="str">
            <v>USCRP01550</v>
          </cell>
          <cell r="C1407">
            <v>3991200023</v>
          </cell>
          <cell r="D1407" t="str">
            <v>OTHER COMMUNICATION MEANS</v>
          </cell>
          <cell r="E1407">
            <v>0</v>
          </cell>
          <cell r="F1407">
            <v>0</v>
          </cell>
          <cell r="G1407">
            <v>0</v>
          </cell>
          <cell r="H1407">
            <v>0</v>
          </cell>
          <cell r="I1407">
            <v>0</v>
          </cell>
          <cell r="J1407">
            <v>0</v>
          </cell>
          <cell r="K1407">
            <v>0</v>
          </cell>
          <cell r="L1407">
            <v>0</v>
          </cell>
          <cell r="M1407">
            <v>268</v>
          </cell>
          <cell r="N1407">
            <v>0</v>
          </cell>
          <cell r="O1407">
            <v>0</v>
          </cell>
          <cell r="P1407">
            <v>0</v>
          </cell>
          <cell r="Q1407">
            <v>268</v>
          </cell>
        </row>
        <row r="1408">
          <cell r="A1408" t="str">
            <v>US22P015013991200068</v>
          </cell>
          <cell r="B1408" t="str">
            <v>US22P01501</v>
          </cell>
          <cell r="C1408">
            <v>3991200068</v>
          </cell>
          <cell r="D1408" t="str">
            <v>ASSOCIATION AND DEVELOPMENT FUND</v>
          </cell>
          <cell r="E1408">
            <v>151</v>
          </cell>
          <cell r="F1408">
            <v>0</v>
          </cell>
          <cell r="G1408">
            <v>0</v>
          </cell>
          <cell r="H1408">
            <v>0</v>
          </cell>
          <cell r="I1408">
            <v>40</v>
          </cell>
          <cell r="J1408">
            <v>0</v>
          </cell>
          <cell r="K1408">
            <v>0</v>
          </cell>
          <cell r="L1408">
            <v>0</v>
          </cell>
          <cell r="M1408">
            <v>0</v>
          </cell>
          <cell r="N1408">
            <v>0</v>
          </cell>
          <cell r="O1408">
            <v>0</v>
          </cell>
          <cell r="P1408">
            <v>0</v>
          </cell>
          <cell r="Q1408">
            <v>191</v>
          </cell>
        </row>
        <row r="1409">
          <cell r="A1409" t="str">
            <v>US35P015013991200068</v>
          </cell>
          <cell r="B1409" t="str">
            <v>US35P01501</v>
          </cell>
          <cell r="C1409">
            <v>3991200068</v>
          </cell>
          <cell r="D1409" t="str">
            <v>ASSOCIATION AND DEVELOPMENT FUND</v>
          </cell>
          <cell r="E1409">
            <v>300</v>
          </cell>
          <cell r="F1409">
            <v>235</v>
          </cell>
          <cell r="G1409">
            <v>285</v>
          </cell>
          <cell r="H1409">
            <v>0</v>
          </cell>
          <cell r="I1409">
            <v>150</v>
          </cell>
          <cell r="J1409">
            <v>500</v>
          </cell>
          <cell r="K1409">
            <v>0</v>
          </cell>
          <cell r="L1409">
            <v>0</v>
          </cell>
          <cell r="M1409">
            <v>0</v>
          </cell>
          <cell r="N1409">
            <v>0</v>
          </cell>
          <cell r="O1409">
            <v>0</v>
          </cell>
          <cell r="P1409">
            <v>1225</v>
          </cell>
          <cell r="Q1409">
            <v>2695</v>
          </cell>
        </row>
        <row r="1410">
          <cell r="A1410" t="str">
            <v>US35P015603991200068</v>
          </cell>
          <cell r="B1410" t="str">
            <v>US35P01560</v>
          </cell>
          <cell r="C1410">
            <v>3991200068</v>
          </cell>
          <cell r="D1410" t="str">
            <v>ASSOCIATION AND DEVELOPMENT FUND</v>
          </cell>
          <cell r="E1410">
            <v>160</v>
          </cell>
          <cell r="F1410">
            <v>0</v>
          </cell>
          <cell r="G1410">
            <v>0</v>
          </cell>
          <cell r="H1410">
            <v>0</v>
          </cell>
          <cell r="I1410">
            <v>0</v>
          </cell>
          <cell r="J1410">
            <v>0</v>
          </cell>
          <cell r="K1410">
            <v>0</v>
          </cell>
          <cell r="L1410">
            <v>0</v>
          </cell>
          <cell r="M1410">
            <v>0</v>
          </cell>
          <cell r="N1410">
            <v>0</v>
          </cell>
          <cell r="O1410">
            <v>0</v>
          </cell>
          <cell r="P1410">
            <v>0</v>
          </cell>
          <cell r="Q1410">
            <v>160</v>
          </cell>
        </row>
        <row r="1411">
          <cell r="A1411" t="str">
            <v>US59P015013991200068</v>
          </cell>
          <cell r="B1411" t="str">
            <v>US59P01501</v>
          </cell>
          <cell r="C1411">
            <v>3991200068</v>
          </cell>
          <cell r="D1411" t="str">
            <v>ASSOCIATION AND DEVELOPMENT FUND</v>
          </cell>
          <cell r="E1411">
            <v>0</v>
          </cell>
          <cell r="F1411">
            <v>0</v>
          </cell>
          <cell r="G1411">
            <v>0</v>
          </cell>
          <cell r="H1411">
            <v>0</v>
          </cell>
          <cell r="I1411">
            <v>0</v>
          </cell>
          <cell r="J1411">
            <v>0</v>
          </cell>
          <cell r="K1411">
            <v>0</v>
          </cell>
          <cell r="L1411">
            <v>0</v>
          </cell>
          <cell r="M1411">
            <v>0</v>
          </cell>
          <cell r="N1411">
            <v>0</v>
          </cell>
          <cell r="O1411">
            <v>0</v>
          </cell>
          <cell r="P1411">
            <v>450</v>
          </cell>
          <cell r="Q1411">
            <v>450</v>
          </cell>
        </row>
        <row r="1412">
          <cell r="A1412" t="str">
            <v>USCRP015013991200068</v>
          </cell>
          <cell r="B1412" t="str">
            <v>USCRP01501</v>
          </cell>
          <cell r="C1412">
            <v>3991200068</v>
          </cell>
          <cell r="D1412" t="str">
            <v>ASSOCIATION AND DEVELOPMENT FUND</v>
          </cell>
          <cell r="E1412">
            <v>0</v>
          </cell>
          <cell r="F1412">
            <v>0</v>
          </cell>
          <cell r="G1412">
            <v>0</v>
          </cell>
          <cell r="H1412">
            <v>0</v>
          </cell>
          <cell r="I1412">
            <v>0</v>
          </cell>
          <cell r="J1412">
            <v>0</v>
          </cell>
          <cell r="K1412">
            <v>0</v>
          </cell>
          <cell r="L1412">
            <v>1000</v>
          </cell>
          <cell r="M1412">
            <v>0</v>
          </cell>
          <cell r="N1412">
            <v>0</v>
          </cell>
          <cell r="O1412">
            <v>0</v>
          </cell>
          <cell r="P1412">
            <v>0</v>
          </cell>
          <cell r="Q1412">
            <v>1000</v>
          </cell>
        </row>
        <row r="1413">
          <cell r="A1413" t="str">
            <v>US28P015013991200069</v>
          </cell>
          <cell r="B1413" t="str">
            <v>US28P01501</v>
          </cell>
          <cell r="C1413">
            <v>3991200069</v>
          </cell>
          <cell r="D1413" t="str">
            <v>COMPANY MEMBERSHIP DUES</v>
          </cell>
          <cell r="E1413">
            <v>0</v>
          </cell>
          <cell r="F1413">
            <v>0</v>
          </cell>
          <cell r="G1413">
            <v>0</v>
          </cell>
          <cell r="H1413">
            <v>0</v>
          </cell>
          <cell r="I1413">
            <v>0</v>
          </cell>
          <cell r="J1413">
            <v>300</v>
          </cell>
          <cell r="K1413">
            <v>0</v>
          </cell>
          <cell r="L1413">
            <v>0</v>
          </cell>
          <cell r="M1413">
            <v>0</v>
          </cell>
          <cell r="N1413">
            <v>420</v>
          </cell>
          <cell r="O1413">
            <v>0</v>
          </cell>
          <cell r="P1413">
            <v>0</v>
          </cell>
          <cell r="Q1413">
            <v>720</v>
          </cell>
        </row>
        <row r="1414">
          <cell r="A1414" t="str">
            <v>US35P015013991200069</v>
          </cell>
          <cell r="B1414" t="str">
            <v>US35P01501</v>
          </cell>
          <cell r="C1414">
            <v>3991200069</v>
          </cell>
          <cell r="D1414" t="str">
            <v>COMPANY MEMBERSHIP DUES</v>
          </cell>
          <cell r="E1414">
            <v>0</v>
          </cell>
          <cell r="F1414">
            <v>0</v>
          </cell>
          <cell r="G1414">
            <v>0</v>
          </cell>
          <cell r="H1414">
            <v>490</v>
          </cell>
          <cell r="I1414">
            <v>40</v>
          </cell>
          <cell r="J1414">
            <v>40</v>
          </cell>
          <cell r="K1414">
            <v>0</v>
          </cell>
          <cell r="L1414">
            <v>695</v>
          </cell>
          <cell r="M1414">
            <v>0</v>
          </cell>
          <cell r="N1414">
            <v>0</v>
          </cell>
          <cell r="O1414">
            <v>0</v>
          </cell>
          <cell r="P1414">
            <v>0</v>
          </cell>
          <cell r="Q1414">
            <v>1265</v>
          </cell>
        </row>
        <row r="1415">
          <cell r="A1415" t="str">
            <v>US59P015013991200069</v>
          </cell>
          <cell r="B1415" t="str">
            <v>US59P01501</v>
          </cell>
          <cell r="C1415">
            <v>3991200069</v>
          </cell>
          <cell r="D1415" t="str">
            <v>COMPANY MEMBERSHIP DUES</v>
          </cell>
          <cell r="E1415">
            <v>0</v>
          </cell>
          <cell r="F1415">
            <v>0</v>
          </cell>
          <cell r="G1415">
            <v>0</v>
          </cell>
          <cell r="H1415">
            <v>0</v>
          </cell>
          <cell r="I1415">
            <v>0</v>
          </cell>
          <cell r="J1415">
            <v>0</v>
          </cell>
          <cell r="K1415">
            <v>0</v>
          </cell>
          <cell r="L1415">
            <v>0</v>
          </cell>
          <cell r="M1415">
            <v>0</v>
          </cell>
          <cell r="N1415">
            <v>40</v>
          </cell>
          <cell r="O1415">
            <v>315</v>
          </cell>
          <cell r="P1415">
            <v>0</v>
          </cell>
          <cell r="Q1415">
            <v>355</v>
          </cell>
        </row>
        <row r="1416">
          <cell r="A1416" t="str">
            <v>USCRP015013991200069</v>
          </cell>
          <cell r="B1416" t="str">
            <v>USCRP01501</v>
          </cell>
          <cell r="C1416">
            <v>3991200069</v>
          </cell>
          <cell r="D1416" t="str">
            <v>COMPANY MEMBERSHIP DUES</v>
          </cell>
          <cell r="E1416">
            <v>300</v>
          </cell>
          <cell r="F1416">
            <v>65</v>
          </cell>
          <cell r="G1416">
            <v>0</v>
          </cell>
          <cell r="H1416">
            <v>0</v>
          </cell>
          <cell r="I1416">
            <v>0</v>
          </cell>
          <cell r="J1416">
            <v>0</v>
          </cell>
          <cell r="K1416">
            <v>0</v>
          </cell>
          <cell r="L1416">
            <v>0</v>
          </cell>
          <cell r="M1416">
            <v>0</v>
          </cell>
          <cell r="N1416">
            <v>100</v>
          </cell>
          <cell r="O1416">
            <v>300</v>
          </cell>
          <cell r="P1416">
            <v>0</v>
          </cell>
          <cell r="Q1416">
            <v>765</v>
          </cell>
        </row>
        <row r="1417">
          <cell r="A1417" t="str">
            <v>US22P015013991200099</v>
          </cell>
          <cell r="B1417" t="str">
            <v>US22P01501</v>
          </cell>
          <cell r="C1417">
            <v>3991200099</v>
          </cell>
          <cell r="D1417" t="str">
            <v>OTHER EXPENSES TO 3RD PARTIES - ADJUSTME</v>
          </cell>
          <cell r="E1417">
            <v>13</v>
          </cell>
          <cell r="F1417">
            <v>50</v>
          </cell>
          <cell r="G1417">
            <v>928</v>
          </cell>
          <cell r="H1417">
            <v>964</v>
          </cell>
          <cell r="I1417">
            <v>26</v>
          </cell>
          <cell r="J1417">
            <v>395</v>
          </cell>
          <cell r="K1417">
            <v>2190</v>
          </cell>
          <cell r="L1417">
            <v>174</v>
          </cell>
          <cell r="M1417">
            <v>53</v>
          </cell>
          <cell r="N1417">
            <v>305</v>
          </cell>
          <cell r="O1417">
            <v>1652</v>
          </cell>
          <cell r="P1417">
            <v>682</v>
          </cell>
          <cell r="Q1417">
            <v>7432</v>
          </cell>
        </row>
        <row r="1418">
          <cell r="A1418" t="str">
            <v>US22P015503991200099</v>
          </cell>
          <cell r="B1418" t="str">
            <v>US22P01550</v>
          </cell>
          <cell r="C1418">
            <v>3991200099</v>
          </cell>
          <cell r="D1418" t="str">
            <v>OTHER EXPENSES TO 3RD PARTIES - ADJUSTME</v>
          </cell>
          <cell r="E1418">
            <v>0</v>
          </cell>
          <cell r="F1418">
            <v>0</v>
          </cell>
          <cell r="G1418">
            <v>0</v>
          </cell>
          <cell r="H1418">
            <v>55</v>
          </cell>
          <cell r="I1418">
            <v>12</v>
          </cell>
          <cell r="J1418">
            <v>1151</v>
          </cell>
          <cell r="K1418">
            <v>303</v>
          </cell>
          <cell r="L1418">
            <v>1684</v>
          </cell>
          <cell r="M1418">
            <v>496</v>
          </cell>
          <cell r="N1418">
            <v>51</v>
          </cell>
          <cell r="O1418">
            <v>2583</v>
          </cell>
          <cell r="P1418">
            <v>30</v>
          </cell>
          <cell r="Q1418">
            <v>6365</v>
          </cell>
        </row>
        <row r="1419">
          <cell r="A1419" t="str">
            <v>US22P015533991200099</v>
          </cell>
          <cell r="B1419" t="str">
            <v>US22P01553</v>
          </cell>
          <cell r="C1419">
            <v>3991200099</v>
          </cell>
          <cell r="D1419" t="str">
            <v>OTHER EXPENSES TO 3RD PARTIES - ADJUSTME</v>
          </cell>
          <cell r="E1419">
            <v>0</v>
          </cell>
          <cell r="F1419">
            <v>0</v>
          </cell>
          <cell r="G1419">
            <v>0</v>
          </cell>
          <cell r="H1419">
            <v>0</v>
          </cell>
          <cell r="I1419">
            <v>0</v>
          </cell>
          <cell r="J1419">
            <v>2489</v>
          </cell>
          <cell r="K1419">
            <v>2875</v>
          </cell>
          <cell r="L1419">
            <v>71</v>
          </cell>
          <cell r="M1419">
            <v>0</v>
          </cell>
          <cell r="N1419">
            <v>0</v>
          </cell>
          <cell r="O1419">
            <v>0</v>
          </cell>
          <cell r="P1419">
            <v>0</v>
          </cell>
          <cell r="Q1419">
            <v>5435</v>
          </cell>
        </row>
        <row r="1420">
          <cell r="A1420" t="str">
            <v>US22P015603991200099</v>
          </cell>
          <cell r="B1420" t="str">
            <v>US22P01560</v>
          </cell>
          <cell r="C1420">
            <v>3991200099</v>
          </cell>
          <cell r="D1420" t="str">
            <v>OTHER EXPENSES TO 3RD PARTIES - ADJUSTME</v>
          </cell>
          <cell r="E1420">
            <v>432</v>
          </cell>
          <cell r="F1420">
            <v>0</v>
          </cell>
          <cell r="G1420">
            <v>0</v>
          </cell>
          <cell r="H1420">
            <v>0</v>
          </cell>
          <cell r="I1420">
            <v>0</v>
          </cell>
          <cell r="J1420">
            <v>0</v>
          </cell>
          <cell r="K1420">
            <v>0</v>
          </cell>
          <cell r="L1420">
            <v>0</v>
          </cell>
          <cell r="M1420">
            <v>0</v>
          </cell>
          <cell r="N1420">
            <v>584</v>
          </cell>
          <cell r="O1420">
            <v>89</v>
          </cell>
          <cell r="P1420">
            <v>0</v>
          </cell>
          <cell r="Q1420">
            <v>1105</v>
          </cell>
        </row>
        <row r="1421">
          <cell r="A1421" t="str">
            <v>US22P015643991200099</v>
          </cell>
          <cell r="B1421" t="str">
            <v>US22P01564</v>
          </cell>
          <cell r="C1421">
            <v>3991200099</v>
          </cell>
          <cell r="D1421" t="str">
            <v>OTHER EXPENSES TO 3RD PARTIES - ADJUSTME</v>
          </cell>
          <cell r="E1421">
            <v>0</v>
          </cell>
          <cell r="F1421">
            <v>0</v>
          </cell>
          <cell r="G1421">
            <v>0</v>
          </cell>
          <cell r="H1421">
            <v>0</v>
          </cell>
          <cell r="I1421">
            <v>0</v>
          </cell>
          <cell r="J1421">
            <v>0</v>
          </cell>
          <cell r="K1421">
            <v>0</v>
          </cell>
          <cell r="L1421">
            <v>492</v>
          </cell>
          <cell r="M1421">
            <v>281</v>
          </cell>
          <cell r="N1421">
            <v>0</v>
          </cell>
          <cell r="O1421">
            <v>148</v>
          </cell>
          <cell r="P1421">
            <v>0</v>
          </cell>
          <cell r="Q1421">
            <v>921</v>
          </cell>
        </row>
        <row r="1422">
          <cell r="A1422" t="str">
            <v>US22P015753991200099</v>
          </cell>
          <cell r="B1422" t="str">
            <v>US22P01575</v>
          </cell>
          <cell r="C1422">
            <v>3991200099</v>
          </cell>
          <cell r="D1422" t="str">
            <v>OTHER EXPENSES TO 3RD PARTIES - ADJUSTME</v>
          </cell>
          <cell r="E1422">
            <v>42</v>
          </cell>
          <cell r="F1422">
            <v>580</v>
          </cell>
          <cell r="G1422">
            <v>461</v>
          </cell>
          <cell r="H1422">
            <v>207</v>
          </cell>
          <cell r="I1422">
            <v>656</v>
          </cell>
          <cell r="J1422">
            <v>193</v>
          </cell>
          <cell r="K1422">
            <v>12</v>
          </cell>
          <cell r="L1422">
            <v>0</v>
          </cell>
          <cell r="M1422">
            <v>28</v>
          </cell>
          <cell r="N1422">
            <v>173</v>
          </cell>
          <cell r="O1422">
            <v>11</v>
          </cell>
          <cell r="P1422">
            <v>1848</v>
          </cell>
          <cell r="Q1422">
            <v>4211</v>
          </cell>
        </row>
        <row r="1423">
          <cell r="A1423" t="str">
            <v>US22P015903991200099</v>
          </cell>
          <cell r="B1423" t="str">
            <v>US22P01590</v>
          </cell>
          <cell r="C1423">
            <v>3991200099</v>
          </cell>
          <cell r="D1423" t="str">
            <v>OTHER EXPENSES TO 3RD PARTIES - ADJUSTME</v>
          </cell>
          <cell r="E1423">
            <v>0</v>
          </cell>
          <cell r="F1423">
            <v>438</v>
          </cell>
          <cell r="G1423">
            <v>1340</v>
          </cell>
          <cell r="H1423">
            <v>555</v>
          </cell>
          <cell r="I1423">
            <v>0</v>
          </cell>
          <cell r="J1423">
            <v>1435</v>
          </cell>
          <cell r="K1423">
            <v>0</v>
          </cell>
          <cell r="L1423">
            <v>0</v>
          </cell>
          <cell r="M1423">
            <v>0</v>
          </cell>
          <cell r="N1423">
            <v>1046</v>
          </cell>
          <cell r="O1423">
            <v>816</v>
          </cell>
          <cell r="P1423">
            <v>907</v>
          </cell>
          <cell r="Q1423">
            <v>6537</v>
          </cell>
        </row>
        <row r="1424">
          <cell r="A1424" t="str">
            <v>US28P015013991200099</v>
          </cell>
          <cell r="B1424" t="str">
            <v>US28P01501</v>
          </cell>
          <cell r="C1424">
            <v>3991200099</v>
          </cell>
          <cell r="D1424" t="str">
            <v>OTHER EXPENSES TO 3RD PARTIES - ADJUSTME</v>
          </cell>
          <cell r="E1424">
            <v>1143</v>
          </cell>
          <cell r="F1424">
            <v>540</v>
          </cell>
          <cell r="G1424">
            <v>182</v>
          </cell>
          <cell r="H1424">
            <v>72</v>
          </cell>
          <cell r="I1424">
            <v>362</v>
          </cell>
          <cell r="J1424">
            <v>350</v>
          </cell>
          <cell r="K1424">
            <v>0</v>
          </cell>
          <cell r="L1424">
            <v>0</v>
          </cell>
          <cell r="M1424">
            <v>281</v>
          </cell>
          <cell r="N1424">
            <v>828</v>
          </cell>
          <cell r="O1424">
            <v>166</v>
          </cell>
          <cell r="P1424">
            <v>353</v>
          </cell>
          <cell r="Q1424">
            <v>4277</v>
          </cell>
        </row>
        <row r="1425">
          <cell r="A1425" t="str">
            <v>US28P015503991200099</v>
          </cell>
          <cell r="B1425" t="str">
            <v>US28P01550</v>
          </cell>
          <cell r="C1425">
            <v>3991200099</v>
          </cell>
          <cell r="D1425" t="str">
            <v>OTHER EXPENSES TO 3RD PARTIES - ADJUSTME</v>
          </cell>
          <cell r="E1425">
            <v>54</v>
          </cell>
          <cell r="F1425">
            <v>-95</v>
          </cell>
          <cell r="G1425">
            <v>32</v>
          </cell>
          <cell r="H1425">
            <v>0</v>
          </cell>
          <cell r="I1425">
            <v>263</v>
          </cell>
          <cell r="J1425">
            <v>141</v>
          </cell>
          <cell r="K1425">
            <v>0</v>
          </cell>
          <cell r="L1425">
            <v>3</v>
          </cell>
          <cell r="M1425">
            <v>552</v>
          </cell>
          <cell r="N1425">
            <v>0</v>
          </cell>
          <cell r="O1425">
            <v>70</v>
          </cell>
          <cell r="P1425">
            <v>1080</v>
          </cell>
          <cell r="Q1425">
            <v>2100</v>
          </cell>
        </row>
        <row r="1426">
          <cell r="A1426" t="str">
            <v>US28P015533991200099</v>
          </cell>
          <cell r="B1426" t="str">
            <v>US28P01553</v>
          </cell>
          <cell r="C1426">
            <v>3991200099</v>
          </cell>
          <cell r="D1426" t="str">
            <v>OTHER EXPENSES TO 3RD PARTIES - ADJUSTME</v>
          </cell>
          <cell r="E1426">
            <v>0</v>
          </cell>
          <cell r="F1426">
            <v>0</v>
          </cell>
          <cell r="G1426">
            <v>0</v>
          </cell>
          <cell r="H1426">
            <v>0</v>
          </cell>
          <cell r="I1426">
            <v>300</v>
          </cell>
          <cell r="J1426">
            <v>418</v>
          </cell>
          <cell r="K1426">
            <v>790</v>
          </cell>
          <cell r="L1426">
            <v>566</v>
          </cell>
          <cell r="M1426">
            <v>290</v>
          </cell>
          <cell r="N1426">
            <v>0</v>
          </cell>
          <cell r="O1426">
            <v>281</v>
          </cell>
          <cell r="P1426">
            <v>19</v>
          </cell>
          <cell r="Q1426">
            <v>2664</v>
          </cell>
        </row>
        <row r="1427">
          <cell r="A1427" t="str">
            <v>US28P015603991200099</v>
          </cell>
          <cell r="B1427" t="str">
            <v>US28P01560</v>
          </cell>
          <cell r="C1427">
            <v>3991200099</v>
          </cell>
          <cell r="D1427" t="str">
            <v>OTHER EXPENSES TO 3RD PARTIES - ADJUSTME</v>
          </cell>
          <cell r="E1427">
            <v>0</v>
          </cell>
          <cell r="F1427">
            <v>6</v>
          </cell>
          <cell r="G1427">
            <v>131</v>
          </cell>
          <cell r="H1427">
            <v>0</v>
          </cell>
          <cell r="I1427">
            <v>49</v>
          </cell>
          <cell r="J1427">
            <v>442</v>
          </cell>
          <cell r="K1427">
            <v>0</v>
          </cell>
          <cell r="L1427">
            <v>128</v>
          </cell>
          <cell r="M1427">
            <v>15</v>
          </cell>
          <cell r="N1427">
            <v>145</v>
          </cell>
          <cell r="O1427">
            <v>-6</v>
          </cell>
          <cell r="P1427">
            <v>0</v>
          </cell>
          <cell r="Q1427">
            <v>910</v>
          </cell>
        </row>
        <row r="1428">
          <cell r="A1428" t="str">
            <v>US28P015643991200099</v>
          </cell>
          <cell r="B1428" t="str">
            <v>US28P01564</v>
          </cell>
          <cell r="C1428">
            <v>3991200099</v>
          </cell>
          <cell r="D1428" t="str">
            <v>OTHER EXPENSES TO 3RD PARTIES - ADJUSTME</v>
          </cell>
          <cell r="E1428">
            <v>0</v>
          </cell>
          <cell r="F1428">
            <v>427</v>
          </cell>
          <cell r="G1428">
            <v>0</v>
          </cell>
          <cell r="H1428">
            <v>0</v>
          </cell>
          <cell r="I1428">
            <v>0</v>
          </cell>
          <cell r="J1428">
            <v>274</v>
          </cell>
          <cell r="K1428">
            <v>-89</v>
          </cell>
          <cell r="L1428">
            <v>43</v>
          </cell>
          <cell r="M1428">
            <v>535</v>
          </cell>
          <cell r="N1428">
            <v>29</v>
          </cell>
          <cell r="O1428">
            <v>57</v>
          </cell>
          <cell r="P1428">
            <v>0</v>
          </cell>
          <cell r="Q1428">
            <v>1276</v>
          </cell>
        </row>
        <row r="1429">
          <cell r="A1429" t="str">
            <v>US28P015753991200099</v>
          </cell>
          <cell r="B1429" t="str">
            <v>US28P01575</v>
          </cell>
          <cell r="C1429">
            <v>3991200099</v>
          </cell>
          <cell r="D1429" t="str">
            <v>OTHER EXPENSES TO 3RD PARTIES - ADJUSTME</v>
          </cell>
          <cell r="E1429">
            <v>0</v>
          </cell>
          <cell r="F1429">
            <v>0</v>
          </cell>
          <cell r="G1429">
            <v>0</v>
          </cell>
          <cell r="H1429">
            <v>281</v>
          </cell>
          <cell r="I1429">
            <v>0</v>
          </cell>
          <cell r="J1429">
            <v>0</v>
          </cell>
          <cell r="K1429">
            <v>0</v>
          </cell>
          <cell r="L1429">
            <v>0</v>
          </cell>
          <cell r="M1429">
            <v>215</v>
          </cell>
          <cell r="N1429">
            <v>0</v>
          </cell>
          <cell r="O1429">
            <v>37</v>
          </cell>
          <cell r="P1429">
            <v>50</v>
          </cell>
          <cell r="Q1429">
            <v>583</v>
          </cell>
        </row>
        <row r="1430">
          <cell r="A1430" t="str">
            <v>US28P015903991200099</v>
          </cell>
          <cell r="B1430" t="str">
            <v>US28P01590</v>
          </cell>
          <cell r="C1430">
            <v>3991200099</v>
          </cell>
          <cell r="D1430" t="str">
            <v>OTHER EXPENSES TO 3RD PARTIES - ADJUSTME</v>
          </cell>
          <cell r="E1430">
            <v>0</v>
          </cell>
          <cell r="F1430">
            <v>0</v>
          </cell>
          <cell r="G1430">
            <v>0</v>
          </cell>
          <cell r="H1430">
            <v>0</v>
          </cell>
          <cell r="I1430">
            <v>0</v>
          </cell>
          <cell r="J1430">
            <v>0</v>
          </cell>
          <cell r="K1430">
            <v>0</v>
          </cell>
          <cell r="L1430">
            <v>0</v>
          </cell>
          <cell r="M1430">
            <v>227</v>
          </cell>
          <cell r="N1430">
            <v>0</v>
          </cell>
          <cell r="O1430">
            <v>0</v>
          </cell>
          <cell r="P1430">
            <v>238</v>
          </cell>
          <cell r="Q1430">
            <v>465</v>
          </cell>
        </row>
        <row r="1431">
          <cell r="A1431" t="str">
            <v>US28P015923991200099</v>
          </cell>
          <cell r="B1431" t="str">
            <v>US28P01592</v>
          </cell>
          <cell r="C1431">
            <v>3991200099</v>
          </cell>
          <cell r="D1431" t="str">
            <v>OTHER EXPENSES TO 3RD PARTIES - ADJUSTME</v>
          </cell>
          <cell r="E1431">
            <v>0</v>
          </cell>
          <cell r="F1431">
            <v>0</v>
          </cell>
          <cell r="G1431">
            <v>0</v>
          </cell>
          <cell r="H1431">
            <v>0</v>
          </cell>
          <cell r="I1431">
            <v>495</v>
          </cell>
          <cell r="J1431">
            <v>0</v>
          </cell>
          <cell r="K1431">
            <v>0</v>
          </cell>
          <cell r="L1431">
            <v>0</v>
          </cell>
          <cell r="M1431">
            <v>0</v>
          </cell>
          <cell r="N1431">
            <v>0</v>
          </cell>
          <cell r="O1431">
            <v>0</v>
          </cell>
          <cell r="P1431">
            <v>0</v>
          </cell>
          <cell r="Q1431">
            <v>495</v>
          </cell>
        </row>
        <row r="1432">
          <cell r="A1432" t="str">
            <v>US35P015013991200099</v>
          </cell>
          <cell r="B1432" t="str">
            <v>US35P01501</v>
          </cell>
          <cell r="C1432">
            <v>3991200099</v>
          </cell>
          <cell r="D1432" t="str">
            <v>OTHER EXPENSES TO 3RD PARTIES - ADJUSTME</v>
          </cell>
          <cell r="E1432">
            <v>0</v>
          </cell>
          <cell r="F1432">
            <v>0</v>
          </cell>
          <cell r="G1432">
            <v>0</v>
          </cell>
          <cell r="H1432">
            <v>0</v>
          </cell>
          <cell r="I1432">
            <v>0</v>
          </cell>
          <cell r="J1432">
            <v>64</v>
          </cell>
          <cell r="K1432">
            <v>0</v>
          </cell>
          <cell r="L1432">
            <v>836</v>
          </cell>
          <cell r="M1432">
            <v>0</v>
          </cell>
          <cell r="N1432">
            <v>136</v>
          </cell>
          <cell r="O1432">
            <v>156</v>
          </cell>
          <cell r="P1432">
            <v>95</v>
          </cell>
          <cell r="Q1432">
            <v>1287</v>
          </cell>
        </row>
        <row r="1433">
          <cell r="A1433" t="str">
            <v>US35P015503991200099</v>
          </cell>
          <cell r="B1433" t="str">
            <v>US35P01550</v>
          </cell>
          <cell r="C1433">
            <v>3991200099</v>
          </cell>
          <cell r="D1433" t="str">
            <v>OTHER EXPENSES TO 3RD PARTIES - ADJUSTME</v>
          </cell>
          <cell r="E1433">
            <v>0</v>
          </cell>
          <cell r="F1433">
            <v>0</v>
          </cell>
          <cell r="G1433">
            <v>0</v>
          </cell>
          <cell r="H1433">
            <v>0</v>
          </cell>
          <cell r="I1433">
            <v>352</v>
          </cell>
          <cell r="J1433">
            <v>0</v>
          </cell>
          <cell r="K1433">
            <v>742</v>
          </cell>
          <cell r="L1433">
            <v>0</v>
          </cell>
          <cell r="M1433">
            <v>0</v>
          </cell>
          <cell r="N1433">
            <v>0</v>
          </cell>
          <cell r="O1433">
            <v>0</v>
          </cell>
          <cell r="P1433">
            <v>0</v>
          </cell>
          <cell r="Q1433">
            <v>1094</v>
          </cell>
        </row>
        <row r="1434">
          <cell r="A1434" t="str">
            <v>US35P015533991200099</v>
          </cell>
          <cell r="B1434" t="str">
            <v>US35P01553</v>
          </cell>
          <cell r="C1434">
            <v>3991200099</v>
          </cell>
          <cell r="D1434" t="str">
            <v>OTHER EXPENSES TO 3RD PARTIES - ADJUSTME</v>
          </cell>
          <cell r="E1434">
            <v>0</v>
          </cell>
          <cell r="F1434">
            <v>0</v>
          </cell>
          <cell r="G1434">
            <v>0</v>
          </cell>
          <cell r="H1434">
            <v>0</v>
          </cell>
          <cell r="I1434">
            <v>0</v>
          </cell>
          <cell r="J1434">
            <v>0</v>
          </cell>
          <cell r="K1434">
            <v>402</v>
          </cell>
          <cell r="L1434">
            <v>925</v>
          </cell>
          <cell r="M1434">
            <v>27</v>
          </cell>
          <cell r="N1434">
            <v>0</v>
          </cell>
          <cell r="O1434">
            <v>0</v>
          </cell>
          <cell r="P1434">
            <v>0</v>
          </cell>
          <cell r="Q1434">
            <v>1354</v>
          </cell>
        </row>
        <row r="1435">
          <cell r="A1435" t="str">
            <v>US35P015603991200099</v>
          </cell>
          <cell r="B1435" t="str">
            <v>US35P01560</v>
          </cell>
          <cell r="C1435">
            <v>3991200099</v>
          </cell>
          <cell r="D1435" t="str">
            <v>OTHER EXPENSES TO 3RD PARTIES - ADJUSTME</v>
          </cell>
          <cell r="E1435">
            <v>0</v>
          </cell>
          <cell r="F1435">
            <v>37</v>
          </cell>
          <cell r="G1435">
            <v>0</v>
          </cell>
          <cell r="H1435">
            <v>32</v>
          </cell>
          <cell r="I1435">
            <v>0</v>
          </cell>
          <cell r="J1435">
            <v>0</v>
          </cell>
          <cell r="K1435">
            <v>0</v>
          </cell>
          <cell r="L1435">
            <v>194</v>
          </cell>
          <cell r="M1435">
            <v>0</v>
          </cell>
          <cell r="N1435">
            <v>0</v>
          </cell>
          <cell r="O1435">
            <v>0</v>
          </cell>
          <cell r="P1435">
            <v>0</v>
          </cell>
          <cell r="Q1435">
            <v>263</v>
          </cell>
        </row>
        <row r="1436">
          <cell r="A1436" t="str">
            <v>US35P015643991200099</v>
          </cell>
          <cell r="B1436" t="str">
            <v>US35P01564</v>
          </cell>
          <cell r="C1436">
            <v>3991200099</v>
          </cell>
          <cell r="D1436" t="str">
            <v>OTHER EXPENSES TO 3RD PARTIES - ADJUSTME</v>
          </cell>
          <cell r="E1436">
            <v>0</v>
          </cell>
          <cell r="F1436">
            <v>0</v>
          </cell>
          <cell r="G1436">
            <v>0</v>
          </cell>
          <cell r="H1436">
            <v>0</v>
          </cell>
          <cell r="I1436">
            <v>0</v>
          </cell>
          <cell r="J1436">
            <v>0</v>
          </cell>
          <cell r="K1436">
            <v>0</v>
          </cell>
          <cell r="L1436">
            <v>0</v>
          </cell>
          <cell r="M1436">
            <v>355</v>
          </cell>
          <cell r="N1436">
            <v>89</v>
          </cell>
          <cell r="O1436">
            <v>0</v>
          </cell>
          <cell r="P1436">
            <v>0</v>
          </cell>
          <cell r="Q1436">
            <v>444</v>
          </cell>
        </row>
        <row r="1437">
          <cell r="A1437" t="str">
            <v>US35P015903991200099</v>
          </cell>
          <cell r="B1437" t="str">
            <v>US35P01590</v>
          </cell>
          <cell r="C1437">
            <v>3991200099</v>
          </cell>
          <cell r="D1437" t="str">
            <v>OTHER EXPENSES TO 3RD PARTIES - ADJUSTME</v>
          </cell>
          <cell r="E1437">
            <v>105</v>
          </cell>
          <cell r="F1437">
            <v>0</v>
          </cell>
          <cell r="G1437">
            <v>551</v>
          </cell>
          <cell r="H1437">
            <v>0</v>
          </cell>
          <cell r="I1437">
            <v>0</v>
          </cell>
          <cell r="J1437">
            <v>0</v>
          </cell>
          <cell r="K1437">
            <v>0</v>
          </cell>
          <cell r="L1437">
            <v>1046</v>
          </cell>
          <cell r="M1437">
            <v>0</v>
          </cell>
          <cell r="N1437">
            <v>0</v>
          </cell>
          <cell r="O1437">
            <v>0</v>
          </cell>
          <cell r="P1437">
            <v>0</v>
          </cell>
          <cell r="Q1437">
            <v>1702</v>
          </cell>
        </row>
        <row r="1438">
          <cell r="A1438" t="str">
            <v>USWOP015013991200099</v>
          </cell>
          <cell r="B1438" t="str">
            <v>USWOP01501</v>
          </cell>
          <cell r="C1438">
            <v>3991200099</v>
          </cell>
          <cell r="D1438" t="str">
            <v>OTHER EXPENSES TO 3RD PARTIES - ADJUSTME</v>
          </cell>
          <cell r="E1438">
            <v>0</v>
          </cell>
          <cell r="F1438">
            <v>17</v>
          </cell>
          <cell r="G1438">
            <v>0</v>
          </cell>
          <cell r="H1438">
            <v>0</v>
          </cell>
          <cell r="I1438">
            <v>431</v>
          </cell>
          <cell r="J1438">
            <v>2595</v>
          </cell>
          <cell r="K1438">
            <v>636</v>
          </cell>
          <cell r="L1438">
            <v>1069</v>
          </cell>
          <cell r="M1438">
            <v>10814</v>
          </cell>
          <cell r="N1438">
            <v>993</v>
          </cell>
          <cell r="O1438">
            <v>816</v>
          </cell>
          <cell r="P1438">
            <v>225</v>
          </cell>
          <cell r="Q1438">
            <v>17596</v>
          </cell>
        </row>
        <row r="1439">
          <cell r="A1439" t="str">
            <v>USWOP015503991200099</v>
          </cell>
          <cell r="B1439" t="str">
            <v>USWOP01550</v>
          </cell>
          <cell r="C1439">
            <v>3991200099</v>
          </cell>
          <cell r="D1439" t="str">
            <v>OTHER EXPENSES TO 3RD PARTIES - ADJUSTME</v>
          </cell>
          <cell r="E1439">
            <v>0</v>
          </cell>
          <cell r="F1439">
            <v>0</v>
          </cell>
          <cell r="G1439">
            <v>0</v>
          </cell>
          <cell r="H1439">
            <v>922</v>
          </cell>
          <cell r="I1439">
            <v>2014</v>
          </cell>
          <cell r="J1439">
            <v>2569</v>
          </cell>
          <cell r="K1439">
            <v>134</v>
          </cell>
          <cell r="L1439">
            <v>303</v>
          </cell>
          <cell r="M1439">
            <v>107</v>
          </cell>
          <cell r="N1439">
            <v>0</v>
          </cell>
          <cell r="O1439">
            <v>275</v>
          </cell>
          <cell r="P1439">
            <v>0</v>
          </cell>
          <cell r="Q1439">
            <v>6324</v>
          </cell>
        </row>
        <row r="1440">
          <cell r="A1440" t="str">
            <v>USWOP015533991200099</v>
          </cell>
          <cell r="B1440" t="str">
            <v>USWOP01553</v>
          </cell>
          <cell r="C1440">
            <v>3991200099</v>
          </cell>
          <cell r="D1440" t="str">
            <v>OTHER EXPENSES TO 3RD PARTIES - ADJUSTME</v>
          </cell>
          <cell r="E1440">
            <v>0</v>
          </cell>
          <cell r="F1440">
            <v>0</v>
          </cell>
          <cell r="G1440">
            <v>0</v>
          </cell>
          <cell r="H1440">
            <v>0</v>
          </cell>
          <cell r="I1440">
            <v>0</v>
          </cell>
          <cell r="J1440">
            <v>0</v>
          </cell>
          <cell r="K1440">
            <v>1867</v>
          </cell>
          <cell r="L1440">
            <v>1379</v>
          </cell>
          <cell r="M1440">
            <v>0</v>
          </cell>
          <cell r="N1440">
            <v>0</v>
          </cell>
          <cell r="O1440">
            <v>0</v>
          </cell>
          <cell r="P1440">
            <v>0</v>
          </cell>
          <cell r="Q1440">
            <v>3246</v>
          </cell>
        </row>
        <row r="1441">
          <cell r="A1441" t="str">
            <v>USWOP015603991200099</v>
          </cell>
          <cell r="B1441" t="str">
            <v>USWOP01560</v>
          </cell>
          <cell r="C1441">
            <v>3991200099</v>
          </cell>
          <cell r="D1441" t="str">
            <v>OTHER EXPENSES TO 3RD PARTIES - ADJUSTME</v>
          </cell>
          <cell r="E1441">
            <v>0</v>
          </cell>
          <cell r="F1441">
            <v>377</v>
          </cell>
          <cell r="G1441">
            <v>0</v>
          </cell>
          <cell r="H1441">
            <v>0</v>
          </cell>
          <cell r="I1441">
            <v>0</v>
          </cell>
          <cell r="J1441">
            <v>0</v>
          </cell>
          <cell r="K1441">
            <v>0</v>
          </cell>
          <cell r="L1441">
            <v>0</v>
          </cell>
          <cell r="M1441">
            <v>0</v>
          </cell>
          <cell r="N1441">
            <v>75</v>
          </cell>
          <cell r="O1441">
            <v>25</v>
          </cell>
          <cell r="P1441">
            <v>0</v>
          </cell>
          <cell r="Q1441">
            <v>477</v>
          </cell>
        </row>
        <row r="1442">
          <cell r="A1442" t="str">
            <v>USWOP015753991200099</v>
          </cell>
          <cell r="B1442" t="str">
            <v>USWOP01575</v>
          </cell>
          <cell r="C1442">
            <v>3991200099</v>
          </cell>
          <cell r="D1442" t="str">
            <v>OTHER EXPENSES TO 3RD PARTIES - ADJUSTME</v>
          </cell>
          <cell r="E1442">
            <v>0</v>
          </cell>
          <cell r="F1442">
            <v>0</v>
          </cell>
          <cell r="G1442">
            <v>0</v>
          </cell>
          <cell r="H1442">
            <v>0</v>
          </cell>
          <cell r="I1442">
            <v>0</v>
          </cell>
          <cell r="J1442">
            <v>0</v>
          </cell>
          <cell r="K1442">
            <v>0</v>
          </cell>
          <cell r="L1442">
            <v>279</v>
          </cell>
          <cell r="M1442">
            <v>0</v>
          </cell>
          <cell r="N1442">
            <v>0</v>
          </cell>
          <cell r="O1442">
            <v>0</v>
          </cell>
          <cell r="P1442">
            <v>0</v>
          </cell>
          <cell r="Q1442">
            <v>279</v>
          </cell>
        </row>
        <row r="1443">
          <cell r="A1443" t="str">
            <v>US59P015013991200099</v>
          </cell>
          <cell r="B1443" t="str">
            <v>US59P01501</v>
          </cell>
          <cell r="C1443">
            <v>3991200099</v>
          </cell>
          <cell r="D1443" t="str">
            <v>OTHER EXPENSES TO 3RD PARTIES - ADJUSTME</v>
          </cell>
          <cell r="E1443">
            <v>-446</v>
          </cell>
          <cell r="F1443">
            <v>23</v>
          </cell>
          <cell r="G1443">
            <v>-397</v>
          </cell>
          <cell r="H1443">
            <v>0</v>
          </cell>
          <cell r="I1443">
            <v>-933</v>
          </cell>
          <cell r="J1443">
            <v>98</v>
          </cell>
          <cell r="K1443">
            <v>-253</v>
          </cell>
          <cell r="L1443">
            <v>212</v>
          </cell>
          <cell r="M1443">
            <v>184</v>
          </cell>
          <cell r="N1443">
            <v>5</v>
          </cell>
          <cell r="O1443">
            <v>-5</v>
          </cell>
          <cell r="P1443">
            <v>73</v>
          </cell>
          <cell r="Q1443">
            <v>-1439</v>
          </cell>
        </row>
        <row r="1444">
          <cell r="A1444" t="str">
            <v>USWOP015903991200099</v>
          </cell>
          <cell r="B1444" t="str">
            <v>USWOP01590</v>
          </cell>
          <cell r="C1444">
            <v>3991200099</v>
          </cell>
          <cell r="D1444" t="str">
            <v>OTHER EXPENSES TO 3RD PARTIES - ADJUSTME</v>
          </cell>
          <cell r="E1444">
            <v>105</v>
          </cell>
          <cell r="F1444">
            <v>514</v>
          </cell>
          <cell r="G1444">
            <v>622</v>
          </cell>
          <cell r="H1444">
            <v>821</v>
          </cell>
          <cell r="I1444">
            <v>1269</v>
          </cell>
          <cell r="J1444">
            <v>509</v>
          </cell>
          <cell r="K1444">
            <v>254</v>
          </cell>
          <cell r="L1444">
            <v>408</v>
          </cell>
          <cell r="M1444">
            <v>1679</v>
          </cell>
          <cell r="N1444">
            <v>805</v>
          </cell>
          <cell r="O1444">
            <v>681</v>
          </cell>
          <cell r="P1444">
            <v>280</v>
          </cell>
          <cell r="Q1444">
            <v>7947</v>
          </cell>
        </row>
        <row r="1445">
          <cell r="A1445" t="str">
            <v>USWOP015923991200099</v>
          </cell>
          <cell r="B1445" t="str">
            <v>USWOP01592</v>
          </cell>
          <cell r="C1445">
            <v>3991200099</v>
          </cell>
          <cell r="D1445" t="str">
            <v>OTHER EXPENSES TO 3RD PARTIES - ADJUSTME</v>
          </cell>
          <cell r="E1445">
            <v>0</v>
          </cell>
          <cell r="F1445">
            <v>0</v>
          </cell>
          <cell r="G1445">
            <v>174</v>
          </cell>
          <cell r="H1445">
            <v>0</v>
          </cell>
          <cell r="I1445">
            <v>0</v>
          </cell>
          <cell r="J1445">
            <v>0</v>
          </cell>
          <cell r="K1445">
            <v>0</v>
          </cell>
          <cell r="L1445">
            <v>0</v>
          </cell>
          <cell r="M1445">
            <v>0</v>
          </cell>
          <cell r="N1445">
            <v>258</v>
          </cell>
          <cell r="O1445">
            <v>38</v>
          </cell>
          <cell r="P1445">
            <v>0</v>
          </cell>
          <cell r="Q1445">
            <v>470</v>
          </cell>
        </row>
        <row r="1446">
          <cell r="A1446" t="str">
            <v>US59P015503991200099</v>
          </cell>
          <cell r="B1446" t="str">
            <v>US59P01550</v>
          </cell>
          <cell r="C1446">
            <v>3991200099</v>
          </cell>
          <cell r="D1446" t="str">
            <v>OTHER EXPENSES TO 3RD PARTIES - ADJUSTME</v>
          </cell>
          <cell r="E1446">
            <v>0</v>
          </cell>
          <cell r="F1446">
            <v>0</v>
          </cell>
          <cell r="G1446">
            <v>0</v>
          </cell>
          <cell r="H1446">
            <v>19</v>
          </cell>
          <cell r="I1446">
            <v>85</v>
          </cell>
          <cell r="J1446">
            <v>368</v>
          </cell>
          <cell r="K1446">
            <v>406</v>
          </cell>
          <cell r="L1446">
            <v>245</v>
          </cell>
          <cell r="M1446">
            <v>0</v>
          </cell>
          <cell r="N1446">
            <v>0</v>
          </cell>
          <cell r="O1446">
            <v>0</v>
          </cell>
          <cell r="P1446">
            <v>0</v>
          </cell>
          <cell r="Q1446">
            <v>1123</v>
          </cell>
        </row>
        <row r="1447">
          <cell r="A1447" t="str">
            <v>US59P015533991200099</v>
          </cell>
          <cell r="B1447" t="str">
            <v>US59P01553</v>
          </cell>
          <cell r="C1447">
            <v>3991200099</v>
          </cell>
          <cell r="D1447" t="str">
            <v>OTHER EXPENSES TO 3RD PARTIES - ADJUSTME</v>
          </cell>
          <cell r="E1447">
            <v>0</v>
          </cell>
          <cell r="F1447">
            <v>0</v>
          </cell>
          <cell r="G1447">
            <v>0</v>
          </cell>
          <cell r="H1447">
            <v>0</v>
          </cell>
          <cell r="I1447">
            <v>1121</v>
          </cell>
          <cell r="J1447">
            <v>797</v>
          </cell>
          <cell r="K1447">
            <v>0</v>
          </cell>
          <cell r="L1447">
            <v>403</v>
          </cell>
          <cell r="M1447">
            <v>0</v>
          </cell>
          <cell r="N1447">
            <v>0</v>
          </cell>
          <cell r="O1447">
            <v>0</v>
          </cell>
          <cell r="P1447">
            <v>0</v>
          </cell>
          <cell r="Q1447">
            <v>2321</v>
          </cell>
        </row>
        <row r="1448">
          <cell r="A1448" t="str">
            <v>US59P015603991200099</v>
          </cell>
          <cell r="B1448" t="str">
            <v>US59P01560</v>
          </cell>
          <cell r="C1448">
            <v>3991200099</v>
          </cell>
          <cell r="D1448" t="str">
            <v>OTHER EXPENSES TO 3RD PARTIES - ADJUSTME</v>
          </cell>
          <cell r="E1448">
            <v>0</v>
          </cell>
          <cell r="F1448">
            <v>0</v>
          </cell>
          <cell r="G1448">
            <v>0</v>
          </cell>
          <cell r="H1448">
            <v>0</v>
          </cell>
          <cell r="I1448">
            <v>0</v>
          </cell>
          <cell r="J1448">
            <v>0</v>
          </cell>
          <cell r="K1448">
            <v>0</v>
          </cell>
          <cell r="L1448">
            <v>0</v>
          </cell>
          <cell r="M1448">
            <v>3749</v>
          </cell>
          <cell r="N1448">
            <v>119</v>
          </cell>
          <cell r="O1448">
            <v>0</v>
          </cell>
          <cell r="P1448">
            <v>0</v>
          </cell>
          <cell r="Q1448">
            <v>3868</v>
          </cell>
        </row>
        <row r="1449">
          <cell r="A1449" t="str">
            <v>US59P015643991200099</v>
          </cell>
          <cell r="B1449" t="str">
            <v>US59P01564</v>
          </cell>
          <cell r="C1449">
            <v>3991200099</v>
          </cell>
          <cell r="D1449" t="str">
            <v>OTHER EXPENSES TO 3RD PARTIES - ADJUSTME</v>
          </cell>
          <cell r="E1449">
            <v>0</v>
          </cell>
          <cell r="F1449">
            <v>0</v>
          </cell>
          <cell r="G1449">
            <v>0</v>
          </cell>
          <cell r="H1449">
            <v>0</v>
          </cell>
          <cell r="I1449">
            <v>0</v>
          </cell>
          <cell r="J1449">
            <v>0</v>
          </cell>
          <cell r="K1449">
            <v>0</v>
          </cell>
          <cell r="L1449">
            <v>0</v>
          </cell>
          <cell r="M1449">
            <v>627</v>
          </cell>
          <cell r="N1449">
            <v>254</v>
          </cell>
          <cell r="O1449">
            <v>-321</v>
          </cell>
          <cell r="P1449">
            <v>0</v>
          </cell>
          <cell r="Q1449">
            <v>560</v>
          </cell>
        </row>
        <row r="1450">
          <cell r="A1450" t="str">
            <v>US59P3C5153991200099</v>
          </cell>
          <cell r="B1450" t="str">
            <v>US59P3C515</v>
          </cell>
          <cell r="C1450">
            <v>3991200099</v>
          </cell>
          <cell r="D1450" t="str">
            <v>OTHER EXPENSES TO 3RD PARTIES - ADJUSTME</v>
          </cell>
          <cell r="E1450">
            <v>18473</v>
          </cell>
          <cell r="F1450">
            <v>0</v>
          </cell>
          <cell r="G1450">
            <v>0</v>
          </cell>
          <cell r="H1450">
            <v>-3400</v>
          </cell>
          <cell r="I1450">
            <v>0</v>
          </cell>
          <cell r="J1450">
            <v>-677449</v>
          </cell>
          <cell r="K1450">
            <v>-35551</v>
          </cell>
          <cell r="L1450">
            <v>3022</v>
          </cell>
          <cell r="M1450">
            <v>0</v>
          </cell>
          <cell r="N1450">
            <v>1135</v>
          </cell>
          <cell r="O1450">
            <v>0</v>
          </cell>
          <cell r="P1450">
            <v>0</v>
          </cell>
          <cell r="Q1450">
            <v>-693770</v>
          </cell>
        </row>
        <row r="1451">
          <cell r="A1451" t="str">
            <v>US59P3C5503991200099</v>
          </cell>
          <cell r="B1451" t="str">
            <v>US59P3C550</v>
          </cell>
          <cell r="C1451">
            <v>3991200099</v>
          </cell>
          <cell r="D1451" t="str">
            <v>OTHER EXPENSES TO 3RD PARTIES - ADJUSTME</v>
          </cell>
          <cell r="E1451">
            <v>-8155</v>
          </cell>
          <cell r="F1451">
            <v>-374</v>
          </cell>
          <cell r="G1451">
            <v>-35745</v>
          </cell>
          <cell r="H1451">
            <v>0</v>
          </cell>
          <cell r="I1451">
            <v>0</v>
          </cell>
          <cell r="J1451">
            <v>525</v>
          </cell>
          <cell r="K1451">
            <v>930</v>
          </cell>
          <cell r="L1451">
            <v>59</v>
          </cell>
          <cell r="M1451">
            <v>0</v>
          </cell>
          <cell r="N1451">
            <v>462</v>
          </cell>
          <cell r="O1451">
            <v>68</v>
          </cell>
          <cell r="P1451">
            <v>0</v>
          </cell>
          <cell r="Q1451">
            <v>-42230</v>
          </cell>
        </row>
        <row r="1452">
          <cell r="A1452" t="str">
            <v>US59P3C5603991200099</v>
          </cell>
          <cell r="B1452" t="str">
            <v>US59P3C560</v>
          </cell>
          <cell r="C1452">
            <v>3991200099</v>
          </cell>
          <cell r="D1452" t="str">
            <v>OTHER EXPENSES TO 3RD PARTIES - ADJUSTME</v>
          </cell>
          <cell r="E1452">
            <v>0</v>
          </cell>
          <cell r="F1452">
            <v>244</v>
          </cell>
          <cell r="G1452">
            <v>183</v>
          </cell>
          <cell r="H1452">
            <v>119</v>
          </cell>
          <cell r="I1452">
            <v>269</v>
          </cell>
          <cell r="J1452">
            <v>3108</v>
          </cell>
          <cell r="K1452">
            <v>-1917</v>
          </cell>
          <cell r="L1452">
            <v>776</v>
          </cell>
          <cell r="M1452">
            <v>137</v>
          </cell>
          <cell r="N1452">
            <v>0</v>
          </cell>
          <cell r="O1452">
            <v>-81</v>
          </cell>
          <cell r="P1452">
            <v>237</v>
          </cell>
          <cell r="Q1452">
            <v>3075</v>
          </cell>
        </row>
        <row r="1453">
          <cell r="A1453" t="str">
            <v>US59PZA5013991200099</v>
          </cell>
          <cell r="B1453" t="str">
            <v>US59PZA501</v>
          </cell>
          <cell r="C1453">
            <v>3991200099</v>
          </cell>
          <cell r="D1453" t="str">
            <v>OTHER EXPENSES TO 3RD PARTIES - ADJUSTME</v>
          </cell>
          <cell r="E1453">
            <v>152</v>
          </cell>
          <cell r="F1453">
            <v>0</v>
          </cell>
          <cell r="G1453">
            <v>0</v>
          </cell>
          <cell r="H1453">
            <v>0</v>
          </cell>
          <cell r="I1453">
            <v>0</v>
          </cell>
          <cell r="J1453">
            <v>0</v>
          </cell>
          <cell r="K1453">
            <v>0</v>
          </cell>
          <cell r="L1453">
            <v>0</v>
          </cell>
          <cell r="M1453">
            <v>0</v>
          </cell>
          <cell r="N1453">
            <v>0</v>
          </cell>
          <cell r="O1453">
            <v>0</v>
          </cell>
          <cell r="P1453">
            <v>0</v>
          </cell>
          <cell r="Q1453">
            <v>152</v>
          </cell>
        </row>
        <row r="1454">
          <cell r="A1454" t="str">
            <v>USCLP015013991200099</v>
          </cell>
          <cell r="B1454" t="str">
            <v>USCLP01501</v>
          </cell>
          <cell r="C1454">
            <v>3991200099</v>
          </cell>
          <cell r="D1454" t="str">
            <v>OTHER EXPENSES TO 3RD PARTIES - ADJUSTME</v>
          </cell>
          <cell r="E1454">
            <v>172</v>
          </cell>
          <cell r="F1454">
            <v>0</v>
          </cell>
          <cell r="G1454">
            <v>0</v>
          </cell>
          <cell r="H1454">
            <v>0</v>
          </cell>
          <cell r="I1454">
            <v>0</v>
          </cell>
          <cell r="J1454">
            <v>0</v>
          </cell>
          <cell r="K1454">
            <v>0</v>
          </cell>
          <cell r="L1454">
            <v>0</v>
          </cell>
          <cell r="M1454">
            <v>0</v>
          </cell>
          <cell r="N1454">
            <v>0</v>
          </cell>
          <cell r="O1454">
            <v>0</v>
          </cell>
          <cell r="P1454">
            <v>0</v>
          </cell>
          <cell r="Q1454">
            <v>172</v>
          </cell>
        </row>
        <row r="1455">
          <cell r="A1455" t="str">
            <v>USSTP015113991200099</v>
          </cell>
          <cell r="B1455" t="str">
            <v>USSTP01511</v>
          </cell>
          <cell r="C1455">
            <v>3991200099</v>
          </cell>
          <cell r="D1455" t="str">
            <v>OTHER EXPENSES TO 3RD PARTIES - ADJUSTME</v>
          </cell>
          <cell r="E1455">
            <v>-278</v>
          </cell>
          <cell r="F1455">
            <v>0</v>
          </cell>
          <cell r="G1455">
            <v>0</v>
          </cell>
          <cell r="H1455">
            <v>0</v>
          </cell>
          <cell r="I1455">
            <v>0</v>
          </cell>
          <cell r="J1455">
            <v>0</v>
          </cell>
          <cell r="K1455">
            <v>0</v>
          </cell>
          <cell r="L1455">
            <v>0</v>
          </cell>
          <cell r="M1455">
            <v>0</v>
          </cell>
          <cell r="N1455">
            <v>0</v>
          </cell>
          <cell r="O1455">
            <v>0</v>
          </cell>
          <cell r="P1455">
            <v>0</v>
          </cell>
          <cell r="Q1455">
            <v>-278</v>
          </cell>
        </row>
        <row r="1456">
          <cell r="A1456" t="str">
            <v>USCOP015013991200099</v>
          </cell>
          <cell r="B1456" t="str">
            <v>USCOP01501</v>
          </cell>
          <cell r="C1456">
            <v>3991200099</v>
          </cell>
          <cell r="D1456" t="str">
            <v>OTHER EXPENSES TO 3RD PARTIES - ADJUSTME</v>
          </cell>
          <cell r="E1456">
            <v>0</v>
          </cell>
          <cell r="F1456">
            <v>0</v>
          </cell>
          <cell r="G1456">
            <v>0</v>
          </cell>
          <cell r="H1456">
            <v>2471</v>
          </cell>
          <cell r="I1456">
            <v>43</v>
          </cell>
          <cell r="J1456">
            <v>43</v>
          </cell>
          <cell r="K1456">
            <v>43</v>
          </cell>
          <cell r="L1456">
            <v>43</v>
          </cell>
          <cell r="M1456">
            <v>43</v>
          </cell>
          <cell r="N1456">
            <v>43</v>
          </cell>
          <cell r="O1456">
            <v>43</v>
          </cell>
          <cell r="P1456">
            <v>43</v>
          </cell>
          <cell r="Q1456">
            <v>2815</v>
          </cell>
        </row>
        <row r="1457">
          <cell r="A1457" t="str">
            <v>USCRP015013991200099</v>
          </cell>
          <cell r="B1457" t="str">
            <v>USCRP01501</v>
          </cell>
          <cell r="C1457">
            <v>3991200099</v>
          </cell>
          <cell r="D1457" t="str">
            <v>OTHER EXPENSES TO 3RD PARTIES - ADJUSTME</v>
          </cell>
          <cell r="E1457">
            <v>1811</v>
          </cell>
          <cell r="F1457">
            <v>1972</v>
          </cell>
          <cell r="G1457">
            <v>411</v>
          </cell>
          <cell r="H1457">
            <v>211</v>
          </cell>
          <cell r="I1457">
            <v>537</v>
          </cell>
          <cell r="J1457">
            <v>1882</v>
          </cell>
          <cell r="K1457">
            <v>-206</v>
          </cell>
          <cell r="L1457">
            <v>494</v>
          </cell>
          <cell r="M1457">
            <v>354</v>
          </cell>
          <cell r="N1457">
            <v>110</v>
          </cell>
          <cell r="O1457">
            <v>1726</v>
          </cell>
          <cell r="P1457">
            <v>467</v>
          </cell>
          <cell r="Q1457">
            <v>9769</v>
          </cell>
        </row>
        <row r="1458">
          <cell r="A1458" t="str">
            <v>USCRP015503991200099</v>
          </cell>
          <cell r="B1458" t="str">
            <v>USCRP01550</v>
          </cell>
          <cell r="C1458">
            <v>3991200099</v>
          </cell>
          <cell r="D1458" t="str">
            <v>OTHER EXPENSES TO 3RD PARTIES - ADJUSTME</v>
          </cell>
          <cell r="E1458">
            <v>0</v>
          </cell>
          <cell r="F1458">
            <v>0</v>
          </cell>
          <cell r="G1458">
            <v>0</v>
          </cell>
          <cell r="H1458">
            <v>0</v>
          </cell>
          <cell r="I1458">
            <v>1130</v>
          </cell>
          <cell r="J1458">
            <v>1041</v>
          </cell>
          <cell r="K1458">
            <v>856</v>
          </cell>
          <cell r="L1458">
            <v>1040</v>
          </cell>
          <cell r="M1458">
            <v>0</v>
          </cell>
          <cell r="N1458">
            <v>0</v>
          </cell>
          <cell r="O1458">
            <v>0</v>
          </cell>
          <cell r="P1458">
            <v>0</v>
          </cell>
          <cell r="Q1458">
            <v>4067</v>
          </cell>
        </row>
        <row r="1459">
          <cell r="A1459" t="str">
            <v>USCRP015533991200099</v>
          </cell>
          <cell r="B1459" t="str">
            <v>USCRP01553</v>
          </cell>
          <cell r="C1459">
            <v>3991200099</v>
          </cell>
          <cell r="D1459" t="str">
            <v>OTHER EXPENSES TO 3RD PARTIES - ADJUSTME</v>
          </cell>
          <cell r="E1459">
            <v>0</v>
          </cell>
          <cell r="F1459">
            <v>0</v>
          </cell>
          <cell r="G1459">
            <v>0</v>
          </cell>
          <cell r="H1459">
            <v>0</v>
          </cell>
          <cell r="I1459">
            <v>298</v>
          </cell>
          <cell r="J1459">
            <v>-298</v>
          </cell>
          <cell r="K1459">
            <v>718</v>
          </cell>
          <cell r="L1459">
            <v>-398</v>
          </cell>
          <cell r="M1459">
            <v>0</v>
          </cell>
          <cell r="N1459">
            <v>0</v>
          </cell>
          <cell r="O1459">
            <v>0</v>
          </cell>
          <cell r="P1459">
            <v>0</v>
          </cell>
          <cell r="Q1459">
            <v>320</v>
          </cell>
        </row>
        <row r="1460">
          <cell r="A1460" t="str">
            <v>USCRP015603991200099</v>
          </cell>
          <cell r="B1460" t="str">
            <v>USCRP01560</v>
          </cell>
          <cell r="C1460">
            <v>3991200099</v>
          </cell>
          <cell r="D1460" t="str">
            <v>OTHER EXPENSES TO 3RD PARTIES - ADJUSTME</v>
          </cell>
          <cell r="E1460">
            <v>0</v>
          </cell>
          <cell r="F1460">
            <v>0</v>
          </cell>
          <cell r="G1460">
            <v>0</v>
          </cell>
          <cell r="H1460">
            <v>0</v>
          </cell>
          <cell r="I1460">
            <v>0</v>
          </cell>
          <cell r="J1460">
            <v>0</v>
          </cell>
          <cell r="K1460">
            <v>0</v>
          </cell>
          <cell r="L1460">
            <v>0</v>
          </cell>
          <cell r="M1460">
            <v>0</v>
          </cell>
          <cell r="N1460">
            <v>0</v>
          </cell>
          <cell r="O1460">
            <v>351</v>
          </cell>
          <cell r="P1460">
            <v>0</v>
          </cell>
          <cell r="Q1460">
            <v>351</v>
          </cell>
        </row>
        <row r="1461">
          <cell r="A1461" t="str">
            <v>USCRP015643991200099</v>
          </cell>
          <cell r="B1461" t="str">
            <v>USCRP01564</v>
          </cell>
          <cell r="C1461">
            <v>3991200099</v>
          </cell>
          <cell r="D1461" t="str">
            <v>OTHER EXPENSES TO 3RD PARTIES - ADJUSTME</v>
          </cell>
          <cell r="E1461">
            <v>0</v>
          </cell>
          <cell r="F1461">
            <v>0</v>
          </cell>
          <cell r="G1461">
            <v>0</v>
          </cell>
          <cell r="H1461">
            <v>0</v>
          </cell>
          <cell r="I1461">
            <v>0</v>
          </cell>
          <cell r="J1461">
            <v>0</v>
          </cell>
          <cell r="K1461">
            <v>0</v>
          </cell>
          <cell r="L1461">
            <v>233</v>
          </cell>
          <cell r="M1461">
            <v>648</v>
          </cell>
          <cell r="N1461">
            <v>2081</v>
          </cell>
          <cell r="O1461">
            <v>1159</v>
          </cell>
          <cell r="P1461">
            <v>-1549</v>
          </cell>
          <cell r="Q1461">
            <v>2572</v>
          </cell>
        </row>
        <row r="1462">
          <cell r="A1462" t="str">
            <v>USCRP015753991200099</v>
          </cell>
          <cell r="B1462" t="str">
            <v>USCRP01575</v>
          </cell>
          <cell r="C1462">
            <v>3991200099</v>
          </cell>
          <cell r="D1462" t="str">
            <v>OTHER EXPENSES TO 3RD PARTIES - ADJUSTME</v>
          </cell>
          <cell r="E1462">
            <v>684</v>
          </cell>
          <cell r="F1462">
            <v>290</v>
          </cell>
          <cell r="G1462">
            <v>348</v>
          </cell>
          <cell r="H1462">
            <v>297</v>
          </cell>
          <cell r="I1462">
            <v>0</v>
          </cell>
          <cell r="J1462">
            <v>209</v>
          </cell>
          <cell r="K1462">
            <v>0</v>
          </cell>
          <cell r="L1462">
            <v>460</v>
          </cell>
          <cell r="M1462">
            <v>264</v>
          </cell>
          <cell r="N1462">
            <v>0</v>
          </cell>
          <cell r="O1462">
            <v>0</v>
          </cell>
          <cell r="P1462">
            <v>0</v>
          </cell>
          <cell r="Q1462">
            <v>2552</v>
          </cell>
        </row>
        <row r="1463">
          <cell r="A1463" t="str">
            <v>USCRP015903991200099</v>
          </cell>
          <cell r="B1463" t="str">
            <v>USCRP01590</v>
          </cell>
          <cell r="C1463">
            <v>3991200099</v>
          </cell>
          <cell r="D1463" t="str">
            <v>OTHER EXPENSES TO 3RD PARTIES - ADJUSTME</v>
          </cell>
          <cell r="E1463">
            <v>0</v>
          </cell>
          <cell r="F1463">
            <v>0</v>
          </cell>
          <cell r="G1463">
            <v>0</v>
          </cell>
          <cell r="H1463">
            <v>0</v>
          </cell>
          <cell r="I1463">
            <v>0</v>
          </cell>
          <cell r="J1463">
            <v>0</v>
          </cell>
          <cell r="K1463">
            <v>0</v>
          </cell>
          <cell r="L1463">
            <v>0</v>
          </cell>
          <cell r="M1463">
            <v>1755</v>
          </cell>
          <cell r="N1463">
            <v>1224</v>
          </cell>
          <cell r="O1463">
            <v>-16</v>
          </cell>
          <cell r="P1463">
            <v>706</v>
          </cell>
          <cell r="Q1463">
            <v>3669</v>
          </cell>
        </row>
        <row r="1464">
          <cell r="A1464" t="str">
            <v>US22P015013991200101</v>
          </cell>
          <cell r="B1464" t="str">
            <v>US22P01501</v>
          </cell>
          <cell r="C1464">
            <v>3991200101</v>
          </cell>
          <cell r="D1464" t="str">
            <v>EXPENSE RECOVERY</v>
          </cell>
          <cell r="E1464">
            <v>0</v>
          </cell>
          <cell r="F1464">
            <v>0</v>
          </cell>
          <cell r="G1464">
            <v>0</v>
          </cell>
          <cell r="H1464">
            <v>0</v>
          </cell>
          <cell r="I1464">
            <v>0</v>
          </cell>
          <cell r="J1464">
            <v>0</v>
          </cell>
          <cell r="K1464">
            <v>0</v>
          </cell>
          <cell r="L1464">
            <v>0</v>
          </cell>
          <cell r="M1464">
            <v>0</v>
          </cell>
          <cell r="N1464">
            <v>0</v>
          </cell>
          <cell r="O1464">
            <v>-83508</v>
          </cell>
          <cell r="P1464">
            <v>0</v>
          </cell>
          <cell r="Q1464">
            <v>-83508</v>
          </cell>
        </row>
        <row r="1465">
          <cell r="A1465" t="str">
            <v>US22P015113991200101</v>
          </cell>
          <cell r="B1465" t="str">
            <v>US22P01511</v>
          </cell>
          <cell r="C1465">
            <v>3991200101</v>
          </cell>
          <cell r="D1465" t="str">
            <v>EXPENSE RECOVERY</v>
          </cell>
          <cell r="E1465">
            <v>-35561</v>
          </cell>
          <cell r="F1465">
            <v>-21432</v>
          </cell>
          <cell r="G1465">
            <v>0</v>
          </cell>
          <cell r="H1465">
            <v>-3351</v>
          </cell>
          <cell r="I1465">
            <v>-27711</v>
          </cell>
          <cell r="J1465">
            <v>0</v>
          </cell>
          <cell r="K1465">
            <v>0</v>
          </cell>
          <cell r="L1465">
            <v>0</v>
          </cell>
          <cell r="M1465">
            <v>0</v>
          </cell>
          <cell r="N1465">
            <v>-52209</v>
          </cell>
          <cell r="O1465">
            <v>-233305</v>
          </cell>
          <cell r="P1465">
            <v>-96986</v>
          </cell>
          <cell r="Q1465">
            <v>-470555</v>
          </cell>
        </row>
        <row r="1466">
          <cell r="A1466" t="str">
            <v>US28P015013991200101</v>
          </cell>
          <cell r="B1466" t="str">
            <v>US28P01501</v>
          </cell>
          <cell r="C1466">
            <v>3991200101</v>
          </cell>
          <cell r="D1466" t="str">
            <v>EXPENSE RECOVERY</v>
          </cell>
          <cell r="E1466">
            <v>0</v>
          </cell>
          <cell r="F1466">
            <v>0</v>
          </cell>
          <cell r="G1466">
            <v>0</v>
          </cell>
          <cell r="H1466">
            <v>0</v>
          </cell>
          <cell r="I1466">
            <v>0</v>
          </cell>
          <cell r="J1466">
            <v>0</v>
          </cell>
          <cell r="K1466">
            <v>0</v>
          </cell>
          <cell r="L1466">
            <v>0</v>
          </cell>
          <cell r="M1466">
            <v>0</v>
          </cell>
          <cell r="N1466">
            <v>0</v>
          </cell>
          <cell r="O1466">
            <v>-10</v>
          </cell>
          <cell r="P1466">
            <v>0</v>
          </cell>
          <cell r="Q1466">
            <v>-10</v>
          </cell>
        </row>
        <row r="1467">
          <cell r="A1467" t="str">
            <v>US28P015113991200101</v>
          </cell>
          <cell r="B1467" t="str">
            <v>US28P01511</v>
          </cell>
          <cell r="C1467">
            <v>3991200101</v>
          </cell>
          <cell r="D1467" t="str">
            <v>EXPENSE RECOVERY</v>
          </cell>
          <cell r="E1467">
            <v>-26082</v>
          </cell>
          <cell r="F1467">
            <v>-6538</v>
          </cell>
          <cell r="G1467">
            <v>-2386</v>
          </cell>
          <cell r="H1467">
            <v>-5661</v>
          </cell>
          <cell r="I1467">
            <v>-6280</v>
          </cell>
          <cell r="J1467">
            <v>0</v>
          </cell>
          <cell r="K1467">
            <v>0</v>
          </cell>
          <cell r="L1467">
            <v>0</v>
          </cell>
          <cell r="M1467">
            <v>-3772</v>
          </cell>
          <cell r="N1467">
            <v>-56025</v>
          </cell>
          <cell r="O1467">
            <v>-111582</v>
          </cell>
          <cell r="P1467">
            <v>-41894</v>
          </cell>
          <cell r="Q1467">
            <v>-260220</v>
          </cell>
        </row>
        <row r="1468">
          <cell r="A1468" t="str">
            <v>US35P015113991200101</v>
          </cell>
          <cell r="B1468" t="str">
            <v>US35P01511</v>
          </cell>
          <cell r="C1468">
            <v>3991200101</v>
          </cell>
          <cell r="D1468" t="str">
            <v>EXPENSE RECOVERY</v>
          </cell>
          <cell r="E1468">
            <v>-214242</v>
          </cell>
          <cell r="F1468">
            <v>0</v>
          </cell>
          <cell r="G1468">
            <v>0</v>
          </cell>
          <cell r="H1468">
            <v>0</v>
          </cell>
          <cell r="I1468">
            <v>-107780</v>
          </cell>
          <cell r="J1468">
            <v>0</v>
          </cell>
          <cell r="K1468">
            <v>0</v>
          </cell>
          <cell r="L1468">
            <v>0</v>
          </cell>
          <cell r="M1468">
            <v>0</v>
          </cell>
          <cell r="N1468">
            <v>0</v>
          </cell>
          <cell r="O1468">
            <v>-198822</v>
          </cell>
          <cell r="P1468">
            <v>-52254</v>
          </cell>
          <cell r="Q1468">
            <v>-573098</v>
          </cell>
        </row>
        <row r="1469">
          <cell r="A1469" t="str">
            <v>USWOP015113991200101</v>
          </cell>
          <cell r="B1469" t="str">
            <v>USWOP01511</v>
          </cell>
          <cell r="C1469">
            <v>3991200101</v>
          </cell>
          <cell r="D1469" t="str">
            <v>EXPENSE RECOVERY</v>
          </cell>
          <cell r="E1469">
            <v>-52113</v>
          </cell>
          <cell r="F1469">
            <v>0</v>
          </cell>
          <cell r="G1469">
            <v>-11416</v>
          </cell>
          <cell r="H1469">
            <v>-3101</v>
          </cell>
          <cell r="I1469">
            <v>-93412</v>
          </cell>
          <cell r="J1469">
            <v>-77173</v>
          </cell>
          <cell r="K1469">
            <v>-27288</v>
          </cell>
          <cell r="L1469">
            <v>-7649</v>
          </cell>
          <cell r="M1469">
            <v>-43672</v>
          </cell>
          <cell r="N1469">
            <v>-67427</v>
          </cell>
          <cell r="O1469">
            <v>-61337</v>
          </cell>
          <cell r="P1469">
            <v>-30041</v>
          </cell>
          <cell r="Q1469">
            <v>-474629</v>
          </cell>
        </row>
        <row r="1470">
          <cell r="A1470" t="str">
            <v>US59P015113991200101</v>
          </cell>
          <cell r="B1470" t="str">
            <v>US59P01511</v>
          </cell>
          <cell r="C1470">
            <v>3991200101</v>
          </cell>
          <cell r="D1470" t="str">
            <v>EXPENSE RECOVERY</v>
          </cell>
          <cell r="E1470">
            <v>-23026</v>
          </cell>
          <cell r="F1470">
            <v>0</v>
          </cell>
          <cell r="G1470">
            <v>-37835</v>
          </cell>
          <cell r="H1470">
            <v>0</v>
          </cell>
          <cell r="I1470">
            <v>0</v>
          </cell>
          <cell r="J1470">
            <v>0</v>
          </cell>
          <cell r="K1470">
            <v>0</v>
          </cell>
          <cell r="L1470">
            <v>0</v>
          </cell>
          <cell r="M1470">
            <v>0</v>
          </cell>
          <cell r="N1470">
            <v>0</v>
          </cell>
          <cell r="O1470">
            <v>0</v>
          </cell>
          <cell r="P1470">
            <v>-49368</v>
          </cell>
          <cell r="Q1470">
            <v>-110229</v>
          </cell>
        </row>
        <row r="1471">
          <cell r="A1471" t="str">
            <v>US59P3C5113991200101</v>
          </cell>
          <cell r="B1471" t="str">
            <v>US59P3C511</v>
          </cell>
          <cell r="C1471">
            <v>3991200101</v>
          </cell>
          <cell r="D1471" t="str">
            <v>EXPENSE RECOVERY</v>
          </cell>
          <cell r="E1471">
            <v>-159368</v>
          </cell>
          <cell r="F1471">
            <v>-182150</v>
          </cell>
          <cell r="G1471">
            <v>-497090</v>
          </cell>
          <cell r="H1471">
            <v>-776937</v>
          </cell>
          <cell r="I1471">
            <v>1040612</v>
          </cell>
          <cell r="J1471">
            <v>515792</v>
          </cell>
          <cell r="K1471">
            <v>0</v>
          </cell>
          <cell r="L1471">
            <v>-166772</v>
          </cell>
          <cell r="M1471">
            <v>0</v>
          </cell>
          <cell r="N1471">
            <v>0</v>
          </cell>
          <cell r="O1471">
            <v>-109780</v>
          </cell>
          <cell r="P1471">
            <v>-54419</v>
          </cell>
          <cell r="Q1471">
            <v>-390112</v>
          </cell>
        </row>
        <row r="1472">
          <cell r="A1472" t="str">
            <v>US59P3C5603991200101</v>
          </cell>
          <cell r="B1472" t="str">
            <v>US59P3C560</v>
          </cell>
          <cell r="C1472">
            <v>3991200101</v>
          </cell>
          <cell r="D1472" t="str">
            <v>EXPENSE RECOVERY</v>
          </cell>
          <cell r="E1472">
            <v>0</v>
          </cell>
          <cell r="F1472">
            <v>0</v>
          </cell>
          <cell r="G1472">
            <v>0</v>
          </cell>
          <cell r="H1472">
            <v>0</v>
          </cell>
          <cell r="I1472">
            <v>0</v>
          </cell>
          <cell r="J1472">
            <v>0</v>
          </cell>
          <cell r="K1472">
            <v>0</v>
          </cell>
          <cell r="L1472">
            <v>0</v>
          </cell>
          <cell r="M1472">
            <v>-1204</v>
          </cell>
          <cell r="N1472">
            <v>0</v>
          </cell>
          <cell r="O1472">
            <v>0</v>
          </cell>
          <cell r="P1472">
            <v>0</v>
          </cell>
          <cell r="Q1472">
            <v>-1204</v>
          </cell>
        </row>
        <row r="1473">
          <cell r="A1473" t="str">
            <v>USSTP015013991200101</v>
          </cell>
          <cell r="B1473" t="str">
            <v>USSTP01501</v>
          </cell>
          <cell r="C1473">
            <v>3991200101</v>
          </cell>
          <cell r="D1473" t="str">
            <v>EXPENSE RECOVERY</v>
          </cell>
          <cell r="E1473">
            <v>7600</v>
          </cell>
          <cell r="F1473">
            <v>0</v>
          </cell>
          <cell r="G1473">
            <v>0</v>
          </cell>
          <cell r="H1473">
            <v>0</v>
          </cell>
          <cell r="I1473">
            <v>0</v>
          </cell>
          <cell r="J1473">
            <v>-3510</v>
          </cell>
          <cell r="K1473">
            <v>0</v>
          </cell>
          <cell r="L1473">
            <v>0</v>
          </cell>
          <cell r="M1473">
            <v>0</v>
          </cell>
          <cell r="N1473">
            <v>0</v>
          </cell>
          <cell r="O1473">
            <v>0</v>
          </cell>
          <cell r="P1473">
            <v>0</v>
          </cell>
          <cell r="Q1473">
            <v>4090</v>
          </cell>
        </row>
        <row r="1474">
          <cell r="A1474" t="str">
            <v>USCOP015013991200101</v>
          </cell>
          <cell r="B1474" t="str">
            <v>USCOP01501</v>
          </cell>
          <cell r="C1474">
            <v>3991200101</v>
          </cell>
          <cell r="D1474" t="str">
            <v>EXPENSE RECOVERY</v>
          </cell>
          <cell r="E1474">
            <v>0</v>
          </cell>
          <cell r="F1474">
            <v>0</v>
          </cell>
          <cell r="G1474">
            <v>0</v>
          </cell>
          <cell r="H1474">
            <v>0</v>
          </cell>
          <cell r="I1474">
            <v>0</v>
          </cell>
          <cell r="J1474">
            <v>0</v>
          </cell>
          <cell r="K1474">
            <v>0</v>
          </cell>
          <cell r="L1474">
            <v>0</v>
          </cell>
          <cell r="M1474">
            <v>0</v>
          </cell>
          <cell r="N1474">
            <v>0</v>
          </cell>
          <cell r="O1474">
            <v>-1266</v>
          </cell>
          <cell r="P1474">
            <v>-1500</v>
          </cell>
          <cell r="Q1474">
            <v>-2766</v>
          </cell>
        </row>
        <row r="1475">
          <cell r="A1475" t="str">
            <v>USCRP015113991200101</v>
          </cell>
          <cell r="B1475" t="str">
            <v>USCRP01511</v>
          </cell>
          <cell r="C1475">
            <v>3991200101</v>
          </cell>
          <cell r="D1475" t="str">
            <v>EXPENSE RECOVERY</v>
          </cell>
          <cell r="E1475">
            <v>-35839</v>
          </cell>
          <cell r="F1475">
            <v>918</v>
          </cell>
          <cell r="G1475">
            <v>-3783</v>
          </cell>
          <cell r="H1475">
            <v>-9294</v>
          </cell>
          <cell r="I1475">
            <v>1157</v>
          </cell>
          <cell r="J1475">
            <v>4774</v>
          </cell>
          <cell r="K1475">
            <v>2606</v>
          </cell>
          <cell r="L1475">
            <v>-163732</v>
          </cell>
          <cell r="M1475">
            <v>1932</v>
          </cell>
          <cell r="N1475">
            <v>-148575</v>
          </cell>
          <cell r="O1475">
            <v>-64758</v>
          </cell>
          <cell r="P1475">
            <v>-89333</v>
          </cell>
          <cell r="Q1475">
            <v>-503927</v>
          </cell>
        </row>
        <row r="1476">
          <cell r="A1476" t="str">
            <v>US22P015013991200201</v>
          </cell>
          <cell r="B1476" t="str">
            <v>US22P01501</v>
          </cell>
          <cell r="C1476">
            <v>3991200201</v>
          </cell>
          <cell r="D1476" t="str">
            <v>ALLOCATIONS OTHER IN/OUT LOAD AC</v>
          </cell>
          <cell r="E1476">
            <v>0</v>
          </cell>
          <cell r="F1476">
            <v>-656</v>
          </cell>
          <cell r="G1476">
            <v>0</v>
          </cell>
          <cell r="H1476">
            <v>0</v>
          </cell>
          <cell r="I1476">
            <v>0</v>
          </cell>
          <cell r="J1476">
            <v>0</v>
          </cell>
          <cell r="K1476">
            <v>0</v>
          </cell>
          <cell r="L1476">
            <v>0</v>
          </cell>
          <cell r="M1476">
            <v>0</v>
          </cell>
          <cell r="N1476">
            <v>0</v>
          </cell>
          <cell r="O1476">
            <v>0</v>
          </cell>
          <cell r="P1476">
            <v>0</v>
          </cell>
          <cell r="Q1476">
            <v>-656</v>
          </cell>
        </row>
        <row r="1477">
          <cell r="A1477" t="str">
            <v>US22P015503991200201</v>
          </cell>
          <cell r="B1477" t="str">
            <v>US22P01550</v>
          </cell>
          <cell r="C1477">
            <v>3991200201</v>
          </cell>
          <cell r="D1477" t="str">
            <v>ALLOCATIONS OTHER IN/OUT LOAD AC</v>
          </cell>
          <cell r="E1477">
            <v>0</v>
          </cell>
          <cell r="F1477">
            <v>-10</v>
          </cell>
          <cell r="G1477">
            <v>0</v>
          </cell>
          <cell r="H1477">
            <v>0</v>
          </cell>
          <cell r="I1477">
            <v>0</v>
          </cell>
          <cell r="J1477">
            <v>0</v>
          </cell>
          <cell r="K1477">
            <v>0</v>
          </cell>
          <cell r="L1477">
            <v>0</v>
          </cell>
          <cell r="M1477">
            <v>0</v>
          </cell>
          <cell r="N1477">
            <v>0</v>
          </cell>
          <cell r="O1477">
            <v>0</v>
          </cell>
          <cell r="P1477">
            <v>0</v>
          </cell>
          <cell r="Q1477">
            <v>-10</v>
          </cell>
        </row>
        <row r="1478">
          <cell r="A1478" t="str">
            <v>US22P015603991200201</v>
          </cell>
          <cell r="B1478" t="str">
            <v>US22P01560</v>
          </cell>
          <cell r="C1478">
            <v>3991200201</v>
          </cell>
          <cell r="D1478" t="str">
            <v>ALLOCATIONS OTHER IN/OUT LOAD AC</v>
          </cell>
          <cell r="E1478">
            <v>0</v>
          </cell>
          <cell r="F1478">
            <v>-33</v>
          </cell>
          <cell r="G1478">
            <v>0</v>
          </cell>
          <cell r="H1478">
            <v>0</v>
          </cell>
          <cell r="I1478">
            <v>0</v>
          </cell>
          <cell r="J1478">
            <v>0</v>
          </cell>
          <cell r="K1478">
            <v>0</v>
          </cell>
          <cell r="L1478">
            <v>0</v>
          </cell>
          <cell r="M1478">
            <v>0</v>
          </cell>
          <cell r="N1478">
            <v>0</v>
          </cell>
          <cell r="O1478">
            <v>0</v>
          </cell>
          <cell r="P1478">
            <v>0</v>
          </cell>
          <cell r="Q1478">
            <v>-33</v>
          </cell>
        </row>
        <row r="1479">
          <cell r="A1479" t="str">
            <v>US22P015753991200201</v>
          </cell>
          <cell r="B1479" t="str">
            <v>US22P01575</v>
          </cell>
          <cell r="C1479">
            <v>3991200201</v>
          </cell>
          <cell r="D1479" t="str">
            <v>ALLOCATIONS OTHER IN/OUT LOAD AC</v>
          </cell>
          <cell r="E1479">
            <v>0</v>
          </cell>
          <cell r="F1479">
            <v>-274</v>
          </cell>
          <cell r="G1479">
            <v>0</v>
          </cell>
          <cell r="H1479">
            <v>0</v>
          </cell>
          <cell r="I1479">
            <v>0</v>
          </cell>
          <cell r="J1479">
            <v>0</v>
          </cell>
          <cell r="K1479">
            <v>0</v>
          </cell>
          <cell r="L1479">
            <v>0</v>
          </cell>
          <cell r="M1479">
            <v>0</v>
          </cell>
          <cell r="N1479">
            <v>0</v>
          </cell>
          <cell r="O1479">
            <v>0</v>
          </cell>
          <cell r="P1479">
            <v>0</v>
          </cell>
          <cell r="Q1479">
            <v>-274</v>
          </cell>
        </row>
        <row r="1480">
          <cell r="A1480" t="str">
            <v>US22P015853991200201</v>
          </cell>
          <cell r="B1480" t="str">
            <v>US22P01585</v>
          </cell>
          <cell r="C1480">
            <v>3991200201</v>
          </cell>
          <cell r="D1480" t="str">
            <v>ALLOCATIONS OTHER IN/OUT LOAD AC</v>
          </cell>
          <cell r="E1480">
            <v>0</v>
          </cell>
          <cell r="F1480">
            <v>-81</v>
          </cell>
          <cell r="G1480">
            <v>0</v>
          </cell>
          <cell r="H1480">
            <v>0</v>
          </cell>
          <cell r="I1480">
            <v>0</v>
          </cell>
          <cell r="J1480">
            <v>0</v>
          </cell>
          <cell r="K1480">
            <v>0</v>
          </cell>
          <cell r="L1480">
            <v>0</v>
          </cell>
          <cell r="M1480">
            <v>0</v>
          </cell>
          <cell r="N1480">
            <v>0</v>
          </cell>
          <cell r="O1480">
            <v>0</v>
          </cell>
          <cell r="P1480">
            <v>0</v>
          </cell>
          <cell r="Q1480">
            <v>-81</v>
          </cell>
        </row>
        <row r="1481">
          <cell r="A1481" t="str">
            <v>US22P015903991200201</v>
          </cell>
          <cell r="B1481" t="str">
            <v>US22P01590</v>
          </cell>
          <cell r="C1481">
            <v>3991200201</v>
          </cell>
          <cell r="D1481" t="str">
            <v>ALLOCATIONS OTHER IN/OUT LOAD AC</v>
          </cell>
          <cell r="E1481">
            <v>0</v>
          </cell>
          <cell r="F1481">
            <v>-50</v>
          </cell>
          <cell r="G1481">
            <v>0</v>
          </cell>
          <cell r="H1481">
            <v>0</v>
          </cell>
          <cell r="I1481">
            <v>0</v>
          </cell>
          <cell r="J1481">
            <v>0</v>
          </cell>
          <cell r="K1481">
            <v>0</v>
          </cell>
          <cell r="L1481">
            <v>0</v>
          </cell>
          <cell r="M1481">
            <v>0</v>
          </cell>
          <cell r="N1481">
            <v>0</v>
          </cell>
          <cell r="O1481">
            <v>0</v>
          </cell>
          <cell r="P1481">
            <v>0</v>
          </cell>
          <cell r="Q1481">
            <v>-50</v>
          </cell>
        </row>
        <row r="1482">
          <cell r="A1482" t="str">
            <v>US28P015013991200201</v>
          </cell>
          <cell r="B1482" t="str">
            <v>US28P01501</v>
          </cell>
          <cell r="C1482">
            <v>3991200201</v>
          </cell>
          <cell r="D1482" t="str">
            <v>ALLOCATIONS OTHER IN/OUT LOAD AC</v>
          </cell>
          <cell r="E1482">
            <v>0</v>
          </cell>
          <cell r="F1482">
            <v>-534</v>
          </cell>
          <cell r="G1482">
            <v>0</v>
          </cell>
          <cell r="H1482">
            <v>0</v>
          </cell>
          <cell r="I1482">
            <v>0</v>
          </cell>
          <cell r="J1482">
            <v>0</v>
          </cell>
          <cell r="K1482">
            <v>0</v>
          </cell>
          <cell r="L1482">
            <v>0</v>
          </cell>
          <cell r="M1482">
            <v>0</v>
          </cell>
          <cell r="N1482">
            <v>0</v>
          </cell>
          <cell r="O1482">
            <v>0</v>
          </cell>
          <cell r="P1482">
            <v>0</v>
          </cell>
          <cell r="Q1482">
            <v>-534</v>
          </cell>
        </row>
        <row r="1483">
          <cell r="A1483" t="str">
            <v>US28P015603991200201</v>
          </cell>
          <cell r="B1483" t="str">
            <v>US28P01560</v>
          </cell>
          <cell r="C1483">
            <v>3991200201</v>
          </cell>
          <cell r="D1483" t="str">
            <v>ALLOCATIONS OTHER IN/OUT LOAD AC</v>
          </cell>
          <cell r="E1483">
            <v>0</v>
          </cell>
          <cell r="F1483">
            <v>-311</v>
          </cell>
          <cell r="G1483">
            <v>0</v>
          </cell>
          <cell r="H1483">
            <v>0</v>
          </cell>
          <cell r="I1483">
            <v>0</v>
          </cell>
          <cell r="J1483">
            <v>0</v>
          </cell>
          <cell r="K1483">
            <v>0</v>
          </cell>
          <cell r="L1483">
            <v>0</v>
          </cell>
          <cell r="M1483">
            <v>0</v>
          </cell>
          <cell r="N1483">
            <v>0</v>
          </cell>
          <cell r="O1483">
            <v>0</v>
          </cell>
          <cell r="P1483">
            <v>0</v>
          </cell>
          <cell r="Q1483">
            <v>-311</v>
          </cell>
        </row>
        <row r="1484">
          <cell r="A1484" t="str">
            <v>US28P015853991200201</v>
          </cell>
          <cell r="B1484" t="str">
            <v>US28P01585</v>
          </cell>
          <cell r="C1484">
            <v>3991200201</v>
          </cell>
          <cell r="D1484" t="str">
            <v>ALLOCATIONS OTHER IN/OUT LOAD AC</v>
          </cell>
          <cell r="E1484">
            <v>0</v>
          </cell>
          <cell r="F1484">
            <v>-134</v>
          </cell>
          <cell r="G1484">
            <v>0</v>
          </cell>
          <cell r="H1484">
            <v>0</v>
          </cell>
          <cell r="I1484">
            <v>0</v>
          </cell>
          <cell r="J1484">
            <v>0</v>
          </cell>
          <cell r="K1484">
            <v>0</v>
          </cell>
          <cell r="L1484">
            <v>0</v>
          </cell>
          <cell r="M1484">
            <v>0</v>
          </cell>
          <cell r="N1484">
            <v>0</v>
          </cell>
          <cell r="O1484">
            <v>0</v>
          </cell>
          <cell r="P1484">
            <v>0</v>
          </cell>
          <cell r="Q1484">
            <v>-134</v>
          </cell>
        </row>
        <row r="1485">
          <cell r="A1485" t="str">
            <v>US28P015903991200201</v>
          </cell>
          <cell r="B1485" t="str">
            <v>US28P01590</v>
          </cell>
          <cell r="C1485">
            <v>3991200201</v>
          </cell>
          <cell r="D1485" t="str">
            <v>ALLOCATIONS OTHER IN/OUT LOAD AC</v>
          </cell>
          <cell r="E1485">
            <v>0</v>
          </cell>
          <cell r="F1485">
            <v>-45</v>
          </cell>
          <cell r="G1485">
            <v>0</v>
          </cell>
          <cell r="H1485">
            <v>0</v>
          </cell>
          <cell r="I1485">
            <v>0</v>
          </cell>
          <cell r="J1485">
            <v>0</v>
          </cell>
          <cell r="K1485">
            <v>0</v>
          </cell>
          <cell r="L1485">
            <v>0</v>
          </cell>
          <cell r="M1485">
            <v>0</v>
          </cell>
          <cell r="N1485">
            <v>0</v>
          </cell>
          <cell r="O1485">
            <v>0</v>
          </cell>
          <cell r="P1485">
            <v>0</v>
          </cell>
          <cell r="Q1485">
            <v>-45</v>
          </cell>
        </row>
        <row r="1486">
          <cell r="A1486" t="str">
            <v>US35P015013991200201</v>
          </cell>
          <cell r="B1486" t="str">
            <v>US35P01501</v>
          </cell>
          <cell r="C1486">
            <v>3991200201</v>
          </cell>
          <cell r="D1486" t="str">
            <v>ALLOCATIONS OTHER IN/OUT LOAD AC</v>
          </cell>
          <cell r="E1486">
            <v>0</v>
          </cell>
          <cell r="F1486">
            <v>-698</v>
          </cell>
          <cell r="G1486">
            <v>0</v>
          </cell>
          <cell r="H1486">
            <v>0</v>
          </cell>
          <cell r="I1486">
            <v>0</v>
          </cell>
          <cell r="J1486">
            <v>0</v>
          </cell>
          <cell r="K1486">
            <v>0</v>
          </cell>
          <cell r="L1486">
            <v>0</v>
          </cell>
          <cell r="M1486">
            <v>0</v>
          </cell>
          <cell r="N1486">
            <v>0</v>
          </cell>
          <cell r="O1486">
            <v>0</v>
          </cell>
          <cell r="P1486">
            <v>0</v>
          </cell>
          <cell r="Q1486">
            <v>-698</v>
          </cell>
        </row>
        <row r="1487">
          <cell r="A1487" t="str">
            <v>US35P015603991200201</v>
          </cell>
          <cell r="B1487" t="str">
            <v>US35P01560</v>
          </cell>
          <cell r="C1487">
            <v>3991200201</v>
          </cell>
          <cell r="D1487" t="str">
            <v>ALLOCATIONS OTHER IN/OUT LOAD AC</v>
          </cell>
          <cell r="E1487">
            <v>0</v>
          </cell>
          <cell r="F1487">
            <v>-192</v>
          </cell>
          <cell r="G1487">
            <v>0</v>
          </cell>
          <cell r="H1487">
            <v>0</v>
          </cell>
          <cell r="I1487">
            <v>0</v>
          </cell>
          <cell r="J1487">
            <v>0</v>
          </cell>
          <cell r="K1487">
            <v>0</v>
          </cell>
          <cell r="L1487">
            <v>0</v>
          </cell>
          <cell r="M1487">
            <v>0</v>
          </cell>
          <cell r="N1487">
            <v>0</v>
          </cell>
          <cell r="O1487">
            <v>0</v>
          </cell>
          <cell r="P1487">
            <v>0</v>
          </cell>
          <cell r="Q1487">
            <v>-192</v>
          </cell>
        </row>
        <row r="1488">
          <cell r="A1488" t="str">
            <v>US35P015853991200201</v>
          </cell>
          <cell r="B1488" t="str">
            <v>US35P01585</v>
          </cell>
          <cell r="C1488">
            <v>3991200201</v>
          </cell>
          <cell r="D1488" t="str">
            <v>ALLOCATIONS OTHER IN/OUT LOAD AC</v>
          </cell>
          <cell r="E1488">
            <v>0</v>
          </cell>
          <cell r="F1488">
            <v>-96</v>
          </cell>
          <cell r="G1488">
            <v>0</v>
          </cell>
          <cell r="H1488">
            <v>0</v>
          </cell>
          <cell r="I1488">
            <v>0</v>
          </cell>
          <cell r="J1488">
            <v>0</v>
          </cell>
          <cell r="K1488">
            <v>0</v>
          </cell>
          <cell r="L1488">
            <v>0</v>
          </cell>
          <cell r="M1488">
            <v>0</v>
          </cell>
          <cell r="N1488">
            <v>0</v>
          </cell>
          <cell r="O1488">
            <v>0</v>
          </cell>
          <cell r="P1488">
            <v>0</v>
          </cell>
          <cell r="Q1488">
            <v>-96</v>
          </cell>
        </row>
        <row r="1489">
          <cell r="A1489" t="str">
            <v>US35P015903991200201</v>
          </cell>
          <cell r="B1489" t="str">
            <v>US35P01590</v>
          </cell>
          <cell r="C1489">
            <v>3991200201</v>
          </cell>
          <cell r="D1489" t="str">
            <v>ALLOCATIONS OTHER IN/OUT LOAD AC</v>
          </cell>
          <cell r="E1489">
            <v>0</v>
          </cell>
          <cell r="F1489">
            <v>-35</v>
          </cell>
          <cell r="G1489">
            <v>0</v>
          </cell>
          <cell r="H1489">
            <v>0</v>
          </cell>
          <cell r="I1489">
            <v>0</v>
          </cell>
          <cell r="J1489">
            <v>0</v>
          </cell>
          <cell r="K1489">
            <v>0</v>
          </cell>
          <cell r="L1489">
            <v>0</v>
          </cell>
          <cell r="M1489">
            <v>0</v>
          </cell>
          <cell r="N1489">
            <v>0</v>
          </cell>
          <cell r="O1489">
            <v>0</v>
          </cell>
          <cell r="P1489">
            <v>0</v>
          </cell>
          <cell r="Q1489">
            <v>-35</v>
          </cell>
        </row>
        <row r="1490">
          <cell r="A1490" t="str">
            <v>USWOP015013991200201</v>
          </cell>
          <cell r="B1490" t="str">
            <v>USWOP01501</v>
          </cell>
          <cell r="C1490">
            <v>3991200201</v>
          </cell>
          <cell r="D1490" t="str">
            <v>ALLOCATIONS OTHER IN/OUT LOAD AC</v>
          </cell>
          <cell r="E1490">
            <v>0</v>
          </cell>
          <cell r="F1490">
            <v>-566</v>
          </cell>
          <cell r="G1490">
            <v>0</v>
          </cell>
          <cell r="H1490">
            <v>0</v>
          </cell>
          <cell r="I1490">
            <v>0</v>
          </cell>
          <cell r="J1490">
            <v>0</v>
          </cell>
          <cell r="K1490">
            <v>0</v>
          </cell>
          <cell r="L1490">
            <v>0</v>
          </cell>
          <cell r="M1490">
            <v>0</v>
          </cell>
          <cell r="N1490">
            <v>0</v>
          </cell>
          <cell r="O1490">
            <v>0</v>
          </cell>
          <cell r="P1490">
            <v>0</v>
          </cell>
          <cell r="Q1490">
            <v>-566</v>
          </cell>
        </row>
        <row r="1491">
          <cell r="A1491" t="str">
            <v>USWOP015603991200201</v>
          </cell>
          <cell r="B1491" t="str">
            <v>USWOP01560</v>
          </cell>
          <cell r="C1491">
            <v>3991200201</v>
          </cell>
          <cell r="D1491" t="str">
            <v>ALLOCATIONS OTHER IN/OUT LOAD AC</v>
          </cell>
          <cell r="E1491">
            <v>0</v>
          </cell>
          <cell r="F1491">
            <v>-371</v>
          </cell>
          <cell r="G1491">
            <v>0</v>
          </cell>
          <cell r="H1491">
            <v>0</v>
          </cell>
          <cell r="I1491">
            <v>0</v>
          </cell>
          <cell r="J1491">
            <v>0</v>
          </cell>
          <cell r="K1491">
            <v>0</v>
          </cell>
          <cell r="L1491">
            <v>0</v>
          </cell>
          <cell r="M1491">
            <v>0</v>
          </cell>
          <cell r="N1491">
            <v>0</v>
          </cell>
          <cell r="O1491">
            <v>0</v>
          </cell>
          <cell r="P1491">
            <v>0</v>
          </cell>
          <cell r="Q1491">
            <v>-371</v>
          </cell>
        </row>
        <row r="1492">
          <cell r="A1492" t="str">
            <v>USWOP015753991200201</v>
          </cell>
          <cell r="B1492" t="str">
            <v>USWOP01575</v>
          </cell>
          <cell r="C1492">
            <v>3991200201</v>
          </cell>
          <cell r="D1492" t="str">
            <v>ALLOCATIONS OTHER IN/OUT LOAD AC</v>
          </cell>
          <cell r="E1492">
            <v>0</v>
          </cell>
          <cell r="F1492">
            <v>-258</v>
          </cell>
          <cell r="G1492">
            <v>0</v>
          </cell>
          <cell r="H1492">
            <v>0</v>
          </cell>
          <cell r="I1492">
            <v>0</v>
          </cell>
          <cell r="J1492">
            <v>0</v>
          </cell>
          <cell r="K1492">
            <v>0</v>
          </cell>
          <cell r="L1492">
            <v>0</v>
          </cell>
          <cell r="M1492">
            <v>0</v>
          </cell>
          <cell r="N1492">
            <v>0</v>
          </cell>
          <cell r="O1492">
            <v>0</v>
          </cell>
          <cell r="P1492">
            <v>0</v>
          </cell>
          <cell r="Q1492">
            <v>-258</v>
          </cell>
        </row>
        <row r="1493">
          <cell r="A1493" t="str">
            <v>US59P015013991200201</v>
          </cell>
          <cell r="B1493" t="str">
            <v>US59P01501</v>
          </cell>
          <cell r="C1493">
            <v>3991200201</v>
          </cell>
          <cell r="D1493" t="str">
            <v>ALLOCATIONS OTHER IN/OUT LOAD AC</v>
          </cell>
          <cell r="E1493">
            <v>0</v>
          </cell>
          <cell r="F1493">
            <v>-398</v>
          </cell>
          <cell r="G1493">
            <v>0</v>
          </cell>
          <cell r="H1493">
            <v>0</v>
          </cell>
          <cell r="I1493">
            <v>0</v>
          </cell>
          <cell r="J1493">
            <v>0</v>
          </cell>
          <cell r="K1493">
            <v>0</v>
          </cell>
          <cell r="L1493">
            <v>0</v>
          </cell>
          <cell r="M1493">
            <v>0</v>
          </cell>
          <cell r="N1493">
            <v>0</v>
          </cell>
          <cell r="O1493">
            <v>0</v>
          </cell>
          <cell r="P1493">
            <v>0</v>
          </cell>
          <cell r="Q1493">
            <v>-398</v>
          </cell>
        </row>
        <row r="1494">
          <cell r="A1494" t="str">
            <v>USWOP015853991200201</v>
          </cell>
          <cell r="B1494" t="str">
            <v>USWOP01585</v>
          </cell>
          <cell r="C1494">
            <v>3991200201</v>
          </cell>
          <cell r="D1494" t="str">
            <v>ALLOCATIONS OTHER IN/OUT LOAD AC</v>
          </cell>
          <cell r="E1494">
            <v>0</v>
          </cell>
          <cell r="F1494">
            <v>-161</v>
          </cell>
          <cell r="G1494">
            <v>0</v>
          </cell>
          <cell r="H1494">
            <v>0</v>
          </cell>
          <cell r="I1494">
            <v>0</v>
          </cell>
          <cell r="J1494">
            <v>0</v>
          </cell>
          <cell r="K1494">
            <v>0</v>
          </cell>
          <cell r="L1494">
            <v>0</v>
          </cell>
          <cell r="M1494">
            <v>0</v>
          </cell>
          <cell r="N1494">
            <v>0</v>
          </cell>
          <cell r="O1494">
            <v>0</v>
          </cell>
          <cell r="P1494">
            <v>0</v>
          </cell>
          <cell r="Q1494">
            <v>-161</v>
          </cell>
        </row>
        <row r="1495">
          <cell r="A1495" t="str">
            <v>USWOP015903991200201</v>
          </cell>
          <cell r="B1495" t="str">
            <v>USWOP01590</v>
          </cell>
          <cell r="C1495">
            <v>3991200201</v>
          </cell>
          <cell r="D1495" t="str">
            <v>ALLOCATIONS OTHER IN/OUT LOAD AC</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row>
        <row r="1496">
          <cell r="A1496" t="str">
            <v>US59P015503991200201</v>
          </cell>
          <cell r="B1496" t="str">
            <v>US59P01550</v>
          </cell>
          <cell r="C1496">
            <v>3991200201</v>
          </cell>
          <cell r="D1496" t="str">
            <v>ALLOCATIONS OTHER IN/OUT LOAD AC</v>
          </cell>
          <cell r="E1496">
            <v>0</v>
          </cell>
          <cell r="F1496">
            <v>-21</v>
          </cell>
          <cell r="G1496">
            <v>0</v>
          </cell>
          <cell r="H1496">
            <v>0</v>
          </cell>
          <cell r="I1496">
            <v>0</v>
          </cell>
          <cell r="J1496">
            <v>0</v>
          </cell>
          <cell r="K1496">
            <v>0</v>
          </cell>
          <cell r="L1496">
            <v>0</v>
          </cell>
          <cell r="M1496">
            <v>0</v>
          </cell>
          <cell r="N1496">
            <v>0</v>
          </cell>
          <cell r="O1496">
            <v>0</v>
          </cell>
          <cell r="P1496">
            <v>0</v>
          </cell>
          <cell r="Q1496">
            <v>-21</v>
          </cell>
        </row>
        <row r="1497">
          <cell r="A1497" t="str">
            <v>US59P015603991200201</v>
          </cell>
          <cell r="B1497" t="str">
            <v>US59P01560</v>
          </cell>
          <cell r="C1497">
            <v>3991200201</v>
          </cell>
          <cell r="D1497" t="str">
            <v>ALLOCATIONS OTHER IN/OUT LOAD AC</v>
          </cell>
          <cell r="E1497">
            <v>0</v>
          </cell>
          <cell r="F1497">
            <v>-54</v>
          </cell>
          <cell r="G1497">
            <v>0</v>
          </cell>
          <cell r="H1497">
            <v>0</v>
          </cell>
          <cell r="I1497">
            <v>0</v>
          </cell>
          <cell r="J1497">
            <v>0</v>
          </cell>
          <cell r="K1497">
            <v>0</v>
          </cell>
          <cell r="L1497">
            <v>0</v>
          </cell>
          <cell r="M1497">
            <v>0</v>
          </cell>
          <cell r="N1497">
            <v>0</v>
          </cell>
          <cell r="O1497">
            <v>0</v>
          </cell>
          <cell r="P1497">
            <v>0</v>
          </cell>
          <cell r="Q1497">
            <v>-54</v>
          </cell>
        </row>
        <row r="1498">
          <cell r="A1498" t="str">
            <v>US59P015753991200201</v>
          </cell>
          <cell r="B1498" t="str">
            <v>US59P01575</v>
          </cell>
          <cell r="C1498">
            <v>3991200201</v>
          </cell>
          <cell r="D1498" t="str">
            <v>ALLOCATIONS OTHER IN/OUT LOAD AC</v>
          </cell>
          <cell r="E1498">
            <v>0</v>
          </cell>
          <cell r="F1498">
            <v>-78</v>
          </cell>
          <cell r="G1498">
            <v>0</v>
          </cell>
          <cell r="H1498">
            <v>0</v>
          </cell>
          <cell r="I1498">
            <v>0</v>
          </cell>
          <cell r="J1498">
            <v>0</v>
          </cell>
          <cell r="K1498">
            <v>0</v>
          </cell>
          <cell r="L1498">
            <v>0</v>
          </cell>
          <cell r="M1498">
            <v>0</v>
          </cell>
          <cell r="N1498">
            <v>0</v>
          </cell>
          <cell r="O1498">
            <v>0</v>
          </cell>
          <cell r="P1498">
            <v>0</v>
          </cell>
          <cell r="Q1498">
            <v>-78</v>
          </cell>
        </row>
        <row r="1499">
          <cell r="A1499" t="str">
            <v>US59P015903991200201</v>
          </cell>
          <cell r="B1499" t="str">
            <v>US59P01590</v>
          </cell>
          <cell r="C1499">
            <v>3991200201</v>
          </cell>
          <cell r="D1499" t="str">
            <v>ALLOCATIONS OTHER IN/OUT LOAD AC</v>
          </cell>
          <cell r="E1499">
            <v>0</v>
          </cell>
          <cell r="F1499">
            <v>-101</v>
          </cell>
          <cell r="G1499">
            <v>0</v>
          </cell>
          <cell r="H1499">
            <v>0</v>
          </cell>
          <cell r="I1499">
            <v>0</v>
          </cell>
          <cell r="J1499">
            <v>0</v>
          </cell>
          <cell r="K1499">
            <v>0</v>
          </cell>
          <cell r="L1499">
            <v>0</v>
          </cell>
          <cell r="M1499">
            <v>0</v>
          </cell>
          <cell r="N1499">
            <v>0</v>
          </cell>
          <cell r="O1499">
            <v>0</v>
          </cell>
          <cell r="P1499">
            <v>0</v>
          </cell>
          <cell r="Q1499">
            <v>-101</v>
          </cell>
        </row>
        <row r="1500">
          <cell r="A1500" t="str">
            <v>US59P3C5013991200201</v>
          </cell>
          <cell r="B1500" t="str">
            <v>US59P3C501</v>
          </cell>
          <cell r="C1500">
            <v>3991200201</v>
          </cell>
          <cell r="D1500" t="str">
            <v>ALLOCATIONS OTHER IN/OUT LOAD AC</v>
          </cell>
          <cell r="E1500">
            <v>0</v>
          </cell>
          <cell r="F1500">
            <v>-171</v>
          </cell>
          <cell r="G1500">
            <v>0</v>
          </cell>
          <cell r="H1500">
            <v>0</v>
          </cell>
          <cell r="I1500">
            <v>0</v>
          </cell>
          <cell r="J1500">
            <v>0</v>
          </cell>
          <cell r="K1500">
            <v>0</v>
          </cell>
          <cell r="L1500">
            <v>0</v>
          </cell>
          <cell r="M1500">
            <v>0</v>
          </cell>
          <cell r="N1500">
            <v>0</v>
          </cell>
          <cell r="O1500">
            <v>0</v>
          </cell>
          <cell r="P1500">
            <v>0</v>
          </cell>
          <cell r="Q1500">
            <v>-171</v>
          </cell>
        </row>
        <row r="1501">
          <cell r="A1501" t="str">
            <v>US59P3C5603991200201</v>
          </cell>
          <cell r="B1501" t="str">
            <v>US59P3C560</v>
          </cell>
          <cell r="C1501">
            <v>3991200201</v>
          </cell>
          <cell r="D1501" t="str">
            <v>ALLOCATIONS OTHER IN/OUT LOAD AC</v>
          </cell>
          <cell r="E1501">
            <v>0</v>
          </cell>
          <cell r="F1501">
            <v>-405</v>
          </cell>
          <cell r="G1501">
            <v>0</v>
          </cell>
          <cell r="H1501">
            <v>0</v>
          </cell>
          <cell r="I1501">
            <v>0</v>
          </cell>
          <cell r="J1501">
            <v>0</v>
          </cell>
          <cell r="K1501">
            <v>0</v>
          </cell>
          <cell r="L1501">
            <v>0</v>
          </cell>
          <cell r="M1501">
            <v>0</v>
          </cell>
          <cell r="N1501">
            <v>0</v>
          </cell>
          <cell r="O1501">
            <v>0</v>
          </cell>
          <cell r="P1501">
            <v>0</v>
          </cell>
          <cell r="Q1501">
            <v>-405</v>
          </cell>
        </row>
        <row r="1502">
          <cell r="A1502" t="str">
            <v>US59PZA5013991200201</v>
          </cell>
          <cell r="B1502" t="str">
            <v>US59PZA501</v>
          </cell>
          <cell r="C1502">
            <v>3991200201</v>
          </cell>
          <cell r="D1502" t="str">
            <v>ALLOCATIONS OTHER IN/OUT LOAD AC</v>
          </cell>
          <cell r="E1502">
            <v>0</v>
          </cell>
          <cell r="F1502">
            <v>-205</v>
          </cell>
          <cell r="G1502">
            <v>0</v>
          </cell>
          <cell r="H1502">
            <v>0</v>
          </cell>
          <cell r="I1502">
            <v>0</v>
          </cell>
          <cell r="J1502">
            <v>0</v>
          </cell>
          <cell r="K1502">
            <v>0</v>
          </cell>
          <cell r="L1502">
            <v>0</v>
          </cell>
          <cell r="M1502">
            <v>0</v>
          </cell>
          <cell r="N1502">
            <v>0</v>
          </cell>
          <cell r="O1502">
            <v>0</v>
          </cell>
          <cell r="P1502">
            <v>0</v>
          </cell>
          <cell r="Q1502">
            <v>-205</v>
          </cell>
        </row>
        <row r="1503">
          <cell r="A1503" t="str">
            <v>US59PZA5503991200201</v>
          </cell>
          <cell r="B1503" t="str">
            <v>US59PZA550</v>
          </cell>
          <cell r="C1503">
            <v>3991200201</v>
          </cell>
          <cell r="D1503" t="str">
            <v>ALLOCATIONS OTHER IN/OUT LOAD AC</v>
          </cell>
          <cell r="E1503">
            <v>0</v>
          </cell>
          <cell r="F1503">
            <v>-27</v>
          </cell>
          <cell r="G1503">
            <v>0</v>
          </cell>
          <cell r="H1503">
            <v>0</v>
          </cell>
          <cell r="I1503">
            <v>0</v>
          </cell>
          <cell r="J1503">
            <v>0</v>
          </cell>
          <cell r="K1503">
            <v>0</v>
          </cell>
          <cell r="L1503">
            <v>0</v>
          </cell>
          <cell r="M1503">
            <v>0</v>
          </cell>
          <cell r="N1503">
            <v>0</v>
          </cell>
          <cell r="O1503">
            <v>0</v>
          </cell>
          <cell r="P1503">
            <v>0</v>
          </cell>
          <cell r="Q1503">
            <v>-27</v>
          </cell>
        </row>
        <row r="1504">
          <cell r="A1504" t="str">
            <v>USCRP015013991200201</v>
          </cell>
          <cell r="B1504" t="str">
            <v>USCRP01501</v>
          </cell>
          <cell r="C1504">
            <v>3991200201</v>
          </cell>
          <cell r="D1504" t="str">
            <v>ALLOCATIONS OTHER IN/OUT LOAD AC</v>
          </cell>
          <cell r="E1504">
            <v>0</v>
          </cell>
          <cell r="F1504">
            <v>-597</v>
          </cell>
          <cell r="G1504">
            <v>0</v>
          </cell>
          <cell r="H1504">
            <v>0</v>
          </cell>
          <cell r="I1504">
            <v>0</v>
          </cell>
          <cell r="J1504">
            <v>0</v>
          </cell>
          <cell r="K1504">
            <v>0</v>
          </cell>
          <cell r="L1504">
            <v>0</v>
          </cell>
          <cell r="M1504">
            <v>0</v>
          </cell>
          <cell r="N1504">
            <v>0</v>
          </cell>
          <cell r="O1504">
            <v>0</v>
          </cell>
          <cell r="P1504">
            <v>0</v>
          </cell>
          <cell r="Q1504">
            <v>-597</v>
          </cell>
        </row>
        <row r="1505">
          <cell r="A1505" t="str">
            <v>USCRP015603991200201</v>
          </cell>
          <cell r="B1505" t="str">
            <v>USCRP01560</v>
          </cell>
          <cell r="C1505">
            <v>3991200201</v>
          </cell>
          <cell r="D1505" t="str">
            <v>ALLOCATIONS OTHER IN/OUT LOAD AC</v>
          </cell>
          <cell r="E1505">
            <v>0</v>
          </cell>
          <cell r="F1505">
            <v>-189</v>
          </cell>
          <cell r="G1505">
            <v>0</v>
          </cell>
          <cell r="H1505">
            <v>0</v>
          </cell>
          <cell r="I1505">
            <v>0</v>
          </cell>
          <cell r="J1505">
            <v>0</v>
          </cell>
          <cell r="K1505">
            <v>0</v>
          </cell>
          <cell r="L1505">
            <v>0</v>
          </cell>
          <cell r="M1505">
            <v>0</v>
          </cell>
          <cell r="N1505">
            <v>0</v>
          </cell>
          <cell r="O1505">
            <v>0</v>
          </cell>
          <cell r="P1505">
            <v>0</v>
          </cell>
          <cell r="Q1505">
            <v>-189</v>
          </cell>
        </row>
        <row r="1506">
          <cell r="A1506" t="str">
            <v>USCRP015753991200201</v>
          </cell>
          <cell r="B1506" t="str">
            <v>USCRP01575</v>
          </cell>
          <cell r="C1506">
            <v>3991200201</v>
          </cell>
          <cell r="D1506" t="str">
            <v>ALLOCATIONS OTHER IN/OUT LOAD AC</v>
          </cell>
          <cell r="E1506">
            <v>0</v>
          </cell>
          <cell r="F1506">
            <v>-184</v>
          </cell>
          <cell r="G1506">
            <v>0</v>
          </cell>
          <cell r="H1506">
            <v>0</v>
          </cell>
          <cell r="I1506">
            <v>0</v>
          </cell>
          <cell r="J1506">
            <v>0</v>
          </cell>
          <cell r="K1506">
            <v>0</v>
          </cell>
          <cell r="L1506">
            <v>0</v>
          </cell>
          <cell r="M1506">
            <v>0</v>
          </cell>
          <cell r="N1506">
            <v>0</v>
          </cell>
          <cell r="O1506">
            <v>0</v>
          </cell>
          <cell r="P1506">
            <v>0</v>
          </cell>
          <cell r="Q1506">
            <v>-184</v>
          </cell>
        </row>
        <row r="1507">
          <cell r="A1507" t="str">
            <v>USCRP015853991200201</v>
          </cell>
          <cell r="B1507" t="str">
            <v>USCRP01585</v>
          </cell>
          <cell r="C1507">
            <v>3991200201</v>
          </cell>
          <cell r="D1507" t="str">
            <v>ALLOCATIONS OTHER IN/OUT LOAD AC</v>
          </cell>
          <cell r="E1507">
            <v>0</v>
          </cell>
          <cell r="F1507">
            <v>-50</v>
          </cell>
          <cell r="G1507">
            <v>0</v>
          </cell>
          <cell r="H1507">
            <v>0</v>
          </cell>
          <cell r="I1507">
            <v>0</v>
          </cell>
          <cell r="J1507">
            <v>0</v>
          </cell>
          <cell r="K1507">
            <v>0</v>
          </cell>
          <cell r="L1507">
            <v>0</v>
          </cell>
          <cell r="M1507">
            <v>0</v>
          </cell>
          <cell r="N1507">
            <v>0</v>
          </cell>
          <cell r="O1507">
            <v>0</v>
          </cell>
          <cell r="P1507">
            <v>0</v>
          </cell>
          <cell r="Q1507">
            <v>-50</v>
          </cell>
        </row>
        <row r="1508">
          <cell r="A1508" t="str">
            <v>US59P015019420000002</v>
          </cell>
          <cell r="B1508" t="str">
            <v>US59P01501</v>
          </cell>
          <cell r="C1508">
            <v>9420000002</v>
          </cell>
          <cell r="D1508" t="str">
            <v>Allocation by BA</v>
          </cell>
          <cell r="E1508">
            <v>23623</v>
          </cell>
          <cell r="F1508">
            <v>17930</v>
          </cell>
          <cell r="G1508">
            <v>20709</v>
          </cell>
          <cell r="H1508">
            <v>21186</v>
          </cell>
          <cell r="I1508">
            <v>24212</v>
          </cell>
          <cell r="J1508">
            <v>23312</v>
          </cell>
          <cell r="K1508">
            <v>22487</v>
          </cell>
          <cell r="L1508">
            <v>22781</v>
          </cell>
          <cell r="M1508">
            <v>20517</v>
          </cell>
          <cell r="N1508">
            <v>23382</v>
          </cell>
          <cell r="O1508">
            <v>21772</v>
          </cell>
          <cell r="P1508">
            <v>20702</v>
          </cell>
          <cell r="Q1508">
            <v>262613</v>
          </cell>
        </row>
        <row r="1509">
          <cell r="A1509" t="str">
            <v>US59P015509420000002</v>
          </cell>
          <cell r="B1509" t="str">
            <v>US59P01550</v>
          </cell>
          <cell r="C1509">
            <v>9420000002</v>
          </cell>
          <cell r="D1509" t="str">
            <v>Allocation by BA</v>
          </cell>
          <cell r="E1509">
            <v>7779</v>
          </cell>
          <cell r="F1509">
            <v>-265</v>
          </cell>
          <cell r="G1509">
            <v>0</v>
          </cell>
          <cell r="H1509">
            <v>0</v>
          </cell>
          <cell r="I1509">
            <v>0</v>
          </cell>
          <cell r="J1509">
            <v>0</v>
          </cell>
          <cell r="K1509">
            <v>0</v>
          </cell>
          <cell r="L1509">
            <v>0</v>
          </cell>
          <cell r="M1509">
            <v>0</v>
          </cell>
          <cell r="N1509">
            <v>0</v>
          </cell>
          <cell r="O1509">
            <v>0</v>
          </cell>
          <cell r="P1509">
            <v>0</v>
          </cell>
          <cell r="Q1509">
            <v>7514</v>
          </cell>
        </row>
        <row r="1510">
          <cell r="A1510" t="str">
            <v>US59P015609420000002</v>
          </cell>
          <cell r="B1510" t="str">
            <v>US59P01560</v>
          </cell>
          <cell r="C1510">
            <v>9420000002</v>
          </cell>
          <cell r="D1510" t="str">
            <v>Allocation by BA</v>
          </cell>
          <cell r="E1510">
            <v>534</v>
          </cell>
          <cell r="F1510">
            <v>-534</v>
          </cell>
          <cell r="G1510">
            <v>0</v>
          </cell>
          <cell r="H1510">
            <v>0</v>
          </cell>
          <cell r="I1510">
            <v>0</v>
          </cell>
          <cell r="J1510">
            <v>0</v>
          </cell>
          <cell r="K1510">
            <v>0</v>
          </cell>
          <cell r="L1510">
            <v>0</v>
          </cell>
          <cell r="M1510">
            <v>0</v>
          </cell>
          <cell r="N1510">
            <v>0</v>
          </cell>
          <cell r="O1510">
            <v>0</v>
          </cell>
          <cell r="P1510">
            <v>0</v>
          </cell>
          <cell r="Q1510">
            <v>0</v>
          </cell>
        </row>
        <row r="1511">
          <cell r="A1511" t="str">
            <v>US59P3C5019420000002</v>
          </cell>
          <cell r="B1511" t="str">
            <v>US59P3C501</v>
          </cell>
          <cell r="C1511">
            <v>9420000002</v>
          </cell>
          <cell r="D1511" t="str">
            <v>Allocation by BA</v>
          </cell>
          <cell r="E1511">
            <v>2625</v>
          </cell>
          <cell r="F1511">
            <v>1992</v>
          </cell>
          <cell r="G1511">
            <v>2301</v>
          </cell>
          <cell r="H1511">
            <v>2354</v>
          </cell>
          <cell r="I1511">
            <v>2690</v>
          </cell>
          <cell r="J1511">
            <v>2590</v>
          </cell>
          <cell r="K1511">
            <v>2499</v>
          </cell>
          <cell r="L1511">
            <v>2531</v>
          </cell>
          <cell r="M1511">
            <v>2280</v>
          </cell>
          <cell r="N1511">
            <v>2598</v>
          </cell>
          <cell r="O1511">
            <v>2419</v>
          </cell>
          <cell r="P1511">
            <v>2300</v>
          </cell>
          <cell r="Q1511">
            <v>29179</v>
          </cell>
        </row>
        <row r="1512">
          <cell r="A1512" t="str">
            <v>US59P3C5509420000002</v>
          </cell>
          <cell r="B1512" t="str">
            <v>US59P3C550</v>
          </cell>
          <cell r="C1512">
            <v>9420000002</v>
          </cell>
          <cell r="D1512" t="str">
            <v>Allocation by BA</v>
          </cell>
          <cell r="E1512">
            <v>864</v>
          </cell>
          <cell r="F1512">
            <v>-29</v>
          </cell>
          <cell r="G1512">
            <v>0</v>
          </cell>
          <cell r="H1512">
            <v>0</v>
          </cell>
          <cell r="I1512">
            <v>0</v>
          </cell>
          <cell r="J1512">
            <v>0</v>
          </cell>
          <cell r="K1512">
            <v>0</v>
          </cell>
          <cell r="L1512">
            <v>0</v>
          </cell>
          <cell r="M1512">
            <v>0</v>
          </cell>
          <cell r="N1512">
            <v>0</v>
          </cell>
          <cell r="O1512">
            <v>0</v>
          </cell>
          <cell r="P1512">
            <v>0</v>
          </cell>
          <cell r="Q1512">
            <v>835</v>
          </cell>
        </row>
        <row r="1513">
          <cell r="A1513" t="str">
            <v>US59P3C5609420000002</v>
          </cell>
          <cell r="B1513" t="str">
            <v>US59P3C560</v>
          </cell>
          <cell r="C1513">
            <v>9420000002</v>
          </cell>
          <cell r="D1513" t="str">
            <v>Allocation by BA</v>
          </cell>
          <cell r="E1513">
            <v>59</v>
          </cell>
          <cell r="F1513">
            <v>-59</v>
          </cell>
          <cell r="G1513">
            <v>0</v>
          </cell>
          <cell r="H1513">
            <v>0</v>
          </cell>
          <cell r="I1513">
            <v>0</v>
          </cell>
          <cell r="J1513">
            <v>0</v>
          </cell>
          <cell r="K1513">
            <v>0</v>
          </cell>
          <cell r="L1513">
            <v>0</v>
          </cell>
          <cell r="M1513">
            <v>0</v>
          </cell>
          <cell r="N1513">
            <v>0</v>
          </cell>
          <cell r="O1513">
            <v>0</v>
          </cell>
          <cell r="P1513">
            <v>0</v>
          </cell>
          <cell r="Q1513">
            <v>0</v>
          </cell>
        </row>
        <row r="1514">
          <cell r="A1514" t="str">
            <v>US22P015019420000025</v>
          </cell>
          <cell r="B1514" t="str">
            <v>US22P01501</v>
          </cell>
          <cell r="C1514">
            <v>9420000025</v>
          </cell>
          <cell r="D1514" t="str">
            <v>EMPLOYEE BENEFIT ALLOCATION</v>
          </cell>
          <cell r="E1514">
            <v>16147</v>
          </cell>
          <cell r="F1514">
            <v>13117</v>
          </cell>
          <cell r="G1514">
            <v>14261</v>
          </cell>
          <cell r="H1514">
            <v>12492</v>
          </cell>
          <cell r="I1514">
            <v>15216</v>
          </cell>
          <cell r="J1514">
            <v>13978</v>
          </cell>
          <cell r="K1514">
            <v>14540</v>
          </cell>
          <cell r="L1514">
            <v>13698</v>
          </cell>
          <cell r="M1514">
            <v>11957</v>
          </cell>
          <cell r="N1514">
            <v>14332</v>
          </cell>
          <cell r="O1514">
            <v>10911</v>
          </cell>
          <cell r="P1514">
            <v>10930</v>
          </cell>
          <cell r="Q1514">
            <v>161579</v>
          </cell>
        </row>
        <row r="1515">
          <cell r="A1515" t="str">
            <v>US22P015509420000025</v>
          </cell>
          <cell r="B1515" t="str">
            <v>US22P01550</v>
          </cell>
          <cell r="C1515">
            <v>9420000025</v>
          </cell>
          <cell r="D1515" t="str">
            <v>EMPLOYEE BENEFIT ALLOCATION</v>
          </cell>
          <cell r="E1515">
            <v>239</v>
          </cell>
          <cell r="F1515">
            <v>0</v>
          </cell>
          <cell r="G1515">
            <v>0</v>
          </cell>
          <cell r="H1515">
            <v>1312</v>
          </cell>
          <cell r="I1515">
            <v>14386</v>
          </cell>
          <cell r="J1515">
            <v>8646</v>
          </cell>
          <cell r="K1515">
            <v>15852</v>
          </cell>
          <cell r="L1515">
            <v>7195</v>
          </cell>
          <cell r="M1515">
            <v>1226</v>
          </cell>
          <cell r="N1515">
            <v>908</v>
          </cell>
          <cell r="O1515">
            <v>665</v>
          </cell>
          <cell r="P1515">
            <v>832</v>
          </cell>
          <cell r="Q1515">
            <v>51261</v>
          </cell>
        </row>
        <row r="1516">
          <cell r="A1516" t="str">
            <v>US22P015539420000025</v>
          </cell>
          <cell r="B1516" t="str">
            <v>US22P01553</v>
          </cell>
          <cell r="C1516">
            <v>9420000025</v>
          </cell>
          <cell r="D1516" t="str">
            <v>EMPLOYEE BENEFIT ALLOCATION</v>
          </cell>
          <cell r="E1516">
            <v>0</v>
          </cell>
          <cell r="F1516">
            <v>0</v>
          </cell>
          <cell r="G1516">
            <v>0</v>
          </cell>
          <cell r="H1516">
            <v>0</v>
          </cell>
          <cell r="I1516">
            <v>0</v>
          </cell>
          <cell r="J1516">
            <v>0</v>
          </cell>
          <cell r="K1516">
            <v>813</v>
          </cell>
          <cell r="L1516">
            <v>698</v>
          </cell>
          <cell r="M1516">
            <v>0</v>
          </cell>
          <cell r="N1516">
            <v>0</v>
          </cell>
          <cell r="O1516">
            <v>0</v>
          </cell>
          <cell r="P1516">
            <v>0</v>
          </cell>
          <cell r="Q1516">
            <v>1511</v>
          </cell>
        </row>
        <row r="1517">
          <cell r="A1517" t="str">
            <v>US22P015609420000025</v>
          </cell>
          <cell r="B1517" t="str">
            <v>US22P01560</v>
          </cell>
          <cell r="C1517">
            <v>9420000025</v>
          </cell>
          <cell r="D1517" t="str">
            <v>EMPLOYEE BENEFIT ALLOCATION</v>
          </cell>
          <cell r="E1517">
            <v>1014</v>
          </cell>
          <cell r="F1517">
            <v>-532</v>
          </cell>
          <cell r="G1517">
            <v>6282</v>
          </cell>
          <cell r="H1517">
            <v>1402</v>
          </cell>
          <cell r="I1517">
            <v>2291</v>
          </cell>
          <cell r="J1517">
            <v>-437</v>
          </cell>
          <cell r="K1517">
            <v>947</v>
          </cell>
          <cell r="L1517">
            <v>-60</v>
          </cell>
          <cell r="M1517">
            <v>3022</v>
          </cell>
          <cell r="N1517">
            <v>13141</v>
          </cell>
          <cell r="O1517">
            <v>7413</v>
          </cell>
          <cell r="P1517">
            <v>2451</v>
          </cell>
          <cell r="Q1517">
            <v>36934</v>
          </cell>
        </row>
        <row r="1518">
          <cell r="A1518" t="str">
            <v>US22P015649420000025</v>
          </cell>
          <cell r="B1518" t="str">
            <v>US22P01564</v>
          </cell>
          <cell r="C1518">
            <v>9420000025</v>
          </cell>
          <cell r="D1518" t="str">
            <v>EMPLOYEE BENEFIT ALLOCATION</v>
          </cell>
          <cell r="E1518">
            <v>0</v>
          </cell>
          <cell r="F1518">
            <v>0</v>
          </cell>
          <cell r="G1518">
            <v>0</v>
          </cell>
          <cell r="H1518">
            <v>0</v>
          </cell>
          <cell r="I1518">
            <v>0</v>
          </cell>
          <cell r="J1518">
            <v>0</v>
          </cell>
          <cell r="K1518">
            <v>0</v>
          </cell>
          <cell r="L1518">
            <v>0</v>
          </cell>
          <cell r="M1518">
            <v>5941</v>
          </cell>
          <cell r="N1518">
            <v>6844</v>
          </cell>
          <cell r="O1518">
            <v>-827</v>
          </cell>
          <cell r="P1518">
            <v>0</v>
          </cell>
          <cell r="Q1518">
            <v>11958</v>
          </cell>
        </row>
        <row r="1519">
          <cell r="A1519" t="str">
            <v>US22P015759420000025</v>
          </cell>
          <cell r="B1519" t="str">
            <v>US22P01575</v>
          </cell>
          <cell r="C1519">
            <v>9420000025</v>
          </cell>
          <cell r="D1519" t="str">
            <v>EMPLOYEE BENEFIT ALLOCATION</v>
          </cell>
          <cell r="E1519">
            <v>8882</v>
          </cell>
          <cell r="F1519">
            <v>9452</v>
          </cell>
          <cell r="G1519">
            <v>3516</v>
          </cell>
          <cell r="H1519">
            <v>5524</v>
          </cell>
          <cell r="I1519">
            <v>152</v>
          </cell>
          <cell r="J1519">
            <v>-774</v>
          </cell>
          <cell r="K1519">
            <v>0</v>
          </cell>
          <cell r="L1519">
            <v>6091</v>
          </cell>
          <cell r="M1519">
            <v>7933</v>
          </cell>
          <cell r="N1519">
            <v>-1150</v>
          </cell>
          <cell r="O1519">
            <v>1681</v>
          </cell>
          <cell r="P1519">
            <v>2753</v>
          </cell>
          <cell r="Q1519">
            <v>44060</v>
          </cell>
        </row>
        <row r="1520">
          <cell r="A1520" t="str">
            <v>US22P015859420000025</v>
          </cell>
          <cell r="B1520" t="str">
            <v>US22P01585</v>
          </cell>
          <cell r="C1520">
            <v>9420000025</v>
          </cell>
          <cell r="D1520" t="str">
            <v>EMPLOYEE BENEFIT ALLOCATION</v>
          </cell>
          <cell r="E1520">
            <v>2559</v>
          </cell>
          <cell r="F1520">
            <v>1344</v>
          </cell>
          <cell r="G1520">
            <v>1255</v>
          </cell>
          <cell r="H1520">
            <v>1194</v>
          </cell>
          <cell r="I1520">
            <v>2277</v>
          </cell>
          <cell r="J1520">
            <v>4973</v>
          </cell>
          <cell r="K1520">
            <v>5142</v>
          </cell>
          <cell r="L1520">
            <v>1681</v>
          </cell>
          <cell r="M1520">
            <v>1458</v>
          </cell>
          <cell r="N1520">
            <v>959</v>
          </cell>
          <cell r="O1520">
            <v>0</v>
          </cell>
          <cell r="P1520">
            <v>0</v>
          </cell>
          <cell r="Q1520">
            <v>22842</v>
          </cell>
        </row>
        <row r="1521">
          <cell r="A1521" t="str">
            <v>US22P015909420000025</v>
          </cell>
          <cell r="B1521" t="str">
            <v>US22P01590</v>
          </cell>
          <cell r="C1521">
            <v>9420000025</v>
          </cell>
          <cell r="D1521" t="str">
            <v>EMPLOYEE BENEFIT ALLOCATION</v>
          </cell>
          <cell r="E1521">
            <v>1653</v>
          </cell>
          <cell r="F1521">
            <v>1323</v>
          </cell>
          <cell r="G1521">
            <v>1557</v>
          </cell>
          <cell r="H1521">
            <v>1415</v>
          </cell>
          <cell r="I1521">
            <v>696</v>
          </cell>
          <cell r="J1521">
            <v>-247</v>
          </cell>
          <cell r="K1521">
            <v>0</v>
          </cell>
          <cell r="L1521">
            <v>1574</v>
          </cell>
          <cell r="M1521">
            <v>-40</v>
          </cell>
          <cell r="N1521">
            <v>0</v>
          </cell>
          <cell r="O1521">
            <v>1529</v>
          </cell>
          <cell r="P1521">
            <v>996</v>
          </cell>
          <cell r="Q1521">
            <v>10456</v>
          </cell>
        </row>
        <row r="1522">
          <cell r="A1522" t="str">
            <v>US22P015929420000025</v>
          </cell>
          <cell r="B1522" t="str">
            <v>US22P01592</v>
          </cell>
          <cell r="C1522">
            <v>9420000025</v>
          </cell>
          <cell r="D1522" t="str">
            <v>EMPLOYEE BENEFIT ALLOCATION</v>
          </cell>
          <cell r="E1522">
            <v>0</v>
          </cell>
          <cell r="F1522">
            <v>0</v>
          </cell>
          <cell r="G1522">
            <v>0</v>
          </cell>
          <cell r="H1522">
            <v>0</v>
          </cell>
          <cell r="I1522">
            <v>0</v>
          </cell>
          <cell r="J1522">
            <v>0</v>
          </cell>
          <cell r="K1522">
            <v>0</v>
          </cell>
          <cell r="L1522">
            <v>0</v>
          </cell>
          <cell r="M1522">
            <v>1862</v>
          </cell>
          <cell r="N1522">
            <v>1776</v>
          </cell>
          <cell r="O1522">
            <v>-247</v>
          </cell>
          <cell r="P1522">
            <v>0</v>
          </cell>
          <cell r="Q1522">
            <v>3391</v>
          </cell>
        </row>
        <row r="1523">
          <cell r="A1523" t="str">
            <v>US28P015019420000025</v>
          </cell>
          <cell r="B1523" t="str">
            <v>US28P01501</v>
          </cell>
          <cell r="C1523">
            <v>9420000025</v>
          </cell>
          <cell r="D1523" t="str">
            <v>EMPLOYEE BENEFIT ALLOCATION</v>
          </cell>
          <cell r="E1523">
            <v>13120</v>
          </cell>
          <cell r="F1523">
            <v>11883</v>
          </cell>
          <cell r="G1523">
            <v>12168</v>
          </cell>
          <cell r="H1523">
            <v>11310</v>
          </cell>
          <cell r="I1523">
            <v>14226</v>
          </cell>
          <cell r="J1523">
            <v>12898</v>
          </cell>
          <cell r="K1523">
            <v>12674</v>
          </cell>
          <cell r="L1523">
            <v>11718</v>
          </cell>
          <cell r="M1523">
            <v>10428</v>
          </cell>
          <cell r="N1523">
            <v>13147</v>
          </cell>
          <cell r="O1523">
            <v>9078</v>
          </cell>
          <cell r="P1523">
            <v>9139</v>
          </cell>
          <cell r="Q1523">
            <v>141789</v>
          </cell>
        </row>
        <row r="1524">
          <cell r="A1524" t="str">
            <v>US28P015509420000025</v>
          </cell>
          <cell r="B1524" t="str">
            <v>US28P01550</v>
          </cell>
          <cell r="C1524">
            <v>9420000025</v>
          </cell>
          <cell r="D1524" t="str">
            <v>EMPLOYEE BENEFIT ALLOCATION</v>
          </cell>
          <cell r="E1524">
            <v>0</v>
          </cell>
          <cell r="F1524">
            <v>0</v>
          </cell>
          <cell r="G1524">
            <v>0</v>
          </cell>
          <cell r="H1524">
            <v>1335</v>
          </cell>
          <cell r="I1524">
            <v>9831</v>
          </cell>
          <cell r="J1524">
            <v>10375</v>
          </cell>
          <cell r="K1524">
            <v>2355</v>
          </cell>
          <cell r="L1524">
            <v>1926</v>
          </cell>
          <cell r="M1524">
            <v>0</v>
          </cell>
          <cell r="N1524">
            <v>0</v>
          </cell>
          <cell r="O1524">
            <v>0</v>
          </cell>
          <cell r="P1524">
            <v>0</v>
          </cell>
          <cell r="Q1524">
            <v>25822</v>
          </cell>
        </row>
        <row r="1525">
          <cell r="A1525" t="str">
            <v>US28P015539420000025</v>
          </cell>
          <cell r="B1525" t="str">
            <v>US28P01553</v>
          </cell>
          <cell r="C1525">
            <v>9420000025</v>
          </cell>
          <cell r="D1525" t="str">
            <v>EMPLOYEE BENEFIT ALLOCATION</v>
          </cell>
          <cell r="E1525">
            <v>0</v>
          </cell>
          <cell r="F1525">
            <v>0</v>
          </cell>
          <cell r="G1525">
            <v>0</v>
          </cell>
          <cell r="H1525">
            <v>0</v>
          </cell>
          <cell r="I1525">
            <v>0</v>
          </cell>
          <cell r="J1525">
            <v>0</v>
          </cell>
          <cell r="K1525">
            <v>23738</v>
          </cell>
          <cell r="L1525">
            <v>-478</v>
          </cell>
          <cell r="M1525">
            <v>-458</v>
          </cell>
          <cell r="N1525">
            <v>0</v>
          </cell>
          <cell r="O1525">
            <v>0</v>
          </cell>
          <cell r="P1525">
            <v>0</v>
          </cell>
          <cell r="Q1525">
            <v>22802</v>
          </cell>
        </row>
        <row r="1526">
          <cell r="A1526" t="str">
            <v>US28P015609420000025</v>
          </cell>
          <cell r="B1526" t="str">
            <v>US28P01560</v>
          </cell>
          <cell r="C1526">
            <v>9420000025</v>
          </cell>
          <cell r="D1526" t="str">
            <v>EMPLOYEE BENEFIT ALLOCATION</v>
          </cell>
          <cell r="E1526">
            <v>9357</v>
          </cell>
          <cell r="F1526">
            <v>6569</v>
          </cell>
          <cell r="G1526">
            <v>9109</v>
          </cell>
          <cell r="H1526">
            <v>8811</v>
          </cell>
          <cell r="I1526">
            <v>6397</v>
          </cell>
          <cell r="J1526">
            <v>2415</v>
          </cell>
          <cell r="K1526">
            <v>856</v>
          </cell>
          <cell r="L1526">
            <v>571</v>
          </cell>
          <cell r="M1526">
            <v>12282</v>
          </cell>
          <cell r="N1526">
            <v>9806</v>
          </cell>
          <cell r="O1526">
            <v>6872</v>
          </cell>
          <cell r="P1526">
            <v>6987</v>
          </cell>
          <cell r="Q1526">
            <v>80032</v>
          </cell>
        </row>
        <row r="1527">
          <cell r="A1527" t="str">
            <v>US28P015649420000025</v>
          </cell>
          <cell r="B1527" t="str">
            <v>US28P01564</v>
          </cell>
          <cell r="C1527">
            <v>9420000025</v>
          </cell>
          <cell r="D1527" t="str">
            <v>EMPLOYEE BENEFIT ALLOCATION</v>
          </cell>
          <cell r="E1527">
            <v>0</v>
          </cell>
          <cell r="F1527">
            <v>0</v>
          </cell>
          <cell r="G1527">
            <v>0</v>
          </cell>
          <cell r="H1527">
            <v>0</v>
          </cell>
          <cell r="I1527">
            <v>0</v>
          </cell>
          <cell r="J1527">
            <v>0</v>
          </cell>
          <cell r="K1527">
            <v>0</v>
          </cell>
          <cell r="L1527">
            <v>2217</v>
          </cell>
          <cell r="M1527">
            <v>18010</v>
          </cell>
          <cell r="N1527">
            <v>10845</v>
          </cell>
          <cell r="O1527">
            <v>-1796</v>
          </cell>
          <cell r="P1527">
            <v>0</v>
          </cell>
          <cell r="Q1527">
            <v>29276</v>
          </cell>
        </row>
        <row r="1528">
          <cell r="A1528" t="str">
            <v>US28P015759420000025</v>
          </cell>
          <cell r="B1528" t="str">
            <v>US28P01575</v>
          </cell>
          <cell r="C1528">
            <v>9420000025</v>
          </cell>
          <cell r="D1528" t="str">
            <v>EMPLOYEE BENEFIT ALLOCATION</v>
          </cell>
          <cell r="E1528">
            <v>0</v>
          </cell>
          <cell r="F1528">
            <v>0</v>
          </cell>
          <cell r="G1528">
            <v>0</v>
          </cell>
          <cell r="H1528">
            <v>0</v>
          </cell>
          <cell r="I1528">
            <v>0</v>
          </cell>
          <cell r="J1528">
            <v>2297</v>
          </cell>
          <cell r="K1528">
            <v>103</v>
          </cell>
          <cell r="L1528">
            <v>0</v>
          </cell>
          <cell r="M1528">
            <v>0</v>
          </cell>
          <cell r="N1528">
            <v>0</v>
          </cell>
          <cell r="O1528">
            <v>0</v>
          </cell>
          <cell r="P1528">
            <v>0</v>
          </cell>
          <cell r="Q1528">
            <v>2400</v>
          </cell>
        </row>
        <row r="1529">
          <cell r="A1529" t="str">
            <v>US28P015859420000025</v>
          </cell>
          <cell r="B1529" t="str">
            <v>US28P01585</v>
          </cell>
          <cell r="C1529">
            <v>9420000025</v>
          </cell>
          <cell r="D1529" t="str">
            <v>EMPLOYEE BENEFIT ALLOCATION</v>
          </cell>
          <cell r="E1529">
            <v>3278</v>
          </cell>
          <cell r="F1529">
            <v>3152</v>
          </cell>
          <cell r="G1529">
            <v>2770</v>
          </cell>
          <cell r="H1529">
            <v>2720</v>
          </cell>
          <cell r="I1529">
            <v>3460</v>
          </cell>
          <cell r="J1529">
            <v>3530</v>
          </cell>
          <cell r="K1529">
            <v>-134</v>
          </cell>
          <cell r="L1529">
            <v>7271</v>
          </cell>
          <cell r="M1529">
            <v>-1769</v>
          </cell>
          <cell r="N1529">
            <v>0</v>
          </cell>
          <cell r="O1529">
            <v>3015</v>
          </cell>
          <cell r="P1529">
            <v>2234</v>
          </cell>
          <cell r="Q1529">
            <v>29527</v>
          </cell>
        </row>
        <row r="1530">
          <cell r="A1530" t="str">
            <v>US28P015909420000025</v>
          </cell>
          <cell r="B1530" t="str">
            <v>US28P01590</v>
          </cell>
          <cell r="C1530">
            <v>9420000025</v>
          </cell>
          <cell r="D1530" t="str">
            <v>EMPLOYEE BENEFIT ALLOCATION</v>
          </cell>
          <cell r="E1530">
            <v>1514</v>
          </cell>
          <cell r="F1530">
            <v>1167</v>
          </cell>
          <cell r="G1530">
            <v>1165</v>
          </cell>
          <cell r="H1530">
            <v>1107</v>
          </cell>
          <cell r="I1530">
            <v>1145</v>
          </cell>
          <cell r="J1530">
            <v>1036</v>
          </cell>
          <cell r="K1530">
            <v>1103</v>
          </cell>
          <cell r="L1530">
            <v>1111</v>
          </cell>
          <cell r="M1530">
            <v>1584</v>
          </cell>
          <cell r="N1530">
            <v>1241</v>
          </cell>
          <cell r="O1530">
            <v>736</v>
          </cell>
          <cell r="P1530">
            <v>734</v>
          </cell>
          <cell r="Q1530">
            <v>13643</v>
          </cell>
        </row>
        <row r="1531">
          <cell r="A1531" t="str">
            <v>US28P015929420000025</v>
          </cell>
          <cell r="B1531" t="str">
            <v>US28P01592</v>
          </cell>
          <cell r="C1531">
            <v>9420000025</v>
          </cell>
          <cell r="D1531" t="str">
            <v>EMPLOYEE BENEFIT ALLOCATION</v>
          </cell>
          <cell r="E1531">
            <v>0</v>
          </cell>
          <cell r="F1531">
            <v>0</v>
          </cell>
          <cell r="G1531">
            <v>0</v>
          </cell>
          <cell r="H1531">
            <v>0</v>
          </cell>
          <cell r="I1531">
            <v>0</v>
          </cell>
          <cell r="J1531">
            <v>0</v>
          </cell>
          <cell r="K1531">
            <v>0</v>
          </cell>
          <cell r="L1531">
            <v>0</v>
          </cell>
          <cell r="M1531">
            <v>1728</v>
          </cell>
          <cell r="N1531">
            <v>2097</v>
          </cell>
          <cell r="O1531">
            <v>139</v>
          </cell>
          <cell r="P1531">
            <v>0</v>
          </cell>
          <cell r="Q1531">
            <v>3964</v>
          </cell>
        </row>
        <row r="1532">
          <cell r="A1532" t="str">
            <v>US35P015019420000025</v>
          </cell>
          <cell r="B1532" t="str">
            <v>US35P01501</v>
          </cell>
          <cell r="C1532">
            <v>9420000025</v>
          </cell>
          <cell r="D1532" t="str">
            <v>EMPLOYEE BENEFIT ALLOCATION</v>
          </cell>
          <cell r="E1532">
            <v>17262</v>
          </cell>
          <cell r="F1532">
            <v>15003</v>
          </cell>
          <cell r="G1532">
            <v>15223</v>
          </cell>
          <cell r="H1532">
            <v>14198</v>
          </cell>
          <cell r="I1532">
            <v>18596</v>
          </cell>
          <cell r="J1532">
            <v>17311</v>
          </cell>
          <cell r="K1532">
            <v>16897</v>
          </cell>
          <cell r="L1532">
            <v>15591</v>
          </cell>
          <cell r="M1532">
            <v>12841</v>
          </cell>
          <cell r="N1532">
            <v>14241</v>
          </cell>
          <cell r="O1532">
            <v>10557</v>
          </cell>
          <cell r="P1532">
            <v>10501</v>
          </cell>
          <cell r="Q1532">
            <v>178221</v>
          </cell>
        </row>
        <row r="1533">
          <cell r="A1533" t="str">
            <v>US35P015509420000025</v>
          </cell>
          <cell r="B1533" t="str">
            <v>US35P01550</v>
          </cell>
          <cell r="C1533">
            <v>9420000025</v>
          </cell>
          <cell r="D1533" t="str">
            <v>EMPLOYEE BENEFIT ALLOCATION</v>
          </cell>
          <cell r="E1533">
            <v>0</v>
          </cell>
          <cell r="F1533">
            <v>0</v>
          </cell>
          <cell r="G1533">
            <v>0</v>
          </cell>
          <cell r="H1533">
            <v>647</v>
          </cell>
          <cell r="I1533">
            <v>4245</v>
          </cell>
          <cell r="J1533">
            <v>1988</v>
          </cell>
          <cell r="K1533">
            <v>2011</v>
          </cell>
          <cell r="L1533">
            <v>1436</v>
          </cell>
          <cell r="M1533">
            <v>-447</v>
          </cell>
          <cell r="N1533">
            <v>0</v>
          </cell>
          <cell r="O1533">
            <v>0</v>
          </cell>
          <cell r="P1533">
            <v>0</v>
          </cell>
          <cell r="Q1533">
            <v>9880</v>
          </cell>
        </row>
        <row r="1534">
          <cell r="A1534" t="str">
            <v>US35P015539420000025</v>
          </cell>
          <cell r="B1534" t="str">
            <v>US35P01553</v>
          </cell>
          <cell r="C1534">
            <v>9420000025</v>
          </cell>
          <cell r="D1534" t="str">
            <v>EMPLOYEE BENEFIT ALLOCATION</v>
          </cell>
          <cell r="E1534">
            <v>0</v>
          </cell>
          <cell r="F1534">
            <v>0</v>
          </cell>
          <cell r="G1534">
            <v>0</v>
          </cell>
          <cell r="H1534">
            <v>0</v>
          </cell>
          <cell r="I1534">
            <v>0</v>
          </cell>
          <cell r="J1534">
            <v>0</v>
          </cell>
          <cell r="K1534">
            <v>4896</v>
          </cell>
          <cell r="L1534">
            <v>2058</v>
          </cell>
          <cell r="M1534">
            <v>0</v>
          </cell>
          <cell r="N1534">
            <v>0</v>
          </cell>
          <cell r="O1534">
            <v>0</v>
          </cell>
          <cell r="P1534">
            <v>0</v>
          </cell>
          <cell r="Q1534">
            <v>6954</v>
          </cell>
        </row>
        <row r="1535">
          <cell r="A1535" t="str">
            <v>US35P015609420000025</v>
          </cell>
          <cell r="B1535" t="str">
            <v>US35P01560</v>
          </cell>
          <cell r="C1535">
            <v>9420000025</v>
          </cell>
          <cell r="D1535" t="str">
            <v>EMPLOYEE BENEFIT ALLOCATION</v>
          </cell>
          <cell r="E1535">
            <v>5654</v>
          </cell>
          <cell r="F1535">
            <v>6703</v>
          </cell>
          <cell r="G1535">
            <v>7965</v>
          </cell>
          <cell r="H1535">
            <v>5914</v>
          </cell>
          <cell r="I1535">
            <v>1274</v>
          </cell>
          <cell r="J1535">
            <v>293</v>
          </cell>
          <cell r="K1535">
            <v>1071</v>
          </cell>
          <cell r="L1535">
            <v>906</v>
          </cell>
          <cell r="M1535">
            <v>8073</v>
          </cell>
          <cell r="N1535">
            <v>7231</v>
          </cell>
          <cell r="O1535">
            <v>7344</v>
          </cell>
          <cell r="P1535">
            <v>4219</v>
          </cell>
          <cell r="Q1535">
            <v>56647</v>
          </cell>
        </row>
        <row r="1536">
          <cell r="A1536" t="str">
            <v>US35P015649420000025</v>
          </cell>
          <cell r="B1536" t="str">
            <v>US35P01564</v>
          </cell>
          <cell r="C1536">
            <v>9420000025</v>
          </cell>
          <cell r="D1536" t="str">
            <v>EMPLOYEE BENEFIT ALLOCATION</v>
          </cell>
          <cell r="E1536">
            <v>0</v>
          </cell>
          <cell r="F1536">
            <v>0</v>
          </cell>
          <cell r="G1536">
            <v>0</v>
          </cell>
          <cell r="H1536">
            <v>0</v>
          </cell>
          <cell r="I1536">
            <v>0</v>
          </cell>
          <cell r="J1536">
            <v>0</v>
          </cell>
          <cell r="K1536">
            <v>0</v>
          </cell>
          <cell r="L1536">
            <v>216</v>
          </cell>
          <cell r="M1536">
            <v>11456</v>
          </cell>
          <cell r="N1536">
            <v>8310</v>
          </cell>
          <cell r="O1536">
            <v>-1324</v>
          </cell>
          <cell r="P1536">
            <v>0</v>
          </cell>
          <cell r="Q1536">
            <v>18658</v>
          </cell>
        </row>
        <row r="1537">
          <cell r="A1537" t="str">
            <v>US35P015759420000025</v>
          </cell>
          <cell r="B1537" t="str">
            <v>US35P01575</v>
          </cell>
          <cell r="C1537">
            <v>9420000025</v>
          </cell>
          <cell r="D1537" t="str">
            <v>EMPLOYEE BENEFIT ALLOCATION</v>
          </cell>
          <cell r="E1537">
            <v>0</v>
          </cell>
          <cell r="F1537">
            <v>0</v>
          </cell>
          <cell r="G1537">
            <v>0</v>
          </cell>
          <cell r="H1537">
            <v>0</v>
          </cell>
          <cell r="I1537">
            <v>0</v>
          </cell>
          <cell r="J1537">
            <v>2580</v>
          </cell>
          <cell r="K1537">
            <v>2287</v>
          </cell>
          <cell r="L1537">
            <v>1596</v>
          </cell>
          <cell r="M1537">
            <v>-111</v>
          </cell>
          <cell r="N1537">
            <v>0</v>
          </cell>
          <cell r="O1537">
            <v>0</v>
          </cell>
          <cell r="P1537">
            <v>0</v>
          </cell>
          <cell r="Q1537">
            <v>6352</v>
          </cell>
        </row>
        <row r="1538">
          <cell r="A1538" t="str">
            <v>US35P015859420000025</v>
          </cell>
          <cell r="B1538" t="str">
            <v>US35P01585</v>
          </cell>
          <cell r="C1538">
            <v>9420000025</v>
          </cell>
          <cell r="D1538" t="str">
            <v>EMPLOYEE BENEFIT ALLOCATION</v>
          </cell>
          <cell r="E1538">
            <v>3002</v>
          </cell>
          <cell r="F1538">
            <v>2406</v>
          </cell>
          <cell r="G1538">
            <v>3291</v>
          </cell>
          <cell r="H1538">
            <v>2680</v>
          </cell>
          <cell r="I1538">
            <v>3758</v>
          </cell>
          <cell r="J1538">
            <v>3070</v>
          </cell>
          <cell r="K1538">
            <v>6412</v>
          </cell>
          <cell r="L1538">
            <v>3308</v>
          </cell>
          <cell r="M1538">
            <v>4838</v>
          </cell>
          <cell r="N1538">
            <v>4171</v>
          </cell>
          <cell r="O1538">
            <v>1080</v>
          </cell>
          <cell r="P1538">
            <v>1598</v>
          </cell>
          <cell r="Q1538">
            <v>39614</v>
          </cell>
        </row>
        <row r="1539">
          <cell r="A1539" t="str">
            <v>US35P015909420000025</v>
          </cell>
          <cell r="B1539" t="str">
            <v>US35P01590</v>
          </cell>
          <cell r="C1539">
            <v>9420000025</v>
          </cell>
          <cell r="D1539" t="str">
            <v>EMPLOYEE BENEFIT ALLOCATION</v>
          </cell>
          <cell r="E1539">
            <v>851</v>
          </cell>
          <cell r="F1539">
            <v>775</v>
          </cell>
          <cell r="G1539">
            <v>618</v>
          </cell>
          <cell r="H1539">
            <v>691</v>
          </cell>
          <cell r="I1539">
            <v>893</v>
          </cell>
          <cell r="J1539">
            <v>840</v>
          </cell>
          <cell r="K1539">
            <v>985</v>
          </cell>
          <cell r="L1539">
            <v>742</v>
          </cell>
          <cell r="M1539">
            <v>460</v>
          </cell>
          <cell r="N1539">
            <v>490</v>
          </cell>
          <cell r="O1539">
            <v>580</v>
          </cell>
          <cell r="P1539">
            <v>550</v>
          </cell>
          <cell r="Q1539">
            <v>8475</v>
          </cell>
        </row>
        <row r="1540">
          <cell r="A1540" t="str">
            <v>US35P015929420000025</v>
          </cell>
          <cell r="B1540" t="str">
            <v>US35P01592</v>
          </cell>
          <cell r="C1540">
            <v>9420000025</v>
          </cell>
          <cell r="D1540" t="str">
            <v>EMPLOYEE BENEFIT ALLOCATION</v>
          </cell>
          <cell r="E1540">
            <v>0</v>
          </cell>
          <cell r="F1540">
            <v>0</v>
          </cell>
          <cell r="G1540">
            <v>275</v>
          </cell>
          <cell r="H1540">
            <v>53</v>
          </cell>
          <cell r="I1540">
            <v>0</v>
          </cell>
          <cell r="J1540">
            <v>0</v>
          </cell>
          <cell r="K1540">
            <v>0</v>
          </cell>
          <cell r="L1540">
            <v>0</v>
          </cell>
          <cell r="M1540">
            <v>302</v>
          </cell>
          <cell r="N1540">
            <v>279</v>
          </cell>
          <cell r="O1540">
            <v>6</v>
          </cell>
          <cell r="P1540">
            <v>0</v>
          </cell>
          <cell r="Q1540">
            <v>915</v>
          </cell>
        </row>
        <row r="1541">
          <cell r="A1541" t="str">
            <v>USWOP015019420000025</v>
          </cell>
          <cell r="B1541" t="str">
            <v>USWOP01501</v>
          </cell>
          <cell r="C1541">
            <v>9420000025</v>
          </cell>
          <cell r="D1541" t="str">
            <v>EMPLOYEE BENEFIT ALLOCATION</v>
          </cell>
          <cell r="E1541">
            <v>14628</v>
          </cell>
          <cell r="F1541">
            <v>11504</v>
          </cell>
          <cell r="G1541">
            <v>12522</v>
          </cell>
          <cell r="H1541">
            <v>11616</v>
          </cell>
          <cell r="I1541">
            <v>14786</v>
          </cell>
          <cell r="J1541">
            <v>18566</v>
          </cell>
          <cell r="K1541">
            <v>16817</v>
          </cell>
          <cell r="L1541">
            <v>15611</v>
          </cell>
          <cell r="M1541">
            <v>11181</v>
          </cell>
          <cell r="N1541">
            <v>14987</v>
          </cell>
          <cell r="O1541">
            <v>10125</v>
          </cell>
          <cell r="P1541">
            <v>10608</v>
          </cell>
          <cell r="Q1541">
            <v>162951</v>
          </cell>
        </row>
        <row r="1542">
          <cell r="A1542" t="str">
            <v>USWOP015509420000025</v>
          </cell>
          <cell r="B1542" t="str">
            <v>USWOP01550</v>
          </cell>
          <cell r="C1542">
            <v>9420000025</v>
          </cell>
          <cell r="D1542" t="str">
            <v>EMPLOYEE BENEFIT ALLOCATION</v>
          </cell>
          <cell r="E1542">
            <v>0</v>
          </cell>
          <cell r="F1542">
            <v>0</v>
          </cell>
          <cell r="G1542">
            <v>0</v>
          </cell>
          <cell r="H1542">
            <v>0</v>
          </cell>
          <cell r="I1542">
            <v>10492</v>
          </cell>
          <cell r="J1542">
            <v>12282</v>
          </cell>
          <cell r="K1542">
            <v>13011</v>
          </cell>
          <cell r="L1542">
            <v>7707</v>
          </cell>
          <cell r="M1542">
            <v>0</v>
          </cell>
          <cell r="N1542">
            <v>0</v>
          </cell>
          <cell r="O1542">
            <v>0</v>
          </cell>
          <cell r="P1542">
            <v>0</v>
          </cell>
          <cell r="Q1542">
            <v>43492</v>
          </cell>
        </row>
        <row r="1543">
          <cell r="A1543" t="str">
            <v>USWOP015539420000025</v>
          </cell>
          <cell r="B1543" t="str">
            <v>USWOP01553</v>
          </cell>
          <cell r="C1543">
            <v>9420000025</v>
          </cell>
          <cell r="D1543" t="str">
            <v>EMPLOYEE BENEFIT ALLOCATION</v>
          </cell>
          <cell r="E1543">
            <v>0</v>
          </cell>
          <cell r="F1543">
            <v>0</v>
          </cell>
          <cell r="G1543">
            <v>0</v>
          </cell>
          <cell r="H1543">
            <v>0</v>
          </cell>
          <cell r="I1543">
            <v>0</v>
          </cell>
          <cell r="J1543">
            <v>0</v>
          </cell>
          <cell r="K1543">
            <v>0</v>
          </cell>
          <cell r="L1543">
            <v>10269</v>
          </cell>
          <cell r="M1543">
            <v>-3401</v>
          </cell>
          <cell r="N1543">
            <v>0</v>
          </cell>
          <cell r="O1543">
            <v>1771</v>
          </cell>
          <cell r="P1543">
            <v>0</v>
          </cell>
          <cell r="Q1543">
            <v>8639</v>
          </cell>
        </row>
        <row r="1544">
          <cell r="A1544" t="str">
            <v>USWOP015609420000025</v>
          </cell>
          <cell r="B1544" t="str">
            <v>USWOP01560</v>
          </cell>
          <cell r="C1544">
            <v>9420000025</v>
          </cell>
          <cell r="D1544" t="str">
            <v>EMPLOYEE BENEFIT ALLOCATION</v>
          </cell>
          <cell r="E1544">
            <v>9225</v>
          </cell>
          <cell r="F1544">
            <v>12697</v>
          </cell>
          <cell r="G1544">
            <v>13920</v>
          </cell>
          <cell r="H1544">
            <v>11987</v>
          </cell>
          <cell r="I1544">
            <v>8753</v>
          </cell>
          <cell r="J1544">
            <v>5947</v>
          </cell>
          <cell r="K1544">
            <v>5974</v>
          </cell>
          <cell r="L1544">
            <v>2035</v>
          </cell>
          <cell r="M1544">
            <v>0</v>
          </cell>
          <cell r="N1544">
            <v>16300</v>
          </cell>
          <cell r="O1544">
            <v>11463</v>
          </cell>
          <cell r="P1544">
            <v>9300</v>
          </cell>
          <cell r="Q1544">
            <v>107601</v>
          </cell>
        </row>
        <row r="1545">
          <cell r="A1545" t="str">
            <v>USWOP015649420000025</v>
          </cell>
          <cell r="B1545" t="str">
            <v>USWOP01564</v>
          </cell>
          <cell r="C1545">
            <v>9420000025</v>
          </cell>
          <cell r="D1545" t="str">
            <v>EMPLOYEE BENEFIT ALLOCATION</v>
          </cell>
          <cell r="E1545">
            <v>0</v>
          </cell>
          <cell r="F1545">
            <v>0</v>
          </cell>
          <cell r="G1545">
            <v>0</v>
          </cell>
          <cell r="H1545">
            <v>0</v>
          </cell>
          <cell r="I1545">
            <v>0</v>
          </cell>
          <cell r="J1545">
            <v>0</v>
          </cell>
          <cell r="K1545">
            <v>0</v>
          </cell>
          <cell r="L1545">
            <v>0</v>
          </cell>
          <cell r="M1545">
            <v>11372</v>
          </cell>
          <cell r="N1545">
            <v>22069</v>
          </cell>
          <cell r="O1545">
            <v>-2327</v>
          </cell>
          <cell r="P1545">
            <v>0</v>
          </cell>
          <cell r="Q1545">
            <v>31114</v>
          </cell>
        </row>
        <row r="1546">
          <cell r="A1546" t="str">
            <v>USWOP015759420000025</v>
          </cell>
          <cell r="B1546" t="str">
            <v>USWOP01575</v>
          </cell>
          <cell r="C1546">
            <v>9420000025</v>
          </cell>
          <cell r="D1546" t="str">
            <v>EMPLOYEE BENEFIT ALLOCATION</v>
          </cell>
          <cell r="E1546">
            <v>6323</v>
          </cell>
          <cell r="F1546">
            <v>0</v>
          </cell>
          <cell r="G1546">
            <v>0</v>
          </cell>
          <cell r="H1546">
            <v>0</v>
          </cell>
          <cell r="I1546">
            <v>0</v>
          </cell>
          <cell r="J1546">
            <v>0</v>
          </cell>
          <cell r="K1546">
            <v>0</v>
          </cell>
          <cell r="L1546">
            <v>11269</v>
          </cell>
          <cell r="M1546">
            <v>9810</v>
          </cell>
          <cell r="N1546">
            <v>-2273</v>
          </cell>
          <cell r="O1546">
            <v>0</v>
          </cell>
          <cell r="P1546">
            <v>0</v>
          </cell>
          <cell r="Q1546">
            <v>25129</v>
          </cell>
        </row>
        <row r="1547">
          <cell r="A1547" t="str">
            <v>US59P015019420000025</v>
          </cell>
          <cell r="B1547" t="str">
            <v>US59P01501</v>
          </cell>
          <cell r="C1547">
            <v>9420000025</v>
          </cell>
          <cell r="D1547" t="str">
            <v>EMPLOYEE BENEFIT ALLOCATION</v>
          </cell>
          <cell r="E1547">
            <v>10034</v>
          </cell>
          <cell r="F1547">
            <v>6288</v>
          </cell>
          <cell r="G1547">
            <v>7664</v>
          </cell>
          <cell r="H1547">
            <v>6881</v>
          </cell>
          <cell r="I1547">
            <v>8842</v>
          </cell>
          <cell r="J1547">
            <v>8085</v>
          </cell>
          <cell r="K1547">
            <v>8500</v>
          </cell>
          <cell r="L1547">
            <v>7901</v>
          </cell>
          <cell r="M1547">
            <v>6182</v>
          </cell>
          <cell r="N1547">
            <v>7667</v>
          </cell>
          <cell r="O1547">
            <v>6349</v>
          </cell>
          <cell r="P1547">
            <v>5968</v>
          </cell>
          <cell r="Q1547">
            <v>90361</v>
          </cell>
        </row>
        <row r="1548">
          <cell r="A1548" t="str">
            <v>USWOP015859420000025</v>
          </cell>
          <cell r="B1548" t="str">
            <v>USWOP01585</v>
          </cell>
          <cell r="C1548">
            <v>9420000025</v>
          </cell>
          <cell r="D1548" t="str">
            <v>EMPLOYEE BENEFIT ALLOCATION</v>
          </cell>
          <cell r="E1548">
            <v>4011</v>
          </cell>
          <cell r="F1548">
            <v>3212</v>
          </cell>
          <cell r="G1548">
            <v>3575</v>
          </cell>
          <cell r="H1548">
            <v>3724</v>
          </cell>
          <cell r="I1548">
            <v>3887</v>
          </cell>
          <cell r="J1548">
            <v>3622</v>
          </cell>
          <cell r="K1548">
            <v>3590</v>
          </cell>
          <cell r="L1548">
            <v>2318</v>
          </cell>
          <cell r="M1548">
            <v>4493</v>
          </cell>
          <cell r="N1548">
            <v>6040</v>
          </cell>
          <cell r="O1548">
            <v>2527</v>
          </cell>
          <cell r="P1548">
            <v>2585</v>
          </cell>
          <cell r="Q1548">
            <v>43584</v>
          </cell>
        </row>
        <row r="1549">
          <cell r="A1549" t="str">
            <v>USWOP015909420000025</v>
          </cell>
          <cell r="B1549" t="str">
            <v>USWOP01590</v>
          </cell>
          <cell r="C1549">
            <v>9420000025</v>
          </cell>
          <cell r="D1549" t="str">
            <v>EMPLOYEE BENEFIT ALLOCATION</v>
          </cell>
          <cell r="E1549">
            <v>7</v>
          </cell>
          <cell r="F1549">
            <v>0</v>
          </cell>
          <cell r="G1549">
            <v>0</v>
          </cell>
          <cell r="H1549">
            <v>0</v>
          </cell>
          <cell r="I1549">
            <v>0</v>
          </cell>
          <cell r="J1549">
            <v>0</v>
          </cell>
          <cell r="K1549">
            <v>0</v>
          </cell>
          <cell r="L1549">
            <v>0</v>
          </cell>
          <cell r="M1549">
            <v>0</v>
          </cell>
          <cell r="N1549">
            <v>0</v>
          </cell>
          <cell r="O1549">
            <v>0</v>
          </cell>
          <cell r="P1549">
            <v>0</v>
          </cell>
          <cell r="Q1549">
            <v>7</v>
          </cell>
        </row>
        <row r="1550">
          <cell r="A1550" t="str">
            <v>USWOP015929420000025</v>
          </cell>
          <cell r="B1550" t="str">
            <v>USWOP01592</v>
          </cell>
          <cell r="C1550">
            <v>9420000025</v>
          </cell>
          <cell r="D1550" t="str">
            <v>EMPLOYEE BENEFIT ALLOCATION</v>
          </cell>
          <cell r="E1550">
            <v>0</v>
          </cell>
          <cell r="F1550">
            <v>3386</v>
          </cell>
          <cell r="G1550">
            <v>827</v>
          </cell>
          <cell r="H1550">
            <v>1767</v>
          </cell>
          <cell r="I1550">
            <v>1599</v>
          </cell>
          <cell r="J1550">
            <v>1447</v>
          </cell>
          <cell r="K1550">
            <v>1422</v>
          </cell>
          <cell r="L1550">
            <v>1312</v>
          </cell>
          <cell r="M1550">
            <v>1136</v>
          </cell>
          <cell r="N1550">
            <v>1372</v>
          </cell>
          <cell r="O1550">
            <v>1028</v>
          </cell>
          <cell r="P1550">
            <v>977</v>
          </cell>
          <cell r="Q1550">
            <v>16273</v>
          </cell>
        </row>
        <row r="1551">
          <cell r="A1551" t="str">
            <v>US59P015509420000025</v>
          </cell>
          <cell r="B1551" t="str">
            <v>US59P01550</v>
          </cell>
          <cell r="C1551">
            <v>9420000025</v>
          </cell>
          <cell r="D1551" t="str">
            <v>EMPLOYEE BENEFIT ALLOCATION</v>
          </cell>
          <cell r="E1551">
            <v>516</v>
          </cell>
          <cell r="F1551">
            <v>0</v>
          </cell>
          <cell r="G1551">
            <v>0</v>
          </cell>
          <cell r="H1551">
            <v>0</v>
          </cell>
          <cell r="I1551">
            <v>5962</v>
          </cell>
          <cell r="J1551">
            <v>5048</v>
          </cell>
          <cell r="K1551">
            <v>10626</v>
          </cell>
          <cell r="L1551">
            <v>13289</v>
          </cell>
          <cell r="M1551">
            <v>3131</v>
          </cell>
          <cell r="N1551">
            <v>2676</v>
          </cell>
          <cell r="O1551">
            <v>507</v>
          </cell>
          <cell r="P1551">
            <v>744</v>
          </cell>
          <cell r="Q1551">
            <v>42499</v>
          </cell>
        </row>
        <row r="1552">
          <cell r="A1552" t="str">
            <v>US59P015539420000025</v>
          </cell>
          <cell r="B1552" t="str">
            <v>US59P01553</v>
          </cell>
          <cell r="C1552">
            <v>9420000025</v>
          </cell>
          <cell r="D1552" t="str">
            <v>EMPLOYEE BENEFIT ALLOCATION</v>
          </cell>
          <cell r="E1552">
            <v>0</v>
          </cell>
          <cell r="F1552">
            <v>0</v>
          </cell>
          <cell r="G1552">
            <v>0</v>
          </cell>
          <cell r="H1552">
            <v>0</v>
          </cell>
          <cell r="I1552">
            <v>0</v>
          </cell>
          <cell r="J1552">
            <v>0</v>
          </cell>
          <cell r="K1552">
            <v>2965</v>
          </cell>
          <cell r="L1552">
            <v>4178</v>
          </cell>
          <cell r="M1552">
            <v>660</v>
          </cell>
          <cell r="N1552">
            <v>0</v>
          </cell>
          <cell r="O1552">
            <v>0</v>
          </cell>
          <cell r="P1552">
            <v>0</v>
          </cell>
          <cell r="Q1552">
            <v>7803</v>
          </cell>
        </row>
        <row r="1553">
          <cell r="A1553" t="str">
            <v>US59P015609420000025</v>
          </cell>
          <cell r="B1553" t="str">
            <v>US59P01560</v>
          </cell>
          <cell r="C1553">
            <v>9420000025</v>
          </cell>
          <cell r="D1553" t="str">
            <v>EMPLOYEE BENEFIT ALLOCATION</v>
          </cell>
          <cell r="E1553">
            <v>1347</v>
          </cell>
          <cell r="F1553">
            <v>1324</v>
          </cell>
          <cell r="G1553">
            <v>555</v>
          </cell>
          <cell r="H1553">
            <v>1275</v>
          </cell>
          <cell r="I1553">
            <v>2839</v>
          </cell>
          <cell r="J1553">
            <v>779</v>
          </cell>
          <cell r="K1553">
            <v>500</v>
          </cell>
          <cell r="L1553">
            <v>98</v>
          </cell>
          <cell r="M1553">
            <v>4508</v>
          </cell>
          <cell r="N1553">
            <v>12422</v>
          </cell>
          <cell r="O1553">
            <v>6814</v>
          </cell>
          <cell r="P1553">
            <v>6708</v>
          </cell>
          <cell r="Q1553">
            <v>39169</v>
          </cell>
        </row>
        <row r="1554">
          <cell r="A1554" t="str">
            <v>US59P015649420000025</v>
          </cell>
          <cell r="B1554" t="str">
            <v>US59P01564</v>
          </cell>
          <cell r="C1554">
            <v>9420000025</v>
          </cell>
          <cell r="D1554" t="str">
            <v>EMPLOYEE BENEFIT ALLOCATION</v>
          </cell>
          <cell r="E1554">
            <v>0</v>
          </cell>
          <cell r="F1554">
            <v>0</v>
          </cell>
          <cell r="G1554">
            <v>0</v>
          </cell>
          <cell r="H1554">
            <v>0</v>
          </cell>
          <cell r="I1554">
            <v>0</v>
          </cell>
          <cell r="J1554">
            <v>0</v>
          </cell>
          <cell r="K1554">
            <v>0</v>
          </cell>
          <cell r="L1554">
            <v>0</v>
          </cell>
          <cell r="M1554">
            <v>8925</v>
          </cell>
          <cell r="N1554">
            <v>18521</v>
          </cell>
          <cell r="O1554">
            <v>-2754</v>
          </cell>
          <cell r="P1554">
            <v>0</v>
          </cell>
          <cell r="Q1554">
            <v>24692</v>
          </cell>
        </row>
        <row r="1555">
          <cell r="A1555" t="str">
            <v>US59P015759420000025</v>
          </cell>
          <cell r="B1555" t="str">
            <v>US59P01575</v>
          </cell>
          <cell r="C1555">
            <v>9420000025</v>
          </cell>
          <cell r="D1555" t="str">
            <v>EMPLOYEE BENEFIT ALLOCATION</v>
          </cell>
          <cell r="E1555">
            <v>1946</v>
          </cell>
          <cell r="F1555">
            <v>1143</v>
          </cell>
          <cell r="G1555">
            <v>2564</v>
          </cell>
          <cell r="H1555">
            <v>2080</v>
          </cell>
          <cell r="I1555">
            <v>2453</v>
          </cell>
          <cell r="J1555">
            <v>2211</v>
          </cell>
          <cell r="K1555">
            <v>954</v>
          </cell>
          <cell r="L1555">
            <v>0</v>
          </cell>
          <cell r="M1555">
            <v>0</v>
          </cell>
          <cell r="N1555">
            <v>0</v>
          </cell>
          <cell r="O1555">
            <v>0</v>
          </cell>
          <cell r="P1555">
            <v>0</v>
          </cell>
          <cell r="Q1555">
            <v>13351</v>
          </cell>
        </row>
        <row r="1556">
          <cell r="A1556" t="str">
            <v>US59P015909420000025</v>
          </cell>
          <cell r="B1556" t="str">
            <v>US59P01590</v>
          </cell>
          <cell r="C1556">
            <v>9420000025</v>
          </cell>
          <cell r="D1556" t="str">
            <v>EMPLOYEE BENEFIT ALLOCATION</v>
          </cell>
          <cell r="E1556">
            <v>2653</v>
          </cell>
          <cell r="F1556">
            <v>1944</v>
          </cell>
          <cell r="G1556">
            <v>2144</v>
          </cell>
          <cell r="H1556">
            <v>1893</v>
          </cell>
          <cell r="I1556">
            <v>772</v>
          </cell>
          <cell r="J1556">
            <v>987</v>
          </cell>
          <cell r="K1556">
            <v>988</v>
          </cell>
          <cell r="L1556">
            <v>905</v>
          </cell>
          <cell r="M1556">
            <v>1070</v>
          </cell>
          <cell r="N1556">
            <v>1446</v>
          </cell>
          <cell r="O1556">
            <v>2439</v>
          </cell>
          <cell r="P1556">
            <v>1644</v>
          </cell>
          <cell r="Q1556">
            <v>18885</v>
          </cell>
        </row>
        <row r="1557">
          <cell r="A1557" t="str">
            <v>US59P3C5019420000025</v>
          </cell>
          <cell r="B1557" t="str">
            <v>US59P3C501</v>
          </cell>
          <cell r="C1557">
            <v>9420000025</v>
          </cell>
          <cell r="D1557" t="str">
            <v>EMPLOYEE BENEFIT ALLOCATION</v>
          </cell>
          <cell r="E1557">
            <v>4513</v>
          </cell>
          <cell r="F1557">
            <v>3643</v>
          </cell>
          <cell r="G1557">
            <v>2384</v>
          </cell>
          <cell r="H1557">
            <v>2256</v>
          </cell>
          <cell r="I1557">
            <v>2916</v>
          </cell>
          <cell r="J1557">
            <v>4304</v>
          </cell>
          <cell r="K1557">
            <v>3641</v>
          </cell>
          <cell r="L1557">
            <v>2728</v>
          </cell>
          <cell r="M1557">
            <v>2072</v>
          </cell>
          <cell r="N1557">
            <v>2502</v>
          </cell>
          <cell r="O1557">
            <v>1876</v>
          </cell>
          <cell r="P1557">
            <v>1871</v>
          </cell>
          <cell r="Q1557">
            <v>34706</v>
          </cell>
        </row>
        <row r="1558">
          <cell r="A1558" t="str">
            <v>US59P3C5509420000025</v>
          </cell>
          <cell r="B1558" t="str">
            <v>US59P3C550</v>
          </cell>
          <cell r="C1558">
            <v>9420000025</v>
          </cell>
          <cell r="D1558" t="str">
            <v>EMPLOYEE BENEFIT ALLOCATION</v>
          </cell>
          <cell r="E1558">
            <v>0</v>
          </cell>
          <cell r="F1558">
            <v>0</v>
          </cell>
          <cell r="G1558">
            <v>0</v>
          </cell>
          <cell r="H1558">
            <v>0</v>
          </cell>
          <cell r="I1558">
            <v>0</v>
          </cell>
          <cell r="J1558">
            <v>0</v>
          </cell>
          <cell r="K1558">
            <v>866</v>
          </cell>
          <cell r="L1558">
            <v>1913</v>
          </cell>
          <cell r="M1558">
            <v>1600</v>
          </cell>
          <cell r="N1558">
            <v>1748</v>
          </cell>
          <cell r="O1558">
            <v>1049</v>
          </cell>
          <cell r="P1558">
            <v>1075</v>
          </cell>
          <cell r="Q1558">
            <v>8251</v>
          </cell>
        </row>
        <row r="1559">
          <cell r="A1559" t="str">
            <v>US59P3C5609420000025</v>
          </cell>
          <cell r="B1559" t="str">
            <v>US59P3C560</v>
          </cell>
          <cell r="C1559">
            <v>9420000025</v>
          </cell>
          <cell r="D1559" t="str">
            <v>EMPLOYEE BENEFIT ALLOCATION</v>
          </cell>
          <cell r="E1559">
            <v>11324</v>
          </cell>
          <cell r="F1559">
            <v>8964</v>
          </cell>
          <cell r="G1559">
            <v>11230</v>
          </cell>
          <cell r="H1559">
            <v>9047</v>
          </cell>
          <cell r="I1559">
            <v>7941</v>
          </cell>
          <cell r="J1559">
            <v>7669</v>
          </cell>
          <cell r="K1559">
            <v>4933</v>
          </cell>
          <cell r="L1559">
            <v>2746</v>
          </cell>
          <cell r="M1559">
            <v>527</v>
          </cell>
          <cell r="N1559">
            <v>0</v>
          </cell>
          <cell r="O1559">
            <v>3153</v>
          </cell>
          <cell r="P1559">
            <v>3651</v>
          </cell>
          <cell r="Q1559">
            <v>71185</v>
          </cell>
        </row>
        <row r="1560">
          <cell r="A1560" t="str">
            <v>US59PZA5019420000025</v>
          </cell>
          <cell r="B1560" t="str">
            <v>US59PZA501</v>
          </cell>
          <cell r="C1560">
            <v>9420000025</v>
          </cell>
          <cell r="D1560" t="str">
            <v>EMPLOYEE BENEFIT ALLOCATION</v>
          </cell>
          <cell r="E1560">
            <v>5018</v>
          </cell>
          <cell r="F1560">
            <v>4053</v>
          </cell>
          <cell r="G1560">
            <v>4428</v>
          </cell>
          <cell r="H1560">
            <v>4031</v>
          </cell>
          <cell r="I1560">
            <v>5175</v>
          </cell>
          <cell r="J1560">
            <v>5021</v>
          </cell>
          <cell r="K1560">
            <v>4954</v>
          </cell>
          <cell r="L1560">
            <v>4570</v>
          </cell>
          <cell r="M1560">
            <v>3957</v>
          </cell>
          <cell r="N1560">
            <v>4779</v>
          </cell>
          <cell r="O1560">
            <v>3584</v>
          </cell>
          <cell r="P1560">
            <v>3573</v>
          </cell>
          <cell r="Q1560">
            <v>53143</v>
          </cell>
        </row>
        <row r="1561">
          <cell r="A1561" t="str">
            <v>US59PZA5509420000025</v>
          </cell>
          <cell r="B1561" t="str">
            <v>US59PZA550</v>
          </cell>
          <cell r="C1561">
            <v>9420000025</v>
          </cell>
          <cell r="D1561" t="str">
            <v>EMPLOYEE BENEFIT ALLOCATION</v>
          </cell>
          <cell r="E1561">
            <v>953</v>
          </cell>
          <cell r="F1561">
            <v>0</v>
          </cell>
          <cell r="G1561">
            <v>0</v>
          </cell>
          <cell r="H1561">
            <v>0</v>
          </cell>
          <cell r="I1561">
            <v>0</v>
          </cell>
          <cell r="J1561">
            <v>0</v>
          </cell>
          <cell r="K1561">
            <v>0</v>
          </cell>
          <cell r="L1561">
            <v>0</v>
          </cell>
          <cell r="M1561">
            <v>0</v>
          </cell>
          <cell r="N1561">
            <v>0</v>
          </cell>
          <cell r="O1561">
            <v>0</v>
          </cell>
          <cell r="P1561">
            <v>0</v>
          </cell>
          <cell r="Q1561">
            <v>953</v>
          </cell>
        </row>
        <row r="1562">
          <cell r="A1562" t="str">
            <v>US59PZA5609420000025</v>
          </cell>
          <cell r="B1562" t="str">
            <v>US59PZA560</v>
          </cell>
          <cell r="C1562">
            <v>9420000025</v>
          </cell>
          <cell r="D1562" t="str">
            <v>EMPLOYEE BENEFIT ALLOCATION</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row>
        <row r="1563">
          <cell r="A1563" t="str">
            <v>USCRP015019420000025</v>
          </cell>
          <cell r="B1563" t="str">
            <v>USCRP01501</v>
          </cell>
          <cell r="C1563">
            <v>9420000025</v>
          </cell>
          <cell r="D1563" t="str">
            <v>EMPLOYEE BENEFIT ALLOCATION</v>
          </cell>
          <cell r="E1563">
            <v>14640</v>
          </cell>
          <cell r="F1563">
            <v>11817</v>
          </cell>
          <cell r="G1563">
            <v>12928</v>
          </cell>
          <cell r="H1563">
            <v>11464</v>
          </cell>
          <cell r="I1563">
            <v>14676</v>
          </cell>
          <cell r="J1563">
            <v>14037</v>
          </cell>
          <cell r="K1563">
            <v>13124</v>
          </cell>
          <cell r="L1563">
            <v>11981</v>
          </cell>
          <cell r="M1563">
            <v>10533</v>
          </cell>
          <cell r="N1563">
            <v>12564</v>
          </cell>
          <cell r="O1563">
            <v>8173</v>
          </cell>
          <cell r="P1563">
            <v>8352</v>
          </cell>
          <cell r="Q1563">
            <v>144289</v>
          </cell>
        </row>
        <row r="1564">
          <cell r="A1564" t="str">
            <v>USCRP015509420000025</v>
          </cell>
          <cell r="B1564" t="str">
            <v>USCRP01550</v>
          </cell>
          <cell r="C1564">
            <v>9420000025</v>
          </cell>
          <cell r="D1564" t="str">
            <v>EMPLOYEE BENEFIT ALLOCATION</v>
          </cell>
          <cell r="E1564">
            <v>0</v>
          </cell>
          <cell r="F1564">
            <v>0</v>
          </cell>
          <cell r="G1564">
            <v>0</v>
          </cell>
          <cell r="H1564">
            <v>0</v>
          </cell>
          <cell r="I1564">
            <v>3817</v>
          </cell>
          <cell r="J1564">
            <v>14308</v>
          </cell>
          <cell r="K1564">
            <v>12478</v>
          </cell>
          <cell r="L1564">
            <v>17304</v>
          </cell>
          <cell r="M1564">
            <v>-2601</v>
          </cell>
          <cell r="N1564">
            <v>0</v>
          </cell>
          <cell r="O1564">
            <v>0</v>
          </cell>
          <cell r="P1564">
            <v>0</v>
          </cell>
          <cell r="Q1564">
            <v>45306</v>
          </cell>
        </row>
        <row r="1565">
          <cell r="A1565" t="str">
            <v>USCRP015609420000025</v>
          </cell>
          <cell r="B1565" t="str">
            <v>USCRP01560</v>
          </cell>
          <cell r="C1565">
            <v>9420000025</v>
          </cell>
          <cell r="D1565" t="str">
            <v>EMPLOYEE BENEFIT ALLOCATION</v>
          </cell>
          <cell r="E1565">
            <v>4663</v>
          </cell>
          <cell r="F1565">
            <v>1799</v>
          </cell>
          <cell r="G1565">
            <v>2080</v>
          </cell>
          <cell r="H1565">
            <v>6022</v>
          </cell>
          <cell r="I1565">
            <v>4678</v>
          </cell>
          <cell r="J1565">
            <v>-95</v>
          </cell>
          <cell r="K1565">
            <v>1124</v>
          </cell>
          <cell r="L1565">
            <v>1087</v>
          </cell>
          <cell r="M1565">
            <v>932</v>
          </cell>
          <cell r="N1565">
            <v>2134</v>
          </cell>
          <cell r="O1565">
            <v>7724</v>
          </cell>
          <cell r="P1565">
            <v>8093</v>
          </cell>
          <cell r="Q1565">
            <v>40241</v>
          </cell>
        </row>
        <row r="1566">
          <cell r="A1566" t="str">
            <v>USCRP015649420000025</v>
          </cell>
          <cell r="B1566" t="str">
            <v>USCRP01564</v>
          </cell>
          <cell r="C1566">
            <v>9420000025</v>
          </cell>
          <cell r="D1566" t="str">
            <v>EMPLOYEE BENEFIT ALLOCATION</v>
          </cell>
          <cell r="E1566">
            <v>0</v>
          </cell>
          <cell r="F1566">
            <v>0</v>
          </cell>
          <cell r="G1566">
            <v>0</v>
          </cell>
          <cell r="H1566">
            <v>0</v>
          </cell>
          <cell r="I1566">
            <v>0</v>
          </cell>
          <cell r="J1566">
            <v>53</v>
          </cell>
          <cell r="K1566">
            <v>0</v>
          </cell>
          <cell r="L1566">
            <v>0</v>
          </cell>
          <cell r="M1566">
            <v>7789</v>
          </cell>
          <cell r="N1566">
            <v>35345</v>
          </cell>
          <cell r="O1566">
            <v>-4106</v>
          </cell>
          <cell r="P1566">
            <v>0</v>
          </cell>
          <cell r="Q1566">
            <v>39081</v>
          </cell>
        </row>
        <row r="1567">
          <cell r="A1567" t="str">
            <v>USCRP015759420000025</v>
          </cell>
          <cell r="B1567" t="str">
            <v>USCRP01575</v>
          </cell>
          <cell r="C1567">
            <v>9420000025</v>
          </cell>
          <cell r="D1567" t="str">
            <v>EMPLOYEE BENEFIT ALLOCATION</v>
          </cell>
          <cell r="E1567">
            <v>4762</v>
          </cell>
          <cell r="F1567">
            <v>5202</v>
          </cell>
          <cell r="G1567">
            <v>5388</v>
          </cell>
          <cell r="H1567">
            <v>3591</v>
          </cell>
          <cell r="I1567">
            <v>2790</v>
          </cell>
          <cell r="J1567">
            <v>1891</v>
          </cell>
          <cell r="K1567">
            <v>2390</v>
          </cell>
          <cell r="L1567">
            <v>3175</v>
          </cell>
          <cell r="M1567">
            <v>4084</v>
          </cell>
          <cell r="N1567">
            <v>-1028</v>
          </cell>
          <cell r="O1567">
            <v>2644</v>
          </cell>
          <cell r="P1567">
            <v>1127</v>
          </cell>
          <cell r="Q1567">
            <v>36016</v>
          </cell>
        </row>
        <row r="1568">
          <cell r="A1568" t="str">
            <v>USCRP015859420000025</v>
          </cell>
          <cell r="B1568" t="str">
            <v>USCRP01585</v>
          </cell>
          <cell r="C1568">
            <v>9420000025</v>
          </cell>
          <cell r="D1568" t="str">
            <v>EMPLOYEE BENEFIT ALLOCATION</v>
          </cell>
          <cell r="E1568">
            <v>1219</v>
          </cell>
          <cell r="F1568">
            <v>1166</v>
          </cell>
          <cell r="G1568">
            <v>1222</v>
          </cell>
          <cell r="H1568">
            <v>1835</v>
          </cell>
          <cell r="I1568">
            <v>2423</v>
          </cell>
          <cell r="J1568">
            <v>2706</v>
          </cell>
          <cell r="K1568">
            <v>3075</v>
          </cell>
          <cell r="L1568">
            <v>2784</v>
          </cell>
          <cell r="M1568">
            <v>2712</v>
          </cell>
          <cell r="N1568">
            <v>1073</v>
          </cell>
          <cell r="O1568">
            <v>853</v>
          </cell>
          <cell r="P1568">
            <v>774</v>
          </cell>
          <cell r="Q1568">
            <v>21842</v>
          </cell>
        </row>
        <row r="1569">
          <cell r="A1569" t="str">
            <v>US59P015019420000026</v>
          </cell>
          <cell r="B1569" t="str">
            <v>US59P01501</v>
          </cell>
          <cell r="C1569">
            <v>9420000026</v>
          </cell>
          <cell r="D1569" t="str">
            <v>FACILITY ALLOCATION</v>
          </cell>
          <cell r="E1569">
            <v>0</v>
          </cell>
          <cell r="F1569">
            <v>0</v>
          </cell>
          <cell r="G1569">
            <v>0</v>
          </cell>
          <cell r="H1569">
            <v>-849</v>
          </cell>
          <cell r="I1569">
            <v>832</v>
          </cell>
          <cell r="J1569">
            <v>929</v>
          </cell>
          <cell r="K1569">
            <v>721</v>
          </cell>
          <cell r="L1569">
            <v>1233</v>
          </cell>
          <cell r="M1569">
            <v>1010</v>
          </cell>
          <cell r="N1569">
            <v>933</v>
          </cell>
          <cell r="O1569">
            <v>998</v>
          </cell>
          <cell r="P1569">
            <v>759</v>
          </cell>
          <cell r="Q1569">
            <v>6566</v>
          </cell>
        </row>
      </sheetData>
      <sheetData sheetId="5">
        <row r="3">
          <cell r="A3" t="str">
            <v>Conc</v>
          </cell>
          <cell r="B3" t="str">
            <v>Cost Center</v>
          </cell>
          <cell r="C3" t="str">
            <v>Account</v>
          </cell>
          <cell r="D3" t="str">
            <v>Description</v>
          </cell>
          <cell r="E3" t="str">
            <v xml:space="preserve">      Jan</v>
          </cell>
          <cell r="F3" t="str">
            <v xml:space="preserve">      Feb</v>
          </cell>
          <cell r="G3" t="str">
            <v xml:space="preserve">      Mar</v>
          </cell>
          <cell r="H3" t="str">
            <v xml:space="preserve">      Apr</v>
          </cell>
          <cell r="I3" t="str">
            <v xml:space="preserve">      May</v>
          </cell>
          <cell r="J3" t="str">
            <v xml:space="preserve">      Jun</v>
          </cell>
          <cell r="K3" t="str">
            <v xml:space="preserve">      Jul</v>
          </cell>
          <cell r="L3" t="str">
            <v xml:space="preserve">      Aug</v>
          </cell>
          <cell r="M3" t="str">
            <v xml:space="preserve">      Sep</v>
          </cell>
          <cell r="N3" t="str">
            <v xml:space="preserve">      Oct</v>
          </cell>
          <cell r="O3" t="str">
            <v xml:space="preserve">      Nov</v>
          </cell>
          <cell r="P3" t="str">
            <v xml:space="preserve">      Dec</v>
          </cell>
          <cell r="Q3" t="str">
            <v>Total</v>
          </cell>
        </row>
        <row r="4">
          <cell r="A4" t="str">
            <v>US22P015753001500128</v>
          </cell>
          <cell r="B4" t="str">
            <v>US22P01575</v>
          </cell>
          <cell r="C4">
            <v>3001500128</v>
          </cell>
          <cell r="D4" t="str">
            <v>INVENTORY MOVMENT - PACKING MATERIALS CO</v>
          </cell>
          <cell r="E4">
            <v>0</v>
          </cell>
          <cell r="F4">
            <v>0</v>
          </cell>
          <cell r="G4">
            <v>0</v>
          </cell>
          <cell r="H4">
            <v>0</v>
          </cell>
          <cell r="I4">
            <v>0</v>
          </cell>
          <cell r="J4">
            <v>0</v>
          </cell>
          <cell r="K4">
            <v>0</v>
          </cell>
          <cell r="L4">
            <v>0</v>
          </cell>
          <cell r="M4">
            <v>0</v>
          </cell>
          <cell r="N4">
            <v>0</v>
          </cell>
          <cell r="O4">
            <v>0</v>
          </cell>
          <cell r="P4">
            <v>0</v>
          </cell>
          <cell r="Q4">
            <v>0</v>
          </cell>
        </row>
        <row r="5">
          <cell r="A5" t="str">
            <v>US35P015753001500128</v>
          </cell>
          <cell r="B5" t="str">
            <v>US35P01575</v>
          </cell>
          <cell r="C5">
            <v>3001500128</v>
          </cell>
          <cell r="D5" t="str">
            <v>INVENTORY MOVMENT - PACKING MATERIALS CO</v>
          </cell>
          <cell r="E5">
            <v>0</v>
          </cell>
          <cell r="F5">
            <v>0</v>
          </cell>
          <cell r="G5">
            <v>0</v>
          </cell>
          <cell r="H5">
            <v>0</v>
          </cell>
          <cell r="I5">
            <v>0</v>
          </cell>
          <cell r="J5">
            <v>0</v>
          </cell>
          <cell r="K5">
            <v>0</v>
          </cell>
          <cell r="L5">
            <v>0</v>
          </cell>
          <cell r="M5">
            <v>0</v>
          </cell>
          <cell r="N5">
            <v>0</v>
          </cell>
          <cell r="O5">
            <v>0</v>
          </cell>
          <cell r="P5">
            <v>0</v>
          </cell>
          <cell r="Q5">
            <v>0</v>
          </cell>
        </row>
        <row r="6">
          <cell r="A6" t="str">
            <v>US35P015753001500973</v>
          </cell>
          <cell r="B6" t="str">
            <v>US35P01575</v>
          </cell>
          <cell r="C6">
            <v>3001500973</v>
          </cell>
          <cell r="D6" t="str">
            <v>OTHER INVENTORY ADJUSTMENT</v>
          </cell>
          <cell r="E6">
            <v>0</v>
          </cell>
          <cell r="F6">
            <v>45</v>
          </cell>
          <cell r="G6">
            <v>0</v>
          </cell>
          <cell r="H6">
            <v>0</v>
          </cell>
          <cell r="I6">
            <v>0</v>
          </cell>
          <cell r="J6">
            <v>0</v>
          </cell>
          <cell r="K6">
            <v>0</v>
          </cell>
          <cell r="L6">
            <v>0</v>
          </cell>
          <cell r="M6">
            <v>0</v>
          </cell>
          <cell r="N6">
            <v>0</v>
          </cell>
          <cell r="O6">
            <v>0</v>
          </cell>
          <cell r="P6">
            <v>0</v>
          </cell>
          <cell r="Q6">
            <v>45</v>
          </cell>
        </row>
        <row r="7">
          <cell r="A7" t="str">
            <v>US22MZA1503111100000</v>
          </cell>
          <cell r="B7" t="str">
            <v>US22MZA150</v>
          </cell>
          <cell r="C7">
            <v>3111100000</v>
          </cell>
          <cell r="D7" t="str">
            <v>WAGES,SALARIES,ALLOWANCES AND COMMI/PERM</v>
          </cell>
          <cell r="E7">
            <v>22856</v>
          </cell>
          <cell r="F7">
            <v>29961</v>
          </cell>
          <cell r="G7">
            <v>29633</v>
          </cell>
          <cell r="H7">
            <v>0</v>
          </cell>
          <cell r="I7">
            <v>0</v>
          </cell>
          <cell r="J7">
            <v>0</v>
          </cell>
          <cell r="K7">
            <v>0</v>
          </cell>
          <cell r="L7">
            <v>0</v>
          </cell>
          <cell r="M7">
            <v>0</v>
          </cell>
          <cell r="N7">
            <v>0</v>
          </cell>
          <cell r="O7">
            <v>0</v>
          </cell>
          <cell r="P7">
            <v>0</v>
          </cell>
          <cell r="Q7">
            <v>82450</v>
          </cell>
        </row>
        <row r="8">
          <cell r="A8" t="str">
            <v>US22MZA1553111100000</v>
          </cell>
          <cell r="B8" t="str">
            <v>US22MZA155</v>
          </cell>
          <cell r="C8">
            <v>3111100000</v>
          </cell>
          <cell r="D8" t="str">
            <v>WAGES,SALARIES,ALLOWANCES AND COMMI/PERM</v>
          </cell>
          <cell r="E8">
            <v>0</v>
          </cell>
          <cell r="F8">
            <v>0</v>
          </cell>
          <cell r="G8">
            <v>2530</v>
          </cell>
          <cell r="H8">
            <v>0</v>
          </cell>
          <cell r="I8">
            <v>0</v>
          </cell>
          <cell r="J8">
            <v>0</v>
          </cell>
          <cell r="K8">
            <v>0</v>
          </cell>
          <cell r="L8">
            <v>0</v>
          </cell>
          <cell r="M8">
            <v>0</v>
          </cell>
          <cell r="N8">
            <v>0</v>
          </cell>
          <cell r="O8">
            <v>0</v>
          </cell>
          <cell r="P8">
            <v>0</v>
          </cell>
          <cell r="Q8">
            <v>2530</v>
          </cell>
        </row>
        <row r="9">
          <cell r="A9" t="str">
            <v>US22P015013111100000</v>
          </cell>
          <cell r="B9" t="str">
            <v>US22P01501</v>
          </cell>
          <cell r="C9">
            <v>3111100000</v>
          </cell>
          <cell r="D9" t="str">
            <v>WAGES,SALARIES,ALLOWANCES AND COMMI/PERM</v>
          </cell>
          <cell r="E9">
            <v>42845</v>
          </cell>
          <cell r="F9">
            <v>42947</v>
          </cell>
          <cell r="G9">
            <v>47041</v>
          </cell>
          <cell r="H9">
            <v>0</v>
          </cell>
          <cell r="I9">
            <v>0</v>
          </cell>
          <cell r="J9">
            <v>0</v>
          </cell>
          <cell r="K9">
            <v>0</v>
          </cell>
          <cell r="L9">
            <v>0</v>
          </cell>
          <cell r="M9">
            <v>0</v>
          </cell>
          <cell r="N9">
            <v>0</v>
          </cell>
          <cell r="O9">
            <v>0</v>
          </cell>
          <cell r="P9">
            <v>0</v>
          </cell>
          <cell r="Q9">
            <v>132833</v>
          </cell>
        </row>
        <row r="10">
          <cell r="A10" t="str">
            <v>US22P015503111100000</v>
          </cell>
          <cell r="B10" t="str">
            <v>US22P01550</v>
          </cell>
          <cell r="C10">
            <v>3111100000</v>
          </cell>
          <cell r="D10" t="str">
            <v>WAGES,SALARIES,ALLOWANCES AND COMMI/PERM</v>
          </cell>
          <cell r="E10">
            <v>789</v>
          </cell>
          <cell r="F10">
            <v>-453</v>
          </cell>
          <cell r="G10">
            <v>138</v>
          </cell>
          <cell r="H10">
            <v>0</v>
          </cell>
          <cell r="I10">
            <v>0</v>
          </cell>
          <cell r="J10">
            <v>0</v>
          </cell>
          <cell r="K10">
            <v>0</v>
          </cell>
          <cell r="L10">
            <v>0</v>
          </cell>
          <cell r="M10">
            <v>0</v>
          </cell>
          <cell r="N10">
            <v>0</v>
          </cell>
          <cell r="O10">
            <v>0</v>
          </cell>
          <cell r="P10">
            <v>0</v>
          </cell>
          <cell r="Q10">
            <v>474</v>
          </cell>
        </row>
        <row r="11">
          <cell r="A11" t="str">
            <v>US22P015603111100000</v>
          </cell>
          <cell r="B11" t="str">
            <v>US22P01560</v>
          </cell>
          <cell r="C11">
            <v>3111100000</v>
          </cell>
          <cell r="D11" t="str">
            <v>WAGES,SALARIES,ALLOWANCES AND COMMI/PERM</v>
          </cell>
          <cell r="E11">
            <v>8732</v>
          </cell>
          <cell r="F11">
            <v>3336</v>
          </cell>
          <cell r="G11">
            <v>3049</v>
          </cell>
          <cell r="H11">
            <v>0</v>
          </cell>
          <cell r="I11">
            <v>0</v>
          </cell>
          <cell r="J11">
            <v>0</v>
          </cell>
          <cell r="K11">
            <v>0</v>
          </cell>
          <cell r="L11">
            <v>0</v>
          </cell>
          <cell r="M11">
            <v>0</v>
          </cell>
          <cell r="N11">
            <v>0</v>
          </cell>
          <cell r="O11">
            <v>0</v>
          </cell>
          <cell r="P11">
            <v>0</v>
          </cell>
          <cell r="Q11">
            <v>15117</v>
          </cell>
        </row>
        <row r="12">
          <cell r="A12" t="str">
            <v>US22P015643111100000</v>
          </cell>
          <cell r="B12" t="str">
            <v>US22P01564</v>
          </cell>
          <cell r="C12">
            <v>3111100000</v>
          </cell>
          <cell r="D12" t="str">
            <v>WAGES,SALARIES,ALLOWANCES AND COMMI/PERM</v>
          </cell>
          <cell r="E12">
            <v>0</v>
          </cell>
          <cell r="F12">
            <v>0</v>
          </cell>
          <cell r="G12">
            <v>0</v>
          </cell>
          <cell r="H12">
            <v>0</v>
          </cell>
          <cell r="I12">
            <v>0</v>
          </cell>
          <cell r="J12">
            <v>0</v>
          </cell>
          <cell r="K12">
            <v>0</v>
          </cell>
          <cell r="L12">
            <v>0</v>
          </cell>
          <cell r="M12">
            <v>0</v>
          </cell>
          <cell r="N12">
            <v>0</v>
          </cell>
          <cell r="O12">
            <v>0</v>
          </cell>
          <cell r="P12">
            <v>0</v>
          </cell>
          <cell r="Q12">
            <v>0</v>
          </cell>
        </row>
        <row r="13">
          <cell r="A13" t="str">
            <v>US22P015753111100000</v>
          </cell>
          <cell r="B13" t="str">
            <v>US22P01575</v>
          </cell>
          <cell r="C13">
            <v>3111100000</v>
          </cell>
          <cell r="D13" t="str">
            <v>WAGES,SALARIES,ALLOWANCES AND COMMI/PERM</v>
          </cell>
          <cell r="E13">
            <v>5938</v>
          </cell>
          <cell r="F13">
            <v>5201</v>
          </cell>
          <cell r="G13">
            <v>2789</v>
          </cell>
          <cell r="H13">
            <v>0</v>
          </cell>
          <cell r="I13">
            <v>0</v>
          </cell>
          <cell r="J13">
            <v>0</v>
          </cell>
          <cell r="K13">
            <v>0</v>
          </cell>
          <cell r="L13">
            <v>0</v>
          </cell>
          <cell r="M13">
            <v>0</v>
          </cell>
          <cell r="N13">
            <v>0</v>
          </cell>
          <cell r="O13">
            <v>0</v>
          </cell>
          <cell r="P13">
            <v>0</v>
          </cell>
          <cell r="Q13">
            <v>13928</v>
          </cell>
        </row>
        <row r="14">
          <cell r="A14" t="str">
            <v>US22P015853111100000</v>
          </cell>
          <cell r="B14" t="str">
            <v>US22P01585</v>
          </cell>
          <cell r="C14">
            <v>3111100000</v>
          </cell>
          <cell r="D14" t="str">
            <v>WAGES,SALARIES,ALLOWANCES AND COMMI/PERM</v>
          </cell>
          <cell r="E14">
            <v>1175</v>
          </cell>
          <cell r="F14">
            <v>6424</v>
          </cell>
          <cell r="G14">
            <v>6409</v>
          </cell>
          <cell r="H14">
            <v>0</v>
          </cell>
          <cell r="I14">
            <v>0</v>
          </cell>
          <cell r="J14">
            <v>0</v>
          </cell>
          <cell r="K14">
            <v>0</v>
          </cell>
          <cell r="L14">
            <v>0</v>
          </cell>
          <cell r="M14">
            <v>0</v>
          </cell>
          <cell r="N14">
            <v>0</v>
          </cell>
          <cell r="O14">
            <v>0</v>
          </cell>
          <cell r="P14">
            <v>0</v>
          </cell>
          <cell r="Q14">
            <v>14008</v>
          </cell>
        </row>
        <row r="15">
          <cell r="A15" t="str">
            <v>US22P015903111100000</v>
          </cell>
          <cell r="B15" t="str">
            <v>US22P01590</v>
          </cell>
          <cell r="C15">
            <v>3111100000</v>
          </cell>
          <cell r="D15" t="str">
            <v>WAGES,SALARIES,ALLOWANCES AND COMMI/PERM</v>
          </cell>
          <cell r="E15">
            <v>2979</v>
          </cell>
          <cell r="F15">
            <v>2994</v>
          </cell>
          <cell r="G15">
            <v>1561</v>
          </cell>
          <cell r="H15">
            <v>0</v>
          </cell>
          <cell r="I15">
            <v>0</v>
          </cell>
          <cell r="J15">
            <v>0</v>
          </cell>
          <cell r="K15">
            <v>0</v>
          </cell>
          <cell r="L15">
            <v>0</v>
          </cell>
          <cell r="M15">
            <v>0</v>
          </cell>
          <cell r="N15">
            <v>0</v>
          </cell>
          <cell r="O15">
            <v>0</v>
          </cell>
          <cell r="P15">
            <v>0</v>
          </cell>
          <cell r="Q15">
            <v>7534</v>
          </cell>
        </row>
        <row r="16">
          <cell r="A16" t="str">
            <v>US22P015923111100000</v>
          </cell>
          <cell r="B16" t="str">
            <v>US22P01592</v>
          </cell>
          <cell r="C16">
            <v>3111100000</v>
          </cell>
          <cell r="D16" t="str">
            <v>WAGES,SALARIES,ALLOWANCES AND COMMI/PERM</v>
          </cell>
          <cell r="E16">
            <v>0</v>
          </cell>
          <cell r="F16">
            <v>0</v>
          </cell>
          <cell r="G16">
            <v>1338</v>
          </cell>
          <cell r="H16">
            <v>0</v>
          </cell>
          <cell r="I16">
            <v>0</v>
          </cell>
          <cell r="J16">
            <v>0</v>
          </cell>
          <cell r="K16">
            <v>0</v>
          </cell>
          <cell r="L16">
            <v>0</v>
          </cell>
          <cell r="M16">
            <v>0</v>
          </cell>
          <cell r="N16">
            <v>0</v>
          </cell>
          <cell r="O16">
            <v>0</v>
          </cell>
          <cell r="P16">
            <v>0</v>
          </cell>
          <cell r="Q16">
            <v>1338</v>
          </cell>
        </row>
        <row r="17">
          <cell r="A17" t="str">
            <v>US28MZA1503111100000</v>
          </cell>
          <cell r="B17" t="str">
            <v>US28MZA150</v>
          </cell>
          <cell r="C17">
            <v>3111100000</v>
          </cell>
          <cell r="D17" t="str">
            <v>WAGES,SALARIES,ALLOWANCES AND COMMI/PERM</v>
          </cell>
          <cell r="E17">
            <v>10308</v>
          </cell>
          <cell r="F17">
            <v>9442</v>
          </cell>
          <cell r="G17">
            <v>9965</v>
          </cell>
          <cell r="H17">
            <v>0</v>
          </cell>
          <cell r="I17">
            <v>0</v>
          </cell>
          <cell r="J17">
            <v>0</v>
          </cell>
          <cell r="K17">
            <v>0</v>
          </cell>
          <cell r="L17">
            <v>0</v>
          </cell>
          <cell r="M17">
            <v>0</v>
          </cell>
          <cell r="N17">
            <v>0</v>
          </cell>
          <cell r="O17">
            <v>0</v>
          </cell>
          <cell r="P17">
            <v>0</v>
          </cell>
          <cell r="Q17">
            <v>29715</v>
          </cell>
        </row>
        <row r="18">
          <cell r="A18" t="str">
            <v>US28MZA1553111100000</v>
          </cell>
          <cell r="B18" t="str">
            <v>US28MZA155</v>
          </cell>
          <cell r="C18">
            <v>3111100000</v>
          </cell>
          <cell r="D18" t="str">
            <v>WAGES,SALARIES,ALLOWANCES AND COMMI/PERM</v>
          </cell>
          <cell r="E18">
            <v>4055</v>
          </cell>
          <cell r="F18">
            <v>4988</v>
          </cell>
          <cell r="G18">
            <v>3996</v>
          </cell>
          <cell r="H18">
            <v>0</v>
          </cell>
          <cell r="I18">
            <v>0</v>
          </cell>
          <cell r="J18">
            <v>0</v>
          </cell>
          <cell r="K18">
            <v>0</v>
          </cell>
          <cell r="L18">
            <v>0</v>
          </cell>
          <cell r="M18">
            <v>0</v>
          </cell>
          <cell r="N18">
            <v>0</v>
          </cell>
          <cell r="O18">
            <v>0</v>
          </cell>
          <cell r="P18">
            <v>0</v>
          </cell>
          <cell r="Q18">
            <v>13039</v>
          </cell>
        </row>
        <row r="19">
          <cell r="A19" t="str">
            <v>US28P015013111100000</v>
          </cell>
          <cell r="B19" t="str">
            <v>US28P01501</v>
          </cell>
          <cell r="C19">
            <v>3111100000</v>
          </cell>
          <cell r="D19" t="str">
            <v>WAGES,SALARIES,ALLOWANCES AND COMMI/PERM</v>
          </cell>
          <cell r="E19">
            <v>31952</v>
          </cell>
          <cell r="F19">
            <v>31976</v>
          </cell>
          <cell r="G19">
            <v>33320</v>
          </cell>
          <cell r="H19">
            <v>0</v>
          </cell>
          <cell r="I19">
            <v>0</v>
          </cell>
          <cell r="J19">
            <v>0</v>
          </cell>
          <cell r="K19">
            <v>0</v>
          </cell>
          <cell r="L19">
            <v>0</v>
          </cell>
          <cell r="M19">
            <v>0</v>
          </cell>
          <cell r="N19">
            <v>0</v>
          </cell>
          <cell r="O19">
            <v>0</v>
          </cell>
          <cell r="P19">
            <v>0</v>
          </cell>
          <cell r="Q19">
            <v>97248</v>
          </cell>
        </row>
        <row r="20">
          <cell r="A20" t="str">
            <v>US28P015503111100000</v>
          </cell>
          <cell r="B20" t="str">
            <v>US28P01550</v>
          </cell>
          <cell r="C20">
            <v>3111100000</v>
          </cell>
          <cell r="D20" t="str">
            <v>WAGES,SALARIES,ALLOWANCES AND COMMI/PERM</v>
          </cell>
          <cell r="E20">
            <v>2767</v>
          </cell>
          <cell r="F20">
            <v>-1086</v>
          </cell>
          <cell r="G20">
            <v>542</v>
          </cell>
          <cell r="H20">
            <v>0</v>
          </cell>
          <cell r="I20">
            <v>0</v>
          </cell>
          <cell r="J20">
            <v>0</v>
          </cell>
          <cell r="K20">
            <v>0</v>
          </cell>
          <cell r="L20">
            <v>0</v>
          </cell>
          <cell r="M20">
            <v>0</v>
          </cell>
          <cell r="N20">
            <v>0</v>
          </cell>
          <cell r="O20">
            <v>0</v>
          </cell>
          <cell r="P20">
            <v>0</v>
          </cell>
          <cell r="Q20">
            <v>2223</v>
          </cell>
        </row>
        <row r="21">
          <cell r="A21" t="str">
            <v>US28P015603111100000</v>
          </cell>
          <cell r="B21" t="str">
            <v>US28P01560</v>
          </cell>
          <cell r="C21">
            <v>3111100000</v>
          </cell>
          <cell r="D21" t="str">
            <v>WAGES,SALARIES,ALLOWANCES AND COMMI/PERM</v>
          </cell>
          <cell r="E21">
            <v>21824</v>
          </cell>
          <cell r="F21">
            <v>21243</v>
          </cell>
          <cell r="G21">
            <v>20049</v>
          </cell>
          <cell r="H21">
            <v>0</v>
          </cell>
          <cell r="I21">
            <v>0</v>
          </cell>
          <cell r="J21">
            <v>0</v>
          </cell>
          <cell r="K21">
            <v>0</v>
          </cell>
          <cell r="L21">
            <v>0</v>
          </cell>
          <cell r="M21">
            <v>0</v>
          </cell>
          <cell r="N21">
            <v>0</v>
          </cell>
          <cell r="O21">
            <v>0</v>
          </cell>
          <cell r="P21">
            <v>0</v>
          </cell>
          <cell r="Q21">
            <v>63116</v>
          </cell>
        </row>
        <row r="22">
          <cell r="A22" t="str">
            <v>US28P015853111100000</v>
          </cell>
          <cell r="B22" t="str">
            <v>US28P01585</v>
          </cell>
          <cell r="C22">
            <v>3111100000</v>
          </cell>
          <cell r="D22" t="str">
            <v>WAGES,SALARIES,ALLOWANCES AND COMMI/PERM</v>
          </cell>
          <cell r="E22">
            <v>5242</v>
          </cell>
          <cell r="F22">
            <v>9051</v>
          </cell>
          <cell r="G22">
            <v>8096</v>
          </cell>
          <cell r="H22">
            <v>0</v>
          </cell>
          <cell r="I22">
            <v>0</v>
          </cell>
          <cell r="J22">
            <v>0</v>
          </cell>
          <cell r="K22">
            <v>0</v>
          </cell>
          <cell r="L22">
            <v>0</v>
          </cell>
          <cell r="M22">
            <v>0</v>
          </cell>
          <cell r="N22">
            <v>0</v>
          </cell>
          <cell r="O22">
            <v>0</v>
          </cell>
          <cell r="P22">
            <v>0</v>
          </cell>
          <cell r="Q22">
            <v>22389</v>
          </cell>
        </row>
        <row r="23">
          <cell r="A23" t="str">
            <v>US28P015903111100000</v>
          </cell>
          <cell r="B23" t="str">
            <v>US28P01590</v>
          </cell>
          <cell r="C23">
            <v>3111100000</v>
          </cell>
          <cell r="D23" t="str">
            <v>WAGES,SALARIES,ALLOWANCES AND COMMI/PERM</v>
          </cell>
          <cell r="E23">
            <v>2605</v>
          </cell>
          <cell r="F23">
            <v>2602</v>
          </cell>
          <cell r="G23">
            <v>2605</v>
          </cell>
          <cell r="H23">
            <v>0</v>
          </cell>
          <cell r="I23">
            <v>0</v>
          </cell>
          <cell r="J23">
            <v>0</v>
          </cell>
          <cell r="K23">
            <v>0</v>
          </cell>
          <cell r="L23">
            <v>0</v>
          </cell>
          <cell r="M23">
            <v>0</v>
          </cell>
          <cell r="N23">
            <v>0</v>
          </cell>
          <cell r="O23">
            <v>0</v>
          </cell>
          <cell r="P23">
            <v>0</v>
          </cell>
          <cell r="Q23">
            <v>7812</v>
          </cell>
        </row>
        <row r="24">
          <cell r="A24" t="str">
            <v>US35MZA1503111100000</v>
          </cell>
          <cell r="B24" t="str">
            <v>US35MZA150</v>
          </cell>
          <cell r="C24">
            <v>3111100000</v>
          </cell>
          <cell r="D24" t="str">
            <v>WAGES,SALARIES,ALLOWANCES AND COMMI/PERM</v>
          </cell>
          <cell r="E24">
            <v>16089</v>
          </cell>
          <cell r="F24">
            <v>22750</v>
          </cell>
          <cell r="G24">
            <v>18078</v>
          </cell>
          <cell r="H24">
            <v>0</v>
          </cell>
          <cell r="I24">
            <v>0</v>
          </cell>
          <cell r="J24">
            <v>0</v>
          </cell>
          <cell r="K24">
            <v>0</v>
          </cell>
          <cell r="L24">
            <v>0</v>
          </cell>
          <cell r="M24">
            <v>0</v>
          </cell>
          <cell r="N24">
            <v>0</v>
          </cell>
          <cell r="O24">
            <v>0</v>
          </cell>
          <cell r="P24">
            <v>0</v>
          </cell>
          <cell r="Q24">
            <v>56917</v>
          </cell>
        </row>
        <row r="25">
          <cell r="A25" t="str">
            <v>US35MZA1553111100000</v>
          </cell>
          <cell r="B25" t="str">
            <v>US35MZA155</v>
          </cell>
          <cell r="C25">
            <v>3111100000</v>
          </cell>
          <cell r="D25" t="str">
            <v>WAGES,SALARIES,ALLOWANCES AND COMMI/PERM</v>
          </cell>
          <cell r="E25">
            <v>5168</v>
          </cell>
          <cell r="F25">
            <v>7669</v>
          </cell>
          <cell r="G25">
            <v>7032</v>
          </cell>
          <cell r="H25">
            <v>0</v>
          </cell>
          <cell r="I25">
            <v>0</v>
          </cell>
          <cell r="J25">
            <v>0</v>
          </cell>
          <cell r="K25">
            <v>0</v>
          </cell>
          <cell r="L25">
            <v>0</v>
          </cell>
          <cell r="M25">
            <v>0</v>
          </cell>
          <cell r="N25">
            <v>0</v>
          </cell>
          <cell r="O25">
            <v>0</v>
          </cell>
          <cell r="P25">
            <v>0</v>
          </cell>
          <cell r="Q25">
            <v>19869</v>
          </cell>
        </row>
        <row r="26">
          <cell r="A26" t="str">
            <v>US35P015013111100000</v>
          </cell>
          <cell r="B26" t="str">
            <v>US35P01501</v>
          </cell>
          <cell r="C26">
            <v>3111100000</v>
          </cell>
          <cell r="D26" t="str">
            <v>WAGES,SALARIES,ALLOWANCES AND COMMI/PERM</v>
          </cell>
          <cell r="E26">
            <v>38191</v>
          </cell>
          <cell r="F26">
            <v>35350</v>
          </cell>
          <cell r="G26">
            <v>37888</v>
          </cell>
          <cell r="H26">
            <v>0</v>
          </cell>
          <cell r="I26">
            <v>0</v>
          </cell>
          <cell r="J26">
            <v>0</v>
          </cell>
          <cell r="K26">
            <v>0</v>
          </cell>
          <cell r="L26">
            <v>0</v>
          </cell>
          <cell r="M26">
            <v>0</v>
          </cell>
          <cell r="N26">
            <v>0</v>
          </cell>
          <cell r="O26">
            <v>0</v>
          </cell>
          <cell r="P26">
            <v>0</v>
          </cell>
          <cell r="Q26">
            <v>111429</v>
          </cell>
        </row>
        <row r="27">
          <cell r="A27" t="str">
            <v>US35P015603111100000</v>
          </cell>
          <cell r="B27" t="str">
            <v>US35P01560</v>
          </cell>
          <cell r="C27">
            <v>3111100000</v>
          </cell>
          <cell r="D27" t="str">
            <v>WAGES,SALARIES,ALLOWANCES AND COMMI/PERM</v>
          </cell>
          <cell r="E27">
            <v>19428</v>
          </cell>
          <cell r="F27">
            <v>12557</v>
          </cell>
          <cell r="G27">
            <v>15537</v>
          </cell>
          <cell r="H27">
            <v>0</v>
          </cell>
          <cell r="I27">
            <v>0</v>
          </cell>
          <cell r="J27">
            <v>0</v>
          </cell>
          <cell r="K27">
            <v>0</v>
          </cell>
          <cell r="L27">
            <v>0</v>
          </cell>
          <cell r="M27">
            <v>0</v>
          </cell>
          <cell r="N27">
            <v>0</v>
          </cell>
          <cell r="O27">
            <v>0</v>
          </cell>
          <cell r="P27">
            <v>0</v>
          </cell>
          <cell r="Q27">
            <v>47522</v>
          </cell>
        </row>
        <row r="28">
          <cell r="A28" t="str">
            <v>US35P015853111100000</v>
          </cell>
          <cell r="B28" t="str">
            <v>US35P01585</v>
          </cell>
          <cell r="C28">
            <v>3111100000</v>
          </cell>
          <cell r="D28" t="str">
            <v>WAGES,SALARIES,ALLOWANCES AND COMMI/PERM</v>
          </cell>
          <cell r="E28">
            <v>4272</v>
          </cell>
          <cell r="F28">
            <v>5641</v>
          </cell>
          <cell r="G28">
            <v>4623</v>
          </cell>
          <cell r="H28">
            <v>0</v>
          </cell>
          <cell r="I28">
            <v>0</v>
          </cell>
          <cell r="J28">
            <v>0</v>
          </cell>
          <cell r="K28">
            <v>0</v>
          </cell>
          <cell r="L28">
            <v>0</v>
          </cell>
          <cell r="M28">
            <v>0</v>
          </cell>
          <cell r="N28">
            <v>0</v>
          </cell>
          <cell r="O28">
            <v>0</v>
          </cell>
          <cell r="P28">
            <v>0</v>
          </cell>
          <cell r="Q28">
            <v>14536</v>
          </cell>
        </row>
        <row r="29">
          <cell r="A29" t="str">
            <v>US35P015903111100000</v>
          </cell>
          <cell r="B29" t="str">
            <v>US35P01590</v>
          </cell>
          <cell r="C29">
            <v>3111100000</v>
          </cell>
          <cell r="D29" t="str">
            <v>WAGES,SALARIES,ALLOWANCES AND COMMI/PERM</v>
          </cell>
          <cell r="E29">
            <v>2035</v>
          </cell>
          <cell r="F29">
            <v>1092</v>
          </cell>
          <cell r="G29">
            <v>1561</v>
          </cell>
          <cell r="H29">
            <v>0</v>
          </cell>
          <cell r="I29">
            <v>0</v>
          </cell>
          <cell r="J29">
            <v>0</v>
          </cell>
          <cell r="K29">
            <v>0</v>
          </cell>
          <cell r="L29">
            <v>0</v>
          </cell>
          <cell r="M29">
            <v>0</v>
          </cell>
          <cell r="N29">
            <v>0</v>
          </cell>
          <cell r="O29">
            <v>0</v>
          </cell>
          <cell r="P29">
            <v>0</v>
          </cell>
          <cell r="Q29">
            <v>4688</v>
          </cell>
        </row>
        <row r="30">
          <cell r="A30" t="str">
            <v>US59MZA1503111100000</v>
          </cell>
          <cell r="B30" t="str">
            <v>US59MZA150</v>
          </cell>
          <cell r="C30">
            <v>3111100000</v>
          </cell>
          <cell r="D30" t="str">
            <v>WAGES,SALARIES,ALLOWANCES AND COMMI/PERM</v>
          </cell>
          <cell r="E30">
            <v>10259</v>
          </cell>
          <cell r="F30">
            <v>11396</v>
          </cell>
          <cell r="G30">
            <v>11572</v>
          </cell>
          <cell r="H30">
            <v>0</v>
          </cell>
          <cell r="I30">
            <v>0</v>
          </cell>
          <cell r="J30">
            <v>0</v>
          </cell>
          <cell r="K30">
            <v>0</v>
          </cell>
          <cell r="L30">
            <v>0</v>
          </cell>
          <cell r="M30">
            <v>0</v>
          </cell>
          <cell r="N30">
            <v>0</v>
          </cell>
          <cell r="O30">
            <v>0</v>
          </cell>
          <cell r="P30">
            <v>0</v>
          </cell>
          <cell r="Q30">
            <v>33227</v>
          </cell>
        </row>
        <row r="31">
          <cell r="A31" t="str">
            <v>US59MZA1553111100000</v>
          </cell>
          <cell r="B31" t="str">
            <v>US59MZA155</v>
          </cell>
          <cell r="C31">
            <v>3111100000</v>
          </cell>
          <cell r="D31" t="str">
            <v>WAGES,SALARIES,ALLOWANCES AND COMMI/PERM</v>
          </cell>
          <cell r="E31">
            <v>4384</v>
          </cell>
          <cell r="F31">
            <v>7743</v>
          </cell>
          <cell r="G31">
            <v>3097</v>
          </cell>
          <cell r="H31">
            <v>0</v>
          </cell>
          <cell r="I31">
            <v>0</v>
          </cell>
          <cell r="J31">
            <v>0</v>
          </cell>
          <cell r="K31">
            <v>0</v>
          </cell>
          <cell r="L31">
            <v>0</v>
          </cell>
          <cell r="M31">
            <v>0</v>
          </cell>
          <cell r="N31">
            <v>0</v>
          </cell>
          <cell r="O31">
            <v>0</v>
          </cell>
          <cell r="P31">
            <v>0</v>
          </cell>
          <cell r="Q31">
            <v>15224</v>
          </cell>
        </row>
        <row r="32">
          <cell r="A32" t="str">
            <v>US59P015013111100000</v>
          </cell>
          <cell r="B32" t="str">
            <v>US59P01501</v>
          </cell>
          <cell r="C32">
            <v>3111100000</v>
          </cell>
          <cell r="D32" t="str">
            <v>WAGES,SALARIES,ALLOWANCES AND COMMI/PERM</v>
          </cell>
          <cell r="E32">
            <v>24912</v>
          </cell>
          <cell r="F32">
            <v>25639</v>
          </cell>
          <cell r="G32">
            <v>19570</v>
          </cell>
          <cell r="H32">
            <v>0</v>
          </cell>
          <cell r="I32">
            <v>0</v>
          </cell>
          <cell r="J32">
            <v>0</v>
          </cell>
          <cell r="K32">
            <v>0</v>
          </cell>
          <cell r="L32">
            <v>0</v>
          </cell>
          <cell r="M32">
            <v>0</v>
          </cell>
          <cell r="N32">
            <v>0</v>
          </cell>
          <cell r="O32">
            <v>0</v>
          </cell>
          <cell r="P32">
            <v>0</v>
          </cell>
          <cell r="Q32">
            <v>70121</v>
          </cell>
        </row>
        <row r="33">
          <cell r="A33" t="str">
            <v>US59P015503111100000</v>
          </cell>
          <cell r="B33" t="str">
            <v>US59P01550</v>
          </cell>
          <cell r="C33">
            <v>3111100000</v>
          </cell>
          <cell r="D33" t="str">
            <v>WAGES,SALARIES,ALLOWANCES AND COMMI/PERM</v>
          </cell>
          <cell r="E33">
            <v>1387</v>
          </cell>
          <cell r="F33">
            <v>-454</v>
          </cell>
          <cell r="G33">
            <v>1589</v>
          </cell>
          <cell r="H33">
            <v>0</v>
          </cell>
          <cell r="I33">
            <v>0</v>
          </cell>
          <cell r="J33">
            <v>0</v>
          </cell>
          <cell r="K33">
            <v>0</v>
          </cell>
          <cell r="L33">
            <v>0</v>
          </cell>
          <cell r="M33">
            <v>0</v>
          </cell>
          <cell r="N33">
            <v>0</v>
          </cell>
          <cell r="O33">
            <v>0</v>
          </cell>
          <cell r="P33">
            <v>0</v>
          </cell>
          <cell r="Q33">
            <v>2522</v>
          </cell>
        </row>
        <row r="34">
          <cell r="A34" t="str">
            <v>US59P015603111100000</v>
          </cell>
          <cell r="B34" t="str">
            <v>US59P01560</v>
          </cell>
          <cell r="C34">
            <v>3111100000</v>
          </cell>
          <cell r="D34" t="str">
            <v>WAGES,SALARIES,ALLOWANCES AND COMMI/PERM</v>
          </cell>
          <cell r="E34">
            <v>21681</v>
          </cell>
          <cell r="F34">
            <v>17036</v>
          </cell>
          <cell r="G34">
            <v>13442</v>
          </cell>
          <cell r="H34">
            <v>0</v>
          </cell>
          <cell r="I34">
            <v>0</v>
          </cell>
          <cell r="J34">
            <v>0</v>
          </cell>
          <cell r="K34">
            <v>0</v>
          </cell>
          <cell r="L34">
            <v>0</v>
          </cell>
          <cell r="M34">
            <v>0</v>
          </cell>
          <cell r="N34">
            <v>0</v>
          </cell>
          <cell r="O34">
            <v>0</v>
          </cell>
          <cell r="P34">
            <v>0</v>
          </cell>
          <cell r="Q34">
            <v>52159</v>
          </cell>
        </row>
        <row r="35">
          <cell r="A35" t="str">
            <v>US59P015753111100000</v>
          </cell>
          <cell r="B35" t="str">
            <v>US59P01575</v>
          </cell>
          <cell r="C35">
            <v>3111100000</v>
          </cell>
          <cell r="D35" t="str">
            <v>WAGES,SALARIES,ALLOWANCES AND COMMI/PERM</v>
          </cell>
          <cell r="E35">
            <v>-735</v>
          </cell>
          <cell r="F35">
            <v>-829</v>
          </cell>
          <cell r="G35">
            <v>2555</v>
          </cell>
          <cell r="H35">
            <v>0</v>
          </cell>
          <cell r="I35">
            <v>0</v>
          </cell>
          <cell r="J35">
            <v>0</v>
          </cell>
          <cell r="K35">
            <v>0</v>
          </cell>
          <cell r="L35">
            <v>0</v>
          </cell>
          <cell r="M35">
            <v>0</v>
          </cell>
          <cell r="N35">
            <v>0</v>
          </cell>
          <cell r="O35">
            <v>0</v>
          </cell>
          <cell r="P35">
            <v>0</v>
          </cell>
          <cell r="Q35">
            <v>991</v>
          </cell>
        </row>
        <row r="36">
          <cell r="A36" t="str">
            <v>US59P015903111100000</v>
          </cell>
          <cell r="B36" t="str">
            <v>US59P01590</v>
          </cell>
          <cell r="C36">
            <v>3111100000</v>
          </cell>
          <cell r="D36" t="str">
            <v>WAGES,SALARIES,ALLOWANCES AND COMMI/PERM</v>
          </cell>
          <cell r="E36">
            <v>5554</v>
          </cell>
          <cell r="F36">
            <v>5557</v>
          </cell>
          <cell r="G36">
            <v>5557</v>
          </cell>
          <cell r="H36">
            <v>0</v>
          </cell>
          <cell r="I36">
            <v>0</v>
          </cell>
          <cell r="J36">
            <v>0</v>
          </cell>
          <cell r="K36">
            <v>0</v>
          </cell>
          <cell r="L36">
            <v>0</v>
          </cell>
          <cell r="M36">
            <v>0</v>
          </cell>
          <cell r="N36">
            <v>0</v>
          </cell>
          <cell r="O36">
            <v>0</v>
          </cell>
          <cell r="P36">
            <v>0</v>
          </cell>
          <cell r="Q36">
            <v>16668</v>
          </cell>
        </row>
        <row r="37">
          <cell r="A37" t="str">
            <v>US59P3C5013111100000</v>
          </cell>
          <cell r="B37" t="str">
            <v>US59P3C501</v>
          </cell>
          <cell r="C37">
            <v>3111100000</v>
          </cell>
          <cell r="D37" t="str">
            <v>WAGES,SALARIES,ALLOWANCES AND COMMI/PERM</v>
          </cell>
          <cell r="E37">
            <v>7686</v>
          </cell>
          <cell r="F37">
            <v>9520</v>
          </cell>
          <cell r="G37">
            <v>9520</v>
          </cell>
          <cell r="H37">
            <v>0</v>
          </cell>
          <cell r="I37">
            <v>0</v>
          </cell>
          <cell r="J37">
            <v>0</v>
          </cell>
          <cell r="K37">
            <v>0</v>
          </cell>
          <cell r="L37">
            <v>0</v>
          </cell>
          <cell r="M37">
            <v>0</v>
          </cell>
          <cell r="N37">
            <v>0</v>
          </cell>
          <cell r="O37">
            <v>0</v>
          </cell>
          <cell r="P37">
            <v>0</v>
          </cell>
          <cell r="Q37">
            <v>26726</v>
          </cell>
        </row>
        <row r="38">
          <cell r="A38" t="str">
            <v>US59P3C5503111100000</v>
          </cell>
          <cell r="B38" t="str">
            <v>US59P3C550</v>
          </cell>
          <cell r="C38">
            <v>3111100000</v>
          </cell>
          <cell r="D38" t="str">
            <v>WAGES,SALARIES,ALLOWANCES AND COMMI/PERM</v>
          </cell>
          <cell r="E38">
            <v>1966</v>
          </cell>
          <cell r="F38">
            <v>0</v>
          </cell>
          <cell r="G38">
            <v>0</v>
          </cell>
          <cell r="H38">
            <v>0</v>
          </cell>
          <cell r="I38">
            <v>0</v>
          </cell>
          <cell r="J38">
            <v>0</v>
          </cell>
          <cell r="K38">
            <v>0</v>
          </cell>
          <cell r="L38">
            <v>0</v>
          </cell>
          <cell r="M38">
            <v>0</v>
          </cell>
          <cell r="N38">
            <v>0</v>
          </cell>
          <cell r="O38">
            <v>0</v>
          </cell>
          <cell r="P38">
            <v>0</v>
          </cell>
          <cell r="Q38">
            <v>1966</v>
          </cell>
        </row>
        <row r="39">
          <cell r="A39" t="str">
            <v>US59P3C5603111100000</v>
          </cell>
          <cell r="B39" t="str">
            <v>US59P3C560</v>
          </cell>
          <cell r="C39">
            <v>3111100000</v>
          </cell>
          <cell r="D39" t="str">
            <v>WAGES,SALARIES,ALLOWANCES AND COMMI/PERM</v>
          </cell>
          <cell r="E39">
            <v>13061</v>
          </cell>
          <cell r="F39">
            <v>14986</v>
          </cell>
          <cell r="G39">
            <v>5872</v>
          </cell>
          <cell r="H39">
            <v>0</v>
          </cell>
          <cell r="I39">
            <v>0</v>
          </cell>
          <cell r="J39">
            <v>0</v>
          </cell>
          <cell r="K39">
            <v>0</v>
          </cell>
          <cell r="L39">
            <v>0</v>
          </cell>
          <cell r="M39">
            <v>0</v>
          </cell>
          <cell r="N39">
            <v>0</v>
          </cell>
          <cell r="O39">
            <v>0</v>
          </cell>
          <cell r="P39">
            <v>0</v>
          </cell>
          <cell r="Q39">
            <v>33919</v>
          </cell>
        </row>
        <row r="40">
          <cell r="A40" t="str">
            <v>US59PZA5013111100000</v>
          </cell>
          <cell r="B40" t="str">
            <v>US59PZA501</v>
          </cell>
          <cell r="C40">
            <v>3111100000</v>
          </cell>
          <cell r="D40" t="str">
            <v>WAGES,SALARIES,ALLOWANCES AND COMMI/PERM</v>
          </cell>
          <cell r="E40">
            <v>12761</v>
          </cell>
          <cell r="F40">
            <v>12761</v>
          </cell>
          <cell r="G40">
            <v>12761</v>
          </cell>
          <cell r="H40">
            <v>0</v>
          </cell>
          <cell r="I40">
            <v>0</v>
          </cell>
          <cell r="J40">
            <v>0</v>
          </cell>
          <cell r="K40">
            <v>0</v>
          </cell>
          <cell r="L40">
            <v>0</v>
          </cell>
          <cell r="M40">
            <v>0</v>
          </cell>
          <cell r="N40">
            <v>0</v>
          </cell>
          <cell r="O40">
            <v>0</v>
          </cell>
          <cell r="P40">
            <v>0</v>
          </cell>
          <cell r="Q40">
            <v>38283</v>
          </cell>
        </row>
        <row r="41">
          <cell r="A41" t="str">
            <v>US59PZA5503111100000</v>
          </cell>
          <cell r="B41" t="str">
            <v>US59PZA550</v>
          </cell>
          <cell r="C41">
            <v>3111100000</v>
          </cell>
          <cell r="D41" t="str">
            <v>WAGES,SALARIES,ALLOWANCES AND COMMI/PERM</v>
          </cell>
          <cell r="E41">
            <v>391</v>
          </cell>
          <cell r="F41">
            <v>-836</v>
          </cell>
          <cell r="G41">
            <v>1985</v>
          </cell>
          <cell r="H41">
            <v>0</v>
          </cell>
          <cell r="I41">
            <v>0</v>
          </cell>
          <cell r="J41">
            <v>0</v>
          </cell>
          <cell r="K41">
            <v>0</v>
          </cell>
          <cell r="L41">
            <v>0</v>
          </cell>
          <cell r="M41">
            <v>0</v>
          </cell>
          <cell r="N41">
            <v>0</v>
          </cell>
          <cell r="O41">
            <v>0</v>
          </cell>
          <cell r="P41">
            <v>0</v>
          </cell>
          <cell r="Q41">
            <v>1540</v>
          </cell>
        </row>
        <row r="42">
          <cell r="A42" t="str">
            <v>US59PZA5603111100000</v>
          </cell>
          <cell r="B42" t="str">
            <v>US59PZA560</v>
          </cell>
          <cell r="C42">
            <v>3111100000</v>
          </cell>
          <cell r="D42" t="str">
            <v>WAGES,SALARIES,ALLOWANCES AND COMMI/PERM</v>
          </cell>
          <cell r="E42">
            <v>-849</v>
          </cell>
          <cell r="F42">
            <v>-1977</v>
          </cell>
          <cell r="G42">
            <v>6844</v>
          </cell>
          <cell r="H42">
            <v>0</v>
          </cell>
          <cell r="I42">
            <v>0</v>
          </cell>
          <cell r="J42">
            <v>0</v>
          </cell>
          <cell r="K42">
            <v>0</v>
          </cell>
          <cell r="L42">
            <v>0</v>
          </cell>
          <cell r="M42">
            <v>0</v>
          </cell>
          <cell r="N42">
            <v>0</v>
          </cell>
          <cell r="O42">
            <v>0</v>
          </cell>
          <cell r="P42">
            <v>0</v>
          </cell>
          <cell r="Q42">
            <v>4018</v>
          </cell>
        </row>
        <row r="43">
          <cell r="A43" t="str">
            <v>USCRMZA1503111100000</v>
          </cell>
          <cell r="B43" t="str">
            <v>USCRMZA150</v>
          </cell>
          <cell r="C43">
            <v>3111100000</v>
          </cell>
          <cell r="D43" t="str">
            <v>WAGES,SALARIES,ALLOWANCES AND COMMI/PERM</v>
          </cell>
          <cell r="E43">
            <v>35202</v>
          </cell>
          <cell r="F43">
            <v>36213</v>
          </cell>
          <cell r="G43">
            <v>39915</v>
          </cell>
          <cell r="H43">
            <v>0</v>
          </cell>
          <cell r="I43">
            <v>0</v>
          </cell>
          <cell r="J43">
            <v>0</v>
          </cell>
          <cell r="K43">
            <v>0</v>
          </cell>
          <cell r="L43">
            <v>0</v>
          </cell>
          <cell r="M43">
            <v>0</v>
          </cell>
          <cell r="N43">
            <v>0</v>
          </cell>
          <cell r="O43">
            <v>0</v>
          </cell>
          <cell r="P43">
            <v>0</v>
          </cell>
          <cell r="Q43">
            <v>111330</v>
          </cell>
        </row>
        <row r="44">
          <cell r="A44" t="str">
            <v>USCRP015013111100000</v>
          </cell>
          <cell r="B44" t="str">
            <v>USCRP01501</v>
          </cell>
          <cell r="C44">
            <v>3111100000</v>
          </cell>
          <cell r="D44" t="str">
            <v>WAGES,SALARIES,ALLOWANCES AND COMMI/PERM</v>
          </cell>
          <cell r="E44">
            <v>23659</v>
          </cell>
          <cell r="F44">
            <v>23586</v>
          </cell>
          <cell r="G44">
            <v>32337</v>
          </cell>
          <cell r="H44">
            <v>0</v>
          </cell>
          <cell r="I44">
            <v>0</v>
          </cell>
          <cell r="J44">
            <v>0</v>
          </cell>
          <cell r="K44">
            <v>0</v>
          </cell>
          <cell r="L44">
            <v>0</v>
          </cell>
          <cell r="M44">
            <v>0</v>
          </cell>
          <cell r="N44">
            <v>0</v>
          </cell>
          <cell r="O44">
            <v>0</v>
          </cell>
          <cell r="P44">
            <v>0</v>
          </cell>
          <cell r="Q44">
            <v>79582</v>
          </cell>
        </row>
        <row r="45">
          <cell r="A45" t="str">
            <v>USCRP015503111100000</v>
          </cell>
          <cell r="B45" t="str">
            <v>USCRP01550</v>
          </cell>
          <cell r="C45">
            <v>3111100000</v>
          </cell>
          <cell r="D45" t="str">
            <v>WAGES,SALARIES,ALLOWANCES AND COMMI/PERM</v>
          </cell>
          <cell r="E45">
            <v>-373</v>
          </cell>
          <cell r="F45">
            <v>-373</v>
          </cell>
          <cell r="G45">
            <v>187</v>
          </cell>
          <cell r="H45">
            <v>0</v>
          </cell>
          <cell r="I45">
            <v>0</v>
          </cell>
          <cell r="J45">
            <v>0</v>
          </cell>
          <cell r="K45">
            <v>0</v>
          </cell>
          <cell r="L45">
            <v>0</v>
          </cell>
          <cell r="M45">
            <v>0</v>
          </cell>
          <cell r="N45">
            <v>0</v>
          </cell>
          <cell r="O45">
            <v>0</v>
          </cell>
          <cell r="P45">
            <v>0</v>
          </cell>
          <cell r="Q45">
            <v>-559</v>
          </cell>
        </row>
        <row r="46">
          <cell r="A46" t="str">
            <v>USCRP015603111100000</v>
          </cell>
          <cell r="B46" t="str">
            <v>USCRP01560</v>
          </cell>
          <cell r="C46">
            <v>3111100000</v>
          </cell>
          <cell r="D46" t="str">
            <v>WAGES,SALARIES,ALLOWANCES AND COMMI/PERM</v>
          </cell>
          <cell r="E46">
            <v>21585</v>
          </cell>
          <cell r="F46">
            <v>2018</v>
          </cell>
          <cell r="G46">
            <v>5545</v>
          </cell>
          <cell r="H46">
            <v>0</v>
          </cell>
          <cell r="I46">
            <v>0</v>
          </cell>
          <cell r="J46">
            <v>0</v>
          </cell>
          <cell r="K46">
            <v>0</v>
          </cell>
          <cell r="L46">
            <v>0</v>
          </cell>
          <cell r="M46">
            <v>0</v>
          </cell>
          <cell r="N46">
            <v>0</v>
          </cell>
          <cell r="O46">
            <v>0</v>
          </cell>
          <cell r="P46">
            <v>0</v>
          </cell>
          <cell r="Q46">
            <v>29148</v>
          </cell>
        </row>
        <row r="47">
          <cell r="A47" t="str">
            <v>USCRP015643111100000</v>
          </cell>
          <cell r="B47" t="str">
            <v>USCRP01564</v>
          </cell>
          <cell r="C47">
            <v>3111100000</v>
          </cell>
          <cell r="D47" t="str">
            <v>WAGES,SALARIES,ALLOWANCES AND COMMI/PERM</v>
          </cell>
          <cell r="E47">
            <v>0</v>
          </cell>
          <cell r="F47">
            <v>1323</v>
          </cell>
          <cell r="G47">
            <v>0</v>
          </cell>
          <cell r="H47">
            <v>0</v>
          </cell>
          <cell r="I47">
            <v>0</v>
          </cell>
          <cell r="J47">
            <v>0</v>
          </cell>
          <cell r="K47">
            <v>0</v>
          </cell>
          <cell r="L47">
            <v>0</v>
          </cell>
          <cell r="M47">
            <v>0</v>
          </cell>
          <cell r="N47">
            <v>0</v>
          </cell>
          <cell r="O47">
            <v>0</v>
          </cell>
          <cell r="P47">
            <v>0</v>
          </cell>
          <cell r="Q47">
            <v>1323</v>
          </cell>
        </row>
        <row r="48">
          <cell r="A48" t="str">
            <v>USCRP015753111100000</v>
          </cell>
          <cell r="B48" t="str">
            <v>USCRP01575</v>
          </cell>
          <cell r="C48">
            <v>3111100000</v>
          </cell>
          <cell r="D48" t="str">
            <v>WAGES,SALARIES,ALLOWANCES AND COMMI/PERM</v>
          </cell>
          <cell r="E48">
            <v>6735</v>
          </cell>
          <cell r="F48">
            <v>16843</v>
          </cell>
          <cell r="G48">
            <v>4454</v>
          </cell>
          <cell r="H48">
            <v>0</v>
          </cell>
          <cell r="I48">
            <v>0</v>
          </cell>
          <cell r="J48">
            <v>0</v>
          </cell>
          <cell r="K48">
            <v>0</v>
          </cell>
          <cell r="L48">
            <v>0</v>
          </cell>
          <cell r="M48">
            <v>0</v>
          </cell>
          <cell r="N48">
            <v>0</v>
          </cell>
          <cell r="O48">
            <v>0</v>
          </cell>
          <cell r="P48">
            <v>0</v>
          </cell>
          <cell r="Q48">
            <v>28032</v>
          </cell>
        </row>
        <row r="49">
          <cell r="A49" t="str">
            <v>USCRP015853111100000</v>
          </cell>
          <cell r="B49" t="str">
            <v>USCRP01585</v>
          </cell>
          <cell r="C49">
            <v>3111100000</v>
          </cell>
          <cell r="D49" t="str">
            <v>WAGES,SALARIES,ALLOWANCES AND COMMI/PERM</v>
          </cell>
          <cell r="E49">
            <v>8002</v>
          </cell>
          <cell r="F49">
            <v>12620</v>
          </cell>
          <cell r="G49">
            <v>9765</v>
          </cell>
          <cell r="H49">
            <v>0</v>
          </cell>
          <cell r="I49">
            <v>0</v>
          </cell>
          <cell r="J49">
            <v>0</v>
          </cell>
          <cell r="K49">
            <v>0</v>
          </cell>
          <cell r="L49">
            <v>0</v>
          </cell>
          <cell r="M49">
            <v>0</v>
          </cell>
          <cell r="N49">
            <v>0</v>
          </cell>
          <cell r="O49">
            <v>0</v>
          </cell>
          <cell r="P49">
            <v>0</v>
          </cell>
          <cell r="Q49">
            <v>30387</v>
          </cell>
        </row>
        <row r="50">
          <cell r="A50" t="str">
            <v>USWOMZA1503111100000</v>
          </cell>
          <cell r="B50" t="str">
            <v>USWOMZA150</v>
          </cell>
          <cell r="C50">
            <v>3111100000</v>
          </cell>
          <cell r="D50" t="str">
            <v>WAGES,SALARIES,ALLOWANCES AND COMMI/PERM</v>
          </cell>
          <cell r="E50">
            <v>49299</v>
          </cell>
          <cell r="F50">
            <v>26995</v>
          </cell>
          <cell r="G50">
            <v>21275</v>
          </cell>
          <cell r="H50">
            <v>0</v>
          </cell>
          <cell r="I50">
            <v>0</v>
          </cell>
          <cell r="J50">
            <v>0</v>
          </cell>
          <cell r="K50">
            <v>0</v>
          </cell>
          <cell r="L50">
            <v>0</v>
          </cell>
          <cell r="M50">
            <v>0</v>
          </cell>
          <cell r="N50">
            <v>0</v>
          </cell>
          <cell r="O50">
            <v>0</v>
          </cell>
          <cell r="P50">
            <v>0</v>
          </cell>
          <cell r="Q50">
            <v>97569</v>
          </cell>
        </row>
        <row r="51">
          <cell r="A51" t="str">
            <v>USWOMZA1553111100000</v>
          </cell>
          <cell r="B51" t="str">
            <v>USWOMZA155</v>
          </cell>
          <cell r="C51">
            <v>3111100000</v>
          </cell>
          <cell r="D51" t="str">
            <v>WAGES,SALARIES,ALLOWANCES AND COMMI/PERM</v>
          </cell>
          <cell r="E51">
            <v>0</v>
          </cell>
          <cell r="F51">
            <v>7232</v>
          </cell>
          <cell r="G51">
            <v>6408</v>
          </cell>
          <cell r="H51">
            <v>0</v>
          </cell>
          <cell r="I51">
            <v>0</v>
          </cell>
          <cell r="J51">
            <v>0</v>
          </cell>
          <cell r="K51">
            <v>0</v>
          </cell>
          <cell r="L51">
            <v>0</v>
          </cell>
          <cell r="M51">
            <v>0</v>
          </cell>
          <cell r="N51">
            <v>0</v>
          </cell>
          <cell r="O51">
            <v>0</v>
          </cell>
          <cell r="P51">
            <v>0</v>
          </cell>
          <cell r="Q51">
            <v>13640</v>
          </cell>
        </row>
        <row r="52">
          <cell r="A52" t="str">
            <v>USWOP015013111100000</v>
          </cell>
          <cell r="B52" t="str">
            <v>USWOP01501</v>
          </cell>
          <cell r="C52">
            <v>3111100000</v>
          </cell>
          <cell r="D52" t="str">
            <v>WAGES,SALARIES,ALLOWANCES AND COMMI/PERM</v>
          </cell>
          <cell r="E52">
            <v>33610</v>
          </cell>
          <cell r="F52">
            <v>37132</v>
          </cell>
          <cell r="G52">
            <v>51477</v>
          </cell>
          <cell r="H52">
            <v>0</v>
          </cell>
          <cell r="I52">
            <v>0</v>
          </cell>
          <cell r="J52">
            <v>0</v>
          </cell>
          <cell r="K52">
            <v>0</v>
          </cell>
          <cell r="L52">
            <v>0</v>
          </cell>
          <cell r="M52">
            <v>0</v>
          </cell>
          <cell r="N52">
            <v>0</v>
          </cell>
          <cell r="O52">
            <v>0</v>
          </cell>
          <cell r="P52">
            <v>0</v>
          </cell>
          <cell r="Q52">
            <v>122219</v>
          </cell>
        </row>
        <row r="53">
          <cell r="A53" t="str">
            <v>USWOP015533111100000</v>
          </cell>
          <cell r="B53" t="str">
            <v>USWOP01553</v>
          </cell>
          <cell r="C53">
            <v>3111100000</v>
          </cell>
          <cell r="D53" t="str">
            <v>WAGES,SALARIES,ALLOWANCES AND COMMI/PERM</v>
          </cell>
          <cell r="E53">
            <v>0</v>
          </cell>
          <cell r="F53">
            <v>2510</v>
          </cell>
          <cell r="G53">
            <v>0</v>
          </cell>
          <cell r="H53">
            <v>0</v>
          </cell>
          <cell r="I53">
            <v>0</v>
          </cell>
          <cell r="J53">
            <v>0</v>
          </cell>
          <cell r="K53">
            <v>0</v>
          </cell>
          <cell r="L53">
            <v>0</v>
          </cell>
          <cell r="M53">
            <v>0</v>
          </cell>
          <cell r="N53">
            <v>0</v>
          </cell>
          <cell r="O53">
            <v>0</v>
          </cell>
          <cell r="P53">
            <v>0</v>
          </cell>
          <cell r="Q53">
            <v>2510</v>
          </cell>
        </row>
        <row r="54">
          <cell r="A54" t="str">
            <v>USWOP015603111100000</v>
          </cell>
          <cell r="B54" t="str">
            <v>USWOP01560</v>
          </cell>
          <cell r="C54">
            <v>3111100000</v>
          </cell>
          <cell r="D54" t="str">
            <v>WAGES,SALARIES,ALLOWANCES AND COMMI/PERM</v>
          </cell>
          <cell r="E54">
            <v>15641</v>
          </cell>
          <cell r="F54">
            <v>28926</v>
          </cell>
          <cell r="G54">
            <v>20496</v>
          </cell>
          <cell r="H54">
            <v>0</v>
          </cell>
          <cell r="I54">
            <v>0</v>
          </cell>
          <cell r="J54">
            <v>0</v>
          </cell>
          <cell r="K54">
            <v>0</v>
          </cell>
          <cell r="L54">
            <v>0</v>
          </cell>
          <cell r="M54">
            <v>0</v>
          </cell>
          <cell r="N54">
            <v>0</v>
          </cell>
          <cell r="O54">
            <v>0</v>
          </cell>
          <cell r="P54">
            <v>0</v>
          </cell>
          <cell r="Q54">
            <v>65063</v>
          </cell>
        </row>
        <row r="55">
          <cell r="A55" t="str">
            <v>USWOP015753111100000</v>
          </cell>
          <cell r="B55" t="str">
            <v>USWOP01575</v>
          </cell>
          <cell r="C55">
            <v>3111100000</v>
          </cell>
          <cell r="D55" t="str">
            <v>WAGES,SALARIES,ALLOWANCES AND COMMI/PERM</v>
          </cell>
          <cell r="E55">
            <v>0</v>
          </cell>
          <cell r="F55">
            <v>0</v>
          </cell>
          <cell r="G55">
            <v>1667</v>
          </cell>
          <cell r="H55">
            <v>0</v>
          </cell>
          <cell r="I55">
            <v>0</v>
          </cell>
          <cell r="J55">
            <v>0</v>
          </cell>
          <cell r="K55">
            <v>0</v>
          </cell>
          <cell r="L55">
            <v>0</v>
          </cell>
          <cell r="M55">
            <v>0</v>
          </cell>
          <cell r="N55">
            <v>0</v>
          </cell>
          <cell r="O55">
            <v>0</v>
          </cell>
          <cell r="P55">
            <v>0</v>
          </cell>
          <cell r="Q55">
            <v>1667</v>
          </cell>
        </row>
        <row r="56">
          <cell r="A56" t="str">
            <v>USWOP015853111100000</v>
          </cell>
          <cell r="B56" t="str">
            <v>USWOP01585</v>
          </cell>
          <cell r="C56">
            <v>3111100000</v>
          </cell>
          <cell r="D56" t="str">
            <v>WAGES,SALARIES,ALLOWANCES AND COMMI/PERM</v>
          </cell>
          <cell r="E56">
            <v>10412</v>
          </cell>
          <cell r="F56">
            <v>10445</v>
          </cell>
          <cell r="G56">
            <v>9751</v>
          </cell>
          <cell r="H56">
            <v>0</v>
          </cell>
          <cell r="I56">
            <v>0</v>
          </cell>
          <cell r="J56">
            <v>0</v>
          </cell>
          <cell r="K56">
            <v>0</v>
          </cell>
          <cell r="L56">
            <v>0</v>
          </cell>
          <cell r="M56">
            <v>0</v>
          </cell>
          <cell r="N56">
            <v>0</v>
          </cell>
          <cell r="O56">
            <v>0</v>
          </cell>
          <cell r="P56">
            <v>0</v>
          </cell>
          <cell r="Q56">
            <v>30608</v>
          </cell>
        </row>
        <row r="57">
          <cell r="A57" t="str">
            <v>USWOP015903111100000</v>
          </cell>
          <cell r="B57" t="str">
            <v>USWOP01590</v>
          </cell>
          <cell r="C57">
            <v>3111100000</v>
          </cell>
          <cell r="D57" t="str">
            <v>WAGES,SALARIES,ALLOWANCES AND COMMI/PERM</v>
          </cell>
          <cell r="E57">
            <v>0</v>
          </cell>
          <cell r="F57">
            <v>0</v>
          </cell>
          <cell r="G57">
            <v>1120</v>
          </cell>
          <cell r="H57">
            <v>0</v>
          </cell>
          <cell r="I57">
            <v>0</v>
          </cell>
          <cell r="J57">
            <v>0</v>
          </cell>
          <cell r="K57">
            <v>0</v>
          </cell>
          <cell r="L57">
            <v>0</v>
          </cell>
          <cell r="M57">
            <v>0</v>
          </cell>
          <cell r="N57">
            <v>0</v>
          </cell>
          <cell r="O57">
            <v>0</v>
          </cell>
          <cell r="P57">
            <v>0</v>
          </cell>
          <cell r="Q57">
            <v>1120</v>
          </cell>
        </row>
        <row r="58">
          <cell r="A58" t="str">
            <v>USWOP015923111100000</v>
          </cell>
          <cell r="B58" t="str">
            <v>USWOP01592</v>
          </cell>
          <cell r="C58">
            <v>3111100000</v>
          </cell>
          <cell r="D58" t="str">
            <v>WAGES,SALARIES,ALLOWANCES AND COMMI/PERM</v>
          </cell>
          <cell r="E58">
            <v>3663</v>
          </cell>
          <cell r="F58">
            <v>3663</v>
          </cell>
          <cell r="G58">
            <v>3663</v>
          </cell>
          <cell r="H58">
            <v>0</v>
          </cell>
          <cell r="I58">
            <v>0</v>
          </cell>
          <cell r="J58">
            <v>0</v>
          </cell>
          <cell r="K58">
            <v>0</v>
          </cell>
          <cell r="L58">
            <v>0</v>
          </cell>
          <cell r="M58">
            <v>0</v>
          </cell>
          <cell r="N58">
            <v>0</v>
          </cell>
          <cell r="O58">
            <v>0</v>
          </cell>
          <cell r="P58">
            <v>0</v>
          </cell>
          <cell r="Q58">
            <v>10989</v>
          </cell>
        </row>
        <row r="59">
          <cell r="A59" t="str">
            <v>US22MZA1503111100012</v>
          </cell>
          <cell r="B59" t="str">
            <v>US22MZA150</v>
          </cell>
          <cell r="C59">
            <v>3111100012</v>
          </cell>
          <cell r="D59" t="str">
            <v>OVERTIME HOURS /PERMANENTS</v>
          </cell>
          <cell r="E59">
            <v>1094</v>
          </cell>
          <cell r="F59">
            <v>1561</v>
          </cell>
          <cell r="G59">
            <v>4219</v>
          </cell>
          <cell r="H59">
            <v>0</v>
          </cell>
          <cell r="I59">
            <v>0</v>
          </cell>
          <cell r="J59">
            <v>0</v>
          </cell>
          <cell r="K59">
            <v>0</v>
          </cell>
          <cell r="L59">
            <v>0</v>
          </cell>
          <cell r="M59">
            <v>0</v>
          </cell>
          <cell r="N59">
            <v>0</v>
          </cell>
          <cell r="O59">
            <v>0</v>
          </cell>
          <cell r="P59">
            <v>0</v>
          </cell>
          <cell r="Q59">
            <v>6874</v>
          </cell>
        </row>
        <row r="60">
          <cell r="A60" t="str">
            <v>US22MZA1553111100012</v>
          </cell>
          <cell r="B60" t="str">
            <v>US22MZA155</v>
          </cell>
          <cell r="C60">
            <v>3111100012</v>
          </cell>
          <cell r="D60" t="str">
            <v>OVERTIME HOURS /PERMANENTS</v>
          </cell>
          <cell r="E60">
            <v>0</v>
          </cell>
          <cell r="F60">
            <v>0</v>
          </cell>
          <cell r="G60">
            <v>527</v>
          </cell>
          <cell r="H60">
            <v>0</v>
          </cell>
          <cell r="I60">
            <v>0</v>
          </cell>
          <cell r="J60">
            <v>0</v>
          </cell>
          <cell r="K60">
            <v>0</v>
          </cell>
          <cell r="L60">
            <v>0</v>
          </cell>
          <cell r="M60">
            <v>0</v>
          </cell>
          <cell r="N60">
            <v>0</v>
          </cell>
          <cell r="O60">
            <v>0</v>
          </cell>
          <cell r="P60">
            <v>0</v>
          </cell>
          <cell r="Q60">
            <v>527</v>
          </cell>
        </row>
        <row r="61">
          <cell r="A61" t="str">
            <v>US22P015013111100012</v>
          </cell>
          <cell r="B61" t="str">
            <v>US22P01501</v>
          </cell>
          <cell r="C61">
            <v>3111100012</v>
          </cell>
          <cell r="D61" t="str">
            <v>OVERTIME HOURS /PERMANENTS</v>
          </cell>
          <cell r="E61">
            <v>289</v>
          </cell>
          <cell r="F61">
            <v>60</v>
          </cell>
          <cell r="G61">
            <v>24</v>
          </cell>
          <cell r="H61">
            <v>0</v>
          </cell>
          <cell r="I61">
            <v>0</v>
          </cell>
          <cell r="J61">
            <v>0</v>
          </cell>
          <cell r="K61">
            <v>0</v>
          </cell>
          <cell r="L61">
            <v>0</v>
          </cell>
          <cell r="M61">
            <v>0</v>
          </cell>
          <cell r="N61">
            <v>0</v>
          </cell>
          <cell r="O61">
            <v>0</v>
          </cell>
          <cell r="P61">
            <v>0</v>
          </cell>
          <cell r="Q61">
            <v>373</v>
          </cell>
        </row>
        <row r="62">
          <cell r="A62" t="str">
            <v>US22P015603111100012</v>
          </cell>
          <cell r="B62" t="str">
            <v>US22P01560</v>
          </cell>
          <cell r="C62">
            <v>3111100012</v>
          </cell>
          <cell r="D62" t="str">
            <v>OVERTIME HOURS /PERMANENTS</v>
          </cell>
          <cell r="E62">
            <v>1700</v>
          </cell>
          <cell r="F62">
            <v>997</v>
          </cell>
          <cell r="G62">
            <v>265</v>
          </cell>
          <cell r="H62">
            <v>0</v>
          </cell>
          <cell r="I62">
            <v>0</v>
          </cell>
          <cell r="J62">
            <v>0</v>
          </cell>
          <cell r="K62">
            <v>0</v>
          </cell>
          <cell r="L62">
            <v>0</v>
          </cell>
          <cell r="M62">
            <v>0</v>
          </cell>
          <cell r="N62">
            <v>0</v>
          </cell>
          <cell r="O62">
            <v>0</v>
          </cell>
          <cell r="P62">
            <v>0</v>
          </cell>
          <cell r="Q62">
            <v>2962</v>
          </cell>
        </row>
        <row r="63">
          <cell r="A63" t="str">
            <v>US22P015643111100012</v>
          </cell>
          <cell r="B63" t="str">
            <v>US22P01564</v>
          </cell>
          <cell r="C63">
            <v>3111100012</v>
          </cell>
          <cell r="D63" t="str">
            <v>OVERTIME HOURS /PERMANENTS</v>
          </cell>
          <cell r="E63">
            <v>0</v>
          </cell>
          <cell r="F63">
            <v>0</v>
          </cell>
          <cell r="G63">
            <v>0</v>
          </cell>
          <cell r="H63">
            <v>0</v>
          </cell>
          <cell r="I63">
            <v>0</v>
          </cell>
          <cell r="J63">
            <v>0</v>
          </cell>
          <cell r="K63">
            <v>0</v>
          </cell>
          <cell r="L63">
            <v>0</v>
          </cell>
          <cell r="M63">
            <v>0</v>
          </cell>
          <cell r="N63">
            <v>0</v>
          </cell>
          <cell r="O63">
            <v>0</v>
          </cell>
          <cell r="P63">
            <v>0</v>
          </cell>
          <cell r="Q63">
            <v>0</v>
          </cell>
        </row>
        <row r="64">
          <cell r="A64" t="str">
            <v>US22P015753111100012</v>
          </cell>
          <cell r="B64" t="str">
            <v>US22P01575</v>
          </cell>
          <cell r="C64">
            <v>3111100012</v>
          </cell>
          <cell r="D64" t="str">
            <v>OVERTIME HOURS /PERMANENTS</v>
          </cell>
          <cell r="E64">
            <v>1509</v>
          </cell>
          <cell r="F64">
            <v>2904</v>
          </cell>
          <cell r="G64">
            <v>992</v>
          </cell>
          <cell r="H64">
            <v>0</v>
          </cell>
          <cell r="I64">
            <v>0</v>
          </cell>
          <cell r="J64">
            <v>0</v>
          </cell>
          <cell r="K64">
            <v>0</v>
          </cell>
          <cell r="L64">
            <v>0</v>
          </cell>
          <cell r="M64">
            <v>0</v>
          </cell>
          <cell r="N64">
            <v>0</v>
          </cell>
          <cell r="O64">
            <v>0</v>
          </cell>
          <cell r="P64">
            <v>0</v>
          </cell>
          <cell r="Q64">
            <v>5405</v>
          </cell>
        </row>
        <row r="65">
          <cell r="A65" t="str">
            <v>US22P015853111100012</v>
          </cell>
          <cell r="B65" t="str">
            <v>US22P01585</v>
          </cell>
          <cell r="C65">
            <v>3111100012</v>
          </cell>
          <cell r="D65" t="str">
            <v>OVERTIME HOURS /PERMANENTS</v>
          </cell>
          <cell r="E65">
            <v>79</v>
          </cell>
          <cell r="F65">
            <v>205</v>
          </cell>
          <cell r="G65">
            <v>1267</v>
          </cell>
          <cell r="H65">
            <v>0</v>
          </cell>
          <cell r="I65">
            <v>0</v>
          </cell>
          <cell r="J65">
            <v>0</v>
          </cell>
          <cell r="K65">
            <v>0</v>
          </cell>
          <cell r="L65">
            <v>0</v>
          </cell>
          <cell r="M65">
            <v>0</v>
          </cell>
          <cell r="N65">
            <v>0</v>
          </cell>
          <cell r="O65">
            <v>0</v>
          </cell>
          <cell r="P65">
            <v>0</v>
          </cell>
          <cell r="Q65">
            <v>1551</v>
          </cell>
        </row>
        <row r="66">
          <cell r="A66" t="str">
            <v>US22P015903111100012</v>
          </cell>
          <cell r="B66" t="str">
            <v>US22P01590</v>
          </cell>
          <cell r="C66">
            <v>3111100012</v>
          </cell>
          <cell r="D66" t="str">
            <v>OVERTIME HOURS /PERMANENTS</v>
          </cell>
          <cell r="E66">
            <v>486</v>
          </cell>
          <cell r="F66">
            <v>1034</v>
          </cell>
          <cell r="G66">
            <v>341</v>
          </cell>
          <cell r="H66">
            <v>0</v>
          </cell>
          <cell r="I66">
            <v>0</v>
          </cell>
          <cell r="J66">
            <v>0</v>
          </cell>
          <cell r="K66">
            <v>0</v>
          </cell>
          <cell r="L66">
            <v>0</v>
          </cell>
          <cell r="M66">
            <v>0</v>
          </cell>
          <cell r="N66">
            <v>0</v>
          </cell>
          <cell r="O66">
            <v>0</v>
          </cell>
          <cell r="P66">
            <v>0</v>
          </cell>
          <cell r="Q66">
            <v>1861</v>
          </cell>
        </row>
        <row r="67">
          <cell r="A67" t="str">
            <v>US22P015923111100012</v>
          </cell>
          <cell r="B67" t="str">
            <v>US22P01592</v>
          </cell>
          <cell r="C67">
            <v>3111100012</v>
          </cell>
          <cell r="D67" t="str">
            <v>OVERTIME HOURS /PERMANENTS</v>
          </cell>
          <cell r="E67">
            <v>0</v>
          </cell>
          <cell r="F67">
            <v>0</v>
          </cell>
          <cell r="G67">
            <v>978</v>
          </cell>
          <cell r="H67">
            <v>0</v>
          </cell>
          <cell r="I67">
            <v>0</v>
          </cell>
          <cell r="J67">
            <v>0</v>
          </cell>
          <cell r="K67">
            <v>0</v>
          </cell>
          <cell r="L67">
            <v>0</v>
          </cell>
          <cell r="M67">
            <v>0</v>
          </cell>
          <cell r="N67">
            <v>0</v>
          </cell>
          <cell r="O67">
            <v>0</v>
          </cell>
          <cell r="P67">
            <v>0</v>
          </cell>
          <cell r="Q67">
            <v>978</v>
          </cell>
        </row>
        <row r="68">
          <cell r="A68" t="str">
            <v>US28MZA1503111100012</v>
          </cell>
          <cell r="B68" t="str">
            <v>US28MZA150</v>
          </cell>
          <cell r="C68">
            <v>3111100012</v>
          </cell>
          <cell r="D68" t="str">
            <v>OVERTIME HOURS /PERMANENTS</v>
          </cell>
          <cell r="E68">
            <v>470</v>
          </cell>
          <cell r="F68">
            <v>202</v>
          </cell>
          <cell r="G68">
            <v>387</v>
          </cell>
          <cell r="H68">
            <v>0</v>
          </cell>
          <cell r="I68">
            <v>0</v>
          </cell>
          <cell r="J68">
            <v>0</v>
          </cell>
          <cell r="K68">
            <v>0</v>
          </cell>
          <cell r="L68">
            <v>0</v>
          </cell>
          <cell r="M68">
            <v>0</v>
          </cell>
          <cell r="N68">
            <v>0</v>
          </cell>
          <cell r="O68">
            <v>0</v>
          </cell>
          <cell r="P68">
            <v>0</v>
          </cell>
          <cell r="Q68">
            <v>1059</v>
          </cell>
        </row>
        <row r="69">
          <cell r="A69" t="str">
            <v>US28MZA1553111100012</v>
          </cell>
          <cell r="B69" t="str">
            <v>US28MZA155</v>
          </cell>
          <cell r="C69">
            <v>3111100012</v>
          </cell>
          <cell r="D69" t="str">
            <v>OVERTIME HOURS /PERMANENTS</v>
          </cell>
          <cell r="E69">
            <v>-14</v>
          </cell>
          <cell r="F69">
            <v>5</v>
          </cell>
          <cell r="G69">
            <v>3</v>
          </cell>
          <cell r="H69">
            <v>0</v>
          </cell>
          <cell r="I69">
            <v>0</v>
          </cell>
          <cell r="J69">
            <v>0</v>
          </cell>
          <cell r="K69">
            <v>0</v>
          </cell>
          <cell r="L69">
            <v>0</v>
          </cell>
          <cell r="M69">
            <v>0</v>
          </cell>
          <cell r="N69">
            <v>0</v>
          </cell>
          <cell r="O69">
            <v>0</v>
          </cell>
          <cell r="P69">
            <v>0</v>
          </cell>
          <cell r="Q69">
            <v>-6</v>
          </cell>
        </row>
        <row r="70">
          <cell r="A70" t="str">
            <v>US28P015013111100012</v>
          </cell>
          <cell r="B70" t="str">
            <v>US28P01501</v>
          </cell>
          <cell r="C70">
            <v>3111100012</v>
          </cell>
          <cell r="D70" t="str">
            <v>OVERTIME HOURS /PERMANENTS</v>
          </cell>
          <cell r="E70">
            <v>46</v>
          </cell>
          <cell r="F70">
            <v>82</v>
          </cell>
          <cell r="G70">
            <v>57</v>
          </cell>
          <cell r="H70">
            <v>0</v>
          </cell>
          <cell r="I70">
            <v>0</v>
          </cell>
          <cell r="J70">
            <v>0</v>
          </cell>
          <cell r="K70">
            <v>0</v>
          </cell>
          <cell r="L70">
            <v>0</v>
          </cell>
          <cell r="M70">
            <v>0</v>
          </cell>
          <cell r="N70">
            <v>0</v>
          </cell>
          <cell r="O70">
            <v>0</v>
          </cell>
          <cell r="P70">
            <v>0</v>
          </cell>
          <cell r="Q70">
            <v>185</v>
          </cell>
        </row>
        <row r="71">
          <cell r="A71" t="str">
            <v>US28P015603111100012</v>
          </cell>
          <cell r="B71" t="str">
            <v>US28P01560</v>
          </cell>
          <cell r="C71">
            <v>3111100012</v>
          </cell>
          <cell r="D71" t="str">
            <v>OVERTIME HOURS /PERMANENTS</v>
          </cell>
          <cell r="E71">
            <v>12</v>
          </cell>
          <cell r="F71">
            <v>304</v>
          </cell>
          <cell r="G71">
            <v>2001</v>
          </cell>
          <cell r="H71">
            <v>0</v>
          </cell>
          <cell r="I71">
            <v>0</v>
          </cell>
          <cell r="J71">
            <v>0</v>
          </cell>
          <cell r="K71">
            <v>0</v>
          </cell>
          <cell r="L71">
            <v>0</v>
          </cell>
          <cell r="M71">
            <v>0</v>
          </cell>
          <cell r="N71">
            <v>0</v>
          </cell>
          <cell r="O71">
            <v>0</v>
          </cell>
          <cell r="P71">
            <v>0</v>
          </cell>
          <cell r="Q71">
            <v>2317</v>
          </cell>
        </row>
        <row r="72">
          <cell r="A72" t="str">
            <v>US28P015853111100012</v>
          </cell>
          <cell r="B72" t="str">
            <v>US28P01585</v>
          </cell>
          <cell r="C72">
            <v>3111100012</v>
          </cell>
          <cell r="D72" t="str">
            <v>OVERTIME HOURS /PERMANENTS</v>
          </cell>
          <cell r="E72">
            <v>19</v>
          </cell>
          <cell r="F72">
            <v>679</v>
          </cell>
          <cell r="G72">
            <v>458</v>
          </cell>
          <cell r="H72">
            <v>0</v>
          </cell>
          <cell r="I72">
            <v>0</v>
          </cell>
          <cell r="J72">
            <v>0</v>
          </cell>
          <cell r="K72">
            <v>0</v>
          </cell>
          <cell r="L72">
            <v>0</v>
          </cell>
          <cell r="M72">
            <v>0</v>
          </cell>
          <cell r="N72">
            <v>0</v>
          </cell>
          <cell r="O72">
            <v>0</v>
          </cell>
          <cell r="P72">
            <v>0</v>
          </cell>
          <cell r="Q72">
            <v>1156</v>
          </cell>
        </row>
        <row r="73">
          <cell r="A73" t="str">
            <v>US28P015903111100012</v>
          </cell>
          <cell r="B73" t="str">
            <v>US28P01590</v>
          </cell>
          <cell r="C73">
            <v>3111100012</v>
          </cell>
          <cell r="D73" t="str">
            <v>OVERTIME HOURS /PERMANENTS</v>
          </cell>
          <cell r="E73">
            <v>9</v>
          </cell>
          <cell r="F73">
            <v>7</v>
          </cell>
          <cell r="G73">
            <v>122</v>
          </cell>
          <cell r="H73">
            <v>0</v>
          </cell>
          <cell r="I73">
            <v>0</v>
          </cell>
          <cell r="J73">
            <v>0</v>
          </cell>
          <cell r="K73">
            <v>0</v>
          </cell>
          <cell r="L73">
            <v>0</v>
          </cell>
          <cell r="M73">
            <v>0</v>
          </cell>
          <cell r="N73">
            <v>0</v>
          </cell>
          <cell r="O73">
            <v>0</v>
          </cell>
          <cell r="P73">
            <v>0</v>
          </cell>
          <cell r="Q73">
            <v>138</v>
          </cell>
        </row>
        <row r="74">
          <cell r="A74" t="str">
            <v>US35MZA1503111100012</v>
          </cell>
          <cell r="B74" t="str">
            <v>US35MZA150</v>
          </cell>
          <cell r="C74">
            <v>3111100012</v>
          </cell>
          <cell r="D74" t="str">
            <v>OVERTIME HOURS /PERMANENTS</v>
          </cell>
          <cell r="E74">
            <v>4100</v>
          </cell>
          <cell r="F74">
            <v>6585</v>
          </cell>
          <cell r="G74">
            <v>5251</v>
          </cell>
          <cell r="H74">
            <v>0</v>
          </cell>
          <cell r="I74">
            <v>0</v>
          </cell>
          <cell r="J74">
            <v>0</v>
          </cell>
          <cell r="K74">
            <v>0</v>
          </cell>
          <cell r="L74">
            <v>0</v>
          </cell>
          <cell r="M74">
            <v>0</v>
          </cell>
          <cell r="N74">
            <v>0</v>
          </cell>
          <cell r="O74">
            <v>0</v>
          </cell>
          <cell r="P74">
            <v>0</v>
          </cell>
          <cell r="Q74">
            <v>15936</v>
          </cell>
        </row>
        <row r="75">
          <cell r="A75" t="str">
            <v>US35MZA1553111100012</v>
          </cell>
          <cell r="B75" t="str">
            <v>US35MZA155</v>
          </cell>
          <cell r="C75">
            <v>3111100012</v>
          </cell>
          <cell r="D75" t="str">
            <v>OVERTIME HOURS /PERMANENTS</v>
          </cell>
          <cell r="E75">
            <v>361</v>
          </cell>
          <cell r="F75">
            <v>808</v>
          </cell>
          <cell r="G75">
            <v>647</v>
          </cell>
          <cell r="H75">
            <v>0</v>
          </cell>
          <cell r="I75">
            <v>0</v>
          </cell>
          <cell r="J75">
            <v>0</v>
          </cell>
          <cell r="K75">
            <v>0</v>
          </cell>
          <cell r="L75">
            <v>0</v>
          </cell>
          <cell r="M75">
            <v>0</v>
          </cell>
          <cell r="N75">
            <v>0</v>
          </cell>
          <cell r="O75">
            <v>0</v>
          </cell>
          <cell r="P75">
            <v>0</v>
          </cell>
          <cell r="Q75">
            <v>1816</v>
          </cell>
        </row>
        <row r="76">
          <cell r="A76" t="str">
            <v>US35P015013111100012</v>
          </cell>
          <cell r="B76" t="str">
            <v>US35P01501</v>
          </cell>
          <cell r="C76">
            <v>3111100012</v>
          </cell>
          <cell r="D76" t="str">
            <v>OVERTIME HOURS /PERMANENTS</v>
          </cell>
          <cell r="E76">
            <v>187</v>
          </cell>
          <cell r="F76">
            <v>415</v>
          </cell>
          <cell r="G76">
            <v>500</v>
          </cell>
          <cell r="H76">
            <v>0</v>
          </cell>
          <cell r="I76">
            <v>0</v>
          </cell>
          <cell r="J76">
            <v>0</v>
          </cell>
          <cell r="K76">
            <v>0</v>
          </cell>
          <cell r="L76">
            <v>0</v>
          </cell>
          <cell r="M76">
            <v>0</v>
          </cell>
          <cell r="N76">
            <v>0</v>
          </cell>
          <cell r="O76">
            <v>0</v>
          </cell>
          <cell r="P76">
            <v>0</v>
          </cell>
          <cell r="Q76">
            <v>1102</v>
          </cell>
        </row>
        <row r="77">
          <cell r="A77" t="str">
            <v>US35P015603111100012</v>
          </cell>
          <cell r="B77" t="str">
            <v>US35P01560</v>
          </cell>
          <cell r="C77">
            <v>3111100012</v>
          </cell>
          <cell r="D77" t="str">
            <v>OVERTIME HOURS /PERMANENTS</v>
          </cell>
          <cell r="E77">
            <v>1513</v>
          </cell>
          <cell r="F77">
            <v>2998</v>
          </cell>
          <cell r="G77">
            <v>1306</v>
          </cell>
          <cell r="H77">
            <v>0</v>
          </cell>
          <cell r="I77">
            <v>0</v>
          </cell>
          <cell r="J77">
            <v>0</v>
          </cell>
          <cell r="K77">
            <v>0</v>
          </cell>
          <cell r="L77">
            <v>0</v>
          </cell>
          <cell r="M77">
            <v>0</v>
          </cell>
          <cell r="N77">
            <v>0</v>
          </cell>
          <cell r="O77">
            <v>0</v>
          </cell>
          <cell r="P77">
            <v>0</v>
          </cell>
          <cell r="Q77">
            <v>5817</v>
          </cell>
        </row>
        <row r="78">
          <cell r="A78" t="str">
            <v>US35P015853111100012</v>
          </cell>
          <cell r="B78" t="str">
            <v>US35P01585</v>
          </cell>
          <cell r="C78">
            <v>3111100012</v>
          </cell>
          <cell r="D78" t="str">
            <v>OVERTIME HOURS /PERMANENTS</v>
          </cell>
          <cell r="E78">
            <v>1333</v>
          </cell>
          <cell r="F78">
            <v>1781</v>
          </cell>
          <cell r="G78">
            <v>861</v>
          </cell>
          <cell r="H78">
            <v>0</v>
          </cell>
          <cell r="I78">
            <v>0</v>
          </cell>
          <cell r="J78">
            <v>0</v>
          </cell>
          <cell r="K78">
            <v>0</v>
          </cell>
          <cell r="L78">
            <v>0</v>
          </cell>
          <cell r="M78">
            <v>0</v>
          </cell>
          <cell r="N78">
            <v>0</v>
          </cell>
          <cell r="O78">
            <v>0</v>
          </cell>
          <cell r="P78">
            <v>0</v>
          </cell>
          <cell r="Q78">
            <v>3975</v>
          </cell>
        </row>
        <row r="79">
          <cell r="A79" t="str">
            <v>US35P015903111100012</v>
          </cell>
          <cell r="B79" t="str">
            <v>US35P01590</v>
          </cell>
          <cell r="C79">
            <v>3111100012</v>
          </cell>
          <cell r="D79" t="str">
            <v>OVERTIME HOURS /PERMANENTS</v>
          </cell>
          <cell r="E79">
            <v>202</v>
          </cell>
          <cell r="F79">
            <v>26</v>
          </cell>
          <cell r="G79">
            <v>31</v>
          </cell>
          <cell r="H79">
            <v>0</v>
          </cell>
          <cell r="I79">
            <v>0</v>
          </cell>
          <cell r="J79">
            <v>0</v>
          </cell>
          <cell r="K79">
            <v>0</v>
          </cell>
          <cell r="L79">
            <v>0</v>
          </cell>
          <cell r="M79">
            <v>0</v>
          </cell>
          <cell r="N79">
            <v>0</v>
          </cell>
          <cell r="O79">
            <v>0</v>
          </cell>
          <cell r="P79">
            <v>0</v>
          </cell>
          <cell r="Q79">
            <v>259</v>
          </cell>
        </row>
        <row r="80">
          <cell r="A80" t="str">
            <v>US59MZA1503111100012</v>
          </cell>
          <cell r="B80" t="str">
            <v>US59MZA150</v>
          </cell>
          <cell r="C80">
            <v>3111100012</v>
          </cell>
          <cell r="D80" t="str">
            <v>OVERTIME HOURS /PERMANENTS</v>
          </cell>
          <cell r="E80">
            <v>2080</v>
          </cell>
          <cell r="F80">
            <v>3905</v>
          </cell>
          <cell r="G80">
            <v>2991</v>
          </cell>
          <cell r="H80">
            <v>0</v>
          </cell>
          <cell r="I80">
            <v>0</v>
          </cell>
          <cell r="J80">
            <v>0</v>
          </cell>
          <cell r="K80">
            <v>0</v>
          </cell>
          <cell r="L80">
            <v>0</v>
          </cell>
          <cell r="M80">
            <v>0</v>
          </cell>
          <cell r="N80">
            <v>0</v>
          </cell>
          <cell r="O80">
            <v>0</v>
          </cell>
          <cell r="P80">
            <v>0</v>
          </cell>
          <cell r="Q80">
            <v>8976</v>
          </cell>
        </row>
        <row r="81">
          <cell r="A81" t="str">
            <v>US59MZA1553111100012</v>
          </cell>
          <cell r="B81" t="str">
            <v>US59MZA155</v>
          </cell>
          <cell r="C81">
            <v>3111100012</v>
          </cell>
          <cell r="D81" t="str">
            <v>OVERTIME HOURS /PERMANENTS</v>
          </cell>
          <cell r="E81">
            <v>941</v>
          </cell>
          <cell r="F81">
            <v>2991</v>
          </cell>
          <cell r="G81">
            <v>1371</v>
          </cell>
          <cell r="H81">
            <v>0</v>
          </cell>
          <cell r="I81">
            <v>0</v>
          </cell>
          <cell r="J81">
            <v>0</v>
          </cell>
          <cell r="K81">
            <v>0</v>
          </cell>
          <cell r="L81">
            <v>0</v>
          </cell>
          <cell r="M81">
            <v>0</v>
          </cell>
          <cell r="N81">
            <v>0</v>
          </cell>
          <cell r="O81">
            <v>0</v>
          </cell>
          <cell r="P81">
            <v>0</v>
          </cell>
          <cell r="Q81">
            <v>5303</v>
          </cell>
        </row>
        <row r="82">
          <cell r="A82" t="str">
            <v>US59P015013111100012</v>
          </cell>
          <cell r="B82" t="str">
            <v>US59P01501</v>
          </cell>
          <cell r="C82">
            <v>3111100012</v>
          </cell>
          <cell r="D82" t="str">
            <v>OVERTIME HOURS /PERMANENTS</v>
          </cell>
          <cell r="E82">
            <v>120</v>
          </cell>
          <cell r="F82">
            <v>264</v>
          </cell>
          <cell r="G82">
            <v>120</v>
          </cell>
          <cell r="H82">
            <v>0</v>
          </cell>
          <cell r="I82">
            <v>0</v>
          </cell>
          <cell r="J82">
            <v>0</v>
          </cell>
          <cell r="K82">
            <v>0</v>
          </cell>
          <cell r="L82">
            <v>0</v>
          </cell>
          <cell r="M82">
            <v>0</v>
          </cell>
          <cell r="N82">
            <v>0</v>
          </cell>
          <cell r="O82">
            <v>0</v>
          </cell>
          <cell r="P82">
            <v>0</v>
          </cell>
          <cell r="Q82">
            <v>504</v>
          </cell>
        </row>
        <row r="83">
          <cell r="A83" t="str">
            <v>US59P015503111100012</v>
          </cell>
          <cell r="B83" t="str">
            <v>US59P01550</v>
          </cell>
          <cell r="C83">
            <v>3111100012</v>
          </cell>
          <cell r="D83" t="str">
            <v>OVERTIME HOURS /PERMANENTS</v>
          </cell>
          <cell r="E83">
            <v>0</v>
          </cell>
          <cell r="F83">
            <v>0</v>
          </cell>
          <cell r="G83">
            <v>753</v>
          </cell>
          <cell r="H83">
            <v>0</v>
          </cell>
          <cell r="I83">
            <v>0</v>
          </cell>
          <cell r="J83">
            <v>0</v>
          </cell>
          <cell r="K83">
            <v>0</v>
          </cell>
          <cell r="L83">
            <v>0</v>
          </cell>
          <cell r="M83">
            <v>0</v>
          </cell>
          <cell r="N83">
            <v>0</v>
          </cell>
          <cell r="O83">
            <v>0</v>
          </cell>
          <cell r="P83">
            <v>0</v>
          </cell>
          <cell r="Q83">
            <v>753</v>
          </cell>
        </row>
        <row r="84">
          <cell r="A84" t="str">
            <v>US59P015603111100012</v>
          </cell>
          <cell r="B84" t="str">
            <v>US59P01560</v>
          </cell>
          <cell r="C84">
            <v>3111100012</v>
          </cell>
          <cell r="D84" t="str">
            <v>OVERTIME HOURS /PERMANENTS</v>
          </cell>
          <cell r="E84">
            <v>1211</v>
          </cell>
          <cell r="F84">
            <v>1787</v>
          </cell>
          <cell r="G84">
            <v>306</v>
          </cell>
          <cell r="H84">
            <v>0</v>
          </cell>
          <cell r="I84">
            <v>0</v>
          </cell>
          <cell r="J84">
            <v>0</v>
          </cell>
          <cell r="K84">
            <v>0</v>
          </cell>
          <cell r="L84">
            <v>0</v>
          </cell>
          <cell r="M84">
            <v>0</v>
          </cell>
          <cell r="N84">
            <v>0</v>
          </cell>
          <cell r="O84">
            <v>0</v>
          </cell>
          <cell r="P84">
            <v>0</v>
          </cell>
          <cell r="Q84">
            <v>3304</v>
          </cell>
        </row>
        <row r="85">
          <cell r="A85" t="str">
            <v>US59P015753111100012</v>
          </cell>
          <cell r="B85" t="str">
            <v>US59P01575</v>
          </cell>
          <cell r="C85">
            <v>3111100012</v>
          </cell>
          <cell r="D85" t="str">
            <v>OVERTIME HOURS /PERMANENTS</v>
          </cell>
          <cell r="E85">
            <v>0</v>
          </cell>
          <cell r="F85">
            <v>0</v>
          </cell>
          <cell r="G85">
            <v>102</v>
          </cell>
          <cell r="H85">
            <v>0</v>
          </cell>
          <cell r="I85">
            <v>0</v>
          </cell>
          <cell r="J85">
            <v>0</v>
          </cell>
          <cell r="K85">
            <v>0</v>
          </cell>
          <cell r="L85">
            <v>0</v>
          </cell>
          <cell r="M85">
            <v>0</v>
          </cell>
          <cell r="N85">
            <v>0</v>
          </cell>
          <cell r="O85">
            <v>0</v>
          </cell>
          <cell r="P85">
            <v>0</v>
          </cell>
          <cell r="Q85">
            <v>102</v>
          </cell>
        </row>
        <row r="86">
          <cell r="A86" t="str">
            <v>US59P015903111100012</v>
          </cell>
          <cell r="B86" t="str">
            <v>US59P01590</v>
          </cell>
          <cell r="C86">
            <v>3111100012</v>
          </cell>
          <cell r="D86" t="str">
            <v>OVERTIME HOURS /PERMANENTS</v>
          </cell>
          <cell r="E86">
            <v>28</v>
          </cell>
          <cell r="F86">
            <v>388</v>
          </cell>
          <cell r="G86">
            <v>26</v>
          </cell>
          <cell r="H86">
            <v>0</v>
          </cell>
          <cell r="I86">
            <v>0</v>
          </cell>
          <cell r="J86">
            <v>0</v>
          </cell>
          <cell r="K86">
            <v>0</v>
          </cell>
          <cell r="L86">
            <v>0</v>
          </cell>
          <cell r="M86">
            <v>0</v>
          </cell>
          <cell r="N86">
            <v>0</v>
          </cell>
          <cell r="O86">
            <v>0</v>
          </cell>
          <cell r="P86">
            <v>0</v>
          </cell>
          <cell r="Q86">
            <v>442</v>
          </cell>
        </row>
        <row r="87">
          <cell r="A87" t="str">
            <v>US59P3C5013111100012</v>
          </cell>
          <cell r="B87" t="str">
            <v>US59P3C501</v>
          </cell>
          <cell r="C87">
            <v>3111100012</v>
          </cell>
          <cell r="D87" t="str">
            <v>OVERTIME HOURS /PERMANENTS</v>
          </cell>
          <cell r="E87">
            <v>860</v>
          </cell>
          <cell r="F87">
            <v>1720</v>
          </cell>
          <cell r="G87">
            <v>1020</v>
          </cell>
          <cell r="H87">
            <v>0</v>
          </cell>
          <cell r="I87">
            <v>0</v>
          </cell>
          <cell r="J87">
            <v>0</v>
          </cell>
          <cell r="K87">
            <v>0</v>
          </cell>
          <cell r="L87">
            <v>0</v>
          </cell>
          <cell r="M87">
            <v>0</v>
          </cell>
          <cell r="N87">
            <v>0</v>
          </cell>
          <cell r="O87">
            <v>0</v>
          </cell>
          <cell r="P87">
            <v>0</v>
          </cell>
          <cell r="Q87">
            <v>3600</v>
          </cell>
        </row>
        <row r="88">
          <cell r="A88" t="str">
            <v>US59P3C5503111100012</v>
          </cell>
          <cell r="B88" t="str">
            <v>US59P3C550</v>
          </cell>
          <cell r="C88">
            <v>3111100012</v>
          </cell>
          <cell r="D88" t="str">
            <v>OVERTIME HOURS /PERMANENTS</v>
          </cell>
          <cell r="E88">
            <v>541</v>
          </cell>
          <cell r="F88">
            <v>0</v>
          </cell>
          <cell r="G88">
            <v>0</v>
          </cell>
          <cell r="H88">
            <v>0</v>
          </cell>
          <cell r="I88">
            <v>0</v>
          </cell>
          <cell r="J88">
            <v>0</v>
          </cell>
          <cell r="K88">
            <v>0</v>
          </cell>
          <cell r="L88">
            <v>0</v>
          </cell>
          <cell r="M88">
            <v>0</v>
          </cell>
          <cell r="N88">
            <v>0</v>
          </cell>
          <cell r="O88">
            <v>0</v>
          </cell>
          <cell r="P88">
            <v>0</v>
          </cell>
          <cell r="Q88">
            <v>541</v>
          </cell>
        </row>
        <row r="89">
          <cell r="A89" t="str">
            <v>US59P3C5603111100012</v>
          </cell>
          <cell r="B89" t="str">
            <v>US59P3C560</v>
          </cell>
          <cell r="C89">
            <v>3111100012</v>
          </cell>
          <cell r="D89" t="str">
            <v>OVERTIME HOURS /PERMANENTS</v>
          </cell>
          <cell r="E89">
            <v>2798</v>
          </cell>
          <cell r="F89">
            <v>2949</v>
          </cell>
          <cell r="G89">
            <v>450</v>
          </cell>
          <cell r="H89">
            <v>0</v>
          </cell>
          <cell r="I89">
            <v>0</v>
          </cell>
          <cell r="J89">
            <v>0</v>
          </cell>
          <cell r="K89">
            <v>0</v>
          </cell>
          <cell r="L89">
            <v>0</v>
          </cell>
          <cell r="M89">
            <v>0</v>
          </cell>
          <cell r="N89">
            <v>0</v>
          </cell>
          <cell r="O89">
            <v>0</v>
          </cell>
          <cell r="P89">
            <v>0</v>
          </cell>
          <cell r="Q89">
            <v>6197</v>
          </cell>
        </row>
        <row r="90">
          <cell r="A90" t="str">
            <v>US59PZA5503111100012</v>
          </cell>
          <cell r="B90" t="str">
            <v>US59PZA550</v>
          </cell>
          <cell r="C90">
            <v>3111100012</v>
          </cell>
          <cell r="D90" t="str">
            <v>OVERTIME HOURS /PERMANENTS</v>
          </cell>
          <cell r="E90">
            <v>0</v>
          </cell>
          <cell r="F90">
            <v>0</v>
          </cell>
          <cell r="G90">
            <v>498</v>
          </cell>
          <cell r="H90">
            <v>0</v>
          </cell>
          <cell r="I90">
            <v>0</v>
          </cell>
          <cell r="J90">
            <v>0</v>
          </cell>
          <cell r="K90">
            <v>0</v>
          </cell>
          <cell r="L90">
            <v>0</v>
          </cell>
          <cell r="M90">
            <v>0</v>
          </cell>
          <cell r="N90">
            <v>0</v>
          </cell>
          <cell r="O90">
            <v>0</v>
          </cell>
          <cell r="P90">
            <v>0</v>
          </cell>
          <cell r="Q90">
            <v>498</v>
          </cell>
        </row>
        <row r="91">
          <cell r="A91" t="str">
            <v>US59PZA5603111100012</v>
          </cell>
          <cell r="B91" t="str">
            <v>US59PZA560</v>
          </cell>
          <cell r="C91">
            <v>3111100012</v>
          </cell>
          <cell r="D91" t="str">
            <v>OVERTIME HOURS /PERMANENTS</v>
          </cell>
          <cell r="E91">
            <v>0</v>
          </cell>
          <cell r="F91">
            <v>0</v>
          </cell>
          <cell r="G91">
            <v>535</v>
          </cell>
          <cell r="H91">
            <v>0</v>
          </cell>
          <cell r="I91">
            <v>0</v>
          </cell>
          <cell r="J91">
            <v>0</v>
          </cell>
          <cell r="K91">
            <v>0</v>
          </cell>
          <cell r="L91">
            <v>0</v>
          </cell>
          <cell r="M91">
            <v>0</v>
          </cell>
          <cell r="N91">
            <v>0</v>
          </cell>
          <cell r="O91">
            <v>0</v>
          </cell>
          <cell r="P91">
            <v>0</v>
          </cell>
          <cell r="Q91">
            <v>535</v>
          </cell>
        </row>
        <row r="92">
          <cell r="A92" t="str">
            <v>USCRMZA1503111100012</v>
          </cell>
          <cell r="B92" t="str">
            <v>USCRMZA150</v>
          </cell>
          <cell r="C92">
            <v>3111100012</v>
          </cell>
          <cell r="D92" t="str">
            <v>OVERTIME HOURS /PERMANENTS</v>
          </cell>
          <cell r="E92">
            <v>633</v>
          </cell>
          <cell r="F92">
            <v>324</v>
          </cell>
          <cell r="G92">
            <v>1052</v>
          </cell>
          <cell r="H92">
            <v>0</v>
          </cell>
          <cell r="I92">
            <v>0</v>
          </cell>
          <cell r="J92">
            <v>0</v>
          </cell>
          <cell r="K92">
            <v>0</v>
          </cell>
          <cell r="L92">
            <v>0</v>
          </cell>
          <cell r="M92">
            <v>0</v>
          </cell>
          <cell r="N92">
            <v>0</v>
          </cell>
          <cell r="O92">
            <v>0</v>
          </cell>
          <cell r="P92">
            <v>0</v>
          </cell>
          <cell r="Q92">
            <v>2009</v>
          </cell>
        </row>
        <row r="93">
          <cell r="A93" t="str">
            <v>USCRP015013111100012</v>
          </cell>
          <cell r="B93" t="str">
            <v>USCRP01501</v>
          </cell>
          <cell r="C93">
            <v>3111100012</v>
          </cell>
          <cell r="D93" t="str">
            <v>OVERTIME HOURS /PERMANENTS</v>
          </cell>
          <cell r="E93">
            <v>487</v>
          </cell>
          <cell r="F93">
            <v>125</v>
          </cell>
          <cell r="G93">
            <v>23</v>
          </cell>
          <cell r="H93">
            <v>0</v>
          </cell>
          <cell r="I93">
            <v>0</v>
          </cell>
          <cell r="J93">
            <v>0</v>
          </cell>
          <cell r="K93">
            <v>0</v>
          </cell>
          <cell r="L93">
            <v>0</v>
          </cell>
          <cell r="M93">
            <v>0</v>
          </cell>
          <cell r="N93">
            <v>0</v>
          </cell>
          <cell r="O93">
            <v>0</v>
          </cell>
          <cell r="P93">
            <v>0</v>
          </cell>
          <cell r="Q93">
            <v>635</v>
          </cell>
        </row>
        <row r="94">
          <cell r="A94" t="str">
            <v>USCRP015603111100012</v>
          </cell>
          <cell r="B94" t="str">
            <v>USCRP01560</v>
          </cell>
          <cell r="C94">
            <v>3111100012</v>
          </cell>
          <cell r="D94" t="str">
            <v>OVERTIME HOURS /PERMANENTS</v>
          </cell>
          <cell r="E94">
            <v>1101</v>
          </cell>
          <cell r="F94">
            <v>50</v>
          </cell>
          <cell r="G94">
            <v>397</v>
          </cell>
          <cell r="H94">
            <v>0</v>
          </cell>
          <cell r="I94">
            <v>0</v>
          </cell>
          <cell r="J94">
            <v>0</v>
          </cell>
          <cell r="K94">
            <v>0</v>
          </cell>
          <cell r="L94">
            <v>0</v>
          </cell>
          <cell r="M94">
            <v>0</v>
          </cell>
          <cell r="N94">
            <v>0</v>
          </cell>
          <cell r="O94">
            <v>0</v>
          </cell>
          <cell r="P94">
            <v>0</v>
          </cell>
          <cell r="Q94">
            <v>1548</v>
          </cell>
        </row>
        <row r="95">
          <cell r="A95" t="str">
            <v>USCRP015753111100012</v>
          </cell>
          <cell r="B95" t="str">
            <v>USCRP01575</v>
          </cell>
          <cell r="C95">
            <v>3111100012</v>
          </cell>
          <cell r="D95" t="str">
            <v>OVERTIME HOURS /PERMANENTS</v>
          </cell>
          <cell r="E95">
            <v>0</v>
          </cell>
          <cell r="F95">
            <v>25</v>
          </cell>
          <cell r="G95">
            <v>0</v>
          </cell>
          <cell r="H95">
            <v>0</v>
          </cell>
          <cell r="I95">
            <v>0</v>
          </cell>
          <cell r="J95">
            <v>0</v>
          </cell>
          <cell r="K95">
            <v>0</v>
          </cell>
          <cell r="L95">
            <v>0</v>
          </cell>
          <cell r="M95">
            <v>0</v>
          </cell>
          <cell r="N95">
            <v>0</v>
          </cell>
          <cell r="O95">
            <v>0</v>
          </cell>
          <cell r="P95">
            <v>0</v>
          </cell>
          <cell r="Q95">
            <v>25</v>
          </cell>
        </row>
        <row r="96">
          <cell r="A96" t="str">
            <v>USCRP015853111100012</v>
          </cell>
          <cell r="B96" t="str">
            <v>USCRP01585</v>
          </cell>
          <cell r="C96">
            <v>3111100012</v>
          </cell>
          <cell r="D96" t="str">
            <v>OVERTIME HOURS /PERMANENTS</v>
          </cell>
          <cell r="E96">
            <v>288</v>
          </cell>
          <cell r="F96">
            <v>495</v>
          </cell>
          <cell r="G96">
            <v>141</v>
          </cell>
          <cell r="H96">
            <v>0</v>
          </cell>
          <cell r="I96">
            <v>0</v>
          </cell>
          <cell r="J96">
            <v>0</v>
          </cell>
          <cell r="K96">
            <v>0</v>
          </cell>
          <cell r="L96">
            <v>0</v>
          </cell>
          <cell r="M96">
            <v>0</v>
          </cell>
          <cell r="N96">
            <v>0</v>
          </cell>
          <cell r="O96">
            <v>0</v>
          </cell>
          <cell r="P96">
            <v>0</v>
          </cell>
          <cell r="Q96">
            <v>924</v>
          </cell>
        </row>
        <row r="97">
          <cell r="A97" t="str">
            <v>USWOMZA1503111100012</v>
          </cell>
          <cell r="B97" t="str">
            <v>USWOMZA150</v>
          </cell>
          <cell r="C97">
            <v>3111100012</v>
          </cell>
          <cell r="D97" t="str">
            <v>OVERTIME HOURS /PERMANENTS</v>
          </cell>
          <cell r="E97">
            <v>1551</v>
          </cell>
          <cell r="F97">
            <v>1846</v>
          </cell>
          <cell r="G97">
            <v>3333</v>
          </cell>
          <cell r="H97">
            <v>0</v>
          </cell>
          <cell r="I97">
            <v>0</v>
          </cell>
          <cell r="J97">
            <v>0</v>
          </cell>
          <cell r="K97">
            <v>0</v>
          </cell>
          <cell r="L97">
            <v>0</v>
          </cell>
          <cell r="M97">
            <v>0</v>
          </cell>
          <cell r="N97">
            <v>0</v>
          </cell>
          <cell r="O97">
            <v>0</v>
          </cell>
          <cell r="P97">
            <v>0</v>
          </cell>
          <cell r="Q97">
            <v>6730</v>
          </cell>
        </row>
        <row r="98">
          <cell r="A98" t="str">
            <v>USWOMZA1553111100012</v>
          </cell>
          <cell r="B98" t="str">
            <v>USWOMZA155</v>
          </cell>
          <cell r="C98">
            <v>3111100012</v>
          </cell>
          <cell r="D98" t="str">
            <v>OVERTIME HOURS /PERMANENTS</v>
          </cell>
          <cell r="E98">
            <v>0</v>
          </cell>
          <cell r="F98">
            <v>1152</v>
          </cell>
          <cell r="G98">
            <v>914</v>
          </cell>
          <cell r="H98">
            <v>0</v>
          </cell>
          <cell r="I98">
            <v>0</v>
          </cell>
          <cell r="J98">
            <v>0</v>
          </cell>
          <cell r="K98">
            <v>0</v>
          </cell>
          <cell r="L98">
            <v>0</v>
          </cell>
          <cell r="M98">
            <v>0</v>
          </cell>
          <cell r="N98">
            <v>0</v>
          </cell>
          <cell r="O98">
            <v>0</v>
          </cell>
          <cell r="P98">
            <v>0</v>
          </cell>
          <cell r="Q98">
            <v>2066</v>
          </cell>
        </row>
        <row r="99">
          <cell r="A99" t="str">
            <v>USWOP015533111100012</v>
          </cell>
          <cell r="B99" t="str">
            <v>USWOP01553</v>
          </cell>
          <cell r="C99">
            <v>3111100012</v>
          </cell>
          <cell r="D99" t="str">
            <v>OVERTIME HOURS /PERMANENTS</v>
          </cell>
          <cell r="E99">
            <v>0</v>
          </cell>
          <cell r="F99">
            <v>272</v>
          </cell>
          <cell r="G99">
            <v>0</v>
          </cell>
          <cell r="H99">
            <v>0</v>
          </cell>
          <cell r="I99">
            <v>0</v>
          </cell>
          <cell r="J99">
            <v>0</v>
          </cell>
          <cell r="K99">
            <v>0</v>
          </cell>
          <cell r="L99">
            <v>0</v>
          </cell>
          <cell r="M99">
            <v>0</v>
          </cell>
          <cell r="N99">
            <v>0</v>
          </cell>
          <cell r="O99">
            <v>0</v>
          </cell>
          <cell r="P99">
            <v>0</v>
          </cell>
          <cell r="Q99">
            <v>272</v>
          </cell>
        </row>
        <row r="100">
          <cell r="A100" t="str">
            <v>USWOP015603111100012</v>
          </cell>
          <cell r="B100" t="str">
            <v>USWOP01560</v>
          </cell>
          <cell r="C100">
            <v>3111100012</v>
          </cell>
          <cell r="D100" t="str">
            <v>OVERTIME HOURS /PERMANENTS</v>
          </cell>
          <cell r="E100">
            <v>136</v>
          </cell>
          <cell r="F100">
            <v>1950</v>
          </cell>
          <cell r="G100">
            <v>2364</v>
          </cell>
          <cell r="H100">
            <v>0</v>
          </cell>
          <cell r="I100">
            <v>0</v>
          </cell>
          <cell r="J100">
            <v>0</v>
          </cell>
          <cell r="K100">
            <v>0</v>
          </cell>
          <cell r="L100">
            <v>0</v>
          </cell>
          <cell r="M100">
            <v>0</v>
          </cell>
          <cell r="N100">
            <v>0</v>
          </cell>
          <cell r="O100">
            <v>0</v>
          </cell>
          <cell r="P100">
            <v>0</v>
          </cell>
          <cell r="Q100">
            <v>4450</v>
          </cell>
        </row>
        <row r="101">
          <cell r="A101" t="str">
            <v>USWOP015753111100012</v>
          </cell>
          <cell r="B101" t="str">
            <v>USWOP01575</v>
          </cell>
          <cell r="C101">
            <v>3111100012</v>
          </cell>
          <cell r="D101" t="str">
            <v>OVERTIME HOURS /PERMANENTS</v>
          </cell>
          <cell r="E101">
            <v>0</v>
          </cell>
          <cell r="F101">
            <v>0</v>
          </cell>
          <cell r="G101">
            <v>256</v>
          </cell>
          <cell r="H101">
            <v>0</v>
          </cell>
          <cell r="I101">
            <v>0</v>
          </cell>
          <cell r="J101">
            <v>0</v>
          </cell>
          <cell r="K101">
            <v>0</v>
          </cell>
          <cell r="L101">
            <v>0</v>
          </cell>
          <cell r="M101">
            <v>0</v>
          </cell>
          <cell r="N101">
            <v>0</v>
          </cell>
          <cell r="O101">
            <v>0</v>
          </cell>
          <cell r="P101">
            <v>0</v>
          </cell>
          <cell r="Q101">
            <v>256</v>
          </cell>
        </row>
        <row r="102">
          <cell r="A102" t="str">
            <v>USWOP015853111100012</v>
          </cell>
          <cell r="B102" t="str">
            <v>USWOP01585</v>
          </cell>
          <cell r="C102">
            <v>3111100012</v>
          </cell>
          <cell r="D102" t="str">
            <v>OVERTIME HOURS /PERMANENTS</v>
          </cell>
          <cell r="E102">
            <v>345</v>
          </cell>
          <cell r="F102">
            <v>716</v>
          </cell>
          <cell r="G102">
            <v>1004</v>
          </cell>
          <cell r="H102">
            <v>0</v>
          </cell>
          <cell r="I102">
            <v>0</v>
          </cell>
          <cell r="J102">
            <v>0</v>
          </cell>
          <cell r="K102">
            <v>0</v>
          </cell>
          <cell r="L102">
            <v>0</v>
          </cell>
          <cell r="M102">
            <v>0</v>
          </cell>
          <cell r="N102">
            <v>0</v>
          </cell>
          <cell r="O102">
            <v>0</v>
          </cell>
          <cell r="P102">
            <v>0</v>
          </cell>
          <cell r="Q102">
            <v>2065</v>
          </cell>
        </row>
        <row r="103">
          <cell r="A103" t="str">
            <v>USWOP015903111100012</v>
          </cell>
          <cell r="B103" t="str">
            <v>USWOP01590</v>
          </cell>
          <cell r="C103">
            <v>3111100012</v>
          </cell>
          <cell r="D103" t="str">
            <v>OVERTIME HOURS /PERMANENTS</v>
          </cell>
          <cell r="E103">
            <v>0</v>
          </cell>
          <cell r="F103">
            <v>0</v>
          </cell>
          <cell r="G103">
            <v>333</v>
          </cell>
          <cell r="H103">
            <v>0</v>
          </cell>
          <cell r="I103">
            <v>0</v>
          </cell>
          <cell r="J103">
            <v>0</v>
          </cell>
          <cell r="K103">
            <v>0</v>
          </cell>
          <cell r="L103">
            <v>0</v>
          </cell>
          <cell r="M103">
            <v>0</v>
          </cell>
          <cell r="N103">
            <v>0</v>
          </cell>
          <cell r="O103">
            <v>0</v>
          </cell>
          <cell r="P103">
            <v>0</v>
          </cell>
          <cell r="Q103">
            <v>333</v>
          </cell>
        </row>
        <row r="104">
          <cell r="A104" t="str">
            <v>US22MZA1503121300013</v>
          </cell>
          <cell r="B104" t="str">
            <v>US22MZA150</v>
          </cell>
          <cell r="C104">
            <v>3121300013</v>
          </cell>
          <cell r="D104" t="str">
            <v>FRINGE BENEFITS</v>
          </cell>
          <cell r="E104">
            <v>10710</v>
          </cell>
          <cell r="F104">
            <v>11726</v>
          </cell>
          <cell r="G104">
            <v>12593</v>
          </cell>
          <cell r="H104">
            <v>0</v>
          </cell>
          <cell r="I104">
            <v>0</v>
          </cell>
          <cell r="J104">
            <v>0</v>
          </cell>
          <cell r="K104">
            <v>0</v>
          </cell>
          <cell r="L104">
            <v>0</v>
          </cell>
          <cell r="M104">
            <v>0</v>
          </cell>
          <cell r="N104">
            <v>0</v>
          </cell>
          <cell r="O104">
            <v>0</v>
          </cell>
          <cell r="P104">
            <v>0</v>
          </cell>
          <cell r="Q104">
            <v>35029</v>
          </cell>
        </row>
        <row r="105">
          <cell r="A105" t="str">
            <v>US22MZA1553121300013</v>
          </cell>
          <cell r="B105" t="str">
            <v>US22MZA155</v>
          </cell>
          <cell r="C105">
            <v>3121300013</v>
          </cell>
          <cell r="D105" t="str">
            <v>FRINGE BENEFITS</v>
          </cell>
          <cell r="E105">
            <v>0</v>
          </cell>
          <cell r="F105">
            <v>0</v>
          </cell>
          <cell r="G105">
            <v>1137</v>
          </cell>
          <cell r="H105">
            <v>0</v>
          </cell>
          <cell r="I105">
            <v>0</v>
          </cell>
          <cell r="J105">
            <v>0</v>
          </cell>
          <cell r="K105">
            <v>0</v>
          </cell>
          <cell r="L105">
            <v>0</v>
          </cell>
          <cell r="M105">
            <v>0</v>
          </cell>
          <cell r="N105">
            <v>0</v>
          </cell>
          <cell r="O105">
            <v>0</v>
          </cell>
          <cell r="P105">
            <v>0</v>
          </cell>
          <cell r="Q105">
            <v>1137</v>
          </cell>
        </row>
        <row r="106">
          <cell r="A106" t="str">
            <v>US22P015013121300013</v>
          </cell>
          <cell r="B106" t="str">
            <v>US22P01501</v>
          </cell>
          <cell r="C106">
            <v>3121300013</v>
          </cell>
          <cell r="D106" t="str">
            <v>FRINGE BENEFITS</v>
          </cell>
          <cell r="E106">
            <v>16046</v>
          </cell>
          <cell r="F106">
            <v>15999</v>
          </cell>
          <cell r="G106">
            <v>17508</v>
          </cell>
          <cell r="H106">
            <v>0</v>
          </cell>
          <cell r="I106">
            <v>0</v>
          </cell>
          <cell r="J106">
            <v>0</v>
          </cell>
          <cell r="K106">
            <v>0</v>
          </cell>
          <cell r="L106">
            <v>0</v>
          </cell>
          <cell r="M106">
            <v>0</v>
          </cell>
          <cell r="N106">
            <v>0</v>
          </cell>
          <cell r="O106">
            <v>0</v>
          </cell>
          <cell r="P106">
            <v>0</v>
          </cell>
          <cell r="Q106">
            <v>49553</v>
          </cell>
        </row>
        <row r="107">
          <cell r="A107" t="str">
            <v>US22P015503121300013</v>
          </cell>
          <cell r="B107" t="str">
            <v>US22P01550</v>
          </cell>
          <cell r="C107">
            <v>3121300013</v>
          </cell>
          <cell r="D107" t="str">
            <v>FRINGE BENEFITS</v>
          </cell>
          <cell r="E107">
            <v>293</v>
          </cell>
          <cell r="F107">
            <v>-169</v>
          </cell>
          <cell r="G107">
            <v>51</v>
          </cell>
          <cell r="H107">
            <v>0</v>
          </cell>
          <cell r="I107">
            <v>0</v>
          </cell>
          <cell r="J107">
            <v>0</v>
          </cell>
          <cell r="K107">
            <v>0</v>
          </cell>
          <cell r="L107">
            <v>0</v>
          </cell>
          <cell r="M107">
            <v>0</v>
          </cell>
          <cell r="N107">
            <v>0</v>
          </cell>
          <cell r="O107">
            <v>0</v>
          </cell>
          <cell r="P107">
            <v>0</v>
          </cell>
          <cell r="Q107">
            <v>175</v>
          </cell>
        </row>
        <row r="108">
          <cell r="A108" t="str">
            <v>US22P015603121300013</v>
          </cell>
          <cell r="B108" t="str">
            <v>US22P01560</v>
          </cell>
          <cell r="C108">
            <v>3121300013</v>
          </cell>
          <cell r="D108" t="str">
            <v>FRINGE BENEFITS</v>
          </cell>
          <cell r="E108">
            <v>4091</v>
          </cell>
          <cell r="F108">
            <v>1612</v>
          </cell>
          <cell r="G108">
            <v>1233</v>
          </cell>
          <cell r="H108">
            <v>0</v>
          </cell>
          <cell r="I108">
            <v>0</v>
          </cell>
          <cell r="J108">
            <v>0</v>
          </cell>
          <cell r="K108">
            <v>0</v>
          </cell>
          <cell r="L108">
            <v>0</v>
          </cell>
          <cell r="M108">
            <v>0</v>
          </cell>
          <cell r="N108">
            <v>0</v>
          </cell>
          <cell r="O108">
            <v>0</v>
          </cell>
          <cell r="P108">
            <v>0</v>
          </cell>
          <cell r="Q108">
            <v>6936</v>
          </cell>
        </row>
        <row r="109">
          <cell r="A109" t="str">
            <v>US22P015643121300013</v>
          </cell>
          <cell r="B109" t="str">
            <v>US22P01564</v>
          </cell>
          <cell r="C109">
            <v>3121300013</v>
          </cell>
          <cell r="D109" t="str">
            <v>FRINGE BENEFITS</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A110" t="str">
            <v>US22P015753121300013</v>
          </cell>
          <cell r="B110" t="str">
            <v>US22P01575</v>
          </cell>
          <cell r="C110">
            <v>3121300013</v>
          </cell>
          <cell r="D110" t="str">
            <v>FRINGE BENEFITS</v>
          </cell>
          <cell r="E110">
            <v>2770</v>
          </cell>
          <cell r="F110">
            <v>3015</v>
          </cell>
          <cell r="G110">
            <v>1406</v>
          </cell>
          <cell r="H110">
            <v>0</v>
          </cell>
          <cell r="I110">
            <v>0</v>
          </cell>
          <cell r="J110">
            <v>0</v>
          </cell>
          <cell r="K110">
            <v>0</v>
          </cell>
          <cell r="L110">
            <v>0</v>
          </cell>
          <cell r="M110">
            <v>0</v>
          </cell>
          <cell r="N110">
            <v>0</v>
          </cell>
          <cell r="O110">
            <v>0</v>
          </cell>
          <cell r="P110">
            <v>0</v>
          </cell>
          <cell r="Q110">
            <v>7191</v>
          </cell>
        </row>
        <row r="111">
          <cell r="A111" t="str">
            <v>US22P015853121300013</v>
          </cell>
          <cell r="B111" t="str">
            <v>US22P01585</v>
          </cell>
          <cell r="C111">
            <v>3121300013</v>
          </cell>
          <cell r="D111" t="str">
            <v>FRINGE BENEFITS</v>
          </cell>
          <cell r="E111">
            <v>466</v>
          </cell>
          <cell r="F111">
            <v>2466</v>
          </cell>
          <cell r="G111">
            <v>2856</v>
          </cell>
          <cell r="H111">
            <v>0</v>
          </cell>
          <cell r="I111">
            <v>0</v>
          </cell>
          <cell r="J111">
            <v>0</v>
          </cell>
          <cell r="K111">
            <v>0</v>
          </cell>
          <cell r="L111">
            <v>0</v>
          </cell>
          <cell r="M111">
            <v>0</v>
          </cell>
          <cell r="N111">
            <v>0</v>
          </cell>
          <cell r="O111">
            <v>0</v>
          </cell>
          <cell r="P111">
            <v>0</v>
          </cell>
          <cell r="Q111">
            <v>5788</v>
          </cell>
        </row>
        <row r="112">
          <cell r="A112" t="str">
            <v>US22P015903121300013</v>
          </cell>
          <cell r="B112" t="str">
            <v>US22P01590</v>
          </cell>
          <cell r="C112">
            <v>3121300013</v>
          </cell>
          <cell r="D112" t="str">
            <v>FRINGE BENEFITS</v>
          </cell>
          <cell r="E112">
            <v>1663</v>
          </cell>
          <cell r="F112">
            <v>1498</v>
          </cell>
          <cell r="G112">
            <v>708</v>
          </cell>
          <cell r="H112">
            <v>0</v>
          </cell>
          <cell r="I112">
            <v>0</v>
          </cell>
          <cell r="J112">
            <v>0</v>
          </cell>
          <cell r="K112">
            <v>0</v>
          </cell>
          <cell r="L112">
            <v>0</v>
          </cell>
          <cell r="M112">
            <v>0</v>
          </cell>
          <cell r="N112">
            <v>0</v>
          </cell>
          <cell r="O112">
            <v>0</v>
          </cell>
          <cell r="P112">
            <v>0</v>
          </cell>
          <cell r="Q112">
            <v>3869</v>
          </cell>
        </row>
        <row r="113">
          <cell r="A113" t="str">
            <v>US22P015923121300013</v>
          </cell>
          <cell r="B113" t="str">
            <v>US22P01592</v>
          </cell>
          <cell r="C113">
            <v>3121300013</v>
          </cell>
          <cell r="D113" t="str">
            <v>FRINGE BENEFITS</v>
          </cell>
          <cell r="E113">
            <v>0</v>
          </cell>
          <cell r="F113">
            <v>0</v>
          </cell>
          <cell r="G113">
            <v>862</v>
          </cell>
          <cell r="H113">
            <v>0</v>
          </cell>
          <cell r="I113">
            <v>0</v>
          </cell>
          <cell r="J113">
            <v>0</v>
          </cell>
          <cell r="K113">
            <v>0</v>
          </cell>
          <cell r="L113">
            <v>0</v>
          </cell>
          <cell r="M113">
            <v>0</v>
          </cell>
          <cell r="N113">
            <v>0</v>
          </cell>
          <cell r="O113">
            <v>0</v>
          </cell>
          <cell r="P113">
            <v>0</v>
          </cell>
          <cell r="Q113">
            <v>862</v>
          </cell>
        </row>
        <row r="114">
          <cell r="A114" t="str">
            <v>US28MZA1503121300013</v>
          </cell>
          <cell r="B114" t="str">
            <v>US28MZA150</v>
          </cell>
          <cell r="C114">
            <v>3121300013</v>
          </cell>
          <cell r="D114" t="str">
            <v>FRINGE BENEFITS</v>
          </cell>
          <cell r="E114">
            <v>4818</v>
          </cell>
          <cell r="F114">
            <v>3588</v>
          </cell>
          <cell r="G114">
            <v>3851</v>
          </cell>
          <cell r="H114">
            <v>0</v>
          </cell>
          <cell r="I114">
            <v>0</v>
          </cell>
          <cell r="J114">
            <v>0</v>
          </cell>
          <cell r="K114">
            <v>0</v>
          </cell>
          <cell r="L114">
            <v>0</v>
          </cell>
          <cell r="M114">
            <v>0</v>
          </cell>
          <cell r="N114">
            <v>0</v>
          </cell>
          <cell r="O114">
            <v>0</v>
          </cell>
          <cell r="P114">
            <v>0</v>
          </cell>
          <cell r="Q114">
            <v>12257</v>
          </cell>
        </row>
        <row r="115">
          <cell r="A115" t="str">
            <v>US28MZA1553121300013</v>
          </cell>
          <cell r="B115" t="str">
            <v>US28MZA155</v>
          </cell>
          <cell r="C115">
            <v>3121300013</v>
          </cell>
          <cell r="D115" t="str">
            <v>FRINGE BENEFITS</v>
          </cell>
          <cell r="E115">
            <v>1721</v>
          </cell>
          <cell r="F115">
            <v>1857</v>
          </cell>
          <cell r="G115">
            <v>1488</v>
          </cell>
          <cell r="H115">
            <v>0</v>
          </cell>
          <cell r="I115">
            <v>0</v>
          </cell>
          <cell r="J115">
            <v>0</v>
          </cell>
          <cell r="K115">
            <v>0</v>
          </cell>
          <cell r="L115">
            <v>0</v>
          </cell>
          <cell r="M115">
            <v>0</v>
          </cell>
          <cell r="N115">
            <v>0</v>
          </cell>
          <cell r="O115">
            <v>0</v>
          </cell>
          <cell r="P115">
            <v>0</v>
          </cell>
          <cell r="Q115">
            <v>5066</v>
          </cell>
        </row>
        <row r="116">
          <cell r="A116" t="str">
            <v>US28P015013121300013</v>
          </cell>
          <cell r="B116" t="str">
            <v>US28P01501</v>
          </cell>
          <cell r="C116">
            <v>3121300013</v>
          </cell>
          <cell r="D116" t="str">
            <v>FRINGE BENEFITS</v>
          </cell>
          <cell r="E116">
            <v>11904</v>
          </cell>
          <cell r="F116">
            <v>11926</v>
          </cell>
          <cell r="G116">
            <v>12416</v>
          </cell>
          <cell r="H116">
            <v>0</v>
          </cell>
          <cell r="I116">
            <v>0</v>
          </cell>
          <cell r="J116">
            <v>0</v>
          </cell>
          <cell r="K116">
            <v>0</v>
          </cell>
          <cell r="L116">
            <v>0</v>
          </cell>
          <cell r="M116">
            <v>0</v>
          </cell>
          <cell r="N116">
            <v>0</v>
          </cell>
          <cell r="O116">
            <v>0</v>
          </cell>
          <cell r="P116">
            <v>0</v>
          </cell>
          <cell r="Q116">
            <v>36246</v>
          </cell>
        </row>
        <row r="117">
          <cell r="A117" t="str">
            <v>US28P015503121300013</v>
          </cell>
          <cell r="B117" t="str">
            <v>US28P01550</v>
          </cell>
          <cell r="C117">
            <v>3121300013</v>
          </cell>
          <cell r="D117" t="str">
            <v>FRINGE BENEFITS</v>
          </cell>
          <cell r="E117">
            <v>1029</v>
          </cell>
          <cell r="F117">
            <v>-404</v>
          </cell>
          <cell r="G117">
            <v>202</v>
          </cell>
          <cell r="H117">
            <v>0</v>
          </cell>
          <cell r="I117">
            <v>0</v>
          </cell>
          <cell r="J117">
            <v>0</v>
          </cell>
          <cell r="K117">
            <v>0</v>
          </cell>
          <cell r="L117">
            <v>0</v>
          </cell>
          <cell r="M117">
            <v>0</v>
          </cell>
          <cell r="N117">
            <v>0</v>
          </cell>
          <cell r="O117">
            <v>0</v>
          </cell>
          <cell r="P117">
            <v>0</v>
          </cell>
          <cell r="Q117">
            <v>827</v>
          </cell>
        </row>
        <row r="118">
          <cell r="A118" t="str">
            <v>US28P015603121300013</v>
          </cell>
          <cell r="B118" t="str">
            <v>US28P01560</v>
          </cell>
          <cell r="C118">
            <v>3121300013</v>
          </cell>
          <cell r="D118" t="str">
            <v>FRINGE BENEFITS</v>
          </cell>
          <cell r="E118">
            <v>10309</v>
          </cell>
          <cell r="F118">
            <v>8016</v>
          </cell>
          <cell r="G118">
            <v>8203</v>
          </cell>
          <cell r="H118">
            <v>0</v>
          </cell>
          <cell r="I118">
            <v>0</v>
          </cell>
          <cell r="J118">
            <v>0</v>
          </cell>
          <cell r="K118">
            <v>0</v>
          </cell>
          <cell r="L118">
            <v>0</v>
          </cell>
          <cell r="M118">
            <v>0</v>
          </cell>
          <cell r="N118">
            <v>0</v>
          </cell>
          <cell r="O118">
            <v>0</v>
          </cell>
          <cell r="P118">
            <v>0</v>
          </cell>
          <cell r="Q118">
            <v>26528</v>
          </cell>
        </row>
        <row r="119">
          <cell r="A119" t="str">
            <v>US28P015853121300013</v>
          </cell>
          <cell r="B119" t="str">
            <v>US28P01585</v>
          </cell>
          <cell r="C119">
            <v>3121300013</v>
          </cell>
          <cell r="D119" t="str">
            <v>FRINGE BENEFITS</v>
          </cell>
          <cell r="E119">
            <v>2800</v>
          </cell>
          <cell r="F119">
            <v>3620</v>
          </cell>
          <cell r="G119">
            <v>3182</v>
          </cell>
          <cell r="H119">
            <v>0</v>
          </cell>
          <cell r="I119">
            <v>0</v>
          </cell>
          <cell r="J119">
            <v>0</v>
          </cell>
          <cell r="K119">
            <v>0</v>
          </cell>
          <cell r="L119">
            <v>0</v>
          </cell>
          <cell r="M119">
            <v>0</v>
          </cell>
          <cell r="N119">
            <v>0</v>
          </cell>
          <cell r="O119">
            <v>0</v>
          </cell>
          <cell r="P119">
            <v>0</v>
          </cell>
          <cell r="Q119">
            <v>9602</v>
          </cell>
        </row>
        <row r="120">
          <cell r="A120" t="str">
            <v>US28P015903121300013</v>
          </cell>
          <cell r="B120" t="str">
            <v>US28P01590</v>
          </cell>
          <cell r="C120">
            <v>3121300013</v>
          </cell>
          <cell r="D120" t="str">
            <v>FRINGE BENEFITS</v>
          </cell>
          <cell r="E120">
            <v>1241</v>
          </cell>
          <cell r="F120">
            <v>971</v>
          </cell>
          <cell r="G120">
            <v>1015</v>
          </cell>
          <cell r="H120">
            <v>0</v>
          </cell>
          <cell r="I120">
            <v>0</v>
          </cell>
          <cell r="J120">
            <v>0</v>
          </cell>
          <cell r="K120">
            <v>0</v>
          </cell>
          <cell r="L120">
            <v>0</v>
          </cell>
          <cell r="M120">
            <v>0</v>
          </cell>
          <cell r="N120">
            <v>0</v>
          </cell>
          <cell r="O120">
            <v>0</v>
          </cell>
          <cell r="P120">
            <v>0</v>
          </cell>
          <cell r="Q120">
            <v>3227</v>
          </cell>
        </row>
        <row r="121">
          <cell r="A121" t="str">
            <v>US35MZA1503121300013</v>
          </cell>
          <cell r="B121" t="str">
            <v>US35MZA150</v>
          </cell>
          <cell r="C121">
            <v>3121300013</v>
          </cell>
          <cell r="D121" t="str">
            <v>FRINGE BENEFITS</v>
          </cell>
          <cell r="E121">
            <v>9233</v>
          </cell>
          <cell r="F121">
            <v>10913</v>
          </cell>
          <cell r="G121">
            <v>8678</v>
          </cell>
          <cell r="H121">
            <v>0</v>
          </cell>
          <cell r="I121">
            <v>0</v>
          </cell>
          <cell r="J121">
            <v>0</v>
          </cell>
          <cell r="K121">
            <v>0</v>
          </cell>
          <cell r="L121">
            <v>0</v>
          </cell>
          <cell r="M121">
            <v>0</v>
          </cell>
          <cell r="N121">
            <v>0</v>
          </cell>
          <cell r="O121">
            <v>0</v>
          </cell>
          <cell r="P121">
            <v>0</v>
          </cell>
          <cell r="Q121">
            <v>28824</v>
          </cell>
        </row>
        <row r="122">
          <cell r="A122" t="str">
            <v>US35MZA1553121300013</v>
          </cell>
          <cell r="B122" t="str">
            <v>US35MZA155</v>
          </cell>
          <cell r="C122">
            <v>3121300013</v>
          </cell>
          <cell r="D122" t="str">
            <v>FRINGE BENEFITS</v>
          </cell>
          <cell r="E122">
            <v>2847</v>
          </cell>
          <cell r="F122">
            <v>3154</v>
          </cell>
          <cell r="G122">
            <v>2857</v>
          </cell>
          <cell r="H122">
            <v>0</v>
          </cell>
          <cell r="I122">
            <v>0</v>
          </cell>
          <cell r="J122">
            <v>0</v>
          </cell>
          <cell r="K122">
            <v>0</v>
          </cell>
          <cell r="L122">
            <v>0</v>
          </cell>
          <cell r="M122">
            <v>0</v>
          </cell>
          <cell r="N122">
            <v>0</v>
          </cell>
          <cell r="O122">
            <v>0</v>
          </cell>
          <cell r="P122">
            <v>0</v>
          </cell>
          <cell r="Q122">
            <v>8858</v>
          </cell>
        </row>
        <row r="123">
          <cell r="A123" t="str">
            <v>US35P015013121300013</v>
          </cell>
          <cell r="B123" t="str">
            <v>US35P01501</v>
          </cell>
          <cell r="C123">
            <v>3121300013</v>
          </cell>
          <cell r="D123" t="str">
            <v>FRINGE BENEFITS</v>
          </cell>
          <cell r="E123">
            <v>14277</v>
          </cell>
          <cell r="F123">
            <v>13304</v>
          </cell>
          <cell r="G123">
            <v>14280</v>
          </cell>
          <cell r="H123">
            <v>0</v>
          </cell>
          <cell r="I123">
            <v>0</v>
          </cell>
          <cell r="J123">
            <v>0</v>
          </cell>
          <cell r="K123">
            <v>0</v>
          </cell>
          <cell r="L123">
            <v>0</v>
          </cell>
          <cell r="M123">
            <v>0</v>
          </cell>
          <cell r="N123">
            <v>0</v>
          </cell>
          <cell r="O123">
            <v>0</v>
          </cell>
          <cell r="P123">
            <v>0</v>
          </cell>
          <cell r="Q123">
            <v>41861</v>
          </cell>
        </row>
        <row r="124">
          <cell r="A124" t="str">
            <v>US35P015603121300013</v>
          </cell>
          <cell r="B124" t="str">
            <v>US35P01560</v>
          </cell>
          <cell r="C124">
            <v>3121300013</v>
          </cell>
          <cell r="D124" t="str">
            <v>FRINGE BENEFITS</v>
          </cell>
          <cell r="E124">
            <v>9040</v>
          </cell>
          <cell r="F124">
            <v>5786</v>
          </cell>
          <cell r="G124">
            <v>6266</v>
          </cell>
          <cell r="H124">
            <v>0</v>
          </cell>
          <cell r="I124">
            <v>0</v>
          </cell>
          <cell r="J124">
            <v>0</v>
          </cell>
          <cell r="K124">
            <v>0</v>
          </cell>
          <cell r="L124">
            <v>0</v>
          </cell>
          <cell r="M124">
            <v>0</v>
          </cell>
          <cell r="N124">
            <v>0</v>
          </cell>
          <cell r="O124">
            <v>0</v>
          </cell>
          <cell r="P124">
            <v>0</v>
          </cell>
          <cell r="Q124">
            <v>21092</v>
          </cell>
        </row>
        <row r="125">
          <cell r="A125" t="str">
            <v>US35P015853121300013</v>
          </cell>
          <cell r="B125" t="str">
            <v>US35P01585</v>
          </cell>
          <cell r="C125">
            <v>3121300013</v>
          </cell>
          <cell r="D125" t="str">
            <v>FRINGE BENEFITS</v>
          </cell>
          <cell r="E125">
            <v>2425</v>
          </cell>
          <cell r="F125">
            <v>2761</v>
          </cell>
          <cell r="G125">
            <v>2040</v>
          </cell>
          <cell r="H125">
            <v>0</v>
          </cell>
          <cell r="I125">
            <v>0</v>
          </cell>
          <cell r="J125">
            <v>0</v>
          </cell>
          <cell r="K125">
            <v>0</v>
          </cell>
          <cell r="L125">
            <v>0</v>
          </cell>
          <cell r="M125">
            <v>0</v>
          </cell>
          <cell r="N125">
            <v>0</v>
          </cell>
          <cell r="O125">
            <v>0</v>
          </cell>
          <cell r="P125">
            <v>0</v>
          </cell>
          <cell r="Q125">
            <v>7226</v>
          </cell>
        </row>
        <row r="126">
          <cell r="A126" t="str">
            <v>US35P015903121300013</v>
          </cell>
          <cell r="B126" t="str">
            <v>US35P01590</v>
          </cell>
          <cell r="C126">
            <v>3121300013</v>
          </cell>
          <cell r="D126" t="str">
            <v>FRINGE BENEFITS</v>
          </cell>
          <cell r="E126">
            <v>1040</v>
          </cell>
          <cell r="F126">
            <v>416</v>
          </cell>
          <cell r="G126">
            <v>592</v>
          </cell>
          <cell r="H126">
            <v>0</v>
          </cell>
          <cell r="I126">
            <v>0</v>
          </cell>
          <cell r="J126">
            <v>0</v>
          </cell>
          <cell r="K126">
            <v>0</v>
          </cell>
          <cell r="L126">
            <v>0</v>
          </cell>
          <cell r="M126">
            <v>0</v>
          </cell>
          <cell r="N126">
            <v>0</v>
          </cell>
          <cell r="O126">
            <v>0</v>
          </cell>
          <cell r="P126">
            <v>0</v>
          </cell>
          <cell r="Q126">
            <v>2048</v>
          </cell>
        </row>
        <row r="127">
          <cell r="A127" t="str">
            <v>US59MZA1503121300013</v>
          </cell>
          <cell r="B127" t="str">
            <v>US59MZA150</v>
          </cell>
          <cell r="C127">
            <v>3121300013</v>
          </cell>
          <cell r="D127" t="str">
            <v>FRINGE BENEFITS</v>
          </cell>
          <cell r="E127">
            <v>4590</v>
          </cell>
          <cell r="F127">
            <v>5692</v>
          </cell>
          <cell r="G127">
            <v>5418</v>
          </cell>
          <cell r="H127">
            <v>0</v>
          </cell>
          <cell r="I127">
            <v>0</v>
          </cell>
          <cell r="J127">
            <v>0</v>
          </cell>
          <cell r="K127">
            <v>0</v>
          </cell>
          <cell r="L127">
            <v>0</v>
          </cell>
          <cell r="M127">
            <v>0</v>
          </cell>
          <cell r="N127">
            <v>0</v>
          </cell>
          <cell r="O127">
            <v>0</v>
          </cell>
          <cell r="P127">
            <v>0</v>
          </cell>
          <cell r="Q127">
            <v>15700</v>
          </cell>
        </row>
        <row r="128">
          <cell r="A128" t="str">
            <v>US59MZA1553121300013</v>
          </cell>
          <cell r="B128" t="str">
            <v>US59MZA155</v>
          </cell>
          <cell r="C128">
            <v>3121300013</v>
          </cell>
          <cell r="D128" t="str">
            <v>FRINGE BENEFITS</v>
          </cell>
          <cell r="E128">
            <v>1981</v>
          </cell>
          <cell r="F128">
            <v>3993</v>
          </cell>
          <cell r="G128">
            <v>1662</v>
          </cell>
          <cell r="H128">
            <v>0</v>
          </cell>
          <cell r="I128">
            <v>0</v>
          </cell>
          <cell r="J128">
            <v>0</v>
          </cell>
          <cell r="K128">
            <v>0</v>
          </cell>
          <cell r="L128">
            <v>0</v>
          </cell>
          <cell r="M128">
            <v>0</v>
          </cell>
          <cell r="N128">
            <v>0</v>
          </cell>
          <cell r="O128">
            <v>0</v>
          </cell>
          <cell r="P128">
            <v>0</v>
          </cell>
          <cell r="Q128">
            <v>7636</v>
          </cell>
        </row>
        <row r="129">
          <cell r="A129" t="str">
            <v>US59P015013121300013</v>
          </cell>
          <cell r="B129" t="str">
            <v>US59P01501</v>
          </cell>
          <cell r="C129">
            <v>3121300013</v>
          </cell>
          <cell r="D129" t="str">
            <v>FRINGE BENEFITS</v>
          </cell>
          <cell r="E129">
            <v>9312</v>
          </cell>
          <cell r="F129">
            <v>9636</v>
          </cell>
          <cell r="G129">
            <v>7324</v>
          </cell>
          <cell r="H129">
            <v>0</v>
          </cell>
          <cell r="I129">
            <v>0</v>
          </cell>
          <cell r="J129">
            <v>0</v>
          </cell>
          <cell r="K129">
            <v>0</v>
          </cell>
          <cell r="L129">
            <v>0</v>
          </cell>
          <cell r="M129">
            <v>0</v>
          </cell>
          <cell r="N129">
            <v>0</v>
          </cell>
          <cell r="O129">
            <v>0</v>
          </cell>
          <cell r="P129">
            <v>0</v>
          </cell>
          <cell r="Q129">
            <v>26272</v>
          </cell>
        </row>
        <row r="130">
          <cell r="A130" t="str">
            <v>US59P015503121300013</v>
          </cell>
          <cell r="B130" t="str">
            <v>US59P01550</v>
          </cell>
          <cell r="C130">
            <v>3121300013</v>
          </cell>
          <cell r="D130" t="str">
            <v>FRINGE BENEFITS</v>
          </cell>
          <cell r="E130">
            <v>516</v>
          </cell>
          <cell r="F130">
            <v>-169</v>
          </cell>
          <cell r="G130">
            <v>871</v>
          </cell>
          <cell r="H130">
            <v>0</v>
          </cell>
          <cell r="I130">
            <v>0</v>
          </cell>
          <cell r="J130">
            <v>0</v>
          </cell>
          <cell r="K130">
            <v>0</v>
          </cell>
          <cell r="L130">
            <v>0</v>
          </cell>
          <cell r="M130">
            <v>0</v>
          </cell>
          <cell r="N130">
            <v>0</v>
          </cell>
          <cell r="O130">
            <v>0</v>
          </cell>
          <cell r="P130">
            <v>0</v>
          </cell>
          <cell r="Q130">
            <v>1218</v>
          </cell>
        </row>
        <row r="131">
          <cell r="A131" t="str">
            <v>US59P015603121300013</v>
          </cell>
          <cell r="B131" t="str">
            <v>US59P01560</v>
          </cell>
          <cell r="C131">
            <v>3121300013</v>
          </cell>
          <cell r="D131" t="str">
            <v>FRINGE BENEFITS</v>
          </cell>
          <cell r="E131">
            <v>8516</v>
          </cell>
          <cell r="F131">
            <v>7002</v>
          </cell>
          <cell r="G131">
            <v>5114</v>
          </cell>
          <cell r="H131">
            <v>0</v>
          </cell>
          <cell r="I131">
            <v>0</v>
          </cell>
          <cell r="J131">
            <v>0</v>
          </cell>
          <cell r="K131">
            <v>0</v>
          </cell>
          <cell r="L131">
            <v>0</v>
          </cell>
          <cell r="M131">
            <v>0</v>
          </cell>
          <cell r="N131">
            <v>0</v>
          </cell>
          <cell r="O131">
            <v>0</v>
          </cell>
          <cell r="P131">
            <v>0</v>
          </cell>
          <cell r="Q131">
            <v>20632</v>
          </cell>
        </row>
        <row r="132">
          <cell r="A132" t="str">
            <v>US59P015753121300013</v>
          </cell>
          <cell r="B132" t="str">
            <v>US59P01575</v>
          </cell>
          <cell r="C132">
            <v>3121300013</v>
          </cell>
          <cell r="D132" t="str">
            <v>FRINGE BENEFITS</v>
          </cell>
          <cell r="E132">
            <v>-273</v>
          </cell>
          <cell r="F132">
            <v>-308</v>
          </cell>
          <cell r="G132">
            <v>989</v>
          </cell>
          <cell r="H132">
            <v>0</v>
          </cell>
          <cell r="I132">
            <v>0</v>
          </cell>
          <cell r="J132">
            <v>0</v>
          </cell>
          <cell r="K132">
            <v>0</v>
          </cell>
          <cell r="L132">
            <v>0</v>
          </cell>
          <cell r="M132">
            <v>0</v>
          </cell>
          <cell r="N132">
            <v>0</v>
          </cell>
          <cell r="O132">
            <v>0</v>
          </cell>
          <cell r="P132">
            <v>0</v>
          </cell>
          <cell r="Q132">
            <v>408</v>
          </cell>
        </row>
        <row r="133">
          <cell r="A133" t="str">
            <v>US59P015903121300013</v>
          </cell>
          <cell r="B133" t="str">
            <v>US59P01590</v>
          </cell>
          <cell r="C133">
            <v>3121300013</v>
          </cell>
          <cell r="D133" t="str">
            <v>FRINGE BENEFITS</v>
          </cell>
          <cell r="E133">
            <v>2077</v>
          </cell>
          <cell r="F133">
            <v>2212</v>
          </cell>
          <cell r="G133">
            <v>2077</v>
          </cell>
          <cell r="H133">
            <v>0</v>
          </cell>
          <cell r="I133">
            <v>0</v>
          </cell>
          <cell r="J133">
            <v>0</v>
          </cell>
          <cell r="K133">
            <v>0</v>
          </cell>
          <cell r="L133">
            <v>0</v>
          </cell>
          <cell r="M133">
            <v>0</v>
          </cell>
          <cell r="N133">
            <v>0</v>
          </cell>
          <cell r="O133">
            <v>0</v>
          </cell>
          <cell r="P133">
            <v>0</v>
          </cell>
          <cell r="Q133">
            <v>6366</v>
          </cell>
        </row>
        <row r="134">
          <cell r="A134" t="str">
            <v>US59P3C5013121300013</v>
          </cell>
          <cell r="B134" t="str">
            <v>US59P3C501</v>
          </cell>
          <cell r="C134">
            <v>3121300013</v>
          </cell>
          <cell r="D134" t="str">
            <v>FRINGE BENEFITS</v>
          </cell>
          <cell r="E134">
            <v>3179</v>
          </cell>
          <cell r="F134">
            <v>4181</v>
          </cell>
          <cell r="G134">
            <v>3921</v>
          </cell>
          <cell r="H134">
            <v>0</v>
          </cell>
          <cell r="I134">
            <v>0</v>
          </cell>
          <cell r="J134">
            <v>0</v>
          </cell>
          <cell r="K134">
            <v>0</v>
          </cell>
          <cell r="L134">
            <v>0</v>
          </cell>
          <cell r="M134">
            <v>0</v>
          </cell>
          <cell r="N134">
            <v>0</v>
          </cell>
          <cell r="O134">
            <v>0</v>
          </cell>
          <cell r="P134">
            <v>0</v>
          </cell>
          <cell r="Q134">
            <v>11281</v>
          </cell>
        </row>
        <row r="135">
          <cell r="A135" t="str">
            <v>US59P3C5503121300013</v>
          </cell>
          <cell r="B135" t="str">
            <v>US59P3C550</v>
          </cell>
          <cell r="C135">
            <v>3121300013</v>
          </cell>
          <cell r="D135" t="str">
            <v>FRINGE BENEFITS</v>
          </cell>
          <cell r="E135">
            <v>932</v>
          </cell>
          <cell r="F135">
            <v>0</v>
          </cell>
          <cell r="G135">
            <v>0</v>
          </cell>
          <cell r="H135">
            <v>0</v>
          </cell>
          <cell r="I135">
            <v>0</v>
          </cell>
          <cell r="J135">
            <v>0</v>
          </cell>
          <cell r="K135">
            <v>0</v>
          </cell>
          <cell r="L135">
            <v>0</v>
          </cell>
          <cell r="M135">
            <v>0</v>
          </cell>
          <cell r="N135">
            <v>0</v>
          </cell>
          <cell r="O135">
            <v>0</v>
          </cell>
          <cell r="P135">
            <v>0</v>
          </cell>
          <cell r="Q135">
            <v>932</v>
          </cell>
        </row>
        <row r="136">
          <cell r="A136" t="str">
            <v>US59P3C5603121300013</v>
          </cell>
          <cell r="B136" t="str">
            <v>US59P3C560</v>
          </cell>
          <cell r="C136">
            <v>3121300013</v>
          </cell>
          <cell r="D136" t="str">
            <v>FRINGE BENEFITS</v>
          </cell>
          <cell r="E136">
            <v>5900</v>
          </cell>
          <cell r="F136">
            <v>6672</v>
          </cell>
          <cell r="G136">
            <v>2351</v>
          </cell>
          <cell r="H136">
            <v>0</v>
          </cell>
          <cell r="I136">
            <v>0</v>
          </cell>
          <cell r="J136">
            <v>0</v>
          </cell>
          <cell r="K136">
            <v>0</v>
          </cell>
          <cell r="L136">
            <v>0</v>
          </cell>
          <cell r="M136">
            <v>0</v>
          </cell>
          <cell r="N136">
            <v>0</v>
          </cell>
          <cell r="O136">
            <v>0</v>
          </cell>
          <cell r="P136">
            <v>0</v>
          </cell>
          <cell r="Q136">
            <v>14923</v>
          </cell>
        </row>
        <row r="137">
          <cell r="A137" t="str">
            <v>US59PZA5013121300013</v>
          </cell>
          <cell r="B137" t="str">
            <v>US59PZA501</v>
          </cell>
          <cell r="C137">
            <v>3121300013</v>
          </cell>
          <cell r="D137" t="str">
            <v>FRINGE BENEFITS</v>
          </cell>
          <cell r="E137">
            <v>4747</v>
          </cell>
          <cell r="F137">
            <v>4747</v>
          </cell>
          <cell r="G137">
            <v>4747</v>
          </cell>
          <cell r="H137">
            <v>0</v>
          </cell>
          <cell r="I137">
            <v>0</v>
          </cell>
          <cell r="J137">
            <v>0</v>
          </cell>
          <cell r="K137">
            <v>0</v>
          </cell>
          <cell r="L137">
            <v>0</v>
          </cell>
          <cell r="M137">
            <v>0</v>
          </cell>
          <cell r="N137">
            <v>0</v>
          </cell>
          <cell r="O137">
            <v>0</v>
          </cell>
          <cell r="P137">
            <v>0</v>
          </cell>
          <cell r="Q137">
            <v>14241</v>
          </cell>
        </row>
        <row r="138">
          <cell r="A138" t="str">
            <v>US59PZA5503121300013</v>
          </cell>
          <cell r="B138" t="str">
            <v>US59PZA550</v>
          </cell>
          <cell r="C138">
            <v>3121300013</v>
          </cell>
          <cell r="D138" t="str">
            <v>FRINGE BENEFITS</v>
          </cell>
          <cell r="E138">
            <v>146</v>
          </cell>
          <cell r="F138">
            <v>-311</v>
          </cell>
          <cell r="G138">
            <v>924</v>
          </cell>
          <cell r="H138">
            <v>0</v>
          </cell>
          <cell r="I138">
            <v>0</v>
          </cell>
          <cell r="J138">
            <v>0</v>
          </cell>
          <cell r="K138">
            <v>0</v>
          </cell>
          <cell r="L138">
            <v>0</v>
          </cell>
          <cell r="M138">
            <v>0</v>
          </cell>
          <cell r="N138">
            <v>0</v>
          </cell>
          <cell r="O138">
            <v>0</v>
          </cell>
          <cell r="P138">
            <v>0</v>
          </cell>
          <cell r="Q138">
            <v>759</v>
          </cell>
        </row>
        <row r="139">
          <cell r="A139" t="str">
            <v>US59PZA5603121300013</v>
          </cell>
          <cell r="B139" t="str">
            <v>US59PZA560</v>
          </cell>
          <cell r="C139">
            <v>3121300013</v>
          </cell>
          <cell r="D139" t="str">
            <v>FRINGE BENEFITS</v>
          </cell>
          <cell r="E139">
            <v>-316</v>
          </cell>
          <cell r="F139">
            <v>-736</v>
          </cell>
          <cell r="G139">
            <v>2745</v>
          </cell>
          <cell r="H139">
            <v>0</v>
          </cell>
          <cell r="I139">
            <v>0</v>
          </cell>
          <cell r="J139">
            <v>0</v>
          </cell>
          <cell r="K139">
            <v>0</v>
          </cell>
          <cell r="L139">
            <v>0</v>
          </cell>
          <cell r="M139">
            <v>0</v>
          </cell>
          <cell r="N139">
            <v>0</v>
          </cell>
          <cell r="O139">
            <v>0</v>
          </cell>
          <cell r="P139">
            <v>0</v>
          </cell>
          <cell r="Q139">
            <v>1693</v>
          </cell>
        </row>
        <row r="140">
          <cell r="A140" t="str">
            <v>USCRMZA1503121300013</v>
          </cell>
          <cell r="B140" t="str">
            <v>USCRMZA150</v>
          </cell>
          <cell r="C140">
            <v>3121300013</v>
          </cell>
          <cell r="D140" t="str">
            <v>FRINGE BENEFITS</v>
          </cell>
          <cell r="E140">
            <v>13331</v>
          </cell>
          <cell r="F140">
            <v>13592</v>
          </cell>
          <cell r="G140">
            <v>15240</v>
          </cell>
          <cell r="H140">
            <v>0</v>
          </cell>
          <cell r="I140">
            <v>0</v>
          </cell>
          <cell r="J140">
            <v>0</v>
          </cell>
          <cell r="K140">
            <v>0</v>
          </cell>
          <cell r="L140">
            <v>0</v>
          </cell>
          <cell r="M140">
            <v>0</v>
          </cell>
          <cell r="N140">
            <v>0</v>
          </cell>
          <cell r="O140">
            <v>0</v>
          </cell>
          <cell r="P140">
            <v>0</v>
          </cell>
          <cell r="Q140">
            <v>42163</v>
          </cell>
        </row>
        <row r="141">
          <cell r="A141" t="str">
            <v>USCRP015013121300013</v>
          </cell>
          <cell r="B141" t="str">
            <v>USCRP01501</v>
          </cell>
          <cell r="C141">
            <v>3121300013</v>
          </cell>
          <cell r="D141" t="str">
            <v>FRINGE BENEFITS</v>
          </cell>
          <cell r="E141">
            <v>8982</v>
          </cell>
          <cell r="F141">
            <v>8820</v>
          </cell>
          <cell r="G141">
            <v>12038</v>
          </cell>
          <cell r="H141">
            <v>0</v>
          </cell>
          <cell r="I141">
            <v>0</v>
          </cell>
          <cell r="J141">
            <v>0</v>
          </cell>
          <cell r="K141">
            <v>0</v>
          </cell>
          <cell r="L141">
            <v>0</v>
          </cell>
          <cell r="M141">
            <v>0</v>
          </cell>
          <cell r="N141">
            <v>0</v>
          </cell>
          <cell r="O141">
            <v>0</v>
          </cell>
          <cell r="P141">
            <v>0</v>
          </cell>
          <cell r="Q141">
            <v>29840</v>
          </cell>
        </row>
        <row r="142">
          <cell r="A142" t="str">
            <v>USCRP015503121300013</v>
          </cell>
          <cell r="B142" t="str">
            <v>USCRP01550</v>
          </cell>
          <cell r="C142">
            <v>3121300013</v>
          </cell>
          <cell r="D142" t="str">
            <v>FRINGE BENEFITS</v>
          </cell>
          <cell r="E142">
            <v>-139</v>
          </cell>
          <cell r="F142">
            <v>-139</v>
          </cell>
          <cell r="G142">
            <v>69</v>
          </cell>
          <cell r="H142">
            <v>0</v>
          </cell>
          <cell r="I142">
            <v>0</v>
          </cell>
          <cell r="J142">
            <v>0</v>
          </cell>
          <cell r="K142">
            <v>0</v>
          </cell>
          <cell r="L142">
            <v>0</v>
          </cell>
          <cell r="M142">
            <v>0</v>
          </cell>
          <cell r="N142">
            <v>0</v>
          </cell>
          <cell r="O142">
            <v>0</v>
          </cell>
          <cell r="P142">
            <v>0</v>
          </cell>
          <cell r="Q142">
            <v>-209</v>
          </cell>
        </row>
        <row r="143">
          <cell r="A143" t="str">
            <v>USCRP015603121300013</v>
          </cell>
          <cell r="B143" t="str">
            <v>USCRP01560</v>
          </cell>
          <cell r="C143">
            <v>3121300013</v>
          </cell>
          <cell r="D143" t="str">
            <v>FRINGE BENEFITS</v>
          </cell>
          <cell r="E143">
            <v>8439</v>
          </cell>
          <cell r="F143">
            <v>769</v>
          </cell>
          <cell r="G143">
            <v>2211</v>
          </cell>
          <cell r="H143">
            <v>0</v>
          </cell>
          <cell r="I143">
            <v>0</v>
          </cell>
          <cell r="J143">
            <v>0</v>
          </cell>
          <cell r="K143">
            <v>0</v>
          </cell>
          <cell r="L143">
            <v>0</v>
          </cell>
          <cell r="M143">
            <v>0</v>
          </cell>
          <cell r="N143">
            <v>0</v>
          </cell>
          <cell r="O143">
            <v>0</v>
          </cell>
          <cell r="P143">
            <v>0</v>
          </cell>
          <cell r="Q143">
            <v>11419</v>
          </cell>
        </row>
        <row r="144">
          <cell r="A144" t="str">
            <v>USCRP015643121300013</v>
          </cell>
          <cell r="B144" t="str">
            <v>USCRP01564</v>
          </cell>
          <cell r="C144">
            <v>3121300013</v>
          </cell>
          <cell r="D144" t="str">
            <v>FRINGE BENEFITS</v>
          </cell>
          <cell r="E144">
            <v>0</v>
          </cell>
          <cell r="F144">
            <v>492</v>
          </cell>
          <cell r="G144">
            <v>0</v>
          </cell>
          <cell r="H144">
            <v>0</v>
          </cell>
          <cell r="I144">
            <v>0</v>
          </cell>
          <cell r="J144">
            <v>0</v>
          </cell>
          <cell r="K144">
            <v>0</v>
          </cell>
          <cell r="L144">
            <v>0</v>
          </cell>
          <cell r="M144">
            <v>0</v>
          </cell>
          <cell r="N144">
            <v>0</v>
          </cell>
          <cell r="O144">
            <v>0</v>
          </cell>
          <cell r="P144">
            <v>0</v>
          </cell>
          <cell r="Q144">
            <v>492</v>
          </cell>
        </row>
        <row r="145">
          <cell r="A145" t="str">
            <v>USCRP015753121300013</v>
          </cell>
          <cell r="B145" t="str">
            <v>USCRP01575</v>
          </cell>
          <cell r="C145">
            <v>3121300013</v>
          </cell>
          <cell r="D145" t="str">
            <v>FRINGE BENEFITS</v>
          </cell>
          <cell r="E145">
            <v>2505</v>
          </cell>
          <cell r="F145">
            <v>6275</v>
          </cell>
          <cell r="G145">
            <v>1657</v>
          </cell>
          <cell r="H145">
            <v>0</v>
          </cell>
          <cell r="I145">
            <v>0</v>
          </cell>
          <cell r="J145">
            <v>0</v>
          </cell>
          <cell r="K145">
            <v>0</v>
          </cell>
          <cell r="L145">
            <v>0</v>
          </cell>
          <cell r="M145">
            <v>0</v>
          </cell>
          <cell r="N145">
            <v>0</v>
          </cell>
          <cell r="O145">
            <v>0</v>
          </cell>
          <cell r="P145">
            <v>0</v>
          </cell>
          <cell r="Q145">
            <v>10437</v>
          </cell>
        </row>
        <row r="146">
          <cell r="A146" t="str">
            <v>USCRP015853121300013</v>
          </cell>
          <cell r="B146" t="str">
            <v>USCRP01585</v>
          </cell>
          <cell r="C146">
            <v>3121300013</v>
          </cell>
          <cell r="D146" t="str">
            <v>FRINGE BENEFITS</v>
          </cell>
          <cell r="E146">
            <v>3084</v>
          </cell>
          <cell r="F146">
            <v>4879</v>
          </cell>
          <cell r="G146">
            <v>3685</v>
          </cell>
          <cell r="H146">
            <v>0</v>
          </cell>
          <cell r="I146">
            <v>0</v>
          </cell>
          <cell r="J146">
            <v>0</v>
          </cell>
          <cell r="K146">
            <v>0</v>
          </cell>
          <cell r="L146">
            <v>0</v>
          </cell>
          <cell r="M146">
            <v>0</v>
          </cell>
          <cell r="N146">
            <v>0</v>
          </cell>
          <cell r="O146">
            <v>0</v>
          </cell>
          <cell r="P146">
            <v>0</v>
          </cell>
          <cell r="Q146">
            <v>11648</v>
          </cell>
        </row>
        <row r="147">
          <cell r="A147" t="str">
            <v>USWOMZA1503121300013</v>
          </cell>
          <cell r="B147" t="str">
            <v>USWOMZA150</v>
          </cell>
          <cell r="C147">
            <v>3121300013</v>
          </cell>
          <cell r="D147" t="str">
            <v>FRINGE BENEFITS</v>
          </cell>
          <cell r="E147">
            <v>18916</v>
          </cell>
          <cell r="F147">
            <v>10729</v>
          </cell>
          <cell r="G147">
            <v>9154</v>
          </cell>
          <cell r="H147">
            <v>0</v>
          </cell>
          <cell r="I147">
            <v>0</v>
          </cell>
          <cell r="J147">
            <v>0</v>
          </cell>
          <cell r="K147">
            <v>0</v>
          </cell>
          <cell r="L147">
            <v>0</v>
          </cell>
          <cell r="M147">
            <v>0</v>
          </cell>
          <cell r="N147">
            <v>0</v>
          </cell>
          <cell r="O147">
            <v>0</v>
          </cell>
          <cell r="P147">
            <v>0</v>
          </cell>
          <cell r="Q147">
            <v>38799</v>
          </cell>
        </row>
        <row r="148">
          <cell r="A148" t="str">
            <v>USWOMZA1553121300013</v>
          </cell>
          <cell r="B148" t="str">
            <v>USWOMZA155</v>
          </cell>
          <cell r="C148">
            <v>3121300013</v>
          </cell>
          <cell r="D148" t="str">
            <v>FRINGE BENEFITS</v>
          </cell>
          <cell r="E148">
            <v>0</v>
          </cell>
          <cell r="F148">
            <v>3119</v>
          </cell>
          <cell r="G148">
            <v>2724</v>
          </cell>
          <cell r="H148">
            <v>0</v>
          </cell>
          <cell r="I148">
            <v>0</v>
          </cell>
          <cell r="J148">
            <v>0</v>
          </cell>
          <cell r="K148">
            <v>0</v>
          </cell>
          <cell r="L148">
            <v>0</v>
          </cell>
          <cell r="M148">
            <v>0</v>
          </cell>
          <cell r="N148">
            <v>0</v>
          </cell>
          <cell r="O148">
            <v>0</v>
          </cell>
          <cell r="P148">
            <v>0</v>
          </cell>
          <cell r="Q148">
            <v>5843</v>
          </cell>
        </row>
        <row r="149">
          <cell r="A149" t="str">
            <v>USWOP015013121300013</v>
          </cell>
          <cell r="B149" t="str">
            <v>USWOP01501</v>
          </cell>
          <cell r="C149">
            <v>3121300013</v>
          </cell>
          <cell r="D149" t="str">
            <v>FRINGE BENEFITS</v>
          </cell>
          <cell r="E149">
            <v>12503</v>
          </cell>
          <cell r="F149">
            <v>13813</v>
          </cell>
          <cell r="G149">
            <v>19149</v>
          </cell>
          <cell r="H149">
            <v>0</v>
          </cell>
          <cell r="I149">
            <v>0</v>
          </cell>
          <cell r="J149">
            <v>0</v>
          </cell>
          <cell r="K149">
            <v>0</v>
          </cell>
          <cell r="L149">
            <v>0</v>
          </cell>
          <cell r="M149">
            <v>0</v>
          </cell>
          <cell r="N149">
            <v>0</v>
          </cell>
          <cell r="O149">
            <v>0</v>
          </cell>
          <cell r="P149">
            <v>0</v>
          </cell>
          <cell r="Q149">
            <v>45465</v>
          </cell>
        </row>
        <row r="150">
          <cell r="A150" t="str">
            <v>USWOP015533121300013</v>
          </cell>
          <cell r="B150" t="str">
            <v>USWOP01553</v>
          </cell>
          <cell r="C150">
            <v>3121300013</v>
          </cell>
          <cell r="D150" t="str">
            <v>FRINGE BENEFITS</v>
          </cell>
          <cell r="E150">
            <v>0</v>
          </cell>
          <cell r="F150">
            <v>1035</v>
          </cell>
          <cell r="G150">
            <v>0</v>
          </cell>
          <cell r="H150">
            <v>0</v>
          </cell>
          <cell r="I150">
            <v>0</v>
          </cell>
          <cell r="J150">
            <v>0</v>
          </cell>
          <cell r="K150">
            <v>0</v>
          </cell>
          <cell r="L150">
            <v>0</v>
          </cell>
          <cell r="M150">
            <v>0</v>
          </cell>
          <cell r="N150">
            <v>0</v>
          </cell>
          <cell r="O150">
            <v>0</v>
          </cell>
          <cell r="P150">
            <v>0</v>
          </cell>
          <cell r="Q150">
            <v>1035</v>
          </cell>
        </row>
        <row r="151">
          <cell r="A151" t="str">
            <v>USWOP015603121300013</v>
          </cell>
          <cell r="B151" t="str">
            <v>USWOP01560</v>
          </cell>
          <cell r="C151">
            <v>3121300013</v>
          </cell>
          <cell r="D151" t="str">
            <v>FRINGE BENEFITS</v>
          </cell>
          <cell r="E151">
            <v>5869</v>
          </cell>
          <cell r="F151">
            <v>11486</v>
          </cell>
          <cell r="G151">
            <v>8504</v>
          </cell>
          <cell r="H151">
            <v>0</v>
          </cell>
          <cell r="I151">
            <v>0</v>
          </cell>
          <cell r="J151">
            <v>0</v>
          </cell>
          <cell r="K151">
            <v>0</v>
          </cell>
          <cell r="L151">
            <v>0</v>
          </cell>
          <cell r="M151">
            <v>0</v>
          </cell>
          <cell r="N151">
            <v>0</v>
          </cell>
          <cell r="O151">
            <v>0</v>
          </cell>
          <cell r="P151">
            <v>0</v>
          </cell>
          <cell r="Q151">
            <v>25859</v>
          </cell>
        </row>
        <row r="152">
          <cell r="A152" t="str">
            <v>USWOP015753121300013</v>
          </cell>
          <cell r="B152" t="str">
            <v>USWOP01575</v>
          </cell>
          <cell r="C152">
            <v>3121300013</v>
          </cell>
          <cell r="D152" t="str">
            <v>FRINGE BENEFITS</v>
          </cell>
          <cell r="E152">
            <v>0</v>
          </cell>
          <cell r="F152">
            <v>0</v>
          </cell>
          <cell r="G152">
            <v>715</v>
          </cell>
          <cell r="H152">
            <v>0</v>
          </cell>
          <cell r="I152">
            <v>0</v>
          </cell>
          <cell r="J152">
            <v>0</v>
          </cell>
          <cell r="K152">
            <v>0</v>
          </cell>
          <cell r="L152">
            <v>0</v>
          </cell>
          <cell r="M152">
            <v>0</v>
          </cell>
          <cell r="N152">
            <v>0</v>
          </cell>
          <cell r="O152">
            <v>0</v>
          </cell>
          <cell r="P152">
            <v>0</v>
          </cell>
          <cell r="Q152">
            <v>715</v>
          </cell>
        </row>
        <row r="153">
          <cell r="A153" t="str">
            <v>USWOP015853121300013</v>
          </cell>
          <cell r="B153" t="str">
            <v>USWOP01585</v>
          </cell>
          <cell r="C153">
            <v>3121300013</v>
          </cell>
          <cell r="D153" t="str">
            <v>FRINGE BENEFITS</v>
          </cell>
          <cell r="E153">
            <v>4002</v>
          </cell>
          <cell r="F153">
            <v>4152</v>
          </cell>
          <cell r="G153">
            <v>4001</v>
          </cell>
          <cell r="H153">
            <v>0</v>
          </cell>
          <cell r="I153">
            <v>0</v>
          </cell>
          <cell r="J153">
            <v>0</v>
          </cell>
          <cell r="K153">
            <v>0</v>
          </cell>
          <cell r="L153">
            <v>0</v>
          </cell>
          <cell r="M153">
            <v>0</v>
          </cell>
          <cell r="N153">
            <v>0</v>
          </cell>
          <cell r="O153">
            <v>0</v>
          </cell>
          <cell r="P153">
            <v>0</v>
          </cell>
          <cell r="Q153">
            <v>12155</v>
          </cell>
        </row>
        <row r="154">
          <cell r="A154" t="str">
            <v>USWOP015903121300013</v>
          </cell>
          <cell r="B154" t="str">
            <v>USWOP01590</v>
          </cell>
          <cell r="C154">
            <v>3121300013</v>
          </cell>
          <cell r="D154" t="str">
            <v>FRINGE BENEFITS</v>
          </cell>
          <cell r="E154">
            <v>0</v>
          </cell>
          <cell r="F154">
            <v>0</v>
          </cell>
          <cell r="G154">
            <v>540</v>
          </cell>
          <cell r="H154">
            <v>0</v>
          </cell>
          <cell r="I154">
            <v>0</v>
          </cell>
          <cell r="J154">
            <v>0</v>
          </cell>
          <cell r="K154">
            <v>0</v>
          </cell>
          <cell r="L154">
            <v>0</v>
          </cell>
          <cell r="M154">
            <v>0</v>
          </cell>
          <cell r="N154">
            <v>0</v>
          </cell>
          <cell r="O154">
            <v>0</v>
          </cell>
          <cell r="P154">
            <v>0</v>
          </cell>
          <cell r="Q154">
            <v>540</v>
          </cell>
        </row>
        <row r="155">
          <cell r="A155" t="str">
            <v>USWOP015923121300013</v>
          </cell>
          <cell r="B155" t="str">
            <v>USWOP01592</v>
          </cell>
          <cell r="C155">
            <v>3121300013</v>
          </cell>
          <cell r="D155" t="str">
            <v>FRINGE BENEFITS</v>
          </cell>
          <cell r="E155">
            <v>1362</v>
          </cell>
          <cell r="F155">
            <v>1362</v>
          </cell>
          <cell r="G155">
            <v>1362</v>
          </cell>
          <cell r="H155">
            <v>0</v>
          </cell>
          <cell r="I155">
            <v>0</v>
          </cell>
          <cell r="J155">
            <v>0</v>
          </cell>
          <cell r="K155">
            <v>0</v>
          </cell>
          <cell r="L155">
            <v>0</v>
          </cell>
          <cell r="M155">
            <v>0</v>
          </cell>
          <cell r="N155">
            <v>0</v>
          </cell>
          <cell r="O155">
            <v>0</v>
          </cell>
          <cell r="P155">
            <v>0</v>
          </cell>
          <cell r="Q155">
            <v>4086</v>
          </cell>
        </row>
        <row r="156">
          <cell r="A156" t="str">
            <v>US22P015013131100005</v>
          </cell>
          <cell r="B156" t="str">
            <v>US22P01501</v>
          </cell>
          <cell r="C156">
            <v>3131100005</v>
          </cell>
          <cell r="D156" t="str">
            <v>MOVINGS</v>
          </cell>
          <cell r="E156">
            <v>0</v>
          </cell>
          <cell r="F156">
            <v>2917</v>
          </cell>
          <cell r="G156">
            <v>18</v>
          </cell>
          <cell r="H156">
            <v>0</v>
          </cell>
          <cell r="I156">
            <v>0</v>
          </cell>
          <cell r="J156">
            <v>0</v>
          </cell>
          <cell r="K156">
            <v>0</v>
          </cell>
          <cell r="L156">
            <v>0</v>
          </cell>
          <cell r="M156">
            <v>0</v>
          </cell>
          <cell r="N156">
            <v>0</v>
          </cell>
          <cell r="O156">
            <v>0</v>
          </cell>
          <cell r="P156">
            <v>0</v>
          </cell>
          <cell r="Q156">
            <v>2935</v>
          </cell>
        </row>
        <row r="157">
          <cell r="A157" t="str">
            <v>US59P015013131100005</v>
          </cell>
          <cell r="B157" t="str">
            <v>US59P01501</v>
          </cell>
          <cell r="C157">
            <v>3131100005</v>
          </cell>
          <cell r="D157" t="str">
            <v>MOVINGS</v>
          </cell>
          <cell r="E157">
            <v>320</v>
          </cell>
          <cell r="F157">
            <v>177</v>
          </cell>
          <cell r="G157">
            <v>0</v>
          </cell>
          <cell r="H157">
            <v>0</v>
          </cell>
          <cell r="I157">
            <v>0</v>
          </cell>
          <cell r="J157">
            <v>0</v>
          </cell>
          <cell r="K157">
            <v>0</v>
          </cell>
          <cell r="L157">
            <v>0</v>
          </cell>
          <cell r="M157">
            <v>0</v>
          </cell>
          <cell r="N157">
            <v>0</v>
          </cell>
          <cell r="O157">
            <v>0</v>
          </cell>
          <cell r="P157">
            <v>0</v>
          </cell>
          <cell r="Q157">
            <v>497</v>
          </cell>
        </row>
        <row r="158">
          <cell r="A158" t="str">
            <v>USCRMZA1503131100005</v>
          </cell>
          <cell r="B158" t="str">
            <v>USCRMZA150</v>
          </cell>
          <cell r="C158">
            <v>3131100005</v>
          </cell>
          <cell r="D158" t="str">
            <v>MOVINGS</v>
          </cell>
          <cell r="E158">
            <v>0</v>
          </cell>
          <cell r="F158">
            <v>4215</v>
          </cell>
          <cell r="G158">
            <v>991</v>
          </cell>
          <cell r="H158">
            <v>0</v>
          </cell>
          <cell r="I158">
            <v>0</v>
          </cell>
          <cell r="J158">
            <v>0</v>
          </cell>
          <cell r="K158">
            <v>0</v>
          </cell>
          <cell r="L158">
            <v>0</v>
          </cell>
          <cell r="M158">
            <v>0</v>
          </cell>
          <cell r="N158">
            <v>0</v>
          </cell>
          <cell r="O158">
            <v>0</v>
          </cell>
          <cell r="P158">
            <v>0</v>
          </cell>
          <cell r="Q158">
            <v>5206</v>
          </cell>
        </row>
        <row r="159">
          <cell r="A159" t="str">
            <v>US28P015013131100006</v>
          </cell>
          <cell r="B159" t="str">
            <v>US28P01501</v>
          </cell>
          <cell r="C159">
            <v>3131100006</v>
          </cell>
          <cell r="D159" t="str">
            <v>RECRUITMENT</v>
          </cell>
          <cell r="E159">
            <v>0</v>
          </cell>
          <cell r="F159">
            <v>0</v>
          </cell>
          <cell r="G159">
            <v>0</v>
          </cell>
          <cell r="H159">
            <v>0</v>
          </cell>
          <cell r="I159">
            <v>0</v>
          </cell>
          <cell r="J159">
            <v>0</v>
          </cell>
          <cell r="K159">
            <v>0</v>
          </cell>
          <cell r="L159">
            <v>0</v>
          </cell>
          <cell r="M159">
            <v>0</v>
          </cell>
          <cell r="N159">
            <v>0</v>
          </cell>
          <cell r="O159">
            <v>0</v>
          </cell>
          <cell r="P159">
            <v>0</v>
          </cell>
          <cell r="Q159">
            <v>0</v>
          </cell>
        </row>
        <row r="160">
          <cell r="A160" t="str">
            <v>US59PZA5013131100006</v>
          </cell>
          <cell r="B160" t="str">
            <v>US59PZA501</v>
          </cell>
          <cell r="C160">
            <v>3131100006</v>
          </cell>
          <cell r="D160" t="str">
            <v>RECRUITMENT</v>
          </cell>
          <cell r="E160">
            <v>600</v>
          </cell>
          <cell r="F160">
            <v>0</v>
          </cell>
          <cell r="G160">
            <v>0</v>
          </cell>
          <cell r="H160">
            <v>0</v>
          </cell>
          <cell r="I160">
            <v>0</v>
          </cell>
          <cell r="J160">
            <v>0</v>
          </cell>
          <cell r="K160">
            <v>0</v>
          </cell>
          <cell r="L160">
            <v>0</v>
          </cell>
          <cell r="M160">
            <v>0</v>
          </cell>
          <cell r="N160">
            <v>0</v>
          </cell>
          <cell r="O160">
            <v>0</v>
          </cell>
          <cell r="P160">
            <v>0</v>
          </cell>
          <cell r="Q160">
            <v>600</v>
          </cell>
        </row>
        <row r="161">
          <cell r="A161" t="str">
            <v>US22P015013131100007</v>
          </cell>
          <cell r="B161" t="str">
            <v>US22P01501</v>
          </cell>
          <cell r="C161">
            <v>3131100007</v>
          </cell>
          <cell r="D161" t="str">
            <v>EXTERNAL TRAINING</v>
          </cell>
          <cell r="E161">
            <v>100</v>
          </cell>
          <cell r="F161">
            <v>225</v>
          </cell>
          <cell r="G161">
            <v>225</v>
          </cell>
          <cell r="H161">
            <v>0</v>
          </cell>
          <cell r="I161">
            <v>0</v>
          </cell>
          <cell r="J161">
            <v>0</v>
          </cell>
          <cell r="K161">
            <v>0</v>
          </cell>
          <cell r="L161">
            <v>0</v>
          </cell>
          <cell r="M161">
            <v>0</v>
          </cell>
          <cell r="N161">
            <v>0</v>
          </cell>
          <cell r="O161">
            <v>0</v>
          </cell>
          <cell r="P161">
            <v>0</v>
          </cell>
          <cell r="Q161">
            <v>550</v>
          </cell>
        </row>
        <row r="162">
          <cell r="A162" t="str">
            <v>US22P015503131100007</v>
          </cell>
          <cell r="B162" t="str">
            <v>US22P01550</v>
          </cell>
          <cell r="C162">
            <v>3131100007</v>
          </cell>
          <cell r="D162" t="str">
            <v>EXTERNAL TRAINING</v>
          </cell>
          <cell r="E162">
            <v>0</v>
          </cell>
          <cell r="F162">
            <v>40</v>
          </cell>
          <cell r="G162">
            <v>0</v>
          </cell>
          <cell r="H162">
            <v>0</v>
          </cell>
          <cell r="I162">
            <v>0</v>
          </cell>
          <cell r="J162">
            <v>0</v>
          </cell>
          <cell r="K162">
            <v>0</v>
          </cell>
          <cell r="L162">
            <v>0</v>
          </cell>
          <cell r="M162">
            <v>0</v>
          </cell>
          <cell r="N162">
            <v>0</v>
          </cell>
          <cell r="O162">
            <v>0</v>
          </cell>
          <cell r="P162">
            <v>0</v>
          </cell>
          <cell r="Q162">
            <v>40</v>
          </cell>
        </row>
        <row r="163">
          <cell r="A163" t="str">
            <v>US28P015013131100007</v>
          </cell>
          <cell r="B163" t="str">
            <v>US28P01501</v>
          </cell>
          <cell r="C163">
            <v>3131100007</v>
          </cell>
          <cell r="D163" t="str">
            <v>EXTERNAL TRAINING</v>
          </cell>
          <cell r="E163">
            <v>0</v>
          </cell>
          <cell r="F163">
            <v>75</v>
          </cell>
          <cell r="G163">
            <v>200</v>
          </cell>
          <cell r="H163">
            <v>0</v>
          </cell>
          <cell r="I163">
            <v>0</v>
          </cell>
          <cell r="J163">
            <v>0</v>
          </cell>
          <cell r="K163">
            <v>0</v>
          </cell>
          <cell r="L163">
            <v>0</v>
          </cell>
          <cell r="M163">
            <v>0</v>
          </cell>
          <cell r="N163">
            <v>0</v>
          </cell>
          <cell r="O163">
            <v>0</v>
          </cell>
          <cell r="P163">
            <v>0</v>
          </cell>
          <cell r="Q163">
            <v>275</v>
          </cell>
        </row>
        <row r="164">
          <cell r="A164" t="str">
            <v>US35P015013131100007</v>
          </cell>
          <cell r="B164" t="str">
            <v>US35P01501</v>
          </cell>
          <cell r="C164">
            <v>3131100007</v>
          </cell>
          <cell r="D164" t="str">
            <v>EXTERNAL TRAINING</v>
          </cell>
          <cell r="E164">
            <v>0</v>
          </cell>
          <cell r="F164">
            <v>0</v>
          </cell>
          <cell r="G164">
            <v>100</v>
          </cell>
          <cell r="H164">
            <v>0</v>
          </cell>
          <cell r="I164">
            <v>0</v>
          </cell>
          <cell r="J164">
            <v>0</v>
          </cell>
          <cell r="K164">
            <v>0</v>
          </cell>
          <cell r="L164">
            <v>0</v>
          </cell>
          <cell r="M164">
            <v>0</v>
          </cell>
          <cell r="N164">
            <v>0</v>
          </cell>
          <cell r="O164">
            <v>0</v>
          </cell>
          <cell r="P164">
            <v>0</v>
          </cell>
          <cell r="Q164">
            <v>100</v>
          </cell>
        </row>
        <row r="165">
          <cell r="A165" t="str">
            <v>US59P015013131100007</v>
          </cell>
          <cell r="B165" t="str">
            <v>US59P01501</v>
          </cell>
          <cell r="C165">
            <v>3131100007</v>
          </cell>
          <cell r="D165" t="str">
            <v>EXTERNAL TRAINING</v>
          </cell>
          <cell r="E165">
            <v>0</v>
          </cell>
          <cell r="F165">
            <v>2985</v>
          </cell>
          <cell r="G165">
            <v>100</v>
          </cell>
          <cell r="H165">
            <v>0</v>
          </cell>
          <cell r="I165">
            <v>0</v>
          </cell>
          <cell r="J165">
            <v>0</v>
          </cell>
          <cell r="K165">
            <v>0</v>
          </cell>
          <cell r="L165">
            <v>0</v>
          </cell>
          <cell r="M165">
            <v>0</v>
          </cell>
          <cell r="N165">
            <v>0</v>
          </cell>
          <cell r="O165">
            <v>0</v>
          </cell>
          <cell r="P165">
            <v>0</v>
          </cell>
          <cell r="Q165">
            <v>3085</v>
          </cell>
        </row>
        <row r="166">
          <cell r="A166" t="str">
            <v>USCRP015013131100007</v>
          </cell>
          <cell r="B166" t="str">
            <v>USCRP01501</v>
          </cell>
          <cell r="C166">
            <v>3131100007</v>
          </cell>
          <cell r="D166" t="str">
            <v>EXTERNAL TRAINING</v>
          </cell>
          <cell r="E166">
            <v>439</v>
          </cell>
          <cell r="F166">
            <v>210</v>
          </cell>
          <cell r="G166">
            <v>913</v>
          </cell>
          <cell r="H166">
            <v>0</v>
          </cell>
          <cell r="I166">
            <v>0</v>
          </cell>
          <cell r="J166">
            <v>0</v>
          </cell>
          <cell r="K166">
            <v>0</v>
          </cell>
          <cell r="L166">
            <v>0</v>
          </cell>
          <cell r="M166">
            <v>0</v>
          </cell>
          <cell r="N166">
            <v>0</v>
          </cell>
          <cell r="O166">
            <v>0</v>
          </cell>
          <cell r="P166">
            <v>0</v>
          </cell>
          <cell r="Q166">
            <v>1562</v>
          </cell>
        </row>
        <row r="167">
          <cell r="A167" t="str">
            <v>USWOP015013131100007</v>
          </cell>
          <cell r="B167" t="str">
            <v>USWOP01501</v>
          </cell>
          <cell r="C167">
            <v>3131100007</v>
          </cell>
          <cell r="D167" t="str">
            <v>EXTERNAL TRAINING</v>
          </cell>
          <cell r="E167">
            <v>380</v>
          </cell>
          <cell r="F167">
            <v>90</v>
          </cell>
          <cell r="G167">
            <v>100</v>
          </cell>
          <cell r="H167">
            <v>0</v>
          </cell>
          <cell r="I167">
            <v>0</v>
          </cell>
          <cell r="J167">
            <v>0</v>
          </cell>
          <cell r="K167">
            <v>0</v>
          </cell>
          <cell r="L167">
            <v>0</v>
          </cell>
          <cell r="M167">
            <v>0</v>
          </cell>
          <cell r="N167">
            <v>0</v>
          </cell>
          <cell r="O167">
            <v>0</v>
          </cell>
          <cell r="P167">
            <v>0</v>
          </cell>
          <cell r="Q167">
            <v>570</v>
          </cell>
        </row>
        <row r="168">
          <cell r="A168" t="str">
            <v>US22P015013131100025</v>
          </cell>
          <cell r="B168" t="str">
            <v>US22P01501</v>
          </cell>
          <cell r="C168">
            <v>3131100025</v>
          </cell>
          <cell r="D168" t="str">
            <v>OTHER PERSONNEL EXPENSES</v>
          </cell>
          <cell r="E168">
            <v>0</v>
          </cell>
          <cell r="F168">
            <v>2883</v>
          </cell>
          <cell r="G168">
            <v>6012</v>
          </cell>
          <cell r="H168">
            <v>0</v>
          </cell>
          <cell r="I168">
            <v>0</v>
          </cell>
          <cell r="J168">
            <v>0</v>
          </cell>
          <cell r="K168">
            <v>0</v>
          </cell>
          <cell r="L168">
            <v>0</v>
          </cell>
          <cell r="M168">
            <v>0</v>
          </cell>
          <cell r="N168">
            <v>0</v>
          </cell>
          <cell r="O168">
            <v>0</v>
          </cell>
          <cell r="P168">
            <v>0</v>
          </cell>
          <cell r="Q168">
            <v>8895</v>
          </cell>
        </row>
        <row r="169">
          <cell r="A169" t="str">
            <v>US28P015013131100025</v>
          </cell>
          <cell r="B169" t="str">
            <v>US28P01501</v>
          </cell>
          <cell r="C169">
            <v>3131100025</v>
          </cell>
          <cell r="D169" t="str">
            <v>OTHER PERSONNEL EXPENSES</v>
          </cell>
          <cell r="E169">
            <v>1010</v>
          </cell>
          <cell r="F169">
            <v>7789</v>
          </cell>
          <cell r="G169">
            <v>2120</v>
          </cell>
          <cell r="H169">
            <v>0</v>
          </cell>
          <cell r="I169">
            <v>0</v>
          </cell>
          <cell r="J169">
            <v>0</v>
          </cell>
          <cell r="K169">
            <v>0</v>
          </cell>
          <cell r="L169">
            <v>0</v>
          </cell>
          <cell r="M169">
            <v>0</v>
          </cell>
          <cell r="N169">
            <v>0</v>
          </cell>
          <cell r="O169">
            <v>0</v>
          </cell>
          <cell r="P169">
            <v>0</v>
          </cell>
          <cell r="Q169">
            <v>10919</v>
          </cell>
        </row>
        <row r="170">
          <cell r="A170" t="str">
            <v>US59P015013131100025</v>
          </cell>
          <cell r="B170" t="str">
            <v>US59P01501</v>
          </cell>
          <cell r="C170">
            <v>3131100025</v>
          </cell>
          <cell r="D170" t="str">
            <v>OTHER PERSONNEL EXPENSES</v>
          </cell>
          <cell r="E170">
            <v>0</v>
          </cell>
          <cell r="F170">
            <v>0</v>
          </cell>
          <cell r="G170">
            <v>849</v>
          </cell>
          <cell r="H170">
            <v>0</v>
          </cell>
          <cell r="I170">
            <v>0</v>
          </cell>
          <cell r="J170">
            <v>0</v>
          </cell>
          <cell r="K170">
            <v>0</v>
          </cell>
          <cell r="L170">
            <v>0</v>
          </cell>
          <cell r="M170">
            <v>0</v>
          </cell>
          <cell r="N170">
            <v>0</v>
          </cell>
          <cell r="O170">
            <v>0</v>
          </cell>
          <cell r="P170">
            <v>0</v>
          </cell>
          <cell r="Q170">
            <v>849</v>
          </cell>
        </row>
        <row r="171">
          <cell r="A171" t="str">
            <v>US59P3C5013131100025</v>
          </cell>
          <cell r="B171" t="str">
            <v>US59P3C501</v>
          </cell>
          <cell r="C171">
            <v>3131100025</v>
          </cell>
          <cell r="D171" t="str">
            <v>OTHER PERSONNEL EXPENSES</v>
          </cell>
          <cell r="E171">
            <v>0</v>
          </cell>
          <cell r="F171">
            <v>0</v>
          </cell>
          <cell r="G171">
            <v>849</v>
          </cell>
          <cell r="H171">
            <v>0</v>
          </cell>
          <cell r="I171">
            <v>0</v>
          </cell>
          <cell r="J171">
            <v>0</v>
          </cell>
          <cell r="K171">
            <v>0</v>
          </cell>
          <cell r="L171">
            <v>0</v>
          </cell>
          <cell r="M171">
            <v>0</v>
          </cell>
          <cell r="N171">
            <v>0</v>
          </cell>
          <cell r="O171">
            <v>0</v>
          </cell>
          <cell r="P171">
            <v>0</v>
          </cell>
          <cell r="Q171">
            <v>849</v>
          </cell>
        </row>
        <row r="172">
          <cell r="A172" t="str">
            <v>USCRP015013131100025</v>
          </cell>
          <cell r="B172" t="str">
            <v>USCRP01501</v>
          </cell>
          <cell r="C172">
            <v>3131100025</v>
          </cell>
          <cell r="D172" t="str">
            <v>OTHER PERSONNEL EXPENSES</v>
          </cell>
          <cell r="E172">
            <v>886</v>
          </cell>
          <cell r="F172">
            <v>331</v>
          </cell>
          <cell r="G172">
            <v>400</v>
          </cell>
          <cell r="H172">
            <v>0</v>
          </cell>
          <cell r="I172">
            <v>0</v>
          </cell>
          <cell r="J172">
            <v>0</v>
          </cell>
          <cell r="K172">
            <v>0</v>
          </cell>
          <cell r="L172">
            <v>0</v>
          </cell>
          <cell r="M172">
            <v>0</v>
          </cell>
          <cell r="N172">
            <v>0</v>
          </cell>
          <cell r="O172">
            <v>0</v>
          </cell>
          <cell r="P172">
            <v>0</v>
          </cell>
          <cell r="Q172">
            <v>1617</v>
          </cell>
        </row>
        <row r="173">
          <cell r="A173" t="str">
            <v>US22P015013131100031</v>
          </cell>
          <cell r="B173" t="str">
            <v>US22P01501</v>
          </cell>
          <cell r="C173">
            <v>3131100031</v>
          </cell>
          <cell r="D173" t="str">
            <v>TUITION REIMBERSEMENT</v>
          </cell>
          <cell r="E173">
            <v>0</v>
          </cell>
          <cell r="F173">
            <v>914</v>
          </cell>
          <cell r="G173">
            <v>0</v>
          </cell>
          <cell r="H173">
            <v>0</v>
          </cell>
          <cell r="I173">
            <v>0</v>
          </cell>
          <cell r="J173">
            <v>0</v>
          </cell>
          <cell r="K173">
            <v>0</v>
          </cell>
          <cell r="L173">
            <v>0</v>
          </cell>
          <cell r="M173">
            <v>0</v>
          </cell>
          <cell r="N173">
            <v>0</v>
          </cell>
          <cell r="O173">
            <v>0</v>
          </cell>
          <cell r="P173">
            <v>0</v>
          </cell>
          <cell r="Q173">
            <v>914</v>
          </cell>
        </row>
        <row r="174">
          <cell r="A174" t="str">
            <v>US28MZA1503131100031</v>
          </cell>
          <cell r="B174" t="str">
            <v>US28MZA150</v>
          </cell>
          <cell r="C174">
            <v>3131100031</v>
          </cell>
          <cell r="D174" t="str">
            <v>TUITION REIMBERSEMENT</v>
          </cell>
          <cell r="E174">
            <v>0</v>
          </cell>
          <cell r="F174">
            <v>0</v>
          </cell>
          <cell r="G174">
            <v>0</v>
          </cell>
          <cell r="H174">
            <v>0</v>
          </cell>
          <cell r="I174">
            <v>0</v>
          </cell>
          <cell r="J174">
            <v>0</v>
          </cell>
          <cell r="K174">
            <v>0</v>
          </cell>
          <cell r="L174">
            <v>0</v>
          </cell>
          <cell r="M174">
            <v>0</v>
          </cell>
          <cell r="N174">
            <v>0</v>
          </cell>
          <cell r="O174">
            <v>0</v>
          </cell>
          <cell r="P174">
            <v>0</v>
          </cell>
          <cell r="Q174">
            <v>0</v>
          </cell>
        </row>
        <row r="175">
          <cell r="A175" t="str">
            <v>US28MZA1553131100031</v>
          </cell>
          <cell r="B175" t="str">
            <v>US28MZA155</v>
          </cell>
          <cell r="C175">
            <v>3131100031</v>
          </cell>
          <cell r="D175" t="str">
            <v>TUITION REIMBERSEMENT</v>
          </cell>
          <cell r="E175">
            <v>390</v>
          </cell>
          <cell r="F175">
            <v>387</v>
          </cell>
          <cell r="G175">
            <v>0</v>
          </cell>
          <cell r="H175">
            <v>0</v>
          </cell>
          <cell r="I175">
            <v>0</v>
          </cell>
          <cell r="J175">
            <v>0</v>
          </cell>
          <cell r="K175">
            <v>0</v>
          </cell>
          <cell r="L175">
            <v>0</v>
          </cell>
          <cell r="M175">
            <v>0</v>
          </cell>
          <cell r="N175">
            <v>0</v>
          </cell>
          <cell r="O175">
            <v>0</v>
          </cell>
          <cell r="P175">
            <v>0</v>
          </cell>
          <cell r="Q175">
            <v>777</v>
          </cell>
        </row>
        <row r="176">
          <cell r="A176" t="str">
            <v>US59PZA5013131100031</v>
          </cell>
          <cell r="B176" t="str">
            <v>US59PZA501</v>
          </cell>
          <cell r="C176">
            <v>3131100031</v>
          </cell>
          <cell r="D176" t="str">
            <v>TUITION REIMBERSEMENT</v>
          </cell>
          <cell r="E176">
            <v>0</v>
          </cell>
          <cell r="F176">
            <v>640</v>
          </cell>
          <cell r="G176">
            <v>0</v>
          </cell>
          <cell r="H176">
            <v>0</v>
          </cell>
          <cell r="I176">
            <v>0</v>
          </cell>
          <cell r="J176">
            <v>0</v>
          </cell>
          <cell r="K176">
            <v>0</v>
          </cell>
          <cell r="L176">
            <v>0</v>
          </cell>
          <cell r="M176">
            <v>0</v>
          </cell>
          <cell r="N176">
            <v>0</v>
          </cell>
          <cell r="O176">
            <v>0</v>
          </cell>
          <cell r="P176">
            <v>0</v>
          </cell>
          <cell r="Q176">
            <v>640</v>
          </cell>
        </row>
        <row r="177">
          <cell r="A177" t="str">
            <v>USWOMZA1503131100031</v>
          </cell>
          <cell r="B177" t="str">
            <v>USWOMZA150</v>
          </cell>
          <cell r="C177">
            <v>3131100031</v>
          </cell>
          <cell r="D177" t="str">
            <v>TUITION REIMBERSEMENT</v>
          </cell>
          <cell r="E177">
            <v>3623</v>
          </cell>
          <cell r="F177">
            <v>0</v>
          </cell>
          <cell r="G177">
            <v>0</v>
          </cell>
          <cell r="H177">
            <v>0</v>
          </cell>
          <cell r="I177">
            <v>0</v>
          </cell>
          <cell r="J177">
            <v>0</v>
          </cell>
          <cell r="K177">
            <v>0</v>
          </cell>
          <cell r="L177">
            <v>0</v>
          </cell>
          <cell r="M177">
            <v>0</v>
          </cell>
          <cell r="N177">
            <v>0</v>
          </cell>
          <cell r="O177">
            <v>0</v>
          </cell>
          <cell r="P177">
            <v>0</v>
          </cell>
          <cell r="Q177">
            <v>3623</v>
          </cell>
        </row>
        <row r="178">
          <cell r="A178" t="str">
            <v>US22MZA1503201300001</v>
          </cell>
          <cell r="B178" t="str">
            <v>US22MZA150</v>
          </cell>
          <cell r="C178">
            <v>3201300001</v>
          </cell>
          <cell r="D178" t="str">
            <v>HIRED PERSONNEL FROM 3RD PARTIES</v>
          </cell>
          <cell r="E178">
            <v>36238</v>
          </cell>
          <cell r="F178">
            <v>24712</v>
          </cell>
          <cell r="G178">
            <v>24711</v>
          </cell>
          <cell r="H178">
            <v>0</v>
          </cell>
          <cell r="I178">
            <v>0</v>
          </cell>
          <cell r="J178">
            <v>0</v>
          </cell>
          <cell r="K178">
            <v>0</v>
          </cell>
          <cell r="L178">
            <v>0</v>
          </cell>
          <cell r="M178">
            <v>0</v>
          </cell>
          <cell r="N178">
            <v>0</v>
          </cell>
          <cell r="O178">
            <v>0</v>
          </cell>
          <cell r="P178">
            <v>0</v>
          </cell>
          <cell r="Q178">
            <v>85661</v>
          </cell>
        </row>
        <row r="179">
          <cell r="A179" t="str">
            <v>US22MZA1553201300001</v>
          </cell>
          <cell r="B179" t="str">
            <v>US22MZA155</v>
          </cell>
          <cell r="C179">
            <v>3201300001</v>
          </cell>
          <cell r="D179" t="str">
            <v>HIRED PERSONNEL FROM 3RD PARTIES</v>
          </cell>
          <cell r="E179">
            <v>0</v>
          </cell>
          <cell r="F179">
            <v>0</v>
          </cell>
          <cell r="G179">
            <v>6047</v>
          </cell>
          <cell r="H179">
            <v>0</v>
          </cell>
          <cell r="I179">
            <v>0</v>
          </cell>
          <cell r="J179">
            <v>0</v>
          </cell>
          <cell r="K179">
            <v>0</v>
          </cell>
          <cell r="L179">
            <v>0</v>
          </cell>
          <cell r="M179">
            <v>0</v>
          </cell>
          <cell r="N179">
            <v>0</v>
          </cell>
          <cell r="O179">
            <v>0</v>
          </cell>
          <cell r="P179">
            <v>0</v>
          </cell>
          <cell r="Q179">
            <v>6047</v>
          </cell>
        </row>
        <row r="180">
          <cell r="A180" t="str">
            <v>US22P015503201300001</v>
          </cell>
          <cell r="B180" t="str">
            <v>US22P01550</v>
          </cell>
          <cell r="C180">
            <v>3201300001</v>
          </cell>
          <cell r="D180" t="str">
            <v>HIRED PERSONNEL FROM 3RD PARTIES</v>
          </cell>
          <cell r="E180">
            <v>0</v>
          </cell>
          <cell r="F180">
            <v>0</v>
          </cell>
          <cell r="G180">
            <v>61</v>
          </cell>
          <cell r="H180">
            <v>0</v>
          </cell>
          <cell r="I180">
            <v>0</v>
          </cell>
          <cell r="J180">
            <v>0</v>
          </cell>
          <cell r="K180">
            <v>0</v>
          </cell>
          <cell r="L180">
            <v>0</v>
          </cell>
          <cell r="M180">
            <v>0</v>
          </cell>
          <cell r="N180">
            <v>0</v>
          </cell>
          <cell r="O180">
            <v>0</v>
          </cell>
          <cell r="P180">
            <v>0</v>
          </cell>
          <cell r="Q180">
            <v>61</v>
          </cell>
        </row>
        <row r="181">
          <cell r="A181" t="str">
            <v>US22P015603201300001</v>
          </cell>
          <cell r="B181" t="str">
            <v>US22P01560</v>
          </cell>
          <cell r="C181">
            <v>3201300001</v>
          </cell>
          <cell r="D181" t="str">
            <v>HIRED PERSONNEL FROM 3RD PARTIES</v>
          </cell>
          <cell r="E181">
            <v>12673</v>
          </cell>
          <cell r="F181">
            <v>8766</v>
          </cell>
          <cell r="G181">
            <v>2360</v>
          </cell>
          <cell r="H181">
            <v>0</v>
          </cell>
          <cell r="I181">
            <v>0</v>
          </cell>
          <cell r="J181">
            <v>0</v>
          </cell>
          <cell r="K181">
            <v>0</v>
          </cell>
          <cell r="L181">
            <v>0</v>
          </cell>
          <cell r="M181">
            <v>0</v>
          </cell>
          <cell r="N181">
            <v>0</v>
          </cell>
          <cell r="O181">
            <v>0</v>
          </cell>
          <cell r="P181">
            <v>0</v>
          </cell>
          <cell r="Q181">
            <v>23799</v>
          </cell>
        </row>
        <row r="182">
          <cell r="A182" t="str">
            <v>US22P015753201300001</v>
          </cell>
          <cell r="B182" t="str">
            <v>US22P01575</v>
          </cell>
          <cell r="C182">
            <v>3201300001</v>
          </cell>
          <cell r="D182" t="str">
            <v>HIRED PERSONNEL FROM 3RD PARTIES</v>
          </cell>
          <cell r="E182">
            <v>7024</v>
          </cell>
          <cell r="F182">
            <v>6221</v>
          </cell>
          <cell r="G182">
            <v>7127</v>
          </cell>
          <cell r="H182">
            <v>0</v>
          </cell>
          <cell r="I182">
            <v>0</v>
          </cell>
          <cell r="J182">
            <v>0</v>
          </cell>
          <cell r="K182">
            <v>0</v>
          </cell>
          <cell r="L182">
            <v>0</v>
          </cell>
          <cell r="M182">
            <v>0</v>
          </cell>
          <cell r="N182">
            <v>0</v>
          </cell>
          <cell r="O182">
            <v>0</v>
          </cell>
          <cell r="P182">
            <v>0</v>
          </cell>
          <cell r="Q182">
            <v>20372</v>
          </cell>
        </row>
        <row r="183">
          <cell r="A183" t="str">
            <v>US22P015853201300001</v>
          </cell>
          <cell r="B183" t="str">
            <v>US22P01585</v>
          </cell>
          <cell r="C183">
            <v>3201300001</v>
          </cell>
          <cell r="D183" t="str">
            <v>HIRED PERSONNEL FROM 3RD PARTIES</v>
          </cell>
          <cell r="E183">
            <v>2518</v>
          </cell>
          <cell r="F183">
            <v>2311</v>
          </cell>
          <cell r="G183">
            <v>14958</v>
          </cell>
          <cell r="H183">
            <v>0</v>
          </cell>
          <cell r="I183">
            <v>0</v>
          </cell>
          <cell r="J183">
            <v>0</v>
          </cell>
          <cell r="K183">
            <v>0</v>
          </cell>
          <cell r="L183">
            <v>0</v>
          </cell>
          <cell r="M183">
            <v>0</v>
          </cell>
          <cell r="N183">
            <v>0</v>
          </cell>
          <cell r="O183">
            <v>0</v>
          </cell>
          <cell r="P183">
            <v>0</v>
          </cell>
          <cell r="Q183">
            <v>19787</v>
          </cell>
        </row>
        <row r="184">
          <cell r="A184" t="str">
            <v>US22P015903201300001</v>
          </cell>
          <cell r="B184" t="str">
            <v>US22P01590</v>
          </cell>
          <cell r="C184">
            <v>3201300001</v>
          </cell>
          <cell r="D184" t="str">
            <v>HIRED PERSONNEL FROM 3RD PARTIES</v>
          </cell>
          <cell r="E184">
            <v>1618</v>
          </cell>
          <cell r="F184">
            <v>1427</v>
          </cell>
          <cell r="G184">
            <v>643</v>
          </cell>
          <cell r="H184">
            <v>0</v>
          </cell>
          <cell r="I184">
            <v>0</v>
          </cell>
          <cell r="J184">
            <v>0</v>
          </cell>
          <cell r="K184">
            <v>0</v>
          </cell>
          <cell r="L184">
            <v>0</v>
          </cell>
          <cell r="M184">
            <v>0</v>
          </cell>
          <cell r="N184">
            <v>0</v>
          </cell>
          <cell r="O184">
            <v>0</v>
          </cell>
          <cell r="P184">
            <v>0</v>
          </cell>
          <cell r="Q184">
            <v>3688</v>
          </cell>
        </row>
        <row r="185">
          <cell r="A185" t="str">
            <v>US22P015923201300001</v>
          </cell>
          <cell r="B185" t="str">
            <v>US22P01592</v>
          </cell>
          <cell r="C185">
            <v>3201300001</v>
          </cell>
          <cell r="D185" t="str">
            <v>HIRED PERSONNEL FROM 3RD PARTIES</v>
          </cell>
          <cell r="E185">
            <v>0</v>
          </cell>
          <cell r="F185">
            <v>0</v>
          </cell>
          <cell r="G185">
            <v>1974</v>
          </cell>
          <cell r="H185">
            <v>0</v>
          </cell>
          <cell r="I185">
            <v>0</v>
          </cell>
          <cell r="J185">
            <v>0</v>
          </cell>
          <cell r="K185">
            <v>0</v>
          </cell>
          <cell r="L185">
            <v>0</v>
          </cell>
          <cell r="M185">
            <v>0</v>
          </cell>
          <cell r="N185">
            <v>0</v>
          </cell>
          <cell r="O185">
            <v>0</v>
          </cell>
          <cell r="P185">
            <v>0</v>
          </cell>
          <cell r="Q185">
            <v>1974</v>
          </cell>
        </row>
        <row r="186">
          <cell r="A186" t="str">
            <v>US28MZA1503201300001</v>
          </cell>
          <cell r="B186" t="str">
            <v>US28MZA150</v>
          </cell>
          <cell r="C186">
            <v>3201300001</v>
          </cell>
          <cell r="D186" t="str">
            <v>HIRED PERSONNEL FROM 3RD PARTIES</v>
          </cell>
          <cell r="E186">
            <v>50885</v>
          </cell>
          <cell r="F186">
            <v>46977</v>
          </cell>
          <cell r="G186">
            <v>61181</v>
          </cell>
          <cell r="H186">
            <v>0</v>
          </cell>
          <cell r="I186">
            <v>0</v>
          </cell>
          <cell r="J186">
            <v>0</v>
          </cell>
          <cell r="K186">
            <v>0</v>
          </cell>
          <cell r="L186">
            <v>0</v>
          </cell>
          <cell r="M186">
            <v>0</v>
          </cell>
          <cell r="N186">
            <v>0</v>
          </cell>
          <cell r="O186">
            <v>0</v>
          </cell>
          <cell r="P186">
            <v>0</v>
          </cell>
          <cell r="Q186">
            <v>159043</v>
          </cell>
        </row>
        <row r="187">
          <cell r="A187" t="str">
            <v>US28MZA1553201300001</v>
          </cell>
          <cell r="B187" t="str">
            <v>US28MZA155</v>
          </cell>
          <cell r="C187">
            <v>3201300001</v>
          </cell>
          <cell r="D187" t="str">
            <v>HIRED PERSONNEL FROM 3RD PARTIES</v>
          </cell>
          <cell r="E187">
            <v>5999</v>
          </cell>
          <cell r="F187">
            <v>5241</v>
          </cell>
          <cell r="G187">
            <v>6381</v>
          </cell>
          <cell r="H187">
            <v>0</v>
          </cell>
          <cell r="I187">
            <v>0</v>
          </cell>
          <cell r="J187">
            <v>0</v>
          </cell>
          <cell r="K187">
            <v>0</v>
          </cell>
          <cell r="L187">
            <v>0</v>
          </cell>
          <cell r="M187">
            <v>0</v>
          </cell>
          <cell r="N187">
            <v>0</v>
          </cell>
          <cell r="O187">
            <v>0</v>
          </cell>
          <cell r="P187">
            <v>0</v>
          </cell>
          <cell r="Q187">
            <v>17621</v>
          </cell>
        </row>
        <row r="188">
          <cell r="A188" t="str">
            <v>US28P015013201300001</v>
          </cell>
          <cell r="B188" t="str">
            <v>US28P01501</v>
          </cell>
          <cell r="C188">
            <v>3201300001</v>
          </cell>
          <cell r="D188" t="str">
            <v>HIRED PERSONNEL FROM 3RD PARTIES</v>
          </cell>
          <cell r="E188">
            <v>4357</v>
          </cell>
          <cell r="F188">
            <v>3863</v>
          </cell>
          <cell r="G188">
            <v>4800</v>
          </cell>
          <cell r="H188">
            <v>0</v>
          </cell>
          <cell r="I188">
            <v>0</v>
          </cell>
          <cell r="J188">
            <v>0</v>
          </cell>
          <cell r="K188">
            <v>0</v>
          </cell>
          <cell r="L188">
            <v>0</v>
          </cell>
          <cell r="M188">
            <v>0</v>
          </cell>
          <cell r="N188">
            <v>0</v>
          </cell>
          <cell r="O188">
            <v>0</v>
          </cell>
          <cell r="P188">
            <v>0</v>
          </cell>
          <cell r="Q188">
            <v>13020</v>
          </cell>
        </row>
        <row r="189">
          <cell r="A189" t="str">
            <v>US28P015603201300001</v>
          </cell>
          <cell r="B189" t="str">
            <v>US28P01560</v>
          </cell>
          <cell r="C189">
            <v>3201300001</v>
          </cell>
          <cell r="D189" t="str">
            <v>HIRED PERSONNEL FROM 3RD PARTIES</v>
          </cell>
          <cell r="E189">
            <v>29485</v>
          </cell>
          <cell r="F189">
            <v>14324</v>
          </cell>
          <cell r="G189">
            <v>16535</v>
          </cell>
          <cell r="H189">
            <v>0</v>
          </cell>
          <cell r="I189">
            <v>0</v>
          </cell>
          <cell r="J189">
            <v>0</v>
          </cell>
          <cell r="K189">
            <v>0</v>
          </cell>
          <cell r="L189">
            <v>0</v>
          </cell>
          <cell r="M189">
            <v>0</v>
          </cell>
          <cell r="N189">
            <v>0</v>
          </cell>
          <cell r="O189">
            <v>0</v>
          </cell>
          <cell r="P189">
            <v>0</v>
          </cell>
          <cell r="Q189">
            <v>60344</v>
          </cell>
        </row>
        <row r="190">
          <cell r="A190" t="str">
            <v>US28P015903201300001</v>
          </cell>
          <cell r="B190" t="str">
            <v>US28P01590</v>
          </cell>
          <cell r="C190">
            <v>3201300001</v>
          </cell>
          <cell r="D190" t="str">
            <v>HIRED PERSONNEL FROM 3RD PARTIES</v>
          </cell>
          <cell r="E190">
            <v>2830</v>
          </cell>
          <cell r="F190">
            <v>2355</v>
          </cell>
          <cell r="G190">
            <v>3093</v>
          </cell>
          <cell r="H190">
            <v>0</v>
          </cell>
          <cell r="I190">
            <v>0</v>
          </cell>
          <cell r="J190">
            <v>0</v>
          </cell>
          <cell r="K190">
            <v>0</v>
          </cell>
          <cell r="L190">
            <v>0</v>
          </cell>
          <cell r="M190">
            <v>0</v>
          </cell>
          <cell r="N190">
            <v>0</v>
          </cell>
          <cell r="O190">
            <v>0</v>
          </cell>
          <cell r="P190">
            <v>0</v>
          </cell>
          <cell r="Q190">
            <v>8278</v>
          </cell>
        </row>
        <row r="191">
          <cell r="A191" t="str">
            <v>US35MZA1503201300001</v>
          </cell>
          <cell r="B191" t="str">
            <v>US35MZA150</v>
          </cell>
          <cell r="C191">
            <v>3201300001</v>
          </cell>
          <cell r="D191" t="str">
            <v>HIRED PERSONNEL FROM 3RD PARTIES</v>
          </cell>
          <cell r="E191">
            <v>60766</v>
          </cell>
          <cell r="F191">
            <v>53120</v>
          </cell>
          <cell r="G191">
            <v>39538</v>
          </cell>
          <cell r="H191">
            <v>0</v>
          </cell>
          <cell r="I191">
            <v>0</v>
          </cell>
          <cell r="J191">
            <v>0</v>
          </cell>
          <cell r="K191">
            <v>0</v>
          </cell>
          <cell r="L191">
            <v>0</v>
          </cell>
          <cell r="M191">
            <v>0</v>
          </cell>
          <cell r="N191">
            <v>0</v>
          </cell>
          <cell r="O191">
            <v>0</v>
          </cell>
          <cell r="P191">
            <v>0</v>
          </cell>
          <cell r="Q191">
            <v>153424</v>
          </cell>
        </row>
        <row r="192">
          <cell r="A192" t="str">
            <v>US35P015603201300001</v>
          </cell>
          <cell r="B192" t="str">
            <v>US35P01560</v>
          </cell>
          <cell r="C192">
            <v>3201300001</v>
          </cell>
          <cell r="D192" t="str">
            <v>HIRED PERSONNEL FROM 3RD PARTIES</v>
          </cell>
          <cell r="E192">
            <v>63913</v>
          </cell>
          <cell r="F192">
            <v>62174</v>
          </cell>
          <cell r="G192">
            <v>28901</v>
          </cell>
          <cell r="H192">
            <v>0</v>
          </cell>
          <cell r="I192">
            <v>0</v>
          </cell>
          <cell r="J192">
            <v>0</v>
          </cell>
          <cell r="K192">
            <v>0</v>
          </cell>
          <cell r="L192">
            <v>0</v>
          </cell>
          <cell r="M192">
            <v>0</v>
          </cell>
          <cell r="N192">
            <v>0</v>
          </cell>
          <cell r="O192">
            <v>0</v>
          </cell>
          <cell r="P192">
            <v>0</v>
          </cell>
          <cell r="Q192">
            <v>154988</v>
          </cell>
        </row>
        <row r="193">
          <cell r="A193" t="str">
            <v>US35P015853201300001</v>
          </cell>
          <cell r="B193" t="str">
            <v>US35P01585</v>
          </cell>
          <cell r="C193">
            <v>3201300001</v>
          </cell>
          <cell r="D193" t="str">
            <v>HIRED PERSONNEL FROM 3RD PARTIES</v>
          </cell>
          <cell r="E193">
            <v>12813</v>
          </cell>
          <cell r="F193">
            <v>7585</v>
          </cell>
          <cell r="G193">
            <v>2810</v>
          </cell>
          <cell r="H193">
            <v>0</v>
          </cell>
          <cell r="I193">
            <v>0</v>
          </cell>
          <cell r="J193">
            <v>0</v>
          </cell>
          <cell r="K193">
            <v>0</v>
          </cell>
          <cell r="L193">
            <v>0</v>
          </cell>
          <cell r="M193">
            <v>0</v>
          </cell>
          <cell r="N193">
            <v>0</v>
          </cell>
          <cell r="O193">
            <v>0</v>
          </cell>
          <cell r="P193">
            <v>0</v>
          </cell>
          <cell r="Q193">
            <v>23208</v>
          </cell>
        </row>
        <row r="194">
          <cell r="A194" t="str">
            <v>US35P015903201300001</v>
          </cell>
          <cell r="B194" t="str">
            <v>US35P01590</v>
          </cell>
          <cell r="C194">
            <v>3201300001</v>
          </cell>
          <cell r="D194" t="str">
            <v>HIRED PERSONNEL FROM 3RD PARTIES</v>
          </cell>
          <cell r="E194">
            <v>3089</v>
          </cell>
          <cell r="F194">
            <v>3442</v>
          </cell>
          <cell r="G194">
            <v>2189</v>
          </cell>
          <cell r="H194">
            <v>0</v>
          </cell>
          <cell r="I194">
            <v>0</v>
          </cell>
          <cell r="J194">
            <v>0</v>
          </cell>
          <cell r="K194">
            <v>0</v>
          </cell>
          <cell r="L194">
            <v>0</v>
          </cell>
          <cell r="M194">
            <v>0</v>
          </cell>
          <cell r="N194">
            <v>0</v>
          </cell>
          <cell r="O194">
            <v>0</v>
          </cell>
          <cell r="P194">
            <v>0</v>
          </cell>
          <cell r="Q194">
            <v>8720</v>
          </cell>
        </row>
        <row r="195">
          <cell r="A195" t="str">
            <v>US59MZA1503201300001</v>
          </cell>
          <cell r="B195" t="str">
            <v>US59MZA150</v>
          </cell>
          <cell r="C195">
            <v>3201300001</v>
          </cell>
          <cell r="D195" t="str">
            <v>HIRED PERSONNEL FROM 3RD PARTIES</v>
          </cell>
          <cell r="E195">
            <v>6217</v>
          </cell>
          <cell r="F195">
            <v>2265</v>
          </cell>
          <cell r="G195">
            <v>3293</v>
          </cell>
          <cell r="H195">
            <v>0</v>
          </cell>
          <cell r="I195">
            <v>0</v>
          </cell>
          <cell r="J195">
            <v>0</v>
          </cell>
          <cell r="K195">
            <v>0</v>
          </cell>
          <cell r="L195">
            <v>0</v>
          </cell>
          <cell r="M195">
            <v>0</v>
          </cell>
          <cell r="N195">
            <v>0</v>
          </cell>
          <cell r="O195">
            <v>0</v>
          </cell>
          <cell r="P195">
            <v>0</v>
          </cell>
          <cell r="Q195">
            <v>11775</v>
          </cell>
        </row>
        <row r="196">
          <cell r="A196" t="str">
            <v>US59MZA1553201300001</v>
          </cell>
          <cell r="B196" t="str">
            <v>US59MZA155</v>
          </cell>
          <cell r="C196">
            <v>3201300001</v>
          </cell>
          <cell r="D196" t="str">
            <v>HIRED PERSONNEL FROM 3RD PARTIES</v>
          </cell>
          <cell r="E196">
            <v>5049</v>
          </cell>
          <cell r="F196">
            <v>4116</v>
          </cell>
          <cell r="G196">
            <v>6093</v>
          </cell>
          <cell r="H196">
            <v>0</v>
          </cell>
          <cell r="I196">
            <v>0</v>
          </cell>
          <cell r="J196">
            <v>0</v>
          </cell>
          <cell r="K196">
            <v>0</v>
          </cell>
          <cell r="L196">
            <v>0</v>
          </cell>
          <cell r="M196">
            <v>0</v>
          </cell>
          <cell r="N196">
            <v>0</v>
          </cell>
          <cell r="O196">
            <v>0</v>
          </cell>
          <cell r="P196">
            <v>0</v>
          </cell>
          <cell r="Q196">
            <v>15258</v>
          </cell>
        </row>
        <row r="197">
          <cell r="A197" t="str">
            <v>US59P015503201300001</v>
          </cell>
          <cell r="B197" t="str">
            <v>US59P01550</v>
          </cell>
          <cell r="C197">
            <v>3201300001</v>
          </cell>
          <cell r="D197" t="str">
            <v>HIRED PERSONNEL FROM 3RD PARTIES</v>
          </cell>
          <cell r="E197">
            <v>0</v>
          </cell>
          <cell r="F197">
            <v>0</v>
          </cell>
          <cell r="G197">
            <v>-1103</v>
          </cell>
          <cell r="H197">
            <v>0</v>
          </cell>
          <cell r="I197">
            <v>0</v>
          </cell>
          <cell r="J197">
            <v>0</v>
          </cell>
          <cell r="K197">
            <v>0</v>
          </cell>
          <cell r="L197">
            <v>0</v>
          </cell>
          <cell r="M197">
            <v>0</v>
          </cell>
          <cell r="N197">
            <v>0</v>
          </cell>
          <cell r="O197">
            <v>0</v>
          </cell>
          <cell r="P197">
            <v>0</v>
          </cell>
          <cell r="Q197">
            <v>-1103</v>
          </cell>
        </row>
        <row r="198">
          <cell r="A198" t="str">
            <v>US59P015603201300001</v>
          </cell>
          <cell r="B198" t="str">
            <v>US59P01560</v>
          </cell>
          <cell r="C198">
            <v>3201300001</v>
          </cell>
          <cell r="D198" t="str">
            <v>HIRED PERSONNEL FROM 3RD PARTIES</v>
          </cell>
          <cell r="E198">
            <v>22786</v>
          </cell>
          <cell r="F198">
            <v>20722</v>
          </cell>
          <cell r="G198">
            <v>17839</v>
          </cell>
          <cell r="H198">
            <v>0</v>
          </cell>
          <cell r="I198">
            <v>0</v>
          </cell>
          <cell r="J198">
            <v>0</v>
          </cell>
          <cell r="K198">
            <v>0</v>
          </cell>
          <cell r="L198">
            <v>0</v>
          </cell>
          <cell r="M198">
            <v>0</v>
          </cell>
          <cell r="N198">
            <v>0</v>
          </cell>
          <cell r="O198">
            <v>0</v>
          </cell>
          <cell r="P198">
            <v>0</v>
          </cell>
          <cell r="Q198">
            <v>61347</v>
          </cell>
        </row>
        <row r="199">
          <cell r="A199" t="str">
            <v>US59P3C5013201300001</v>
          </cell>
          <cell r="B199" t="str">
            <v>US59P3C501</v>
          </cell>
          <cell r="C199">
            <v>3201300001</v>
          </cell>
          <cell r="D199" t="str">
            <v>HIRED PERSONNEL FROM 3RD PARTIES</v>
          </cell>
          <cell r="E199">
            <v>3076</v>
          </cell>
          <cell r="F199">
            <v>3068</v>
          </cell>
          <cell r="G199">
            <v>4002</v>
          </cell>
          <cell r="H199">
            <v>0</v>
          </cell>
          <cell r="I199">
            <v>0</v>
          </cell>
          <cell r="J199">
            <v>0</v>
          </cell>
          <cell r="K199">
            <v>0</v>
          </cell>
          <cell r="L199">
            <v>0</v>
          </cell>
          <cell r="M199">
            <v>0</v>
          </cell>
          <cell r="N199">
            <v>0</v>
          </cell>
          <cell r="O199">
            <v>0</v>
          </cell>
          <cell r="P199">
            <v>0</v>
          </cell>
          <cell r="Q199">
            <v>10146</v>
          </cell>
        </row>
        <row r="200">
          <cell r="A200" t="str">
            <v>US59P3C5503201300001</v>
          </cell>
          <cell r="B200" t="str">
            <v>US59P3C550</v>
          </cell>
          <cell r="C200">
            <v>3201300001</v>
          </cell>
          <cell r="D200" t="str">
            <v>HIRED PERSONNEL FROM 3RD PARTIES</v>
          </cell>
          <cell r="E200">
            <v>244</v>
          </cell>
          <cell r="F200">
            <v>0</v>
          </cell>
          <cell r="G200">
            <v>0</v>
          </cell>
          <cell r="H200">
            <v>0</v>
          </cell>
          <cell r="I200">
            <v>0</v>
          </cell>
          <cell r="J200">
            <v>0</v>
          </cell>
          <cell r="K200">
            <v>0</v>
          </cell>
          <cell r="L200">
            <v>0</v>
          </cell>
          <cell r="M200">
            <v>0</v>
          </cell>
          <cell r="N200">
            <v>0</v>
          </cell>
          <cell r="O200">
            <v>0</v>
          </cell>
          <cell r="P200">
            <v>0</v>
          </cell>
          <cell r="Q200">
            <v>244</v>
          </cell>
        </row>
        <row r="201">
          <cell r="A201" t="str">
            <v>US59P3C5603201300001</v>
          </cell>
          <cell r="B201" t="str">
            <v>US59P3C560</v>
          </cell>
          <cell r="C201">
            <v>3201300001</v>
          </cell>
          <cell r="D201" t="str">
            <v>HIRED PERSONNEL FROM 3RD PARTIES</v>
          </cell>
          <cell r="E201">
            <v>43167</v>
          </cell>
          <cell r="F201">
            <v>34095</v>
          </cell>
          <cell r="G201">
            <v>23656</v>
          </cell>
          <cell r="H201">
            <v>0</v>
          </cell>
          <cell r="I201">
            <v>0</v>
          </cell>
          <cell r="J201">
            <v>0</v>
          </cell>
          <cell r="K201">
            <v>0</v>
          </cell>
          <cell r="L201">
            <v>0</v>
          </cell>
          <cell r="M201">
            <v>0</v>
          </cell>
          <cell r="N201">
            <v>0</v>
          </cell>
          <cell r="O201">
            <v>0</v>
          </cell>
          <cell r="P201">
            <v>0</v>
          </cell>
          <cell r="Q201">
            <v>100918</v>
          </cell>
        </row>
        <row r="202">
          <cell r="A202" t="str">
            <v>USCRMZA1503201300001</v>
          </cell>
          <cell r="B202" t="str">
            <v>USCRMZA150</v>
          </cell>
          <cell r="C202">
            <v>3201300001</v>
          </cell>
          <cell r="D202" t="str">
            <v>HIRED PERSONNEL FROM 3RD PARTIES</v>
          </cell>
          <cell r="E202">
            <v>25108</v>
          </cell>
          <cell r="F202">
            <v>14231</v>
          </cell>
          <cell r="G202">
            <v>10264</v>
          </cell>
          <cell r="H202">
            <v>0</v>
          </cell>
          <cell r="I202">
            <v>0</v>
          </cell>
          <cell r="J202">
            <v>0</v>
          </cell>
          <cell r="K202">
            <v>0</v>
          </cell>
          <cell r="L202">
            <v>0</v>
          </cell>
          <cell r="M202">
            <v>0</v>
          </cell>
          <cell r="N202">
            <v>0</v>
          </cell>
          <cell r="O202">
            <v>0</v>
          </cell>
          <cell r="P202">
            <v>0</v>
          </cell>
          <cell r="Q202">
            <v>49603</v>
          </cell>
        </row>
        <row r="203">
          <cell r="A203" t="str">
            <v>USCRMZA1553201300001</v>
          </cell>
          <cell r="B203" t="str">
            <v>USCRMZA155</v>
          </cell>
          <cell r="C203">
            <v>3201300001</v>
          </cell>
          <cell r="D203" t="str">
            <v>HIRED PERSONNEL FROM 3RD PARTIES</v>
          </cell>
          <cell r="E203">
            <v>10940</v>
          </cell>
          <cell r="F203">
            <v>8292</v>
          </cell>
          <cell r="G203">
            <v>9014</v>
          </cell>
          <cell r="H203">
            <v>0</v>
          </cell>
          <cell r="I203">
            <v>0</v>
          </cell>
          <cell r="J203">
            <v>0</v>
          </cell>
          <cell r="K203">
            <v>0</v>
          </cell>
          <cell r="L203">
            <v>0</v>
          </cell>
          <cell r="M203">
            <v>0</v>
          </cell>
          <cell r="N203">
            <v>0</v>
          </cell>
          <cell r="O203">
            <v>0</v>
          </cell>
          <cell r="P203">
            <v>0</v>
          </cell>
          <cell r="Q203">
            <v>28246</v>
          </cell>
        </row>
        <row r="204">
          <cell r="A204" t="str">
            <v>USCRP015603201300001</v>
          </cell>
          <cell r="B204" t="str">
            <v>USCRP01560</v>
          </cell>
          <cell r="C204">
            <v>3201300001</v>
          </cell>
          <cell r="D204" t="str">
            <v>HIRED PERSONNEL FROM 3RD PARTIES</v>
          </cell>
          <cell r="E204">
            <v>27257</v>
          </cell>
          <cell r="F204">
            <v>3260</v>
          </cell>
          <cell r="G204">
            <v>0</v>
          </cell>
          <cell r="H204">
            <v>0</v>
          </cell>
          <cell r="I204">
            <v>0</v>
          </cell>
          <cell r="J204">
            <v>0</v>
          </cell>
          <cell r="K204">
            <v>0</v>
          </cell>
          <cell r="L204">
            <v>0</v>
          </cell>
          <cell r="M204">
            <v>0</v>
          </cell>
          <cell r="N204">
            <v>0</v>
          </cell>
          <cell r="O204">
            <v>0</v>
          </cell>
          <cell r="P204">
            <v>0</v>
          </cell>
          <cell r="Q204">
            <v>30517</v>
          </cell>
        </row>
        <row r="205">
          <cell r="A205" t="str">
            <v>USCRP015643201300001</v>
          </cell>
          <cell r="B205" t="str">
            <v>USCRP01564</v>
          </cell>
          <cell r="C205">
            <v>3201300001</v>
          </cell>
          <cell r="D205" t="str">
            <v>HIRED PERSONNEL FROM 3RD PARTIES</v>
          </cell>
          <cell r="E205">
            <v>3374</v>
          </cell>
          <cell r="F205">
            <v>564</v>
          </cell>
          <cell r="G205">
            <v>0</v>
          </cell>
          <cell r="H205">
            <v>0</v>
          </cell>
          <cell r="I205">
            <v>0</v>
          </cell>
          <cell r="J205">
            <v>0</v>
          </cell>
          <cell r="K205">
            <v>0</v>
          </cell>
          <cell r="L205">
            <v>0</v>
          </cell>
          <cell r="M205">
            <v>0</v>
          </cell>
          <cell r="N205">
            <v>0</v>
          </cell>
          <cell r="O205">
            <v>0</v>
          </cell>
          <cell r="P205">
            <v>0</v>
          </cell>
          <cell r="Q205">
            <v>3938</v>
          </cell>
        </row>
        <row r="206">
          <cell r="A206" t="str">
            <v>USCRP015753201300001</v>
          </cell>
          <cell r="B206" t="str">
            <v>USCRP01575</v>
          </cell>
          <cell r="C206">
            <v>3201300001</v>
          </cell>
          <cell r="D206" t="str">
            <v>HIRED PERSONNEL FROM 3RD PARTIES</v>
          </cell>
          <cell r="E206">
            <v>8366</v>
          </cell>
          <cell r="F206">
            <v>7891</v>
          </cell>
          <cell r="G206">
            <v>7579</v>
          </cell>
          <cell r="H206">
            <v>0</v>
          </cell>
          <cell r="I206">
            <v>0</v>
          </cell>
          <cell r="J206">
            <v>0</v>
          </cell>
          <cell r="K206">
            <v>0</v>
          </cell>
          <cell r="L206">
            <v>0</v>
          </cell>
          <cell r="M206">
            <v>0</v>
          </cell>
          <cell r="N206">
            <v>0</v>
          </cell>
          <cell r="O206">
            <v>0</v>
          </cell>
          <cell r="P206">
            <v>0</v>
          </cell>
          <cell r="Q206">
            <v>23836</v>
          </cell>
        </row>
        <row r="207">
          <cell r="A207" t="str">
            <v>USCRP015853201300001</v>
          </cell>
          <cell r="B207" t="str">
            <v>USCRP01585</v>
          </cell>
          <cell r="C207">
            <v>3201300001</v>
          </cell>
          <cell r="D207" t="str">
            <v>HIRED PERSONNEL FROM 3RD PARTIES</v>
          </cell>
          <cell r="E207">
            <v>5413</v>
          </cell>
          <cell r="F207">
            <v>11536</v>
          </cell>
          <cell r="G207">
            <v>11091</v>
          </cell>
          <cell r="H207">
            <v>0</v>
          </cell>
          <cell r="I207">
            <v>0</v>
          </cell>
          <cell r="J207">
            <v>0</v>
          </cell>
          <cell r="K207">
            <v>0</v>
          </cell>
          <cell r="L207">
            <v>0</v>
          </cell>
          <cell r="M207">
            <v>0</v>
          </cell>
          <cell r="N207">
            <v>0</v>
          </cell>
          <cell r="O207">
            <v>0</v>
          </cell>
          <cell r="P207">
            <v>0</v>
          </cell>
          <cell r="Q207">
            <v>28040</v>
          </cell>
        </row>
        <row r="208">
          <cell r="A208" t="str">
            <v>USCRP015903201300001</v>
          </cell>
          <cell r="B208" t="str">
            <v>USCRP01590</v>
          </cell>
          <cell r="C208">
            <v>3201300001</v>
          </cell>
          <cell r="D208" t="str">
            <v>HIRED PERSONNEL FROM 3RD PARTIES</v>
          </cell>
          <cell r="E208">
            <v>0</v>
          </cell>
          <cell r="F208">
            <v>0</v>
          </cell>
          <cell r="G208">
            <v>0</v>
          </cell>
          <cell r="H208">
            <v>0</v>
          </cell>
          <cell r="I208">
            <v>0</v>
          </cell>
          <cell r="J208">
            <v>0</v>
          </cell>
          <cell r="K208">
            <v>0</v>
          </cell>
          <cell r="L208">
            <v>0</v>
          </cell>
          <cell r="M208">
            <v>0</v>
          </cell>
          <cell r="N208">
            <v>0</v>
          </cell>
          <cell r="O208">
            <v>0</v>
          </cell>
          <cell r="P208">
            <v>0</v>
          </cell>
          <cell r="Q208">
            <v>0</v>
          </cell>
        </row>
        <row r="209">
          <cell r="A209" t="str">
            <v>USWOMZA1503201300001</v>
          </cell>
          <cell r="B209" t="str">
            <v>USWOMZA150</v>
          </cell>
          <cell r="C209">
            <v>3201300001</v>
          </cell>
          <cell r="D209" t="str">
            <v>HIRED PERSONNEL FROM 3RD PARTIES</v>
          </cell>
          <cell r="E209">
            <v>19643</v>
          </cell>
          <cell r="F209">
            <v>13549</v>
          </cell>
          <cell r="G209">
            <v>14204</v>
          </cell>
          <cell r="H209">
            <v>0</v>
          </cell>
          <cell r="I209">
            <v>0</v>
          </cell>
          <cell r="J209">
            <v>0</v>
          </cell>
          <cell r="K209">
            <v>0</v>
          </cell>
          <cell r="L209">
            <v>0</v>
          </cell>
          <cell r="M209">
            <v>0</v>
          </cell>
          <cell r="N209">
            <v>0</v>
          </cell>
          <cell r="O209">
            <v>0</v>
          </cell>
          <cell r="P209">
            <v>0</v>
          </cell>
          <cell r="Q209">
            <v>47396</v>
          </cell>
        </row>
        <row r="210">
          <cell r="A210" t="str">
            <v>USWOP015013201300001</v>
          </cell>
          <cell r="B210" t="str">
            <v>USWOP01501</v>
          </cell>
          <cell r="C210">
            <v>3201300001</v>
          </cell>
          <cell r="D210" t="str">
            <v>HIRED PERSONNEL FROM 3RD PARTIES</v>
          </cell>
          <cell r="E210">
            <v>1716</v>
          </cell>
          <cell r="F210">
            <v>1902</v>
          </cell>
          <cell r="G210">
            <v>989</v>
          </cell>
          <cell r="H210">
            <v>0</v>
          </cell>
          <cell r="I210">
            <v>0</v>
          </cell>
          <cell r="J210">
            <v>0</v>
          </cell>
          <cell r="K210">
            <v>0</v>
          </cell>
          <cell r="L210">
            <v>0</v>
          </cell>
          <cell r="M210">
            <v>0</v>
          </cell>
          <cell r="N210">
            <v>0</v>
          </cell>
          <cell r="O210">
            <v>0</v>
          </cell>
          <cell r="P210">
            <v>0</v>
          </cell>
          <cell r="Q210">
            <v>4607</v>
          </cell>
        </row>
        <row r="211">
          <cell r="A211" t="str">
            <v>USWOP015603201300001</v>
          </cell>
          <cell r="B211" t="str">
            <v>USWOP01560</v>
          </cell>
          <cell r="C211">
            <v>3201300001</v>
          </cell>
          <cell r="D211" t="str">
            <v>HIRED PERSONNEL FROM 3RD PARTIES</v>
          </cell>
          <cell r="E211">
            <v>6426</v>
          </cell>
          <cell r="F211">
            <v>0</v>
          </cell>
          <cell r="G211">
            <v>6229</v>
          </cell>
          <cell r="H211">
            <v>0</v>
          </cell>
          <cell r="I211">
            <v>0</v>
          </cell>
          <cell r="J211">
            <v>0</v>
          </cell>
          <cell r="K211">
            <v>0</v>
          </cell>
          <cell r="L211">
            <v>0</v>
          </cell>
          <cell r="M211">
            <v>0</v>
          </cell>
          <cell r="N211">
            <v>0</v>
          </cell>
          <cell r="O211">
            <v>0</v>
          </cell>
          <cell r="P211">
            <v>0</v>
          </cell>
          <cell r="Q211">
            <v>12655</v>
          </cell>
        </row>
        <row r="212">
          <cell r="A212" t="str">
            <v>US22MZA1503201300002</v>
          </cell>
          <cell r="B212" t="str">
            <v>US22MZA150</v>
          </cell>
          <cell r="C212">
            <v>3201300002</v>
          </cell>
          <cell r="D212" t="str">
            <v>O/S SERVICES</v>
          </cell>
          <cell r="E212">
            <v>0</v>
          </cell>
          <cell r="F212">
            <v>0</v>
          </cell>
          <cell r="G212">
            <v>0</v>
          </cell>
          <cell r="H212">
            <v>0</v>
          </cell>
          <cell r="I212">
            <v>0</v>
          </cell>
          <cell r="J212">
            <v>0</v>
          </cell>
          <cell r="K212">
            <v>0</v>
          </cell>
          <cell r="L212">
            <v>0</v>
          </cell>
          <cell r="M212">
            <v>0</v>
          </cell>
          <cell r="N212">
            <v>0</v>
          </cell>
          <cell r="O212">
            <v>0</v>
          </cell>
          <cell r="P212">
            <v>0</v>
          </cell>
          <cell r="Q212">
            <v>0</v>
          </cell>
        </row>
        <row r="213">
          <cell r="A213" t="str">
            <v>US22P015013201300002</v>
          </cell>
          <cell r="B213" t="str">
            <v>US22P01501</v>
          </cell>
          <cell r="C213">
            <v>3201300002</v>
          </cell>
          <cell r="D213" t="str">
            <v>O/S SERVICES</v>
          </cell>
          <cell r="E213">
            <v>152</v>
          </cell>
          <cell r="F213">
            <v>0</v>
          </cell>
          <cell r="G213">
            <v>1524</v>
          </cell>
          <cell r="H213">
            <v>0</v>
          </cell>
          <cell r="I213">
            <v>0</v>
          </cell>
          <cell r="J213">
            <v>0</v>
          </cell>
          <cell r="K213">
            <v>0</v>
          </cell>
          <cell r="L213">
            <v>0</v>
          </cell>
          <cell r="M213">
            <v>0</v>
          </cell>
          <cell r="N213">
            <v>0</v>
          </cell>
          <cell r="O213">
            <v>0</v>
          </cell>
          <cell r="P213">
            <v>0</v>
          </cell>
          <cell r="Q213">
            <v>1676</v>
          </cell>
        </row>
        <row r="214">
          <cell r="A214" t="str">
            <v>US22P015503201300002</v>
          </cell>
          <cell r="B214" t="str">
            <v>US22P01550</v>
          </cell>
          <cell r="C214">
            <v>3201300002</v>
          </cell>
          <cell r="D214" t="str">
            <v>O/S SERVICES</v>
          </cell>
          <cell r="E214">
            <v>0</v>
          </cell>
          <cell r="F214">
            <v>879</v>
          </cell>
          <cell r="G214">
            <v>0</v>
          </cell>
          <cell r="H214">
            <v>0</v>
          </cell>
          <cell r="I214">
            <v>0</v>
          </cell>
          <cell r="J214">
            <v>0</v>
          </cell>
          <cell r="K214">
            <v>0</v>
          </cell>
          <cell r="L214">
            <v>0</v>
          </cell>
          <cell r="M214">
            <v>0</v>
          </cell>
          <cell r="N214">
            <v>0</v>
          </cell>
          <cell r="O214">
            <v>0</v>
          </cell>
          <cell r="P214">
            <v>0</v>
          </cell>
          <cell r="Q214">
            <v>879</v>
          </cell>
        </row>
        <row r="215">
          <cell r="A215" t="str">
            <v>US28P015013201300002</v>
          </cell>
          <cell r="B215" t="str">
            <v>US28P01501</v>
          </cell>
          <cell r="C215">
            <v>3201300002</v>
          </cell>
          <cell r="D215" t="str">
            <v>O/S SERVICES</v>
          </cell>
          <cell r="E215">
            <v>144</v>
          </cell>
          <cell r="F215">
            <v>77</v>
          </cell>
          <cell r="G215">
            <v>576</v>
          </cell>
          <cell r="H215">
            <v>0</v>
          </cell>
          <cell r="I215">
            <v>0</v>
          </cell>
          <cell r="J215">
            <v>0</v>
          </cell>
          <cell r="K215">
            <v>0</v>
          </cell>
          <cell r="L215">
            <v>0</v>
          </cell>
          <cell r="M215">
            <v>0</v>
          </cell>
          <cell r="N215">
            <v>0</v>
          </cell>
          <cell r="O215">
            <v>0</v>
          </cell>
          <cell r="P215">
            <v>0</v>
          </cell>
          <cell r="Q215">
            <v>797</v>
          </cell>
        </row>
        <row r="216">
          <cell r="A216" t="str">
            <v>US35MZA1503201300002</v>
          </cell>
          <cell r="B216" t="str">
            <v>US35MZA150</v>
          </cell>
          <cell r="C216">
            <v>3201300002</v>
          </cell>
          <cell r="D216" t="str">
            <v>O/S SERVICES</v>
          </cell>
          <cell r="E216">
            <v>0</v>
          </cell>
          <cell r="F216">
            <v>24</v>
          </cell>
          <cell r="G216">
            <v>0</v>
          </cell>
          <cell r="H216">
            <v>0</v>
          </cell>
          <cell r="I216">
            <v>0</v>
          </cell>
          <cell r="J216">
            <v>0</v>
          </cell>
          <cell r="K216">
            <v>0</v>
          </cell>
          <cell r="L216">
            <v>0</v>
          </cell>
          <cell r="M216">
            <v>0</v>
          </cell>
          <cell r="N216">
            <v>0</v>
          </cell>
          <cell r="O216">
            <v>0</v>
          </cell>
          <cell r="P216">
            <v>0</v>
          </cell>
          <cell r="Q216">
            <v>24</v>
          </cell>
        </row>
        <row r="217">
          <cell r="A217" t="str">
            <v>US35P015013201300002</v>
          </cell>
          <cell r="B217" t="str">
            <v>US35P01501</v>
          </cell>
          <cell r="C217">
            <v>3201300002</v>
          </cell>
          <cell r="D217" t="str">
            <v>O/S SERVICES</v>
          </cell>
          <cell r="E217">
            <v>0</v>
          </cell>
          <cell r="F217">
            <v>125</v>
          </cell>
          <cell r="G217">
            <v>0</v>
          </cell>
          <cell r="H217">
            <v>0</v>
          </cell>
          <cell r="I217">
            <v>0</v>
          </cell>
          <cell r="J217">
            <v>0</v>
          </cell>
          <cell r="K217">
            <v>0</v>
          </cell>
          <cell r="L217">
            <v>0</v>
          </cell>
          <cell r="M217">
            <v>0</v>
          </cell>
          <cell r="N217">
            <v>0</v>
          </cell>
          <cell r="O217">
            <v>0</v>
          </cell>
          <cell r="P217">
            <v>0</v>
          </cell>
          <cell r="Q217">
            <v>125</v>
          </cell>
        </row>
        <row r="218">
          <cell r="A218" t="str">
            <v>US59MZA1503201300002</v>
          </cell>
          <cell r="B218" t="str">
            <v>US59MZA150</v>
          </cell>
          <cell r="C218">
            <v>3201300002</v>
          </cell>
          <cell r="D218" t="str">
            <v>O/S SERVICES</v>
          </cell>
          <cell r="E218">
            <v>57</v>
          </cell>
          <cell r="F218">
            <v>540</v>
          </cell>
          <cell r="G218">
            <v>3547</v>
          </cell>
          <cell r="H218">
            <v>0</v>
          </cell>
          <cell r="I218">
            <v>0</v>
          </cell>
          <cell r="J218">
            <v>0</v>
          </cell>
          <cell r="K218">
            <v>0</v>
          </cell>
          <cell r="L218">
            <v>0</v>
          </cell>
          <cell r="M218">
            <v>0</v>
          </cell>
          <cell r="N218">
            <v>0</v>
          </cell>
          <cell r="O218">
            <v>0</v>
          </cell>
          <cell r="P218">
            <v>0</v>
          </cell>
          <cell r="Q218">
            <v>4144</v>
          </cell>
        </row>
        <row r="219">
          <cell r="A219" t="str">
            <v>US59P015013201300002</v>
          </cell>
          <cell r="B219" t="str">
            <v>US59P01501</v>
          </cell>
          <cell r="C219">
            <v>3201300002</v>
          </cell>
          <cell r="D219" t="str">
            <v>O/S SERVICES</v>
          </cell>
          <cell r="E219">
            <v>0</v>
          </cell>
          <cell r="F219">
            <v>115</v>
          </cell>
          <cell r="G219">
            <v>160</v>
          </cell>
          <cell r="H219">
            <v>0</v>
          </cell>
          <cell r="I219">
            <v>0</v>
          </cell>
          <cell r="J219">
            <v>0</v>
          </cell>
          <cell r="K219">
            <v>0</v>
          </cell>
          <cell r="L219">
            <v>0</v>
          </cell>
          <cell r="M219">
            <v>0</v>
          </cell>
          <cell r="N219">
            <v>0</v>
          </cell>
          <cell r="O219">
            <v>0</v>
          </cell>
          <cell r="P219">
            <v>0</v>
          </cell>
          <cell r="Q219">
            <v>275</v>
          </cell>
        </row>
        <row r="220">
          <cell r="A220" t="str">
            <v>US59P015503201300002</v>
          </cell>
          <cell r="B220" t="str">
            <v>US59P01550</v>
          </cell>
          <cell r="C220">
            <v>3201300002</v>
          </cell>
          <cell r="D220" t="str">
            <v>O/S SERVICES</v>
          </cell>
          <cell r="E220">
            <v>0</v>
          </cell>
          <cell r="F220">
            <v>0</v>
          </cell>
          <cell r="G220">
            <v>0</v>
          </cell>
          <cell r="H220">
            <v>0</v>
          </cell>
          <cell r="I220">
            <v>0</v>
          </cell>
          <cell r="J220">
            <v>0</v>
          </cell>
          <cell r="K220">
            <v>0</v>
          </cell>
          <cell r="L220">
            <v>0</v>
          </cell>
          <cell r="M220">
            <v>0</v>
          </cell>
          <cell r="N220">
            <v>0</v>
          </cell>
          <cell r="O220">
            <v>0</v>
          </cell>
          <cell r="P220">
            <v>0</v>
          </cell>
          <cell r="Q220">
            <v>0</v>
          </cell>
        </row>
        <row r="221">
          <cell r="A221" t="str">
            <v>US59P015603201300002</v>
          </cell>
          <cell r="B221" t="str">
            <v>US59P01560</v>
          </cell>
          <cell r="C221">
            <v>3201300002</v>
          </cell>
          <cell r="D221" t="str">
            <v>O/S SERVICES</v>
          </cell>
          <cell r="E221">
            <v>492</v>
          </cell>
          <cell r="F221">
            <v>0</v>
          </cell>
          <cell r="G221">
            <v>182</v>
          </cell>
          <cell r="H221">
            <v>0</v>
          </cell>
          <cell r="I221">
            <v>0</v>
          </cell>
          <cell r="J221">
            <v>0</v>
          </cell>
          <cell r="K221">
            <v>0</v>
          </cell>
          <cell r="L221">
            <v>0</v>
          </cell>
          <cell r="M221">
            <v>0</v>
          </cell>
          <cell r="N221">
            <v>0</v>
          </cell>
          <cell r="O221">
            <v>0</v>
          </cell>
          <cell r="P221">
            <v>0</v>
          </cell>
          <cell r="Q221">
            <v>674</v>
          </cell>
        </row>
        <row r="222">
          <cell r="A222" t="str">
            <v>US59P015753201300002</v>
          </cell>
          <cell r="B222" t="str">
            <v>US59P01575</v>
          </cell>
          <cell r="C222">
            <v>3201300002</v>
          </cell>
          <cell r="D222" t="str">
            <v>O/S SERVICES</v>
          </cell>
          <cell r="E222">
            <v>219</v>
          </cell>
          <cell r="F222">
            <v>0</v>
          </cell>
          <cell r="G222">
            <v>0</v>
          </cell>
          <cell r="H222">
            <v>0</v>
          </cell>
          <cell r="I222">
            <v>0</v>
          </cell>
          <cell r="J222">
            <v>0</v>
          </cell>
          <cell r="K222">
            <v>0</v>
          </cell>
          <cell r="L222">
            <v>0</v>
          </cell>
          <cell r="M222">
            <v>0</v>
          </cell>
          <cell r="N222">
            <v>0</v>
          </cell>
          <cell r="O222">
            <v>0</v>
          </cell>
          <cell r="P222">
            <v>0</v>
          </cell>
          <cell r="Q222">
            <v>219</v>
          </cell>
        </row>
        <row r="223">
          <cell r="A223" t="str">
            <v>US59P3C5603201300002</v>
          </cell>
          <cell r="B223" t="str">
            <v>US59P3C560</v>
          </cell>
          <cell r="C223">
            <v>3201300002</v>
          </cell>
          <cell r="D223" t="str">
            <v>O/S SERVICES</v>
          </cell>
          <cell r="E223">
            <v>1623</v>
          </cell>
          <cell r="F223">
            <v>0</v>
          </cell>
          <cell r="G223">
            <v>0</v>
          </cell>
          <cell r="H223">
            <v>0</v>
          </cell>
          <cell r="I223">
            <v>0</v>
          </cell>
          <cell r="J223">
            <v>0</v>
          </cell>
          <cell r="K223">
            <v>0</v>
          </cell>
          <cell r="L223">
            <v>0</v>
          </cell>
          <cell r="M223">
            <v>0</v>
          </cell>
          <cell r="N223">
            <v>0</v>
          </cell>
          <cell r="O223">
            <v>0</v>
          </cell>
          <cell r="P223">
            <v>0</v>
          </cell>
          <cell r="Q223">
            <v>1623</v>
          </cell>
        </row>
        <row r="224">
          <cell r="A224" t="str">
            <v>US59PZA5503201300002</v>
          </cell>
          <cell r="B224" t="str">
            <v>US59PZA550</v>
          </cell>
          <cell r="C224">
            <v>3201300002</v>
          </cell>
          <cell r="D224" t="str">
            <v>O/S SERVICES</v>
          </cell>
          <cell r="E224">
            <v>0</v>
          </cell>
          <cell r="F224">
            <v>0</v>
          </cell>
          <cell r="G224">
            <v>306</v>
          </cell>
          <cell r="H224">
            <v>0</v>
          </cell>
          <cell r="I224">
            <v>0</v>
          </cell>
          <cell r="J224">
            <v>0</v>
          </cell>
          <cell r="K224">
            <v>0</v>
          </cell>
          <cell r="L224">
            <v>0</v>
          </cell>
          <cell r="M224">
            <v>0</v>
          </cell>
          <cell r="N224">
            <v>0</v>
          </cell>
          <cell r="O224">
            <v>0</v>
          </cell>
          <cell r="P224">
            <v>0</v>
          </cell>
          <cell r="Q224">
            <v>306</v>
          </cell>
        </row>
        <row r="225">
          <cell r="A225" t="str">
            <v>USCRP015013201300002</v>
          </cell>
          <cell r="B225" t="str">
            <v>USCRP01501</v>
          </cell>
          <cell r="C225">
            <v>3201300002</v>
          </cell>
          <cell r="D225" t="str">
            <v>O/S SERVICES</v>
          </cell>
          <cell r="E225">
            <v>0</v>
          </cell>
          <cell r="F225">
            <v>0</v>
          </cell>
          <cell r="G225">
            <v>0</v>
          </cell>
          <cell r="H225">
            <v>0</v>
          </cell>
          <cell r="I225">
            <v>0</v>
          </cell>
          <cell r="J225">
            <v>0</v>
          </cell>
          <cell r="K225">
            <v>0</v>
          </cell>
          <cell r="L225">
            <v>0</v>
          </cell>
          <cell r="M225">
            <v>0</v>
          </cell>
          <cell r="N225">
            <v>0</v>
          </cell>
          <cell r="O225">
            <v>0</v>
          </cell>
          <cell r="P225">
            <v>0</v>
          </cell>
          <cell r="Q225">
            <v>0</v>
          </cell>
        </row>
        <row r="226">
          <cell r="A226" t="str">
            <v>USCRP015533201300002</v>
          </cell>
          <cell r="B226" t="str">
            <v>USCRP01553</v>
          </cell>
          <cell r="C226">
            <v>3201300002</v>
          </cell>
          <cell r="D226" t="str">
            <v>O/S SERVICES</v>
          </cell>
          <cell r="E226">
            <v>0</v>
          </cell>
          <cell r="F226">
            <v>32</v>
          </cell>
          <cell r="G226">
            <v>0</v>
          </cell>
          <cell r="H226">
            <v>0</v>
          </cell>
          <cell r="I226">
            <v>0</v>
          </cell>
          <cell r="J226">
            <v>0</v>
          </cell>
          <cell r="K226">
            <v>0</v>
          </cell>
          <cell r="L226">
            <v>0</v>
          </cell>
          <cell r="M226">
            <v>0</v>
          </cell>
          <cell r="N226">
            <v>0</v>
          </cell>
          <cell r="O226">
            <v>0</v>
          </cell>
          <cell r="P226">
            <v>0</v>
          </cell>
          <cell r="Q226">
            <v>32</v>
          </cell>
        </row>
        <row r="227">
          <cell r="A227" t="str">
            <v>USCRP015603201300002</v>
          </cell>
          <cell r="B227" t="str">
            <v>USCRP01560</v>
          </cell>
          <cell r="C227">
            <v>3201300002</v>
          </cell>
          <cell r="D227" t="str">
            <v>O/S SERVICES</v>
          </cell>
          <cell r="E227">
            <v>0</v>
          </cell>
          <cell r="F227">
            <v>0</v>
          </cell>
          <cell r="G227">
            <v>487</v>
          </cell>
          <cell r="H227">
            <v>0</v>
          </cell>
          <cell r="I227">
            <v>0</v>
          </cell>
          <cell r="J227">
            <v>0</v>
          </cell>
          <cell r="K227">
            <v>0</v>
          </cell>
          <cell r="L227">
            <v>0</v>
          </cell>
          <cell r="M227">
            <v>0</v>
          </cell>
          <cell r="N227">
            <v>0</v>
          </cell>
          <cell r="O227">
            <v>0</v>
          </cell>
          <cell r="P227">
            <v>0</v>
          </cell>
          <cell r="Q227">
            <v>487</v>
          </cell>
        </row>
        <row r="228">
          <cell r="A228" t="str">
            <v>USWOP015013201300002</v>
          </cell>
          <cell r="B228" t="str">
            <v>USWOP01501</v>
          </cell>
          <cell r="C228">
            <v>3201300002</v>
          </cell>
          <cell r="D228" t="str">
            <v>O/S SERVICES</v>
          </cell>
          <cell r="E228">
            <v>0</v>
          </cell>
          <cell r="F228">
            <v>36</v>
          </cell>
          <cell r="G228">
            <v>301</v>
          </cell>
          <cell r="H228">
            <v>0</v>
          </cell>
          <cell r="I228">
            <v>0</v>
          </cell>
          <cell r="J228">
            <v>0</v>
          </cell>
          <cell r="K228">
            <v>0</v>
          </cell>
          <cell r="L228">
            <v>0</v>
          </cell>
          <cell r="M228">
            <v>0</v>
          </cell>
          <cell r="N228">
            <v>0</v>
          </cell>
          <cell r="O228">
            <v>0</v>
          </cell>
          <cell r="P228">
            <v>0</v>
          </cell>
          <cell r="Q228">
            <v>337</v>
          </cell>
        </row>
        <row r="229">
          <cell r="A229" t="str">
            <v>USWOP015643201300002</v>
          </cell>
          <cell r="B229" t="str">
            <v>USWOP01564</v>
          </cell>
          <cell r="C229">
            <v>3201300002</v>
          </cell>
          <cell r="D229" t="str">
            <v>O/S SERVICES</v>
          </cell>
          <cell r="E229">
            <v>0</v>
          </cell>
          <cell r="F229">
            <v>835</v>
          </cell>
          <cell r="G229">
            <v>0</v>
          </cell>
          <cell r="H229">
            <v>0</v>
          </cell>
          <cell r="I229">
            <v>0</v>
          </cell>
          <cell r="J229">
            <v>0</v>
          </cell>
          <cell r="K229">
            <v>0</v>
          </cell>
          <cell r="L229">
            <v>0</v>
          </cell>
          <cell r="M229">
            <v>0</v>
          </cell>
          <cell r="N229">
            <v>0</v>
          </cell>
          <cell r="O229">
            <v>0</v>
          </cell>
          <cell r="P229">
            <v>0</v>
          </cell>
          <cell r="Q229">
            <v>835</v>
          </cell>
        </row>
        <row r="230">
          <cell r="A230" t="str">
            <v>US22P015013201300004</v>
          </cell>
          <cell r="B230" t="str">
            <v>US22P01501</v>
          </cell>
          <cell r="C230">
            <v>3201300004</v>
          </cell>
          <cell r="D230" t="str">
            <v>O/S SERVICES - COMPUTER PROGRAMMING</v>
          </cell>
          <cell r="E230">
            <v>50</v>
          </cell>
          <cell r="F230">
            <v>0</v>
          </cell>
          <cell r="G230">
            <v>0</v>
          </cell>
          <cell r="H230">
            <v>0</v>
          </cell>
          <cell r="I230">
            <v>0</v>
          </cell>
          <cell r="J230">
            <v>0</v>
          </cell>
          <cell r="K230">
            <v>0</v>
          </cell>
          <cell r="L230">
            <v>0</v>
          </cell>
          <cell r="M230">
            <v>0</v>
          </cell>
          <cell r="N230">
            <v>0</v>
          </cell>
          <cell r="O230">
            <v>0</v>
          </cell>
          <cell r="P230">
            <v>0</v>
          </cell>
          <cell r="Q230">
            <v>50</v>
          </cell>
        </row>
        <row r="231">
          <cell r="A231" t="str">
            <v>US22P015503201300004</v>
          </cell>
          <cell r="B231" t="str">
            <v>US22P01550</v>
          </cell>
          <cell r="C231">
            <v>3201300004</v>
          </cell>
          <cell r="D231" t="str">
            <v>O/S SERVICES - COMPUTER PROGRAMMING</v>
          </cell>
          <cell r="E231">
            <v>0</v>
          </cell>
          <cell r="F231">
            <v>0</v>
          </cell>
          <cell r="G231">
            <v>200</v>
          </cell>
          <cell r="H231">
            <v>0</v>
          </cell>
          <cell r="I231">
            <v>0</v>
          </cell>
          <cell r="J231">
            <v>0</v>
          </cell>
          <cell r="K231">
            <v>0</v>
          </cell>
          <cell r="L231">
            <v>0</v>
          </cell>
          <cell r="M231">
            <v>0</v>
          </cell>
          <cell r="N231">
            <v>0</v>
          </cell>
          <cell r="O231">
            <v>0</v>
          </cell>
          <cell r="P231">
            <v>0</v>
          </cell>
          <cell r="Q231">
            <v>200</v>
          </cell>
        </row>
        <row r="232">
          <cell r="A232" t="str">
            <v>USWOP015013201300005</v>
          </cell>
          <cell r="B232" t="str">
            <v>USWOP01501</v>
          </cell>
          <cell r="C232">
            <v>3201300005</v>
          </cell>
          <cell r="D232" t="str">
            <v>O/S SERVICES - COMPUTER LIC. &amp; SUPPORT</v>
          </cell>
          <cell r="E232">
            <v>0</v>
          </cell>
          <cell r="F232">
            <v>1644</v>
          </cell>
          <cell r="G232">
            <v>0</v>
          </cell>
          <cell r="H232">
            <v>0</v>
          </cell>
          <cell r="I232">
            <v>0</v>
          </cell>
          <cell r="J232">
            <v>0</v>
          </cell>
          <cell r="K232">
            <v>0</v>
          </cell>
          <cell r="L232">
            <v>0</v>
          </cell>
          <cell r="M232">
            <v>0</v>
          </cell>
          <cell r="N232">
            <v>0</v>
          </cell>
          <cell r="O232">
            <v>0</v>
          </cell>
          <cell r="P232">
            <v>0</v>
          </cell>
          <cell r="Q232">
            <v>1644</v>
          </cell>
        </row>
        <row r="233">
          <cell r="A233" t="str">
            <v>USWOP015603201300005</v>
          </cell>
          <cell r="B233" t="str">
            <v>USWOP01560</v>
          </cell>
          <cell r="C233">
            <v>3201300005</v>
          </cell>
          <cell r="D233" t="str">
            <v>O/S SERVICES - COMPUTER LIC. &amp; SUPPORT</v>
          </cell>
          <cell r="E233">
            <v>1342</v>
          </cell>
          <cell r="F233">
            <v>0</v>
          </cell>
          <cell r="G233">
            <v>0</v>
          </cell>
          <cell r="H233">
            <v>0</v>
          </cell>
          <cell r="I233">
            <v>0</v>
          </cell>
          <cell r="J233">
            <v>0</v>
          </cell>
          <cell r="K233">
            <v>0</v>
          </cell>
          <cell r="L233">
            <v>0</v>
          </cell>
          <cell r="M233">
            <v>0</v>
          </cell>
          <cell r="N233">
            <v>0</v>
          </cell>
          <cell r="O233">
            <v>0</v>
          </cell>
          <cell r="P233">
            <v>0</v>
          </cell>
          <cell r="Q233">
            <v>1342</v>
          </cell>
        </row>
        <row r="234">
          <cell r="A234" t="str">
            <v>US28P015533201300012</v>
          </cell>
          <cell r="B234" t="str">
            <v>US28P01553</v>
          </cell>
          <cell r="C234">
            <v>3201300012</v>
          </cell>
          <cell r="D234" t="str">
            <v>HIRED PERSONNEL THIRD PARTY - ROUGING</v>
          </cell>
          <cell r="E234">
            <v>0</v>
          </cell>
          <cell r="F234">
            <v>0</v>
          </cell>
          <cell r="G234">
            <v>0</v>
          </cell>
          <cell r="H234">
            <v>0</v>
          </cell>
          <cell r="I234">
            <v>0</v>
          </cell>
          <cell r="J234">
            <v>0</v>
          </cell>
          <cell r="K234">
            <v>0</v>
          </cell>
          <cell r="L234">
            <v>0</v>
          </cell>
          <cell r="M234">
            <v>0</v>
          </cell>
          <cell r="N234">
            <v>0</v>
          </cell>
          <cell r="O234">
            <v>0</v>
          </cell>
          <cell r="P234">
            <v>0</v>
          </cell>
          <cell r="Q234">
            <v>0</v>
          </cell>
        </row>
        <row r="235">
          <cell r="A235" t="str">
            <v>US59P015533201300012</v>
          </cell>
          <cell r="B235" t="str">
            <v>US59P01553</v>
          </cell>
          <cell r="C235">
            <v>3201300012</v>
          </cell>
          <cell r="D235" t="str">
            <v>HIRED PERSONNEL THIRD PARTY - ROUGING</v>
          </cell>
          <cell r="E235">
            <v>0</v>
          </cell>
          <cell r="F235">
            <v>10000</v>
          </cell>
          <cell r="G235">
            <v>0</v>
          </cell>
          <cell r="H235">
            <v>0</v>
          </cell>
          <cell r="I235">
            <v>0</v>
          </cell>
          <cell r="J235">
            <v>0</v>
          </cell>
          <cell r="K235">
            <v>0</v>
          </cell>
          <cell r="L235">
            <v>0</v>
          </cell>
          <cell r="M235">
            <v>0</v>
          </cell>
          <cell r="N235">
            <v>0</v>
          </cell>
          <cell r="O235">
            <v>0</v>
          </cell>
          <cell r="P235">
            <v>0</v>
          </cell>
          <cell r="Q235">
            <v>10000</v>
          </cell>
        </row>
        <row r="236">
          <cell r="A236" t="str">
            <v>US22MZA1503201400002</v>
          </cell>
          <cell r="B236" t="str">
            <v>US22MZA150</v>
          </cell>
          <cell r="C236">
            <v>3201400002</v>
          </cell>
          <cell r="D236" t="str">
            <v>MAINTENANCE OF VEHICLES</v>
          </cell>
          <cell r="E236">
            <v>1061</v>
          </cell>
          <cell r="F236">
            <v>437</v>
          </cell>
          <cell r="G236">
            <v>1885</v>
          </cell>
          <cell r="H236">
            <v>0</v>
          </cell>
          <cell r="I236">
            <v>0</v>
          </cell>
          <cell r="J236">
            <v>0</v>
          </cell>
          <cell r="K236">
            <v>0</v>
          </cell>
          <cell r="L236">
            <v>0</v>
          </cell>
          <cell r="M236">
            <v>0</v>
          </cell>
          <cell r="N236">
            <v>0</v>
          </cell>
          <cell r="O236">
            <v>0</v>
          </cell>
          <cell r="P236">
            <v>0</v>
          </cell>
          <cell r="Q236">
            <v>3383</v>
          </cell>
        </row>
        <row r="237">
          <cell r="A237" t="str">
            <v>US22P015013201400002</v>
          </cell>
          <cell r="B237" t="str">
            <v>US22P01501</v>
          </cell>
          <cell r="C237">
            <v>3201400002</v>
          </cell>
          <cell r="D237" t="str">
            <v>MAINTENANCE OF VEHICLES</v>
          </cell>
          <cell r="E237">
            <v>29</v>
          </cell>
          <cell r="F237">
            <v>664</v>
          </cell>
          <cell r="G237">
            <v>122</v>
          </cell>
          <cell r="H237">
            <v>0</v>
          </cell>
          <cell r="I237">
            <v>0</v>
          </cell>
          <cell r="J237">
            <v>0</v>
          </cell>
          <cell r="K237">
            <v>0</v>
          </cell>
          <cell r="L237">
            <v>0</v>
          </cell>
          <cell r="M237">
            <v>0</v>
          </cell>
          <cell r="N237">
            <v>0</v>
          </cell>
          <cell r="O237">
            <v>0</v>
          </cell>
          <cell r="P237">
            <v>0</v>
          </cell>
          <cell r="Q237">
            <v>815</v>
          </cell>
        </row>
        <row r="238">
          <cell r="A238" t="str">
            <v>US22P015503201400002</v>
          </cell>
          <cell r="B238" t="str">
            <v>US22P01550</v>
          </cell>
          <cell r="C238">
            <v>3201400002</v>
          </cell>
          <cell r="D238" t="str">
            <v>MAINTENANCE OF VEHICLES</v>
          </cell>
          <cell r="E238">
            <v>1769</v>
          </cell>
          <cell r="F238">
            <v>96</v>
          </cell>
          <cell r="G238">
            <v>-698</v>
          </cell>
          <cell r="H238">
            <v>0</v>
          </cell>
          <cell r="I238">
            <v>0</v>
          </cell>
          <cell r="J238">
            <v>0</v>
          </cell>
          <cell r="K238">
            <v>0</v>
          </cell>
          <cell r="L238">
            <v>0</v>
          </cell>
          <cell r="M238">
            <v>0</v>
          </cell>
          <cell r="N238">
            <v>0</v>
          </cell>
          <cell r="O238">
            <v>0</v>
          </cell>
          <cell r="P238">
            <v>0</v>
          </cell>
          <cell r="Q238">
            <v>1167</v>
          </cell>
        </row>
        <row r="239">
          <cell r="A239" t="str">
            <v>US22P015643201400002</v>
          </cell>
          <cell r="B239" t="str">
            <v>US22P01564</v>
          </cell>
          <cell r="C239">
            <v>3201400002</v>
          </cell>
          <cell r="D239" t="str">
            <v>MAINTENANCE OF VEHICLES</v>
          </cell>
          <cell r="E239">
            <v>489</v>
          </cell>
          <cell r="F239">
            <v>0</v>
          </cell>
          <cell r="G239">
            <v>0</v>
          </cell>
          <cell r="H239">
            <v>0</v>
          </cell>
          <cell r="I239">
            <v>0</v>
          </cell>
          <cell r="J239">
            <v>0</v>
          </cell>
          <cell r="K239">
            <v>0</v>
          </cell>
          <cell r="L239">
            <v>0</v>
          </cell>
          <cell r="M239">
            <v>0</v>
          </cell>
          <cell r="N239">
            <v>0</v>
          </cell>
          <cell r="O239">
            <v>0</v>
          </cell>
          <cell r="P239">
            <v>0</v>
          </cell>
          <cell r="Q239">
            <v>489</v>
          </cell>
        </row>
        <row r="240">
          <cell r="A240" t="str">
            <v>US22P015753201400002</v>
          </cell>
          <cell r="B240" t="str">
            <v>US22P01575</v>
          </cell>
          <cell r="C240">
            <v>3201400002</v>
          </cell>
          <cell r="D240" t="str">
            <v>MAINTENANCE OF VEHICLES</v>
          </cell>
          <cell r="E240">
            <v>0</v>
          </cell>
          <cell r="F240">
            <v>0</v>
          </cell>
          <cell r="G240">
            <v>90</v>
          </cell>
          <cell r="H240">
            <v>0</v>
          </cell>
          <cell r="I240">
            <v>0</v>
          </cell>
          <cell r="J240">
            <v>0</v>
          </cell>
          <cell r="K240">
            <v>0</v>
          </cell>
          <cell r="L240">
            <v>0</v>
          </cell>
          <cell r="M240">
            <v>0</v>
          </cell>
          <cell r="N240">
            <v>0</v>
          </cell>
          <cell r="O240">
            <v>0</v>
          </cell>
          <cell r="P240">
            <v>0</v>
          </cell>
          <cell r="Q240">
            <v>90</v>
          </cell>
        </row>
        <row r="241">
          <cell r="A241" t="str">
            <v>US28MZA1503201400002</v>
          </cell>
          <cell r="B241" t="str">
            <v>US28MZA150</v>
          </cell>
          <cell r="C241">
            <v>3201400002</v>
          </cell>
          <cell r="D241" t="str">
            <v>MAINTENANCE OF VEHICLES</v>
          </cell>
          <cell r="E241">
            <v>3654</v>
          </cell>
          <cell r="F241">
            <v>2440</v>
          </cell>
          <cell r="G241">
            <v>1989</v>
          </cell>
          <cell r="H241">
            <v>0</v>
          </cell>
          <cell r="I241">
            <v>0</v>
          </cell>
          <cell r="J241">
            <v>0</v>
          </cell>
          <cell r="K241">
            <v>0</v>
          </cell>
          <cell r="L241">
            <v>0</v>
          </cell>
          <cell r="M241">
            <v>0</v>
          </cell>
          <cell r="N241">
            <v>0</v>
          </cell>
          <cell r="O241">
            <v>0</v>
          </cell>
          <cell r="P241">
            <v>0</v>
          </cell>
          <cell r="Q241">
            <v>8083</v>
          </cell>
        </row>
        <row r="242">
          <cell r="A242" t="str">
            <v>US28P015013201400002</v>
          </cell>
          <cell r="B242" t="str">
            <v>US28P01501</v>
          </cell>
          <cell r="C242">
            <v>3201400002</v>
          </cell>
          <cell r="D242" t="str">
            <v>MAINTENANCE OF VEHICLES</v>
          </cell>
          <cell r="E242">
            <v>971</v>
          </cell>
          <cell r="F242">
            <v>10</v>
          </cell>
          <cell r="G242">
            <v>12</v>
          </cell>
          <cell r="H242">
            <v>0</v>
          </cell>
          <cell r="I242">
            <v>0</v>
          </cell>
          <cell r="J242">
            <v>0</v>
          </cell>
          <cell r="K242">
            <v>0</v>
          </cell>
          <cell r="L242">
            <v>0</v>
          </cell>
          <cell r="M242">
            <v>0</v>
          </cell>
          <cell r="N242">
            <v>0</v>
          </cell>
          <cell r="O242">
            <v>0</v>
          </cell>
          <cell r="P242">
            <v>0</v>
          </cell>
          <cell r="Q242">
            <v>993</v>
          </cell>
        </row>
        <row r="243">
          <cell r="A243" t="str">
            <v>US28P015503201400002</v>
          </cell>
          <cell r="B243" t="str">
            <v>US28P01550</v>
          </cell>
          <cell r="C243">
            <v>3201400002</v>
          </cell>
          <cell r="D243" t="str">
            <v>MAINTENANCE OF VEHICLES</v>
          </cell>
          <cell r="E243">
            <v>1087</v>
          </cell>
          <cell r="F243">
            <v>659</v>
          </cell>
          <cell r="G243">
            <v>169</v>
          </cell>
          <cell r="H243">
            <v>0</v>
          </cell>
          <cell r="I243">
            <v>0</v>
          </cell>
          <cell r="J243">
            <v>0</v>
          </cell>
          <cell r="K243">
            <v>0</v>
          </cell>
          <cell r="L243">
            <v>0</v>
          </cell>
          <cell r="M243">
            <v>0</v>
          </cell>
          <cell r="N243">
            <v>0</v>
          </cell>
          <cell r="O243">
            <v>0</v>
          </cell>
          <cell r="P243">
            <v>0</v>
          </cell>
          <cell r="Q243">
            <v>1915</v>
          </cell>
        </row>
        <row r="244">
          <cell r="A244" t="str">
            <v>US28P015533201400002</v>
          </cell>
          <cell r="B244" t="str">
            <v>US28P01553</v>
          </cell>
          <cell r="C244">
            <v>3201400002</v>
          </cell>
          <cell r="D244" t="str">
            <v>MAINTENANCE OF VEHICLES</v>
          </cell>
          <cell r="E244">
            <v>0</v>
          </cell>
          <cell r="F244">
            <v>0</v>
          </cell>
          <cell r="G244">
            <v>0</v>
          </cell>
          <cell r="H244">
            <v>0</v>
          </cell>
          <cell r="I244">
            <v>0</v>
          </cell>
          <cell r="J244">
            <v>0</v>
          </cell>
          <cell r="K244">
            <v>0</v>
          </cell>
          <cell r="L244">
            <v>0</v>
          </cell>
          <cell r="M244">
            <v>0</v>
          </cell>
          <cell r="N244">
            <v>0</v>
          </cell>
          <cell r="O244">
            <v>0</v>
          </cell>
          <cell r="P244">
            <v>0</v>
          </cell>
          <cell r="Q244">
            <v>0</v>
          </cell>
        </row>
        <row r="245">
          <cell r="A245" t="str">
            <v>US28P015643201400002</v>
          </cell>
          <cell r="B245" t="str">
            <v>US28P01564</v>
          </cell>
          <cell r="C245">
            <v>3201400002</v>
          </cell>
          <cell r="D245" t="str">
            <v>MAINTENANCE OF VEHICLES</v>
          </cell>
          <cell r="E245">
            <v>238</v>
          </cell>
          <cell r="F245">
            <v>0</v>
          </cell>
          <cell r="G245">
            <v>0</v>
          </cell>
          <cell r="H245">
            <v>0</v>
          </cell>
          <cell r="I245">
            <v>0</v>
          </cell>
          <cell r="J245">
            <v>0</v>
          </cell>
          <cell r="K245">
            <v>0</v>
          </cell>
          <cell r="L245">
            <v>0</v>
          </cell>
          <cell r="M245">
            <v>0</v>
          </cell>
          <cell r="N245">
            <v>0</v>
          </cell>
          <cell r="O245">
            <v>0</v>
          </cell>
          <cell r="P245">
            <v>0</v>
          </cell>
          <cell r="Q245">
            <v>238</v>
          </cell>
        </row>
        <row r="246">
          <cell r="A246" t="str">
            <v>US28P015753201400002</v>
          </cell>
          <cell r="B246" t="str">
            <v>US28P01575</v>
          </cell>
          <cell r="C246">
            <v>3201400002</v>
          </cell>
          <cell r="D246" t="str">
            <v>MAINTENANCE OF VEHICLES</v>
          </cell>
          <cell r="E246">
            <v>0</v>
          </cell>
          <cell r="F246">
            <v>0</v>
          </cell>
          <cell r="G246">
            <v>0</v>
          </cell>
          <cell r="H246">
            <v>0</v>
          </cell>
          <cell r="I246">
            <v>0</v>
          </cell>
          <cell r="J246">
            <v>0</v>
          </cell>
          <cell r="K246">
            <v>0</v>
          </cell>
          <cell r="L246">
            <v>0</v>
          </cell>
          <cell r="M246">
            <v>0</v>
          </cell>
          <cell r="N246">
            <v>0</v>
          </cell>
          <cell r="O246">
            <v>0</v>
          </cell>
          <cell r="P246">
            <v>0</v>
          </cell>
          <cell r="Q246">
            <v>0</v>
          </cell>
        </row>
        <row r="247">
          <cell r="A247" t="str">
            <v>US35MZA1503201400002</v>
          </cell>
          <cell r="B247" t="str">
            <v>US35MZA150</v>
          </cell>
          <cell r="C247">
            <v>3201400002</v>
          </cell>
          <cell r="D247" t="str">
            <v>MAINTENANCE OF VEHICLES</v>
          </cell>
          <cell r="E247">
            <v>107</v>
          </cell>
          <cell r="F247">
            <v>130</v>
          </cell>
          <cell r="G247">
            <v>125</v>
          </cell>
          <cell r="H247">
            <v>0</v>
          </cell>
          <cell r="I247">
            <v>0</v>
          </cell>
          <cell r="J247">
            <v>0</v>
          </cell>
          <cell r="K247">
            <v>0</v>
          </cell>
          <cell r="L247">
            <v>0</v>
          </cell>
          <cell r="M247">
            <v>0</v>
          </cell>
          <cell r="N247">
            <v>0</v>
          </cell>
          <cell r="O247">
            <v>0</v>
          </cell>
          <cell r="P247">
            <v>0</v>
          </cell>
          <cell r="Q247">
            <v>362</v>
          </cell>
        </row>
        <row r="248">
          <cell r="A248" t="str">
            <v>US35P015013201400002</v>
          </cell>
          <cell r="B248" t="str">
            <v>US35P01501</v>
          </cell>
          <cell r="C248">
            <v>3201400002</v>
          </cell>
          <cell r="D248" t="str">
            <v>MAINTENANCE OF VEHICLES</v>
          </cell>
          <cell r="E248">
            <v>4</v>
          </cell>
          <cell r="F248">
            <v>0</v>
          </cell>
          <cell r="G248">
            <v>318</v>
          </cell>
          <cell r="H248">
            <v>0</v>
          </cell>
          <cell r="I248">
            <v>0</v>
          </cell>
          <cell r="J248">
            <v>0</v>
          </cell>
          <cell r="K248">
            <v>0</v>
          </cell>
          <cell r="L248">
            <v>0</v>
          </cell>
          <cell r="M248">
            <v>0</v>
          </cell>
          <cell r="N248">
            <v>0</v>
          </cell>
          <cell r="O248">
            <v>0</v>
          </cell>
          <cell r="P248">
            <v>0</v>
          </cell>
          <cell r="Q248">
            <v>322</v>
          </cell>
        </row>
        <row r="249">
          <cell r="A249" t="str">
            <v>US35P015503201400002</v>
          </cell>
          <cell r="B249" t="str">
            <v>US35P01550</v>
          </cell>
          <cell r="C249">
            <v>3201400002</v>
          </cell>
          <cell r="D249" t="str">
            <v>MAINTENANCE OF VEHICLES</v>
          </cell>
          <cell r="E249">
            <v>1</v>
          </cell>
          <cell r="F249">
            <v>494</v>
          </cell>
          <cell r="G249">
            <v>164</v>
          </cell>
          <cell r="H249">
            <v>0</v>
          </cell>
          <cell r="I249">
            <v>0</v>
          </cell>
          <cell r="J249">
            <v>0</v>
          </cell>
          <cell r="K249">
            <v>0</v>
          </cell>
          <cell r="L249">
            <v>0</v>
          </cell>
          <cell r="M249">
            <v>0</v>
          </cell>
          <cell r="N249">
            <v>0</v>
          </cell>
          <cell r="O249">
            <v>0</v>
          </cell>
          <cell r="P249">
            <v>0</v>
          </cell>
          <cell r="Q249">
            <v>659</v>
          </cell>
        </row>
        <row r="250">
          <cell r="A250" t="str">
            <v>US35P015533201400002</v>
          </cell>
          <cell r="B250" t="str">
            <v>US35P01553</v>
          </cell>
          <cell r="C250">
            <v>3201400002</v>
          </cell>
          <cell r="D250" t="str">
            <v>MAINTENANCE OF VEHICLES</v>
          </cell>
          <cell r="E250">
            <v>20</v>
          </cell>
          <cell r="F250">
            <v>0</v>
          </cell>
          <cell r="G250">
            <v>0</v>
          </cell>
          <cell r="H250">
            <v>0</v>
          </cell>
          <cell r="I250">
            <v>0</v>
          </cell>
          <cell r="J250">
            <v>0</v>
          </cell>
          <cell r="K250">
            <v>0</v>
          </cell>
          <cell r="L250">
            <v>0</v>
          </cell>
          <cell r="M250">
            <v>0</v>
          </cell>
          <cell r="N250">
            <v>0</v>
          </cell>
          <cell r="O250">
            <v>0</v>
          </cell>
          <cell r="P250">
            <v>0</v>
          </cell>
          <cell r="Q250">
            <v>20</v>
          </cell>
        </row>
        <row r="251">
          <cell r="A251" t="str">
            <v>US35P015603201400002</v>
          </cell>
          <cell r="B251" t="str">
            <v>US35P01560</v>
          </cell>
          <cell r="C251">
            <v>3201400002</v>
          </cell>
          <cell r="D251" t="str">
            <v>MAINTENANCE OF VEHICLES</v>
          </cell>
          <cell r="E251">
            <v>540</v>
          </cell>
          <cell r="F251">
            <v>267</v>
          </cell>
          <cell r="G251">
            <v>0</v>
          </cell>
          <cell r="H251">
            <v>0</v>
          </cell>
          <cell r="I251">
            <v>0</v>
          </cell>
          <cell r="J251">
            <v>0</v>
          </cell>
          <cell r="K251">
            <v>0</v>
          </cell>
          <cell r="L251">
            <v>0</v>
          </cell>
          <cell r="M251">
            <v>0</v>
          </cell>
          <cell r="N251">
            <v>0</v>
          </cell>
          <cell r="O251">
            <v>0</v>
          </cell>
          <cell r="P251">
            <v>0</v>
          </cell>
          <cell r="Q251">
            <v>807</v>
          </cell>
        </row>
        <row r="252">
          <cell r="A252" t="str">
            <v>US59MZA1503201400002</v>
          </cell>
          <cell r="B252" t="str">
            <v>US59MZA150</v>
          </cell>
          <cell r="C252">
            <v>3201400002</v>
          </cell>
          <cell r="D252" t="str">
            <v>MAINTENANCE OF VEHICLES</v>
          </cell>
          <cell r="E252">
            <v>1313</v>
          </cell>
          <cell r="F252">
            <v>411</v>
          </cell>
          <cell r="G252">
            <v>1314</v>
          </cell>
          <cell r="H252">
            <v>0</v>
          </cell>
          <cell r="I252">
            <v>0</v>
          </cell>
          <cell r="J252">
            <v>0</v>
          </cell>
          <cell r="K252">
            <v>0</v>
          </cell>
          <cell r="L252">
            <v>0</v>
          </cell>
          <cell r="M252">
            <v>0</v>
          </cell>
          <cell r="N252">
            <v>0</v>
          </cell>
          <cell r="O252">
            <v>0</v>
          </cell>
          <cell r="P252">
            <v>0</v>
          </cell>
          <cell r="Q252">
            <v>3038</v>
          </cell>
        </row>
        <row r="253">
          <cell r="A253" t="str">
            <v>US59P015013201400002</v>
          </cell>
          <cell r="B253" t="str">
            <v>US59P01501</v>
          </cell>
          <cell r="C253">
            <v>3201400002</v>
          </cell>
          <cell r="D253" t="str">
            <v>MAINTENANCE OF VEHICLES</v>
          </cell>
          <cell r="E253">
            <v>1494</v>
          </cell>
          <cell r="F253">
            <v>144</v>
          </cell>
          <cell r="G253">
            <v>78</v>
          </cell>
          <cell r="H253">
            <v>0</v>
          </cell>
          <cell r="I253">
            <v>0</v>
          </cell>
          <cell r="J253">
            <v>0</v>
          </cell>
          <cell r="K253">
            <v>0</v>
          </cell>
          <cell r="L253">
            <v>0</v>
          </cell>
          <cell r="M253">
            <v>0</v>
          </cell>
          <cell r="N253">
            <v>0</v>
          </cell>
          <cell r="O253">
            <v>0</v>
          </cell>
          <cell r="P253">
            <v>0</v>
          </cell>
          <cell r="Q253">
            <v>1716</v>
          </cell>
        </row>
        <row r="254">
          <cell r="A254" t="str">
            <v>US59P015503201400002</v>
          </cell>
          <cell r="B254" t="str">
            <v>US59P01550</v>
          </cell>
          <cell r="C254">
            <v>3201400002</v>
          </cell>
          <cell r="D254" t="str">
            <v>MAINTENANCE OF VEHICLES</v>
          </cell>
          <cell r="E254">
            <v>0</v>
          </cell>
          <cell r="F254">
            <v>0</v>
          </cell>
          <cell r="G254">
            <v>0</v>
          </cell>
          <cell r="H254">
            <v>0</v>
          </cell>
          <cell r="I254">
            <v>0</v>
          </cell>
          <cell r="J254">
            <v>0</v>
          </cell>
          <cell r="K254">
            <v>0</v>
          </cell>
          <cell r="L254">
            <v>0</v>
          </cell>
          <cell r="M254">
            <v>0</v>
          </cell>
          <cell r="N254">
            <v>0</v>
          </cell>
          <cell r="O254">
            <v>0</v>
          </cell>
          <cell r="P254">
            <v>0</v>
          </cell>
          <cell r="Q254">
            <v>0</v>
          </cell>
        </row>
        <row r="255">
          <cell r="A255" t="str">
            <v>US59P015533201400002</v>
          </cell>
          <cell r="B255" t="str">
            <v>US59P01553</v>
          </cell>
          <cell r="C255">
            <v>3201400002</v>
          </cell>
          <cell r="D255" t="str">
            <v>MAINTENANCE OF VEHICLES</v>
          </cell>
          <cell r="E255">
            <v>0</v>
          </cell>
          <cell r="F255">
            <v>1642</v>
          </cell>
          <cell r="G255">
            <v>145</v>
          </cell>
          <cell r="H255">
            <v>0</v>
          </cell>
          <cell r="I255">
            <v>0</v>
          </cell>
          <cell r="J255">
            <v>0</v>
          </cell>
          <cell r="K255">
            <v>0</v>
          </cell>
          <cell r="L255">
            <v>0</v>
          </cell>
          <cell r="M255">
            <v>0</v>
          </cell>
          <cell r="N255">
            <v>0</v>
          </cell>
          <cell r="O255">
            <v>0</v>
          </cell>
          <cell r="P255">
            <v>0</v>
          </cell>
          <cell r="Q255">
            <v>1787</v>
          </cell>
        </row>
        <row r="256">
          <cell r="A256" t="str">
            <v>US59P015603201400002</v>
          </cell>
          <cell r="B256" t="str">
            <v>US59P01560</v>
          </cell>
          <cell r="C256">
            <v>3201400002</v>
          </cell>
          <cell r="D256" t="str">
            <v>MAINTENANCE OF VEHICLES</v>
          </cell>
          <cell r="E256">
            <v>16</v>
          </cell>
          <cell r="F256">
            <v>0</v>
          </cell>
          <cell r="G256">
            <v>0</v>
          </cell>
          <cell r="H256">
            <v>0</v>
          </cell>
          <cell r="I256">
            <v>0</v>
          </cell>
          <cell r="J256">
            <v>0</v>
          </cell>
          <cell r="K256">
            <v>0</v>
          </cell>
          <cell r="L256">
            <v>0</v>
          </cell>
          <cell r="M256">
            <v>0</v>
          </cell>
          <cell r="N256">
            <v>0</v>
          </cell>
          <cell r="O256">
            <v>0</v>
          </cell>
          <cell r="P256">
            <v>0</v>
          </cell>
          <cell r="Q256">
            <v>16</v>
          </cell>
        </row>
        <row r="257">
          <cell r="A257" t="str">
            <v>US59P3C5013201400002</v>
          </cell>
          <cell r="B257" t="str">
            <v>US59P3C501</v>
          </cell>
          <cell r="C257">
            <v>3201400002</v>
          </cell>
          <cell r="D257" t="str">
            <v>MAINTENANCE OF VEHICLES</v>
          </cell>
          <cell r="E257">
            <v>0</v>
          </cell>
          <cell r="F257">
            <v>28</v>
          </cell>
          <cell r="G257">
            <v>0</v>
          </cell>
          <cell r="H257">
            <v>0</v>
          </cell>
          <cell r="I257">
            <v>0</v>
          </cell>
          <cell r="J257">
            <v>0</v>
          </cell>
          <cell r="K257">
            <v>0</v>
          </cell>
          <cell r="L257">
            <v>0</v>
          </cell>
          <cell r="M257">
            <v>0</v>
          </cell>
          <cell r="N257">
            <v>0</v>
          </cell>
          <cell r="O257">
            <v>0</v>
          </cell>
          <cell r="P257">
            <v>0</v>
          </cell>
          <cell r="Q257">
            <v>28</v>
          </cell>
        </row>
        <row r="258">
          <cell r="A258" t="str">
            <v>US59P3C5603201400002</v>
          </cell>
          <cell r="B258" t="str">
            <v>US59P3C560</v>
          </cell>
          <cell r="C258">
            <v>3201400002</v>
          </cell>
          <cell r="D258" t="str">
            <v>MAINTENANCE OF VEHICLES</v>
          </cell>
          <cell r="E258">
            <v>9</v>
          </cell>
          <cell r="F258">
            <v>40</v>
          </cell>
          <cell r="G258">
            <v>0</v>
          </cell>
          <cell r="H258">
            <v>0</v>
          </cell>
          <cell r="I258">
            <v>0</v>
          </cell>
          <cell r="J258">
            <v>0</v>
          </cell>
          <cell r="K258">
            <v>0</v>
          </cell>
          <cell r="L258">
            <v>0</v>
          </cell>
          <cell r="M258">
            <v>0</v>
          </cell>
          <cell r="N258">
            <v>0</v>
          </cell>
          <cell r="O258">
            <v>0</v>
          </cell>
          <cell r="P258">
            <v>0</v>
          </cell>
          <cell r="Q258">
            <v>49</v>
          </cell>
        </row>
        <row r="259">
          <cell r="A259" t="str">
            <v>USCRMZA1503201400002</v>
          </cell>
          <cell r="B259" t="str">
            <v>USCRMZA150</v>
          </cell>
          <cell r="C259">
            <v>3201400002</v>
          </cell>
          <cell r="D259" t="str">
            <v>MAINTENANCE OF VEHICLES</v>
          </cell>
          <cell r="E259">
            <v>1115</v>
          </cell>
          <cell r="F259">
            <v>94</v>
          </cell>
          <cell r="G259">
            <v>227</v>
          </cell>
          <cell r="H259">
            <v>0</v>
          </cell>
          <cell r="I259">
            <v>0</v>
          </cell>
          <cell r="J259">
            <v>0</v>
          </cell>
          <cell r="K259">
            <v>0</v>
          </cell>
          <cell r="L259">
            <v>0</v>
          </cell>
          <cell r="M259">
            <v>0</v>
          </cell>
          <cell r="N259">
            <v>0</v>
          </cell>
          <cell r="O259">
            <v>0</v>
          </cell>
          <cell r="P259">
            <v>0</v>
          </cell>
          <cell r="Q259">
            <v>1436</v>
          </cell>
        </row>
        <row r="260">
          <cell r="A260" t="str">
            <v>USCRP015013201400002</v>
          </cell>
          <cell r="B260" t="str">
            <v>USCRP01501</v>
          </cell>
          <cell r="C260">
            <v>3201400002</v>
          </cell>
          <cell r="D260" t="str">
            <v>MAINTENANCE OF VEHICLES</v>
          </cell>
          <cell r="E260">
            <v>1237</v>
          </cell>
          <cell r="F260">
            <v>645</v>
          </cell>
          <cell r="G260">
            <v>-709</v>
          </cell>
          <cell r="H260">
            <v>0</v>
          </cell>
          <cell r="I260">
            <v>0</v>
          </cell>
          <cell r="J260">
            <v>0</v>
          </cell>
          <cell r="K260">
            <v>0</v>
          </cell>
          <cell r="L260">
            <v>0</v>
          </cell>
          <cell r="M260">
            <v>0</v>
          </cell>
          <cell r="N260">
            <v>0</v>
          </cell>
          <cell r="O260">
            <v>0</v>
          </cell>
          <cell r="P260">
            <v>0</v>
          </cell>
          <cell r="Q260">
            <v>1173</v>
          </cell>
        </row>
        <row r="261">
          <cell r="A261" t="str">
            <v>USCRP015533201400002</v>
          </cell>
          <cell r="B261" t="str">
            <v>USCRP01553</v>
          </cell>
          <cell r="C261">
            <v>3201400002</v>
          </cell>
          <cell r="D261" t="str">
            <v>MAINTENANCE OF VEHICLES</v>
          </cell>
          <cell r="E261">
            <v>0</v>
          </cell>
          <cell r="F261">
            <v>118</v>
          </cell>
          <cell r="G261">
            <v>-150</v>
          </cell>
          <cell r="H261">
            <v>0</v>
          </cell>
          <cell r="I261">
            <v>0</v>
          </cell>
          <cell r="J261">
            <v>0</v>
          </cell>
          <cell r="K261">
            <v>0</v>
          </cell>
          <cell r="L261">
            <v>0</v>
          </cell>
          <cell r="M261">
            <v>0</v>
          </cell>
          <cell r="N261">
            <v>0</v>
          </cell>
          <cell r="O261">
            <v>0</v>
          </cell>
          <cell r="P261">
            <v>0</v>
          </cell>
          <cell r="Q261">
            <v>-32</v>
          </cell>
        </row>
        <row r="262">
          <cell r="A262" t="str">
            <v>USCRP015603201400002</v>
          </cell>
          <cell r="B262" t="str">
            <v>USCRP01560</v>
          </cell>
          <cell r="C262">
            <v>3201400002</v>
          </cell>
          <cell r="D262" t="str">
            <v>MAINTENANCE OF VEHICLES</v>
          </cell>
          <cell r="E262">
            <v>0</v>
          </cell>
          <cell r="F262">
            <v>82</v>
          </cell>
          <cell r="G262">
            <v>159</v>
          </cell>
          <cell r="H262">
            <v>0</v>
          </cell>
          <cell r="I262">
            <v>0</v>
          </cell>
          <cell r="J262">
            <v>0</v>
          </cell>
          <cell r="K262">
            <v>0</v>
          </cell>
          <cell r="L262">
            <v>0</v>
          </cell>
          <cell r="M262">
            <v>0</v>
          </cell>
          <cell r="N262">
            <v>0</v>
          </cell>
          <cell r="O262">
            <v>0</v>
          </cell>
          <cell r="P262">
            <v>0</v>
          </cell>
          <cell r="Q262">
            <v>241</v>
          </cell>
        </row>
        <row r="263">
          <cell r="A263" t="str">
            <v>USWOMZA1503201400002</v>
          </cell>
          <cell r="B263" t="str">
            <v>USWOMZA150</v>
          </cell>
          <cell r="C263">
            <v>3201400002</v>
          </cell>
          <cell r="D263" t="str">
            <v>MAINTENANCE OF VEHICLES</v>
          </cell>
          <cell r="E263">
            <v>0</v>
          </cell>
          <cell r="F263">
            <v>0</v>
          </cell>
          <cell r="G263">
            <v>296</v>
          </cell>
          <cell r="H263">
            <v>0</v>
          </cell>
          <cell r="I263">
            <v>0</v>
          </cell>
          <cell r="J263">
            <v>0</v>
          </cell>
          <cell r="K263">
            <v>0</v>
          </cell>
          <cell r="L263">
            <v>0</v>
          </cell>
          <cell r="M263">
            <v>0</v>
          </cell>
          <cell r="N263">
            <v>0</v>
          </cell>
          <cell r="O263">
            <v>0</v>
          </cell>
          <cell r="P263">
            <v>0</v>
          </cell>
          <cell r="Q263">
            <v>296</v>
          </cell>
        </row>
        <row r="264">
          <cell r="A264" t="str">
            <v>USWOP015013201400002</v>
          </cell>
          <cell r="B264" t="str">
            <v>USWOP01501</v>
          </cell>
          <cell r="C264">
            <v>3201400002</v>
          </cell>
          <cell r="D264" t="str">
            <v>MAINTENANCE OF VEHICLES</v>
          </cell>
          <cell r="E264">
            <v>1238</v>
          </cell>
          <cell r="F264">
            <v>227</v>
          </cell>
          <cell r="G264">
            <v>596</v>
          </cell>
          <cell r="H264">
            <v>0</v>
          </cell>
          <cell r="I264">
            <v>0</v>
          </cell>
          <cell r="J264">
            <v>0</v>
          </cell>
          <cell r="K264">
            <v>0</v>
          </cell>
          <cell r="L264">
            <v>0</v>
          </cell>
          <cell r="M264">
            <v>0</v>
          </cell>
          <cell r="N264">
            <v>0</v>
          </cell>
          <cell r="O264">
            <v>0</v>
          </cell>
          <cell r="P264">
            <v>0</v>
          </cell>
          <cell r="Q264">
            <v>2061</v>
          </cell>
        </row>
        <row r="265">
          <cell r="A265" t="str">
            <v>USWOP015503201400002</v>
          </cell>
          <cell r="B265" t="str">
            <v>USWOP01550</v>
          </cell>
          <cell r="C265">
            <v>3201400002</v>
          </cell>
          <cell r="D265" t="str">
            <v>MAINTENANCE OF VEHICLES</v>
          </cell>
          <cell r="E265">
            <v>3362</v>
          </cell>
          <cell r="F265">
            <v>0</v>
          </cell>
          <cell r="G265">
            <v>0</v>
          </cell>
          <cell r="H265">
            <v>0</v>
          </cell>
          <cell r="I265">
            <v>0</v>
          </cell>
          <cell r="J265">
            <v>0</v>
          </cell>
          <cell r="K265">
            <v>0</v>
          </cell>
          <cell r="L265">
            <v>0</v>
          </cell>
          <cell r="M265">
            <v>0</v>
          </cell>
          <cell r="N265">
            <v>0</v>
          </cell>
          <cell r="O265">
            <v>0</v>
          </cell>
          <cell r="P265">
            <v>0</v>
          </cell>
          <cell r="Q265">
            <v>3362</v>
          </cell>
        </row>
        <row r="266">
          <cell r="A266" t="str">
            <v>USWOP015603201400002</v>
          </cell>
          <cell r="B266" t="str">
            <v>USWOP01560</v>
          </cell>
          <cell r="C266">
            <v>3201400002</v>
          </cell>
          <cell r="D266" t="str">
            <v>MAINTENANCE OF VEHICLES</v>
          </cell>
          <cell r="E266">
            <v>0</v>
          </cell>
          <cell r="F266">
            <v>29</v>
          </cell>
          <cell r="G266">
            <v>0</v>
          </cell>
          <cell r="H266">
            <v>0</v>
          </cell>
          <cell r="I266">
            <v>0</v>
          </cell>
          <cell r="J266">
            <v>0</v>
          </cell>
          <cell r="K266">
            <v>0</v>
          </cell>
          <cell r="L266">
            <v>0</v>
          </cell>
          <cell r="M266">
            <v>0</v>
          </cell>
          <cell r="N266">
            <v>0</v>
          </cell>
          <cell r="O266">
            <v>0</v>
          </cell>
          <cell r="P266">
            <v>0</v>
          </cell>
          <cell r="Q266">
            <v>29</v>
          </cell>
        </row>
        <row r="267">
          <cell r="A267" t="str">
            <v>USWOP015643201400002</v>
          </cell>
          <cell r="B267" t="str">
            <v>USWOP01564</v>
          </cell>
          <cell r="C267">
            <v>3201400002</v>
          </cell>
          <cell r="D267" t="str">
            <v>MAINTENANCE OF VEHICLES</v>
          </cell>
          <cell r="E267">
            <v>0</v>
          </cell>
          <cell r="F267">
            <v>591</v>
          </cell>
          <cell r="G267">
            <v>0</v>
          </cell>
          <cell r="H267">
            <v>0</v>
          </cell>
          <cell r="I267">
            <v>0</v>
          </cell>
          <cell r="J267">
            <v>0</v>
          </cell>
          <cell r="K267">
            <v>0</v>
          </cell>
          <cell r="L267">
            <v>0</v>
          </cell>
          <cell r="M267">
            <v>0</v>
          </cell>
          <cell r="N267">
            <v>0</v>
          </cell>
          <cell r="O267">
            <v>0</v>
          </cell>
          <cell r="P267">
            <v>0</v>
          </cell>
          <cell r="Q267">
            <v>591</v>
          </cell>
        </row>
        <row r="268">
          <cell r="A268" t="str">
            <v>US22MZA1503201400025</v>
          </cell>
          <cell r="B268" t="str">
            <v>US22MZA150</v>
          </cell>
          <cell r="C268">
            <v>3201400025</v>
          </cell>
          <cell r="D268" t="str">
            <v>CLEANING EXPENSES</v>
          </cell>
          <cell r="E268">
            <v>212</v>
          </cell>
          <cell r="F268">
            <v>212</v>
          </cell>
          <cell r="G268">
            <v>901</v>
          </cell>
          <cell r="H268">
            <v>0</v>
          </cell>
          <cell r="I268">
            <v>0</v>
          </cell>
          <cell r="J268">
            <v>0</v>
          </cell>
          <cell r="K268">
            <v>0</v>
          </cell>
          <cell r="L268">
            <v>0</v>
          </cell>
          <cell r="M268">
            <v>0</v>
          </cell>
          <cell r="N268">
            <v>0</v>
          </cell>
          <cell r="O268">
            <v>0</v>
          </cell>
          <cell r="P268">
            <v>0</v>
          </cell>
          <cell r="Q268">
            <v>1325</v>
          </cell>
        </row>
        <row r="269">
          <cell r="A269" t="str">
            <v>US22P015013201400025</v>
          </cell>
          <cell r="B269" t="str">
            <v>US22P01501</v>
          </cell>
          <cell r="C269">
            <v>3201400025</v>
          </cell>
          <cell r="D269" t="str">
            <v>CLEANING EXPENSES</v>
          </cell>
          <cell r="E269">
            <v>1590</v>
          </cell>
          <cell r="F269">
            <v>2332</v>
          </cell>
          <cell r="G269">
            <v>1590</v>
          </cell>
          <cell r="H269">
            <v>0</v>
          </cell>
          <cell r="I269">
            <v>0</v>
          </cell>
          <cell r="J269">
            <v>0</v>
          </cell>
          <cell r="K269">
            <v>0</v>
          </cell>
          <cell r="L269">
            <v>0</v>
          </cell>
          <cell r="M269">
            <v>0</v>
          </cell>
          <cell r="N269">
            <v>0</v>
          </cell>
          <cell r="O269">
            <v>0</v>
          </cell>
          <cell r="P269">
            <v>0</v>
          </cell>
          <cell r="Q269">
            <v>5512</v>
          </cell>
        </row>
        <row r="270">
          <cell r="A270" t="str">
            <v>US28P015013201400025</v>
          </cell>
          <cell r="B270" t="str">
            <v>US28P01501</v>
          </cell>
          <cell r="C270">
            <v>3201400025</v>
          </cell>
          <cell r="D270" t="str">
            <v>CLEANING EXPENSES</v>
          </cell>
          <cell r="E270">
            <v>0</v>
          </cell>
          <cell r="F270">
            <v>0</v>
          </cell>
          <cell r="G270">
            <v>175</v>
          </cell>
          <cell r="H270">
            <v>0</v>
          </cell>
          <cell r="I270">
            <v>0</v>
          </cell>
          <cell r="J270">
            <v>0</v>
          </cell>
          <cell r="K270">
            <v>0</v>
          </cell>
          <cell r="L270">
            <v>0</v>
          </cell>
          <cell r="M270">
            <v>0</v>
          </cell>
          <cell r="N270">
            <v>0</v>
          </cell>
          <cell r="O270">
            <v>0</v>
          </cell>
          <cell r="P270">
            <v>0</v>
          </cell>
          <cell r="Q270">
            <v>175</v>
          </cell>
        </row>
        <row r="271">
          <cell r="A271" t="str">
            <v>US35P015013201400025</v>
          </cell>
          <cell r="B271" t="str">
            <v>US35P01501</v>
          </cell>
          <cell r="C271">
            <v>3201400025</v>
          </cell>
          <cell r="D271" t="str">
            <v>CLEANING EXPENSES</v>
          </cell>
          <cell r="E271">
            <v>1911</v>
          </cell>
          <cell r="F271">
            <v>1661</v>
          </cell>
          <cell r="G271">
            <v>1661</v>
          </cell>
          <cell r="H271">
            <v>0</v>
          </cell>
          <cell r="I271">
            <v>0</v>
          </cell>
          <cell r="J271">
            <v>0</v>
          </cell>
          <cell r="K271">
            <v>0</v>
          </cell>
          <cell r="L271">
            <v>0</v>
          </cell>
          <cell r="M271">
            <v>0</v>
          </cell>
          <cell r="N271">
            <v>0</v>
          </cell>
          <cell r="O271">
            <v>0</v>
          </cell>
          <cell r="P271">
            <v>0</v>
          </cell>
          <cell r="Q271">
            <v>5233</v>
          </cell>
        </row>
        <row r="272">
          <cell r="A272" t="str">
            <v>US59MZA1503201400025</v>
          </cell>
          <cell r="B272" t="str">
            <v>US59MZA150</v>
          </cell>
          <cell r="C272">
            <v>3201400025</v>
          </cell>
          <cell r="D272" t="str">
            <v>CLEANING EXPENSES</v>
          </cell>
          <cell r="E272">
            <v>246</v>
          </cell>
          <cell r="F272">
            <v>0</v>
          </cell>
          <cell r="G272">
            <v>245</v>
          </cell>
          <cell r="H272">
            <v>0</v>
          </cell>
          <cell r="I272">
            <v>0</v>
          </cell>
          <cell r="J272">
            <v>0</v>
          </cell>
          <cell r="K272">
            <v>0</v>
          </cell>
          <cell r="L272">
            <v>0</v>
          </cell>
          <cell r="M272">
            <v>0</v>
          </cell>
          <cell r="N272">
            <v>0</v>
          </cell>
          <cell r="O272">
            <v>0</v>
          </cell>
          <cell r="P272">
            <v>0</v>
          </cell>
          <cell r="Q272">
            <v>491</v>
          </cell>
        </row>
        <row r="273">
          <cell r="A273" t="str">
            <v>US59P015013201400025</v>
          </cell>
          <cell r="B273" t="str">
            <v>US59P01501</v>
          </cell>
          <cell r="C273">
            <v>3201400025</v>
          </cell>
          <cell r="D273" t="str">
            <v>CLEANING EXPENSES</v>
          </cell>
          <cell r="E273">
            <v>698</v>
          </cell>
          <cell r="F273">
            <v>453</v>
          </cell>
          <cell r="G273">
            <v>245</v>
          </cell>
          <cell r="H273">
            <v>0</v>
          </cell>
          <cell r="I273">
            <v>0</v>
          </cell>
          <cell r="J273">
            <v>0</v>
          </cell>
          <cell r="K273">
            <v>0</v>
          </cell>
          <cell r="L273">
            <v>0</v>
          </cell>
          <cell r="M273">
            <v>0</v>
          </cell>
          <cell r="N273">
            <v>0</v>
          </cell>
          <cell r="O273">
            <v>0</v>
          </cell>
          <cell r="P273">
            <v>0</v>
          </cell>
          <cell r="Q273">
            <v>1396</v>
          </cell>
        </row>
        <row r="274">
          <cell r="A274" t="str">
            <v>US59P3C5013201400025</v>
          </cell>
          <cell r="B274" t="str">
            <v>US59P3C501</v>
          </cell>
          <cell r="C274">
            <v>3201400025</v>
          </cell>
          <cell r="D274" t="str">
            <v>CLEANING EXPENSES</v>
          </cell>
          <cell r="E274">
            <v>245</v>
          </cell>
          <cell r="F274">
            <v>0</v>
          </cell>
          <cell r="G274">
            <v>245</v>
          </cell>
          <cell r="H274">
            <v>0</v>
          </cell>
          <cell r="I274">
            <v>0</v>
          </cell>
          <cell r="J274">
            <v>0</v>
          </cell>
          <cell r="K274">
            <v>0</v>
          </cell>
          <cell r="L274">
            <v>0</v>
          </cell>
          <cell r="M274">
            <v>0</v>
          </cell>
          <cell r="N274">
            <v>0</v>
          </cell>
          <cell r="O274">
            <v>0</v>
          </cell>
          <cell r="P274">
            <v>0</v>
          </cell>
          <cell r="Q274">
            <v>490</v>
          </cell>
        </row>
        <row r="275">
          <cell r="A275" t="str">
            <v>US59P3C5603201400025</v>
          </cell>
          <cell r="B275" t="str">
            <v>US59P3C560</v>
          </cell>
          <cell r="C275">
            <v>3201400025</v>
          </cell>
          <cell r="D275" t="str">
            <v>CLEANING EXPENSES</v>
          </cell>
          <cell r="E275">
            <v>453</v>
          </cell>
          <cell r="F275">
            <v>453</v>
          </cell>
          <cell r="G275">
            <v>0</v>
          </cell>
          <cell r="H275">
            <v>0</v>
          </cell>
          <cell r="I275">
            <v>0</v>
          </cell>
          <cell r="J275">
            <v>0</v>
          </cell>
          <cell r="K275">
            <v>0</v>
          </cell>
          <cell r="L275">
            <v>0</v>
          </cell>
          <cell r="M275">
            <v>0</v>
          </cell>
          <cell r="N275">
            <v>0</v>
          </cell>
          <cell r="O275">
            <v>0</v>
          </cell>
          <cell r="P275">
            <v>0</v>
          </cell>
          <cell r="Q275">
            <v>906</v>
          </cell>
        </row>
        <row r="276">
          <cell r="A276" t="str">
            <v>USCRP015013201400025</v>
          </cell>
          <cell r="B276" t="str">
            <v>USCRP01501</v>
          </cell>
          <cell r="C276">
            <v>3201400025</v>
          </cell>
          <cell r="D276" t="str">
            <v>CLEANING EXPENSES</v>
          </cell>
          <cell r="E276">
            <v>4412</v>
          </cell>
          <cell r="F276">
            <v>1782</v>
          </cell>
          <cell r="G276">
            <v>1865</v>
          </cell>
          <cell r="H276">
            <v>0</v>
          </cell>
          <cell r="I276">
            <v>0</v>
          </cell>
          <cell r="J276">
            <v>0</v>
          </cell>
          <cell r="K276">
            <v>0</v>
          </cell>
          <cell r="L276">
            <v>0</v>
          </cell>
          <cell r="M276">
            <v>0</v>
          </cell>
          <cell r="N276">
            <v>0</v>
          </cell>
          <cell r="O276">
            <v>0</v>
          </cell>
          <cell r="P276">
            <v>0</v>
          </cell>
          <cell r="Q276">
            <v>8059</v>
          </cell>
        </row>
        <row r="277">
          <cell r="A277" t="str">
            <v>USWOP015013201400025</v>
          </cell>
          <cell r="B277" t="str">
            <v>USWOP01501</v>
          </cell>
          <cell r="C277">
            <v>3201400025</v>
          </cell>
          <cell r="D277" t="str">
            <v>CLEANING EXPENSES</v>
          </cell>
          <cell r="E277">
            <v>1225</v>
          </cell>
          <cell r="F277">
            <v>1290</v>
          </cell>
          <cell r="G277">
            <v>1225</v>
          </cell>
          <cell r="H277">
            <v>0</v>
          </cell>
          <cell r="I277">
            <v>0</v>
          </cell>
          <cell r="J277">
            <v>0</v>
          </cell>
          <cell r="K277">
            <v>0</v>
          </cell>
          <cell r="L277">
            <v>0</v>
          </cell>
          <cell r="M277">
            <v>0</v>
          </cell>
          <cell r="N277">
            <v>0</v>
          </cell>
          <cell r="O277">
            <v>0</v>
          </cell>
          <cell r="P277">
            <v>0</v>
          </cell>
          <cell r="Q277">
            <v>3740</v>
          </cell>
        </row>
        <row r="278">
          <cell r="A278" t="str">
            <v>US22MZA1503201400029</v>
          </cell>
          <cell r="B278" t="str">
            <v>US22MZA150</v>
          </cell>
          <cell r="C278">
            <v>3201400029</v>
          </cell>
          <cell r="D278" t="str">
            <v>OTH OUTSIDE SERVICES OTHER</v>
          </cell>
          <cell r="E278">
            <v>3649</v>
          </cell>
          <cell r="F278">
            <v>10690</v>
          </cell>
          <cell r="G278">
            <v>2126</v>
          </cell>
          <cell r="H278">
            <v>0</v>
          </cell>
          <cell r="I278">
            <v>0</v>
          </cell>
          <cell r="J278">
            <v>0</v>
          </cell>
          <cell r="K278">
            <v>0</v>
          </cell>
          <cell r="L278">
            <v>0</v>
          </cell>
          <cell r="M278">
            <v>0</v>
          </cell>
          <cell r="N278">
            <v>0</v>
          </cell>
          <cell r="O278">
            <v>0</v>
          </cell>
          <cell r="P278">
            <v>0</v>
          </cell>
          <cell r="Q278">
            <v>16465</v>
          </cell>
        </row>
        <row r="279">
          <cell r="A279" t="str">
            <v>US22P015013201400029</v>
          </cell>
          <cell r="B279" t="str">
            <v>US22P01501</v>
          </cell>
          <cell r="C279">
            <v>3201400029</v>
          </cell>
          <cell r="D279" t="str">
            <v>OTH OUTSIDE SERVICES OTHER</v>
          </cell>
          <cell r="E279">
            <v>10724</v>
          </cell>
          <cell r="F279">
            <v>9302</v>
          </cell>
          <cell r="G279">
            <v>5142</v>
          </cell>
          <cell r="H279">
            <v>0</v>
          </cell>
          <cell r="I279">
            <v>0</v>
          </cell>
          <cell r="J279">
            <v>0</v>
          </cell>
          <cell r="K279">
            <v>0</v>
          </cell>
          <cell r="L279">
            <v>0</v>
          </cell>
          <cell r="M279">
            <v>0</v>
          </cell>
          <cell r="N279">
            <v>0</v>
          </cell>
          <cell r="O279">
            <v>0</v>
          </cell>
          <cell r="P279">
            <v>0</v>
          </cell>
          <cell r="Q279">
            <v>25168</v>
          </cell>
        </row>
        <row r="280">
          <cell r="A280" t="str">
            <v>US22P015503201400029</v>
          </cell>
          <cell r="B280" t="str">
            <v>US22P01550</v>
          </cell>
          <cell r="C280">
            <v>3201400029</v>
          </cell>
          <cell r="D280" t="str">
            <v>OTH OUTSIDE SERVICES OTHER</v>
          </cell>
          <cell r="E280">
            <v>162</v>
          </cell>
          <cell r="F280">
            <v>162</v>
          </cell>
          <cell r="G280">
            <v>0</v>
          </cell>
          <cell r="H280">
            <v>0</v>
          </cell>
          <cell r="I280">
            <v>0</v>
          </cell>
          <cell r="J280">
            <v>0</v>
          </cell>
          <cell r="K280">
            <v>0</v>
          </cell>
          <cell r="L280">
            <v>0</v>
          </cell>
          <cell r="M280">
            <v>0</v>
          </cell>
          <cell r="N280">
            <v>0</v>
          </cell>
          <cell r="O280">
            <v>0</v>
          </cell>
          <cell r="P280">
            <v>0</v>
          </cell>
          <cell r="Q280">
            <v>324</v>
          </cell>
        </row>
        <row r="281">
          <cell r="A281" t="str">
            <v>US22P015603201400029</v>
          </cell>
          <cell r="B281" t="str">
            <v>US22P01560</v>
          </cell>
          <cell r="C281">
            <v>3201400029</v>
          </cell>
          <cell r="D281" t="str">
            <v>OTH OUTSIDE SERVICES OTHER</v>
          </cell>
          <cell r="E281">
            <v>478</v>
          </cell>
          <cell r="F281">
            <v>1051</v>
          </cell>
          <cell r="G281">
            <v>2694</v>
          </cell>
          <cell r="H281">
            <v>0</v>
          </cell>
          <cell r="I281">
            <v>0</v>
          </cell>
          <cell r="J281">
            <v>0</v>
          </cell>
          <cell r="K281">
            <v>0</v>
          </cell>
          <cell r="L281">
            <v>0</v>
          </cell>
          <cell r="M281">
            <v>0</v>
          </cell>
          <cell r="N281">
            <v>0</v>
          </cell>
          <cell r="O281">
            <v>0</v>
          </cell>
          <cell r="P281">
            <v>0</v>
          </cell>
          <cell r="Q281">
            <v>4223</v>
          </cell>
        </row>
        <row r="282">
          <cell r="A282" t="str">
            <v>US22P015643201400029</v>
          </cell>
          <cell r="B282" t="str">
            <v>US22P01564</v>
          </cell>
          <cell r="C282">
            <v>3201400029</v>
          </cell>
          <cell r="D282" t="str">
            <v>OTH OUTSIDE SERVICES OTHER</v>
          </cell>
          <cell r="E282">
            <v>0</v>
          </cell>
          <cell r="F282">
            <v>350</v>
          </cell>
          <cell r="G282">
            <v>0</v>
          </cell>
          <cell r="H282">
            <v>0</v>
          </cell>
          <cell r="I282">
            <v>0</v>
          </cell>
          <cell r="J282">
            <v>0</v>
          </cell>
          <cell r="K282">
            <v>0</v>
          </cell>
          <cell r="L282">
            <v>0</v>
          </cell>
          <cell r="M282">
            <v>0</v>
          </cell>
          <cell r="N282">
            <v>0</v>
          </cell>
          <cell r="O282">
            <v>0</v>
          </cell>
          <cell r="P282">
            <v>0</v>
          </cell>
          <cell r="Q282">
            <v>350</v>
          </cell>
        </row>
        <row r="283">
          <cell r="A283" t="str">
            <v>US22P015753201400029</v>
          </cell>
          <cell r="B283" t="str">
            <v>US22P01575</v>
          </cell>
          <cell r="C283">
            <v>3201400029</v>
          </cell>
          <cell r="D283" t="str">
            <v>OTH OUTSIDE SERVICES OTHER</v>
          </cell>
          <cell r="E283">
            <v>156</v>
          </cell>
          <cell r="F283">
            <v>4767</v>
          </cell>
          <cell r="G283">
            <v>236</v>
          </cell>
          <cell r="H283">
            <v>0</v>
          </cell>
          <cell r="I283">
            <v>0</v>
          </cell>
          <cell r="J283">
            <v>0</v>
          </cell>
          <cell r="K283">
            <v>0</v>
          </cell>
          <cell r="L283">
            <v>0</v>
          </cell>
          <cell r="M283">
            <v>0</v>
          </cell>
          <cell r="N283">
            <v>0</v>
          </cell>
          <cell r="O283">
            <v>0</v>
          </cell>
          <cell r="P283">
            <v>0</v>
          </cell>
          <cell r="Q283">
            <v>5159</v>
          </cell>
        </row>
        <row r="284">
          <cell r="A284" t="str">
            <v>US22P015853201400029</v>
          </cell>
          <cell r="B284" t="str">
            <v>US22P01585</v>
          </cell>
          <cell r="C284">
            <v>3201400029</v>
          </cell>
          <cell r="D284" t="str">
            <v>OTH OUTSIDE SERVICES OTHER</v>
          </cell>
          <cell r="E284">
            <v>0</v>
          </cell>
          <cell r="F284">
            <v>623</v>
          </cell>
          <cell r="G284">
            <v>0</v>
          </cell>
          <cell r="H284">
            <v>0</v>
          </cell>
          <cell r="I284">
            <v>0</v>
          </cell>
          <cell r="J284">
            <v>0</v>
          </cell>
          <cell r="K284">
            <v>0</v>
          </cell>
          <cell r="L284">
            <v>0</v>
          </cell>
          <cell r="M284">
            <v>0</v>
          </cell>
          <cell r="N284">
            <v>0</v>
          </cell>
          <cell r="O284">
            <v>0</v>
          </cell>
          <cell r="P284">
            <v>0</v>
          </cell>
          <cell r="Q284">
            <v>623</v>
          </cell>
        </row>
        <row r="285">
          <cell r="A285" t="str">
            <v>US22P015903201400029</v>
          </cell>
          <cell r="B285" t="str">
            <v>US22P01590</v>
          </cell>
          <cell r="C285">
            <v>3201400029</v>
          </cell>
          <cell r="D285" t="str">
            <v>OTH OUTSIDE SERVICES OTHER</v>
          </cell>
          <cell r="E285">
            <v>0</v>
          </cell>
          <cell r="F285">
            <v>488</v>
          </cell>
          <cell r="G285">
            <v>0</v>
          </cell>
          <cell r="H285">
            <v>0</v>
          </cell>
          <cell r="I285">
            <v>0</v>
          </cell>
          <cell r="J285">
            <v>0</v>
          </cell>
          <cell r="K285">
            <v>0</v>
          </cell>
          <cell r="L285">
            <v>0</v>
          </cell>
          <cell r="M285">
            <v>0</v>
          </cell>
          <cell r="N285">
            <v>0</v>
          </cell>
          <cell r="O285">
            <v>0</v>
          </cell>
          <cell r="P285">
            <v>0</v>
          </cell>
          <cell r="Q285">
            <v>488</v>
          </cell>
        </row>
        <row r="286">
          <cell r="A286" t="str">
            <v>US28MZA1503201400029</v>
          </cell>
          <cell r="B286" t="str">
            <v>US28MZA150</v>
          </cell>
          <cell r="C286">
            <v>3201400029</v>
          </cell>
          <cell r="D286" t="str">
            <v>OTH OUTSIDE SERVICES OTHER</v>
          </cell>
          <cell r="E286">
            <v>2651</v>
          </cell>
          <cell r="F286">
            <v>2549</v>
          </cell>
          <cell r="G286">
            <v>3187</v>
          </cell>
          <cell r="H286">
            <v>0</v>
          </cell>
          <cell r="I286">
            <v>0</v>
          </cell>
          <cell r="J286">
            <v>0</v>
          </cell>
          <cell r="K286">
            <v>0</v>
          </cell>
          <cell r="L286">
            <v>0</v>
          </cell>
          <cell r="M286">
            <v>0</v>
          </cell>
          <cell r="N286">
            <v>0</v>
          </cell>
          <cell r="O286">
            <v>0</v>
          </cell>
          <cell r="P286">
            <v>0</v>
          </cell>
          <cell r="Q286">
            <v>8387</v>
          </cell>
        </row>
        <row r="287">
          <cell r="A287" t="str">
            <v>US28P015013201400029</v>
          </cell>
          <cell r="B287" t="str">
            <v>US28P01501</v>
          </cell>
          <cell r="C287">
            <v>3201400029</v>
          </cell>
          <cell r="D287" t="str">
            <v>OTH OUTSIDE SERVICES OTHER</v>
          </cell>
          <cell r="E287">
            <v>710</v>
          </cell>
          <cell r="F287">
            <v>664</v>
          </cell>
          <cell r="G287">
            <v>971</v>
          </cell>
          <cell r="H287">
            <v>0</v>
          </cell>
          <cell r="I287">
            <v>0</v>
          </cell>
          <cell r="J287">
            <v>0</v>
          </cell>
          <cell r="K287">
            <v>0</v>
          </cell>
          <cell r="L287">
            <v>0</v>
          </cell>
          <cell r="M287">
            <v>0</v>
          </cell>
          <cell r="N287">
            <v>0</v>
          </cell>
          <cell r="O287">
            <v>0</v>
          </cell>
          <cell r="P287">
            <v>0</v>
          </cell>
          <cell r="Q287">
            <v>2345</v>
          </cell>
        </row>
        <row r="288">
          <cell r="A288" t="str">
            <v>US28P015503201400029</v>
          </cell>
          <cell r="B288" t="str">
            <v>US28P01550</v>
          </cell>
          <cell r="C288">
            <v>3201400029</v>
          </cell>
          <cell r="D288" t="str">
            <v>OTH OUTSIDE SERVICES OTHER</v>
          </cell>
          <cell r="E288">
            <v>0</v>
          </cell>
          <cell r="F288">
            <v>0</v>
          </cell>
          <cell r="G288">
            <v>64</v>
          </cell>
          <cell r="H288">
            <v>0</v>
          </cell>
          <cell r="I288">
            <v>0</v>
          </cell>
          <cell r="J288">
            <v>0</v>
          </cell>
          <cell r="K288">
            <v>0</v>
          </cell>
          <cell r="L288">
            <v>0</v>
          </cell>
          <cell r="M288">
            <v>0</v>
          </cell>
          <cell r="N288">
            <v>0</v>
          </cell>
          <cell r="O288">
            <v>0</v>
          </cell>
          <cell r="P288">
            <v>0</v>
          </cell>
          <cell r="Q288">
            <v>64</v>
          </cell>
        </row>
        <row r="289">
          <cell r="A289" t="str">
            <v>US28P015533201400029</v>
          </cell>
          <cell r="B289" t="str">
            <v>US28P01553</v>
          </cell>
          <cell r="C289">
            <v>3201400029</v>
          </cell>
          <cell r="D289" t="str">
            <v>OTH OUTSIDE SERVICES OTHER</v>
          </cell>
          <cell r="E289">
            <v>389</v>
          </cell>
          <cell r="F289">
            <v>0</v>
          </cell>
          <cell r="G289">
            <v>1020</v>
          </cell>
          <cell r="H289">
            <v>0</v>
          </cell>
          <cell r="I289">
            <v>0</v>
          </cell>
          <cell r="J289">
            <v>0</v>
          </cell>
          <cell r="K289">
            <v>0</v>
          </cell>
          <cell r="L289">
            <v>0</v>
          </cell>
          <cell r="M289">
            <v>0</v>
          </cell>
          <cell r="N289">
            <v>0</v>
          </cell>
          <cell r="O289">
            <v>0</v>
          </cell>
          <cell r="P289">
            <v>0</v>
          </cell>
          <cell r="Q289">
            <v>1409</v>
          </cell>
        </row>
        <row r="290">
          <cell r="A290" t="str">
            <v>US28P015603201400029</v>
          </cell>
          <cell r="B290" t="str">
            <v>US28P01560</v>
          </cell>
          <cell r="C290">
            <v>3201400029</v>
          </cell>
          <cell r="D290" t="str">
            <v>OTH OUTSIDE SERVICES OTHER</v>
          </cell>
          <cell r="E290">
            <v>450</v>
          </cell>
          <cell r="F290">
            <v>0</v>
          </cell>
          <cell r="G290">
            <v>1300</v>
          </cell>
          <cell r="H290">
            <v>0</v>
          </cell>
          <cell r="I290">
            <v>0</v>
          </cell>
          <cell r="J290">
            <v>0</v>
          </cell>
          <cell r="K290">
            <v>0</v>
          </cell>
          <cell r="L290">
            <v>0</v>
          </cell>
          <cell r="M290">
            <v>0</v>
          </cell>
          <cell r="N290">
            <v>0</v>
          </cell>
          <cell r="O290">
            <v>0</v>
          </cell>
          <cell r="P290">
            <v>0</v>
          </cell>
          <cell r="Q290">
            <v>1750</v>
          </cell>
        </row>
        <row r="291">
          <cell r="A291" t="str">
            <v>US28P015643201400029</v>
          </cell>
          <cell r="B291" t="str">
            <v>US28P01564</v>
          </cell>
          <cell r="C291">
            <v>3201400029</v>
          </cell>
          <cell r="D291" t="str">
            <v>OTH OUTSIDE SERVICES OTHER</v>
          </cell>
          <cell r="E291">
            <v>2850</v>
          </cell>
          <cell r="F291">
            <v>0</v>
          </cell>
          <cell r="G291">
            <v>12867</v>
          </cell>
          <cell r="H291">
            <v>0</v>
          </cell>
          <cell r="I291">
            <v>0</v>
          </cell>
          <cell r="J291">
            <v>0</v>
          </cell>
          <cell r="K291">
            <v>0</v>
          </cell>
          <cell r="L291">
            <v>0</v>
          </cell>
          <cell r="M291">
            <v>0</v>
          </cell>
          <cell r="N291">
            <v>0</v>
          </cell>
          <cell r="O291">
            <v>0</v>
          </cell>
          <cell r="P291">
            <v>0</v>
          </cell>
          <cell r="Q291">
            <v>15717</v>
          </cell>
        </row>
        <row r="292">
          <cell r="A292" t="str">
            <v>US28P015753201400029</v>
          </cell>
          <cell r="B292" t="str">
            <v>US28P01575</v>
          </cell>
          <cell r="C292">
            <v>3201400029</v>
          </cell>
          <cell r="D292" t="str">
            <v>OTH OUTSIDE SERVICES OTHER</v>
          </cell>
          <cell r="E292">
            <v>0</v>
          </cell>
          <cell r="F292">
            <v>1350</v>
          </cell>
          <cell r="G292">
            <v>0</v>
          </cell>
          <cell r="H292">
            <v>0</v>
          </cell>
          <cell r="I292">
            <v>0</v>
          </cell>
          <cell r="J292">
            <v>0</v>
          </cell>
          <cell r="K292">
            <v>0</v>
          </cell>
          <cell r="L292">
            <v>0</v>
          </cell>
          <cell r="M292">
            <v>0</v>
          </cell>
          <cell r="N292">
            <v>0</v>
          </cell>
          <cell r="O292">
            <v>0</v>
          </cell>
          <cell r="P292">
            <v>0</v>
          </cell>
          <cell r="Q292">
            <v>1350</v>
          </cell>
        </row>
        <row r="293">
          <cell r="A293" t="str">
            <v>US35MZA1503201400029</v>
          </cell>
          <cell r="B293" t="str">
            <v>US35MZA150</v>
          </cell>
          <cell r="C293">
            <v>3201400029</v>
          </cell>
          <cell r="D293" t="str">
            <v>OTH OUTSIDE SERVICES OTHER</v>
          </cell>
          <cell r="E293">
            <v>14122</v>
          </cell>
          <cell r="F293">
            <v>8760</v>
          </cell>
          <cell r="G293">
            <v>4348</v>
          </cell>
          <cell r="H293">
            <v>0</v>
          </cell>
          <cell r="I293">
            <v>0</v>
          </cell>
          <cell r="J293">
            <v>0</v>
          </cell>
          <cell r="K293">
            <v>0</v>
          </cell>
          <cell r="L293">
            <v>0</v>
          </cell>
          <cell r="M293">
            <v>0</v>
          </cell>
          <cell r="N293">
            <v>0</v>
          </cell>
          <cell r="O293">
            <v>0</v>
          </cell>
          <cell r="P293">
            <v>0</v>
          </cell>
          <cell r="Q293">
            <v>27230</v>
          </cell>
        </row>
        <row r="294">
          <cell r="A294" t="str">
            <v>US35P015013201400029</v>
          </cell>
          <cell r="B294" t="str">
            <v>US35P01501</v>
          </cell>
          <cell r="C294">
            <v>3201400029</v>
          </cell>
          <cell r="D294" t="str">
            <v>OTH OUTSIDE SERVICES OTHER</v>
          </cell>
          <cell r="E294">
            <v>2662</v>
          </cell>
          <cell r="F294">
            <v>1827</v>
          </cell>
          <cell r="G294">
            <v>895</v>
          </cell>
          <cell r="H294">
            <v>0</v>
          </cell>
          <cell r="I294">
            <v>0</v>
          </cell>
          <cell r="J294">
            <v>0</v>
          </cell>
          <cell r="K294">
            <v>0</v>
          </cell>
          <cell r="L294">
            <v>0</v>
          </cell>
          <cell r="M294">
            <v>0</v>
          </cell>
          <cell r="N294">
            <v>0</v>
          </cell>
          <cell r="O294">
            <v>0</v>
          </cell>
          <cell r="P294">
            <v>0</v>
          </cell>
          <cell r="Q294">
            <v>5384</v>
          </cell>
        </row>
        <row r="295">
          <cell r="A295" t="str">
            <v>US35P015503201400029</v>
          </cell>
          <cell r="B295" t="str">
            <v>US35P01550</v>
          </cell>
          <cell r="C295">
            <v>3201400029</v>
          </cell>
          <cell r="D295" t="str">
            <v>OTH OUTSIDE SERVICES OTHER</v>
          </cell>
          <cell r="E295">
            <v>0</v>
          </cell>
          <cell r="F295">
            <v>0</v>
          </cell>
          <cell r="G295">
            <v>107</v>
          </cell>
          <cell r="H295">
            <v>0</v>
          </cell>
          <cell r="I295">
            <v>0</v>
          </cell>
          <cell r="J295">
            <v>0</v>
          </cell>
          <cell r="K295">
            <v>0</v>
          </cell>
          <cell r="L295">
            <v>0</v>
          </cell>
          <cell r="M295">
            <v>0</v>
          </cell>
          <cell r="N295">
            <v>0</v>
          </cell>
          <cell r="O295">
            <v>0</v>
          </cell>
          <cell r="P295">
            <v>0</v>
          </cell>
          <cell r="Q295">
            <v>107</v>
          </cell>
        </row>
        <row r="296">
          <cell r="A296" t="str">
            <v>US35P015603201400029</v>
          </cell>
          <cell r="B296" t="str">
            <v>US35P01560</v>
          </cell>
          <cell r="C296">
            <v>3201400029</v>
          </cell>
          <cell r="D296" t="str">
            <v>OTH OUTSIDE SERVICES OTHER</v>
          </cell>
          <cell r="E296">
            <v>11506</v>
          </cell>
          <cell r="F296">
            <v>6665</v>
          </cell>
          <cell r="G296">
            <v>1322</v>
          </cell>
          <cell r="H296">
            <v>0</v>
          </cell>
          <cell r="I296">
            <v>0</v>
          </cell>
          <cell r="J296">
            <v>0</v>
          </cell>
          <cell r="K296">
            <v>0</v>
          </cell>
          <cell r="L296">
            <v>0</v>
          </cell>
          <cell r="M296">
            <v>0</v>
          </cell>
          <cell r="N296">
            <v>0</v>
          </cell>
          <cell r="O296">
            <v>0</v>
          </cell>
          <cell r="P296">
            <v>0</v>
          </cell>
          <cell r="Q296">
            <v>19493</v>
          </cell>
        </row>
        <row r="297">
          <cell r="A297" t="str">
            <v>US35P015643201400029</v>
          </cell>
          <cell r="B297" t="str">
            <v>US35P01564</v>
          </cell>
          <cell r="C297">
            <v>3201400029</v>
          </cell>
          <cell r="D297" t="str">
            <v>OTH OUTSIDE SERVICES OTHER</v>
          </cell>
          <cell r="E297">
            <v>14920</v>
          </cell>
          <cell r="F297">
            <v>9508</v>
          </cell>
          <cell r="G297">
            <v>10222</v>
          </cell>
          <cell r="H297">
            <v>0</v>
          </cell>
          <cell r="I297">
            <v>0</v>
          </cell>
          <cell r="J297">
            <v>0</v>
          </cell>
          <cell r="K297">
            <v>0</v>
          </cell>
          <cell r="L297">
            <v>0</v>
          </cell>
          <cell r="M297">
            <v>0</v>
          </cell>
          <cell r="N297">
            <v>0</v>
          </cell>
          <cell r="O297">
            <v>0</v>
          </cell>
          <cell r="P297">
            <v>0</v>
          </cell>
          <cell r="Q297">
            <v>34650</v>
          </cell>
        </row>
        <row r="298">
          <cell r="A298" t="str">
            <v>US35P015903201400029</v>
          </cell>
          <cell r="B298" t="str">
            <v>US35P01590</v>
          </cell>
          <cell r="C298">
            <v>3201400029</v>
          </cell>
          <cell r="D298" t="str">
            <v>OTH OUTSIDE SERVICES OTHER</v>
          </cell>
          <cell r="E298">
            <v>450</v>
          </cell>
          <cell r="F298">
            <v>720</v>
          </cell>
          <cell r="G298">
            <v>0</v>
          </cell>
          <cell r="H298">
            <v>0</v>
          </cell>
          <cell r="I298">
            <v>0</v>
          </cell>
          <cell r="J298">
            <v>0</v>
          </cell>
          <cell r="K298">
            <v>0</v>
          </cell>
          <cell r="L298">
            <v>0</v>
          </cell>
          <cell r="M298">
            <v>0</v>
          </cell>
          <cell r="N298">
            <v>0</v>
          </cell>
          <cell r="O298">
            <v>0</v>
          </cell>
          <cell r="P298">
            <v>0</v>
          </cell>
          <cell r="Q298">
            <v>1170</v>
          </cell>
        </row>
        <row r="299">
          <cell r="A299" t="str">
            <v>US59MZA1503201400029</v>
          </cell>
          <cell r="B299" t="str">
            <v>US59MZA150</v>
          </cell>
          <cell r="C299">
            <v>3201400029</v>
          </cell>
          <cell r="D299" t="str">
            <v>OTH OUTSIDE SERVICES OTHER</v>
          </cell>
          <cell r="E299">
            <v>197</v>
          </cell>
          <cell r="F299">
            <v>245</v>
          </cell>
          <cell r="G299">
            <v>476</v>
          </cell>
          <cell r="H299">
            <v>0</v>
          </cell>
          <cell r="I299">
            <v>0</v>
          </cell>
          <cell r="J299">
            <v>0</v>
          </cell>
          <cell r="K299">
            <v>0</v>
          </cell>
          <cell r="L299">
            <v>0</v>
          </cell>
          <cell r="M299">
            <v>0</v>
          </cell>
          <cell r="N299">
            <v>0</v>
          </cell>
          <cell r="O299">
            <v>0</v>
          </cell>
          <cell r="P299">
            <v>0</v>
          </cell>
          <cell r="Q299">
            <v>918</v>
          </cell>
        </row>
        <row r="300">
          <cell r="A300" t="str">
            <v>US59P015013201400029</v>
          </cell>
          <cell r="B300" t="str">
            <v>US59P01501</v>
          </cell>
          <cell r="C300">
            <v>3201400029</v>
          </cell>
          <cell r="D300" t="str">
            <v>OTH OUTSIDE SERVICES OTHER</v>
          </cell>
          <cell r="E300">
            <v>426</v>
          </cell>
          <cell r="F300">
            <v>1508</v>
          </cell>
          <cell r="G300">
            <v>1468</v>
          </cell>
          <cell r="H300">
            <v>0</v>
          </cell>
          <cell r="I300">
            <v>0</v>
          </cell>
          <cell r="J300">
            <v>0</v>
          </cell>
          <cell r="K300">
            <v>0</v>
          </cell>
          <cell r="L300">
            <v>0</v>
          </cell>
          <cell r="M300">
            <v>0</v>
          </cell>
          <cell r="N300">
            <v>0</v>
          </cell>
          <cell r="O300">
            <v>0</v>
          </cell>
          <cell r="P300">
            <v>0</v>
          </cell>
          <cell r="Q300">
            <v>3402</v>
          </cell>
        </row>
        <row r="301">
          <cell r="A301" t="str">
            <v>US59P015533201400029</v>
          </cell>
          <cell r="B301" t="str">
            <v>US59P01553</v>
          </cell>
          <cell r="C301">
            <v>3201400029</v>
          </cell>
          <cell r="D301" t="str">
            <v>OTH OUTSIDE SERVICES OTHER</v>
          </cell>
          <cell r="E301">
            <v>0</v>
          </cell>
          <cell r="F301">
            <v>22</v>
          </cell>
          <cell r="G301">
            <v>0</v>
          </cell>
          <cell r="H301">
            <v>0</v>
          </cell>
          <cell r="I301">
            <v>0</v>
          </cell>
          <cell r="J301">
            <v>0</v>
          </cell>
          <cell r="K301">
            <v>0</v>
          </cell>
          <cell r="L301">
            <v>0</v>
          </cell>
          <cell r="M301">
            <v>0</v>
          </cell>
          <cell r="N301">
            <v>0</v>
          </cell>
          <cell r="O301">
            <v>0</v>
          </cell>
          <cell r="P301">
            <v>0</v>
          </cell>
          <cell r="Q301">
            <v>22</v>
          </cell>
        </row>
        <row r="302">
          <cell r="A302" t="str">
            <v>US59P015603201400029</v>
          </cell>
          <cell r="B302" t="str">
            <v>US59P01560</v>
          </cell>
          <cell r="C302">
            <v>3201400029</v>
          </cell>
          <cell r="D302" t="str">
            <v>OTH OUTSIDE SERVICES OTHER</v>
          </cell>
          <cell r="E302">
            <v>385</v>
          </cell>
          <cell r="F302">
            <v>417</v>
          </cell>
          <cell r="G302">
            <v>0</v>
          </cell>
          <cell r="H302">
            <v>0</v>
          </cell>
          <cell r="I302">
            <v>0</v>
          </cell>
          <cell r="J302">
            <v>0</v>
          </cell>
          <cell r="K302">
            <v>0</v>
          </cell>
          <cell r="L302">
            <v>0</v>
          </cell>
          <cell r="M302">
            <v>0</v>
          </cell>
          <cell r="N302">
            <v>0</v>
          </cell>
          <cell r="O302">
            <v>0</v>
          </cell>
          <cell r="P302">
            <v>0</v>
          </cell>
          <cell r="Q302">
            <v>802</v>
          </cell>
        </row>
        <row r="303">
          <cell r="A303" t="str">
            <v>US59P015643201400029</v>
          </cell>
          <cell r="B303" t="str">
            <v>US59P01564</v>
          </cell>
          <cell r="C303">
            <v>3201400029</v>
          </cell>
          <cell r="D303" t="str">
            <v>OTH OUTSIDE SERVICES OTHER</v>
          </cell>
          <cell r="E303">
            <v>0</v>
          </cell>
          <cell r="F303">
            <v>2000</v>
          </cell>
          <cell r="G303">
            <v>0</v>
          </cell>
          <cell r="H303">
            <v>0</v>
          </cell>
          <cell r="I303">
            <v>0</v>
          </cell>
          <cell r="J303">
            <v>0</v>
          </cell>
          <cell r="K303">
            <v>0</v>
          </cell>
          <cell r="L303">
            <v>0</v>
          </cell>
          <cell r="M303">
            <v>0</v>
          </cell>
          <cell r="N303">
            <v>0</v>
          </cell>
          <cell r="O303">
            <v>0</v>
          </cell>
          <cell r="P303">
            <v>0</v>
          </cell>
          <cell r="Q303">
            <v>2000</v>
          </cell>
        </row>
        <row r="304">
          <cell r="A304" t="str">
            <v>US59P3C5013201400029</v>
          </cell>
          <cell r="B304" t="str">
            <v>US59P3C501</v>
          </cell>
          <cell r="C304">
            <v>3201400029</v>
          </cell>
          <cell r="D304" t="str">
            <v>OTH OUTSIDE SERVICES OTHER</v>
          </cell>
          <cell r="E304">
            <v>541</v>
          </cell>
          <cell r="F304">
            <v>1508</v>
          </cell>
          <cell r="G304">
            <v>1097</v>
          </cell>
          <cell r="H304">
            <v>0</v>
          </cell>
          <cell r="I304">
            <v>0</v>
          </cell>
          <cell r="J304">
            <v>0</v>
          </cell>
          <cell r="K304">
            <v>0</v>
          </cell>
          <cell r="L304">
            <v>0</v>
          </cell>
          <cell r="M304">
            <v>0</v>
          </cell>
          <cell r="N304">
            <v>0</v>
          </cell>
          <cell r="O304">
            <v>0</v>
          </cell>
          <cell r="P304">
            <v>0</v>
          </cell>
          <cell r="Q304">
            <v>3146</v>
          </cell>
        </row>
        <row r="305">
          <cell r="A305" t="str">
            <v>US59P3C5603201400029</v>
          </cell>
          <cell r="B305" t="str">
            <v>US59P3C560</v>
          </cell>
          <cell r="C305">
            <v>3201400029</v>
          </cell>
          <cell r="D305" t="str">
            <v>OTH OUTSIDE SERVICES OTHER</v>
          </cell>
          <cell r="E305">
            <v>129</v>
          </cell>
          <cell r="F305">
            <v>328</v>
          </cell>
          <cell r="G305">
            <v>0</v>
          </cell>
          <cell r="H305">
            <v>0</v>
          </cell>
          <cell r="I305">
            <v>0</v>
          </cell>
          <cell r="J305">
            <v>0</v>
          </cell>
          <cell r="K305">
            <v>0</v>
          </cell>
          <cell r="L305">
            <v>0</v>
          </cell>
          <cell r="M305">
            <v>0</v>
          </cell>
          <cell r="N305">
            <v>0</v>
          </cell>
          <cell r="O305">
            <v>0</v>
          </cell>
          <cell r="P305">
            <v>0</v>
          </cell>
          <cell r="Q305">
            <v>457</v>
          </cell>
        </row>
        <row r="306">
          <cell r="A306" t="str">
            <v>USCOP015013201400029</v>
          </cell>
          <cell r="B306" t="str">
            <v>USCOP01501</v>
          </cell>
          <cell r="C306">
            <v>3201400029</v>
          </cell>
          <cell r="D306" t="str">
            <v>OTH OUTSIDE SERVICES OTHER</v>
          </cell>
          <cell r="E306">
            <v>55</v>
          </cell>
          <cell r="F306">
            <v>0</v>
          </cell>
          <cell r="G306">
            <v>0</v>
          </cell>
          <cell r="H306">
            <v>0</v>
          </cell>
          <cell r="I306">
            <v>0</v>
          </cell>
          <cell r="J306">
            <v>0</v>
          </cell>
          <cell r="K306">
            <v>0</v>
          </cell>
          <cell r="L306">
            <v>0</v>
          </cell>
          <cell r="M306">
            <v>0</v>
          </cell>
          <cell r="N306">
            <v>0</v>
          </cell>
          <cell r="O306">
            <v>0</v>
          </cell>
          <cell r="P306">
            <v>0</v>
          </cell>
          <cell r="Q306">
            <v>55</v>
          </cell>
        </row>
        <row r="307">
          <cell r="A307" t="str">
            <v>USCRMZA1503201400029</v>
          </cell>
          <cell r="B307" t="str">
            <v>USCRMZA150</v>
          </cell>
          <cell r="C307">
            <v>3201400029</v>
          </cell>
          <cell r="D307" t="str">
            <v>OTH OUTSIDE SERVICES OTHER</v>
          </cell>
          <cell r="E307">
            <v>728</v>
          </cell>
          <cell r="F307">
            <v>0</v>
          </cell>
          <cell r="G307">
            <v>2828</v>
          </cell>
          <cell r="H307">
            <v>0</v>
          </cell>
          <cell r="I307">
            <v>0</v>
          </cell>
          <cell r="J307">
            <v>0</v>
          </cell>
          <cell r="K307">
            <v>0</v>
          </cell>
          <cell r="L307">
            <v>0</v>
          </cell>
          <cell r="M307">
            <v>0</v>
          </cell>
          <cell r="N307">
            <v>0</v>
          </cell>
          <cell r="O307">
            <v>0</v>
          </cell>
          <cell r="P307">
            <v>0</v>
          </cell>
          <cell r="Q307">
            <v>3556</v>
          </cell>
        </row>
        <row r="308">
          <cell r="A308" t="str">
            <v>USCRP015013201400029</v>
          </cell>
          <cell r="B308" t="str">
            <v>USCRP01501</v>
          </cell>
          <cell r="C308">
            <v>3201400029</v>
          </cell>
          <cell r="D308" t="str">
            <v>OTH OUTSIDE SERVICES OTHER</v>
          </cell>
          <cell r="E308">
            <v>1228</v>
          </cell>
          <cell r="F308">
            <v>2690</v>
          </cell>
          <cell r="G308">
            <v>1735</v>
          </cell>
          <cell r="H308">
            <v>0</v>
          </cell>
          <cell r="I308">
            <v>0</v>
          </cell>
          <cell r="J308">
            <v>0</v>
          </cell>
          <cell r="K308">
            <v>0</v>
          </cell>
          <cell r="L308">
            <v>0</v>
          </cell>
          <cell r="M308">
            <v>0</v>
          </cell>
          <cell r="N308">
            <v>0</v>
          </cell>
          <cell r="O308">
            <v>0</v>
          </cell>
          <cell r="P308">
            <v>0</v>
          </cell>
          <cell r="Q308">
            <v>5653</v>
          </cell>
        </row>
        <row r="309">
          <cell r="A309" t="str">
            <v>USCRP015503201400029</v>
          </cell>
          <cell r="B309" t="str">
            <v>USCRP01550</v>
          </cell>
          <cell r="C309">
            <v>3201400029</v>
          </cell>
          <cell r="D309" t="str">
            <v>OTH OUTSIDE SERVICES OTHER</v>
          </cell>
          <cell r="E309">
            <v>0</v>
          </cell>
          <cell r="F309">
            <v>515</v>
          </cell>
          <cell r="G309">
            <v>0</v>
          </cell>
          <cell r="H309">
            <v>0</v>
          </cell>
          <cell r="I309">
            <v>0</v>
          </cell>
          <cell r="J309">
            <v>0</v>
          </cell>
          <cell r="K309">
            <v>0</v>
          </cell>
          <cell r="L309">
            <v>0</v>
          </cell>
          <cell r="M309">
            <v>0</v>
          </cell>
          <cell r="N309">
            <v>0</v>
          </cell>
          <cell r="O309">
            <v>0</v>
          </cell>
          <cell r="P309">
            <v>0</v>
          </cell>
          <cell r="Q309">
            <v>515</v>
          </cell>
        </row>
        <row r="310">
          <cell r="A310" t="str">
            <v>USSTP015013201400029</v>
          </cell>
          <cell r="B310" t="str">
            <v>USSTP01501</v>
          </cell>
          <cell r="C310">
            <v>3201400029</v>
          </cell>
          <cell r="D310" t="str">
            <v>OTH OUTSIDE SERVICES OTHER</v>
          </cell>
          <cell r="E310">
            <v>0</v>
          </cell>
          <cell r="F310">
            <v>960</v>
          </cell>
          <cell r="G310">
            <v>0</v>
          </cell>
          <cell r="H310">
            <v>0</v>
          </cell>
          <cell r="I310">
            <v>0</v>
          </cell>
          <cell r="J310">
            <v>0</v>
          </cell>
          <cell r="K310">
            <v>0</v>
          </cell>
          <cell r="L310">
            <v>0</v>
          </cell>
          <cell r="M310">
            <v>0</v>
          </cell>
          <cell r="N310">
            <v>0</v>
          </cell>
          <cell r="O310">
            <v>0</v>
          </cell>
          <cell r="P310">
            <v>0</v>
          </cell>
          <cell r="Q310">
            <v>960</v>
          </cell>
        </row>
        <row r="311">
          <cell r="A311" t="str">
            <v>USWOMZA1503201400029</v>
          </cell>
          <cell r="B311" t="str">
            <v>USWOMZA150</v>
          </cell>
          <cell r="C311">
            <v>3201400029</v>
          </cell>
          <cell r="D311" t="str">
            <v>OTH OUTSIDE SERVICES OTHER</v>
          </cell>
          <cell r="E311">
            <v>253</v>
          </cell>
          <cell r="F311">
            <v>745</v>
          </cell>
          <cell r="G311">
            <v>453</v>
          </cell>
          <cell r="H311">
            <v>0</v>
          </cell>
          <cell r="I311">
            <v>0</v>
          </cell>
          <cell r="J311">
            <v>0</v>
          </cell>
          <cell r="K311">
            <v>0</v>
          </cell>
          <cell r="L311">
            <v>0</v>
          </cell>
          <cell r="M311">
            <v>0</v>
          </cell>
          <cell r="N311">
            <v>0</v>
          </cell>
          <cell r="O311">
            <v>0</v>
          </cell>
          <cell r="P311">
            <v>0</v>
          </cell>
          <cell r="Q311">
            <v>1451</v>
          </cell>
        </row>
        <row r="312">
          <cell r="A312" t="str">
            <v>USWOP015013201400029</v>
          </cell>
          <cell r="B312" t="str">
            <v>USWOP01501</v>
          </cell>
          <cell r="C312">
            <v>3201400029</v>
          </cell>
          <cell r="D312" t="str">
            <v>OTH OUTSIDE SERVICES OTHER</v>
          </cell>
          <cell r="E312">
            <v>1850</v>
          </cell>
          <cell r="F312">
            <v>13181</v>
          </cell>
          <cell r="G312">
            <v>2302</v>
          </cell>
          <cell r="H312">
            <v>0</v>
          </cell>
          <cell r="I312">
            <v>0</v>
          </cell>
          <cell r="J312">
            <v>0</v>
          </cell>
          <cell r="K312">
            <v>0</v>
          </cell>
          <cell r="L312">
            <v>0</v>
          </cell>
          <cell r="M312">
            <v>0</v>
          </cell>
          <cell r="N312">
            <v>0</v>
          </cell>
          <cell r="O312">
            <v>0</v>
          </cell>
          <cell r="P312">
            <v>0</v>
          </cell>
          <cell r="Q312">
            <v>17333</v>
          </cell>
        </row>
        <row r="313">
          <cell r="A313" t="str">
            <v>USWOP015603201400029</v>
          </cell>
          <cell r="B313" t="str">
            <v>USWOP01560</v>
          </cell>
          <cell r="C313">
            <v>3201400029</v>
          </cell>
          <cell r="D313" t="str">
            <v>OTH OUTSIDE SERVICES OTHER</v>
          </cell>
          <cell r="E313">
            <v>4308</v>
          </cell>
          <cell r="F313">
            <v>1194</v>
          </cell>
          <cell r="G313">
            <v>2739</v>
          </cell>
          <cell r="H313">
            <v>0</v>
          </cell>
          <cell r="I313">
            <v>0</v>
          </cell>
          <cell r="J313">
            <v>0</v>
          </cell>
          <cell r="K313">
            <v>0</v>
          </cell>
          <cell r="L313">
            <v>0</v>
          </cell>
          <cell r="M313">
            <v>0</v>
          </cell>
          <cell r="N313">
            <v>0</v>
          </cell>
          <cell r="O313">
            <v>0</v>
          </cell>
          <cell r="P313">
            <v>0</v>
          </cell>
          <cell r="Q313">
            <v>8241</v>
          </cell>
        </row>
        <row r="314">
          <cell r="A314" t="str">
            <v>USWOP015643201400029</v>
          </cell>
          <cell r="B314" t="str">
            <v>USWOP01564</v>
          </cell>
          <cell r="C314">
            <v>3201400029</v>
          </cell>
          <cell r="D314" t="str">
            <v>OTH OUTSIDE SERVICES OTHER</v>
          </cell>
          <cell r="E314">
            <v>258</v>
          </cell>
          <cell r="F314">
            <v>-45</v>
          </cell>
          <cell r="G314">
            <v>0</v>
          </cell>
          <cell r="H314">
            <v>0</v>
          </cell>
          <cell r="I314">
            <v>0</v>
          </cell>
          <cell r="J314">
            <v>0</v>
          </cell>
          <cell r="K314">
            <v>0</v>
          </cell>
          <cell r="L314">
            <v>0</v>
          </cell>
          <cell r="M314">
            <v>0</v>
          </cell>
          <cell r="N314">
            <v>0</v>
          </cell>
          <cell r="O314">
            <v>0</v>
          </cell>
          <cell r="P314">
            <v>0</v>
          </cell>
          <cell r="Q314">
            <v>213</v>
          </cell>
        </row>
        <row r="315">
          <cell r="A315" t="str">
            <v>USWOP015753201400029</v>
          </cell>
          <cell r="B315" t="str">
            <v>USWOP01575</v>
          </cell>
          <cell r="C315">
            <v>3201400029</v>
          </cell>
          <cell r="D315" t="str">
            <v>OTH OUTSIDE SERVICES OTHER</v>
          </cell>
          <cell r="E315">
            <v>1050</v>
          </cell>
          <cell r="F315">
            <v>0</v>
          </cell>
          <cell r="G315">
            <v>0</v>
          </cell>
          <cell r="H315">
            <v>0</v>
          </cell>
          <cell r="I315">
            <v>0</v>
          </cell>
          <cell r="J315">
            <v>0</v>
          </cell>
          <cell r="K315">
            <v>0</v>
          </cell>
          <cell r="L315">
            <v>0</v>
          </cell>
          <cell r="M315">
            <v>0</v>
          </cell>
          <cell r="N315">
            <v>0</v>
          </cell>
          <cell r="O315">
            <v>0</v>
          </cell>
          <cell r="P315">
            <v>0</v>
          </cell>
          <cell r="Q315">
            <v>1050</v>
          </cell>
        </row>
        <row r="316">
          <cell r="A316" t="str">
            <v>US28P015013201400036</v>
          </cell>
          <cell r="B316" t="str">
            <v>US28P01501</v>
          </cell>
          <cell r="C316">
            <v>3201400036</v>
          </cell>
          <cell r="D316" t="str">
            <v>OTHER MAINTENANCE BUILDINGS</v>
          </cell>
          <cell r="E316">
            <v>0</v>
          </cell>
          <cell r="F316">
            <v>0</v>
          </cell>
          <cell r="G316">
            <v>40</v>
          </cell>
          <cell r="H316">
            <v>0</v>
          </cell>
          <cell r="I316">
            <v>0</v>
          </cell>
          <cell r="J316">
            <v>0</v>
          </cell>
          <cell r="K316">
            <v>0</v>
          </cell>
          <cell r="L316">
            <v>0</v>
          </cell>
          <cell r="M316">
            <v>0</v>
          </cell>
          <cell r="N316">
            <v>0</v>
          </cell>
          <cell r="O316">
            <v>0</v>
          </cell>
          <cell r="P316">
            <v>0</v>
          </cell>
          <cell r="Q316">
            <v>40</v>
          </cell>
        </row>
        <row r="317">
          <cell r="A317" t="str">
            <v>US28P015603201400036</v>
          </cell>
          <cell r="B317" t="str">
            <v>US28P01560</v>
          </cell>
          <cell r="C317">
            <v>3201400036</v>
          </cell>
          <cell r="D317" t="str">
            <v>OTHER MAINTENANCE BUILDINGS</v>
          </cell>
          <cell r="E317">
            <v>0</v>
          </cell>
          <cell r="F317">
            <v>0</v>
          </cell>
          <cell r="G317">
            <v>1042</v>
          </cell>
          <cell r="H317">
            <v>0</v>
          </cell>
          <cell r="I317">
            <v>0</v>
          </cell>
          <cell r="J317">
            <v>0</v>
          </cell>
          <cell r="K317">
            <v>0</v>
          </cell>
          <cell r="L317">
            <v>0</v>
          </cell>
          <cell r="M317">
            <v>0</v>
          </cell>
          <cell r="N317">
            <v>0</v>
          </cell>
          <cell r="O317">
            <v>0</v>
          </cell>
          <cell r="P317">
            <v>0</v>
          </cell>
          <cell r="Q317">
            <v>1042</v>
          </cell>
        </row>
        <row r="318">
          <cell r="A318" t="str">
            <v>US59MZA1503201400036</v>
          </cell>
          <cell r="B318" t="str">
            <v>US59MZA150</v>
          </cell>
          <cell r="C318">
            <v>3201400036</v>
          </cell>
          <cell r="D318" t="str">
            <v>OTHER MAINTENANCE BUILDINGS</v>
          </cell>
          <cell r="E318">
            <v>0</v>
          </cell>
          <cell r="F318">
            <v>1744</v>
          </cell>
          <cell r="G318">
            <v>0</v>
          </cell>
          <cell r="H318">
            <v>0</v>
          </cell>
          <cell r="I318">
            <v>0</v>
          </cell>
          <cell r="J318">
            <v>0</v>
          </cell>
          <cell r="K318">
            <v>0</v>
          </cell>
          <cell r="L318">
            <v>0</v>
          </cell>
          <cell r="M318">
            <v>0</v>
          </cell>
          <cell r="N318">
            <v>0</v>
          </cell>
          <cell r="O318">
            <v>0</v>
          </cell>
          <cell r="P318">
            <v>0</v>
          </cell>
          <cell r="Q318">
            <v>1744</v>
          </cell>
        </row>
        <row r="319">
          <cell r="A319" t="str">
            <v>US59P015013201400036</v>
          </cell>
          <cell r="B319" t="str">
            <v>US59P01501</v>
          </cell>
          <cell r="C319">
            <v>3201400036</v>
          </cell>
          <cell r="D319" t="str">
            <v>OTHER MAINTENANCE BUILDINGS</v>
          </cell>
          <cell r="E319">
            <v>1689</v>
          </cell>
          <cell r="F319">
            <v>0</v>
          </cell>
          <cell r="G319">
            <v>0</v>
          </cell>
          <cell r="H319">
            <v>0</v>
          </cell>
          <cell r="I319">
            <v>0</v>
          </cell>
          <cell r="J319">
            <v>0</v>
          </cell>
          <cell r="K319">
            <v>0</v>
          </cell>
          <cell r="L319">
            <v>0</v>
          </cell>
          <cell r="M319">
            <v>0</v>
          </cell>
          <cell r="N319">
            <v>0</v>
          </cell>
          <cell r="O319">
            <v>0</v>
          </cell>
          <cell r="P319">
            <v>0</v>
          </cell>
          <cell r="Q319">
            <v>1689</v>
          </cell>
        </row>
        <row r="320">
          <cell r="A320" t="str">
            <v>US59P3C5603201400036</v>
          </cell>
          <cell r="B320" t="str">
            <v>US59P3C560</v>
          </cell>
          <cell r="C320">
            <v>3201400036</v>
          </cell>
          <cell r="D320" t="str">
            <v>OTHER MAINTENANCE BUILDINGS</v>
          </cell>
          <cell r="E320">
            <v>569</v>
          </cell>
          <cell r="F320">
            <v>0</v>
          </cell>
          <cell r="G320">
            <v>0</v>
          </cell>
          <cell r="H320">
            <v>0</v>
          </cell>
          <cell r="I320">
            <v>0</v>
          </cell>
          <cell r="J320">
            <v>0</v>
          </cell>
          <cell r="K320">
            <v>0</v>
          </cell>
          <cell r="L320">
            <v>0</v>
          </cell>
          <cell r="M320">
            <v>0</v>
          </cell>
          <cell r="N320">
            <v>0</v>
          </cell>
          <cell r="O320">
            <v>0</v>
          </cell>
          <cell r="P320">
            <v>0</v>
          </cell>
          <cell r="Q320">
            <v>569</v>
          </cell>
        </row>
        <row r="321">
          <cell r="A321" t="str">
            <v>USCRMZA1503201400036</v>
          </cell>
          <cell r="B321" t="str">
            <v>USCRMZA150</v>
          </cell>
          <cell r="C321">
            <v>3201400036</v>
          </cell>
          <cell r="D321" t="str">
            <v>OTHER MAINTENANCE BUILDINGS</v>
          </cell>
          <cell r="E321">
            <v>0</v>
          </cell>
          <cell r="F321">
            <v>0</v>
          </cell>
          <cell r="G321">
            <v>1659</v>
          </cell>
          <cell r="H321">
            <v>0</v>
          </cell>
          <cell r="I321">
            <v>0</v>
          </cell>
          <cell r="J321">
            <v>0</v>
          </cell>
          <cell r="K321">
            <v>0</v>
          </cell>
          <cell r="L321">
            <v>0</v>
          </cell>
          <cell r="M321">
            <v>0</v>
          </cell>
          <cell r="N321">
            <v>0</v>
          </cell>
          <cell r="O321">
            <v>0</v>
          </cell>
          <cell r="P321">
            <v>0</v>
          </cell>
          <cell r="Q321">
            <v>1659</v>
          </cell>
        </row>
        <row r="322">
          <cell r="A322" t="str">
            <v>USCRP015013201400036</v>
          </cell>
          <cell r="B322" t="str">
            <v>USCRP01501</v>
          </cell>
          <cell r="C322">
            <v>3201400036</v>
          </cell>
          <cell r="D322" t="str">
            <v>OTHER MAINTENANCE BUILDINGS</v>
          </cell>
          <cell r="E322">
            <v>0</v>
          </cell>
          <cell r="F322">
            <v>0</v>
          </cell>
          <cell r="G322">
            <v>0</v>
          </cell>
          <cell r="H322">
            <v>0</v>
          </cell>
          <cell r="I322">
            <v>0</v>
          </cell>
          <cell r="J322">
            <v>0</v>
          </cell>
          <cell r="K322">
            <v>0</v>
          </cell>
          <cell r="L322">
            <v>0</v>
          </cell>
          <cell r="M322">
            <v>0</v>
          </cell>
          <cell r="N322">
            <v>0</v>
          </cell>
          <cell r="O322">
            <v>0</v>
          </cell>
          <cell r="P322">
            <v>0</v>
          </cell>
          <cell r="Q322">
            <v>0</v>
          </cell>
        </row>
        <row r="323">
          <cell r="A323" t="str">
            <v>USCRP015603201400036</v>
          </cell>
          <cell r="B323" t="str">
            <v>USCRP01560</v>
          </cell>
          <cell r="C323">
            <v>3201400036</v>
          </cell>
          <cell r="D323" t="str">
            <v>OTHER MAINTENANCE BUILDINGS</v>
          </cell>
          <cell r="E323">
            <v>0</v>
          </cell>
          <cell r="F323">
            <v>0</v>
          </cell>
          <cell r="G323">
            <v>40</v>
          </cell>
          <cell r="H323">
            <v>0</v>
          </cell>
          <cell r="I323">
            <v>0</v>
          </cell>
          <cell r="J323">
            <v>0</v>
          </cell>
          <cell r="K323">
            <v>0</v>
          </cell>
          <cell r="L323">
            <v>0</v>
          </cell>
          <cell r="M323">
            <v>0</v>
          </cell>
          <cell r="N323">
            <v>0</v>
          </cell>
          <cell r="O323">
            <v>0</v>
          </cell>
          <cell r="P323">
            <v>0</v>
          </cell>
          <cell r="Q323">
            <v>40</v>
          </cell>
        </row>
        <row r="324">
          <cell r="A324" t="str">
            <v>USWOMZA1503201400036</v>
          </cell>
          <cell r="B324" t="str">
            <v>USWOMZA150</v>
          </cell>
          <cell r="C324">
            <v>3201400036</v>
          </cell>
          <cell r="D324" t="str">
            <v>OTHER MAINTENANCE BUILDINGS</v>
          </cell>
          <cell r="E324">
            <v>1522</v>
          </cell>
          <cell r="F324">
            <v>1589</v>
          </cell>
          <cell r="G324">
            <v>139</v>
          </cell>
          <cell r="H324">
            <v>0</v>
          </cell>
          <cell r="I324">
            <v>0</v>
          </cell>
          <cell r="J324">
            <v>0</v>
          </cell>
          <cell r="K324">
            <v>0</v>
          </cell>
          <cell r="L324">
            <v>0</v>
          </cell>
          <cell r="M324">
            <v>0</v>
          </cell>
          <cell r="N324">
            <v>0</v>
          </cell>
          <cell r="O324">
            <v>0</v>
          </cell>
          <cell r="P324">
            <v>0</v>
          </cell>
          <cell r="Q324">
            <v>3250</v>
          </cell>
        </row>
        <row r="325">
          <cell r="A325" t="str">
            <v>USWOP015013201400036</v>
          </cell>
          <cell r="B325" t="str">
            <v>USWOP01501</v>
          </cell>
          <cell r="C325">
            <v>3201400036</v>
          </cell>
          <cell r="D325" t="str">
            <v>OTHER MAINTENANCE BUILDINGS</v>
          </cell>
          <cell r="E325">
            <v>2278</v>
          </cell>
          <cell r="F325">
            <v>0</v>
          </cell>
          <cell r="G325">
            <v>0</v>
          </cell>
          <cell r="H325">
            <v>0</v>
          </cell>
          <cell r="I325">
            <v>0</v>
          </cell>
          <cell r="J325">
            <v>0</v>
          </cell>
          <cell r="K325">
            <v>0</v>
          </cell>
          <cell r="L325">
            <v>0</v>
          </cell>
          <cell r="M325">
            <v>0</v>
          </cell>
          <cell r="N325">
            <v>0</v>
          </cell>
          <cell r="O325">
            <v>0</v>
          </cell>
          <cell r="P325">
            <v>0</v>
          </cell>
          <cell r="Q325">
            <v>2278</v>
          </cell>
        </row>
        <row r="326">
          <cell r="A326" t="str">
            <v>USWOP015643201400036</v>
          </cell>
          <cell r="B326" t="str">
            <v>USWOP01564</v>
          </cell>
          <cell r="C326">
            <v>3201400036</v>
          </cell>
          <cell r="D326" t="str">
            <v>OTHER MAINTENANCE BUILDINGS</v>
          </cell>
          <cell r="E326">
            <v>44</v>
          </cell>
          <cell r="F326">
            <v>0</v>
          </cell>
          <cell r="G326">
            <v>0</v>
          </cell>
          <cell r="H326">
            <v>0</v>
          </cell>
          <cell r="I326">
            <v>0</v>
          </cell>
          <cell r="J326">
            <v>0</v>
          </cell>
          <cell r="K326">
            <v>0</v>
          </cell>
          <cell r="L326">
            <v>0</v>
          </cell>
          <cell r="M326">
            <v>0</v>
          </cell>
          <cell r="N326">
            <v>0</v>
          </cell>
          <cell r="O326">
            <v>0</v>
          </cell>
          <cell r="P326">
            <v>0</v>
          </cell>
          <cell r="Q326">
            <v>44</v>
          </cell>
        </row>
        <row r="327">
          <cell r="A327" t="str">
            <v>US22MZA1503201400050</v>
          </cell>
          <cell r="B327" t="str">
            <v>US22MZA150</v>
          </cell>
          <cell r="C327">
            <v>3201400050</v>
          </cell>
          <cell r="D327" t="str">
            <v>MAINTENANCE FORKLIFTS</v>
          </cell>
          <cell r="E327">
            <v>2739</v>
          </cell>
          <cell r="F327">
            <v>3498</v>
          </cell>
          <cell r="G327">
            <v>1044</v>
          </cell>
          <cell r="H327">
            <v>0</v>
          </cell>
          <cell r="I327">
            <v>0</v>
          </cell>
          <cell r="J327">
            <v>0</v>
          </cell>
          <cell r="K327">
            <v>0</v>
          </cell>
          <cell r="L327">
            <v>0</v>
          </cell>
          <cell r="M327">
            <v>0</v>
          </cell>
          <cell r="N327">
            <v>0</v>
          </cell>
          <cell r="O327">
            <v>0</v>
          </cell>
          <cell r="P327">
            <v>0</v>
          </cell>
          <cell r="Q327">
            <v>7281</v>
          </cell>
        </row>
        <row r="328">
          <cell r="A328" t="str">
            <v>US28MZA1503201400050</v>
          </cell>
          <cell r="B328" t="str">
            <v>US28MZA150</v>
          </cell>
          <cell r="C328">
            <v>3201400050</v>
          </cell>
          <cell r="D328" t="str">
            <v>MAINTENANCE FORKLIFTS</v>
          </cell>
          <cell r="E328">
            <v>0</v>
          </cell>
          <cell r="F328">
            <v>0</v>
          </cell>
          <cell r="G328">
            <v>1402</v>
          </cell>
          <cell r="H328">
            <v>0</v>
          </cell>
          <cell r="I328">
            <v>0</v>
          </cell>
          <cell r="J328">
            <v>0</v>
          </cell>
          <cell r="K328">
            <v>0</v>
          </cell>
          <cell r="L328">
            <v>0</v>
          </cell>
          <cell r="M328">
            <v>0</v>
          </cell>
          <cell r="N328">
            <v>0</v>
          </cell>
          <cell r="O328">
            <v>0</v>
          </cell>
          <cell r="P328">
            <v>0</v>
          </cell>
          <cell r="Q328">
            <v>1402</v>
          </cell>
        </row>
        <row r="329">
          <cell r="A329" t="str">
            <v>US35MZA1503201400050</v>
          </cell>
          <cell r="B329" t="str">
            <v>US35MZA150</v>
          </cell>
          <cell r="C329">
            <v>3201400050</v>
          </cell>
          <cell r="D329" t="str">
            <v>MAINTENANCE FORKLIFTS</v>
          </cell>
          <cell r="E329">
            <v>2701</v>
          </cell>
          <cell r="F329">
            <v>2066</v>
          </cell>
          <cell r="G329">
            <v>514</v>
          </cell>
          <cell r="H329">
            <v>0</v>
          </cell>
          <cell r="I329">
            <v>0</v>
          </cell>
          <cell r="J329">
            <v>0</v>
          </cell>
          <cell r="K329">
            <v>0</v>
          </cell>
          <cell r="L329">
            <v>0</v>
          </cell>
          <cell r="M329">
            <v>0</v>
          </cell>
          <cell r="N329">
            <v>0</v>
          </cell>
          <cell r="O329">
            <v>0</v>
          </cell>
          <cell r="P329">
            <v>0</v>
          </cell>
          <cell r="Q329">
            <v>5281</v>
          </cell>
        </row>
        <row r="330">
          <cell r="A330" t="str">
            <v>US35P015603201400050</v>
          </cell>
          <cell r="B330" t="str">
            <v>US35P01560</v>
          </cell>
          <cell r="C330">
            <v>3201400050</v>
          </cell>
          <cell r="D330" t="str">
            <v>MAINTENANCE FORKLIFTS</v>
          </cell>
          <cell r="E330">
            <v>0</v>
          </cell>
          <cell r="F330">
            <v>2873</v>
          </cell>
          <cell r="G330">
            <v>0</v>
          </cell>
          <cell r="H330">
            <v>0</v>
          </cell>
          <cell r="I330">
            <v>0</v>
          </cell>
          <cell r="J330">
            <v>0</v>
          </cell>
          <cell r="K330">
            <v>0</v>
          </cell>
          <cell r="L330">
            <v>0</v>
          </cell>
          <cell r="M330">
            <v>0</v>
          </cell>
          <cell r="N330">
            <v>0</v>
          </cell>
          <cell r="O330">
            <v>0</v>
          </cell>
          <cell r="P330">
            <v>0</v>
          </cell>
          <cell r="Q330">
            <v>2873</v>
          </cell>
        </row>
        <row r="331">
          <cell r="A331" t="str">
            <v>USCRMZA1503201400050</v>
          </cell>
          <cell r="B331" t="str">
            <v>USCRMZA150</v>
          </cell>
          <cell r="C331">
            <v>3201400050</v>
          </cell>
          <cell r="D331" t="str">
            <v>MAINTENANCE FORKLIFTS</v>
          </cell>
          <cell r="E331">
            <v>8359</v>
          </cell>
          <cell r="F331">
            <v>7237</v>
          </cell>
          <cell r="G331">
            <v>964</v>
          </cell>
          <cell r="H331">
            <v>0</v>
          </cell>
          <cell r="I331">
            <v>0</v>
          </cell>
          <cell r="J331">
            <v>0</v>
          </cell>
          <cell r="K331">
            <v>0</v>
          </cell>
          <cell r="L331">
            <v>0</v>
          </cell>
          <cell r="M331">
            <v>0</v>
          </cell>
          <cell r="N331">
            <v>0</v>
          </cell>
          <cell r="O331">
            <v>0</v>
          </cell>
          <cell r="P331">
            <v>0</v>
          </cell>
          <cell r="Q331">
            <v>16560</v>
          </cell>
        </row>
        <row r="332">
          <cell r="A332" t="str">
            <v>USCRP015603201400050</v>
          </cell>
          <cell r="B332" t="str">
            <v>USCRP01560</v>
          </cell>
          <cell r="C332">
            <v>3201400050</v>
          </cell>
          <cell r="D332" t="str">
            <v>MAINTENANCE FORKLIFTS</v>
          </cell>
          <cell r="E332">
            <v>0</v>
          </cell>
          <cell r="F332">
            <v>-56070</v>
          </cell>
          <cell r="G332">
            <v>0</v>
          </cell>
          <cell r="H332">
            <v>0</v>
          </cell>
          <cell r="I332">
            <v>0</v>
          </cell>
          <cell r="J332">
            <v>0</v>
          </cell>
          <cell r="K332">
            <v>0</v>
          </cell>
          <cell r="L332">
            <v>0</v>
          </cell>
          <cell r="M332">
            <v>0</v>
          </cell>
          <cell r="N332">
            <v>0</v>
          </cell>
          <cell r="O332">
            <v>0</v>
          </cell>
          <cell r="P332">
            <v>0</v>
          </cell>
          <cell r="Q332">
            <v>-56070</v>
          </cell>
        </row>
        <row r="333">
          <cell r="A333" t="str">
            <v>USWOMZA1503201400050</v>
          </cell>
          <cell r="B333" t="str">
            <v>USWOMZA150</v>
          </cell>
          <cell r="C333">
            <v>3201400050</v>
          </cell>
          <cell r="D333" t="str">
            <v>MAINTENANCE FORKLIFTS</v>
          </cell>
          <cell r="E333">
            <v>0</v>
          </cell>
          <cell r="F333">
            <v>240</v>
          </cell>
          <cell r="G333">
            <v>1258</v>
          </cell>
          <cell r="H333">
            <v>0</v>
          </cell>
          <cell r="I333">
            <v>0</v>
          </cell>
          <cell r="J333">
            <v>0</v>
          </cell>
          <cell r="K333">
            <v>0</v>
          </cell>
          <cell r="L333">
            <v>0</v>
          </cell>
          <cell r="M333">
            <v>0</v>
          </cell>
          <cell r="N333">
            <v>0</v>
          </cell>
          <cell r="O333">
            <v>0</v>
          </cell>
          <cell r="P333">
            <v>0</v>
          </cell>
          <cell r="Q333">
            <v>1498</v>
          </cell>
        </row>
        <row r="334">
          <cell r="A334" t="str">
            <v>US22MZA1503201400051</v>
          </cell>
          <cell r="B334" t="str">
            <v>US22MZA150</v>
          </cell>
          <cell r="C334">
            <v>3201400051</v>
          </cell>
          <cell r="D334" t="str">
            <v>MAINTENANCE EQUIPMENT</v>
          </cell>
          <cell r="E334">
            <v>234</v>
          </cell>
          <cell r="F334">
            <v>2578</v>
          </cell>
          <cell r="G334">
            <v>3169</v>
          </cell>
          <cell r="H334">
            <v>0</v>
          </cell>
          <cell r="I334">
            <v>0</v>
          </cell>
          <cell r="J334">
            <v>0</v>
          </cell>
          <cell r="K334">
            <v>0</v>
          </cell>
          <cell r="L334">
            <v>0</v>
          </cell>
          <cell r="M334">
            <v>0</v>
          </cell>
          <cell r="N334">
            <v>0</v>
          </cell>
          <cell r="O334">
            <v>0</v>
          </cell>
          <cell r="P334">
            <v>0</v>
          </cell>
          <cell r="Q334">
            <v>5981</v>
          </cell>
        </row>
        <row r="335">
          <cell r="A335" t="str">
            <v>US22P015013201400051</v>
          </cell>
          <cell r="B335" t="str">
            <v>US22P01501</v>
          </cell>
          <cell r="C335">
            <v>3201400051</v>
          </cell>
          <cell r="D335" t="str">
            <v>MAINTENANCE EQUIPMENT</v>
          </cell>
          <cell r="E335">
            <v>3007</v>
          </cell>
          <cell r="F335">
            <v>265</v>
          </cell>
          <cell r="G335">
            <v>1205</v>
          </cell>
          <cell r="H335">
            <v>0</v>
          </cell>
          <cell r="I335">
            <v>0</v>
          </cell>
          <cell r="J335">
            <v>0</v>
          </cell>
          <cell r="K335">
            <v>0</v>
          </cell>
          <cell r="L335">
            <v>0</v>
          </cell>
          <cell r="M335">
            <v>0</v>
          </cell>
          <cell r="N335">
            <v>0</v>
          </cell>
          <cell r="O335">
            <v>0</v>
          </cell>
          <cell r="P335">
            <v>0</v>
          </cell>
          <cell r="Q335">
            <v>4477</v>
          </cell>
        </row>
        <row r="336">
          <cell r="A336" t="str">
            <v>US22P015503201400051</v>
          </cell>
          <cell r="B336" t="str">
            <v>US22P01550</v>
          </cell>
          <cell r="C336">
            <v>3201400051</v>
          </cell>
          <cell r="D336" t="str">
            <v>MAINTENANCE EQUIPMENT</v>
          </cell>
          <cell r="E336">
            <v>699</v>
          </cell>
          <cell r="F336">
            <v>0</v>
          </cell>
          <cell r="G336">
            <v>0</v>
          </cell>
          <cell r="H336">
            <v>0</v>
          </cell>
          <cell r="I336">
            <v>0</v>
          </cell>
          <cell r="J336">
            <v>0</v>
          </cell>
          <cell r="K336">
            <v>0</v>
          </cell>
          <cell r="L336">
            <v>0</v>
          </cell>
          <cell r="M336">
            <v>0</v>
          </cell>
          <cell r="N336">
            <v>0</v>
          </cell>
          <cell r="O336">
            <v>0</v>
          </cell>
          <cell r="P336">
            <v>0</v>
          </cell>
          <cell r="Q336">
            <v>699</v>
          </cell>
        </row>
        <row r="337">
          <cell r="A337" t="str">
            <v>US22P015603201400051</v>
          </cell>
          <cell r="B337" t="str">
            <v>US22P01560</v>
          </cell>
          <cell r="C337">
            <v>3201400051</v>
          </cell>
          <cell r="D337" t="str">
            <v>MAINTENANCE EQUIPMENT</v>
          </cell>
          <cell r="E337">
            <v>4945</v>
          </cell>
          <cell r="F337">
            <v>0</v>
          </cell>
          <cell r="G337">
            <v>1484</v>
          </cell>
          <cell r="H337">
            <v>0</v>
          </cell>
          <cell r="I337">
            <v>0</v>
          </cell>
          <cell r="J337">
            <v>0</v>
          </cell>
          <cell r="K337">
            <v>0</v>
          </cell>
          <cell r="L337">
            <v>0</v>
          </cell>
          <cell r="M337">
            <v>0</v>
          </cell>
          <cell r="N337">
            <v>0</v>
          </cell>
          <cell r="O337">
            <v>0</v>
          </cell>
          <cell r="P337">
            <v>0</v>
          </cell>
          <cell r="Q337">
            <v>6429</v>
          </cell>
        </row>
        <row r="338">
          <cell r="A338" t="str">
            <v>US22P015643201400051</v>
          </cell>
          <cell r="B338" t="str">
            <v>US22P01564</v>
          </cell>
          <cell r="C338">
            <v>3201400051</v>
          </cell>
          <cell r="D338" t="str">
            <v>MAINTENANCE EQUIPMENT</v>
          </cell>
          <cell r="E338">
            <v>0</v>
          </cell>
          <cell r="F338">
            <v>0</v>
          </cell>
          <cell r="G338">
            <v>2156</v>
          </cell>
          <cell r="H338">
            <v>0</v>
          </cell>
          <cell r="I338">
            <v>0</v>
          </cell>
          <cell r="J338">
            <v>0</v>
          </cell>
          <cell r="K338">
            <v>0</v>
          </cell>
          <cell r="L338">
            <v>0</v>
          </cell>
          <cell r="M338">
            <v>0</v>
          </cell>
          <cell r="N338">
            <v>0</v>
          </cell>
          <cell r="O338">
            <v>0</v>
          </cell>
          <cell r="P338">
            <v>0</v>
          </cell>
          <cell r="Q338">
            <v>2156</v>
          </cell>
        </row>
        <row r="339">
          <cell r="A339" t="str">
            <v>US22P015753201400051</v>
          </cell>
          <cell r="B339" t="str">
            <v>US22P01575</v>
          </cell>
          <cell r="C339">
            <v>3201400051</v>
          </cell>
          <cell r="D339" t="str">
            <v>MAINTENANCE EQUIPMENT</v>
          </cell>
          <cell r="E339">
            <v>1730</v>
          </cell>
          <cell r="F339">
            <v>0</v>
          </cell>
          <cell r="G339">
            <v>380</v>
          </cell>
          <cell r="H339">
            <v>0</v>
          </cell>
          <cell r="I339">
            <v>0</v>
          </cell>
          <cell r="J339">
            <v>0</v>
          </cell>
          <cell r="K339">
            <v>0</v>
          </cell>
          <cell r="L339">
            <v>0</v>
          </cell>
          <cell r="M339">
            <v>0</v>
          </cell>
          <cell r="N339">
            <v>0</v>
          </cell>
          <cell r="O339">
            <v>0</v>
          </cell>
          <cell r="P339">
            <v>0</v>
          </cell>
          <cell r="Q339">
            <v>2110</v>
          </cell>
        </row>
        <row r="340">
          <cell r="A340" t="str">
            <v>US28P015603201400051</v>
          </cell>
          <cell r="B340" t="str">
            <v>US28P01560</v>
          </cell>
          <cell r="C340">
            <v>3201400051</v>
          </cell>
          <cell r="D340" t="str">
            <v>MAINTENANCE EQUIPMENT</v>
          </cell>
          <cell r="E340">
            <v>0</v>
          </cell>
          <cell r="F340">
            <v>0</v>
          </cell>
          <cell r="G340">
            <v>0</v>
          </cell>
          <cell r="H340">
            <v>0</v>
          </cell>
          <cell r="I340">
            <v>0</v>
          </cell>
          <cell r="J340">
            <v>0</v>
          </cell>
          <cell r="K340">
            <v>0</v>
          </cell>
          <cell r="L340">
            <v>0</v>
          </cell>
          <cell r="M340">
            <v>0</v>
          </cell>
          <cell r="N340">
            <v>0</v>
          </cell>
          <cell r="O340">
            <v>0</v>
          </cell>
          <cell r="P340">
            <v>0</v>
          </cell>
          <cell r="Q340">
            <v>0</v>
          </cell>
        </row>
        <row r="341">
          <cell r="A341" t="str">
            <v>US35MZA1503201400051</v>
          </cell>
          <cell r="B341" t="str">
            <v>US35MZA150</v>
          </cell>
          <cell r="C341">
            <v>3201400051</v>
          </cell>
          <cell r="D341" t="str">
            <v>MAINTENANCE EQUIPMENT</v>
          </cell>
          <cell r="E341">
            <v>1060</v>
          </cell>
          <cell r="F341">
            <v>21</v>
          </cell>
          <cell r="G341">
            <v>518</v>
          </cell>
          <cell r="H341">
            <v>0</v>
          </cell>
          <cell r="I341">
            <v>0</v>
          </cell>
          <cell r="J341">
            <v>0</v>
          </cell>
          <cell r="K341">
            <v>0</v>
          </cell>
          <cell r="L341">
            <v>0</v>
          </cell>
          <cell r="M341">
            <v>0</v>
          </cell>
          <cell r="N341">
            <v>0</v>
          </cell>
          <cell r="O341">
            <v>0</v>
          </cell>
          <cell r="P341">
            <v>0</v>
          </cell>
          <cell r="Q341">
            <v>1599</v>
          </cell>
        </row>
        <row r="342">
          <cell r="A342" t="str">
            <v>US35P015013201400051</v>
          </cell>
          <cell r="B342" t="str">
            <v>US35P01501</v>
          </cell>
          <cell r="C342">
            <v>3201400051</v>
          </cell>
          <cell r="D342" t="str">
            <v>MAINTENANCE EQUIPMENT</v>
          </cell>
          <cell r="E342">
            <v>0</v>
          </cell>
          <cell r="F342">
            <v>3804</v>
          </cell>
          <cell r="G342">
            <v>0</v>
          </cell>
          <cell r="H342">
            <v>0</v>
          </cell>
          <cell r="I342">
            <v>0</v>
          </cell>
          <cell r="J342">
            <v>0</v>
          </cell>
          <cell r="K342">
            <v>0</v>
          </cell>
          <cell r="L342">
            <v>0</v>
          </cell>
          <cell r="M342">
            <v>0</v>
          </cell>
          <cell r="N342">
            <v>0</v>
          </cell>
          <cell r="O342">
            <v>0</v>
          </cell>
          <cell r="P342">
            <v>0</v>
          </cell>
          <cell r="Q342">
            <v>3804</v>
          </cell>
        </row>
        <row r="343">
          <cell r="A343" t="str">
            <v>US35P015533201400051</v>
          </cell>
          <cell r="B343" t="str">
            <v>US35P01553</v>
          </cell>
          <cell r="C343">
            <v>3201400051</v>
          </cell>
          <cell r="D343" t="str">
            <v>MAINTENANCE EQUIPMENT</v>
          </cell>
          <cell r="E343">
            <v>871</v>
          </cell>
          <cell r="F343">
            <v>0</v>
          </cell>
          <cell r="G343">
            <v>0</v>
          </cell>
          <cell r="H343">
            <v>0</v>
          </cell>
          <cell r="I343">
            <v>0</v>
          </cell>
          <cell r="J343">
            <v>0</v>
          </cell>
          <cell r="K343">
            <v>0</v>
          </cell>
          <cell r="L343">
            <v>0</v>
          </cell>
          <cell r="M343">
            <v>0</v>
          </cell>
          <cell r="N343">
            <v>0</v>
          </cell>
          <cell r="O343">
            <v>0</v>
          </cell>
          <cell r="P343">
            <v>0</v>
          </cell>
          <cell r="Q343">
            <v>871</v>
          </cell>
        </row>
        <row r="344">
          <cell r="A344" t="str">
            <v>US35P015603201400051</v>
          </cell>
          <cell r="B344" t="str">
            <v>US35P01560</v>
          </cell>
          <cell r="C344">
            <v>3201400051</v>
          </cell>
          <cell r="D344" t="str">
            <v>MAINTENANCE EQUIPMENT</v>
          </cell>
          <cell r="E344">
            <v>2665</v>
          </cell>
          <cell r="F344">
            <v>10481</v>
          </cell>
          <cell r="G344">
            <v>755</v>
          </cell>
          <cell r="H344">
            <v>0</v>
          </cell>
          <cell r="I344">
            <v>0</v>
          </cell>
          <cell r="J344">
            <v>0</v>
          </cell>
          <cell r="K344">
            <v>0</v>
          </cell>
          <cell r="L344">
            <v>0</v>
          </cell>
          <cell r="M344">
            <v>0</v>
          </cell>
          <cell r="N344">
            <v>0</v>
          </cell>
          <cell r="O344">
            <v>0</v>
          </cell>
          <cell r="P344">
            <v>0</v>
          </cell>
          <cell r="Q344">
            <v>13901</v>
          </cell>
        </row>
        <row r="345">
          <cell r="A345" t="str">
            <v>US35P015643201400051</v>
          </cell>
          <cell r="B345" t="str">
            <v>US35P01564</v>
          </cell>
          <cell r="C345">
            <v>3201400051</v>
          </cell>
          <cell r="D345" t="str">
            <v>MAINTENANCE EQUIPMENT</v>
          </cell>
          <cell r="E345">
            <v>0</v>
          </cell>
          <cell r="F345">
            <v>2698</v>
          </cell>
          <cell r="G345">
            <v>8978</v>
          </cell>
          <cell r="H345">
            <v>0</v>
          </cell>
          <cell r="I345">
            <v>0</v>
          </cell>
          <cell r="J345">
            <v>0</v>
          </cell>
          <cell r="K345">
            <v>0</v>
          </cell>
          <cell r="L345">
            <v>0</v>
          </cell>
          <cell r="M345">
            <v>0</v>
          </cell>
          <cell r="N345">
            <v>0</v>
          </cell>
          <cell r="O345">
            <v>0</v>
          </cell>
          <cell r="P345">
            <v>0</v>
          </cell>
          <cell r="Q345">
            <v>11676</v>
          </cell>
        </row>
        <row r="346">
          <cell r="A346" t="str">
            <v>US35P015753201400051</v>
          </cell>
          <cell r="B346" t="str">
            <v>US35P01575</v>
          </cell>
          <cell r="C346">
            <v>3201400051</v>
          </cell>
          <cell r="D346" t="str">
            <v>MAINTENANCE EQUIPMENT</v>
          </cell>
          <cell r="E346">
            <v>2284</v>
          </cell>
          <cell r="F346">
            <v>0</v>
          </cell>
          <cell r="G346">
            <v>4205</v>
          </cell>
          <cell r="H346">
            <v>0</v>
          </cell>
          <cell r="I346">
            <v>0</v>
          </cell>
          <cell r="J346">
            <v>0</v>
          </cell>
          <cell r="K346">
            <v>0</v>
          </cell>
          <cell r="L346">
            <v>0</v>
          </cell>
          <cell r="M346">
            <v>0</v>
          </cell>
          <cell r="N346">
            <v>0</v>
          </cell>
          <cell r="O346">
            <v>0</v>
          </cell>
          <cell r="P346">
            <v>0</v>
          </cell>
          <cell r="Q346">
            <v>6489</v>
          </cell>
        </row>
        <row r="347">
          <cell r="A347" t="str">
            <v>US59MZA1503201400051</v>
          </cell>
          <cell r="B347" t="str">
            <v>US59MZA150</v>
          </cell>
          <cell r="C347">
            <v>3201400051</v>
          </cell>
          <cell r="D347" t="str">
            <v>MAINTENANCE EQUIPMENT</v>
          </cell>
          <cell r="E347">
            <v>0</v>
          </cell>
          <cell r="F347">
            <v>0</v>
          </cell>
          <cell r="G347">
            <v>250</v>
          </cell>
          <cell r="H347">
            <v>0</v>
          </cell>
          <cell r="I347">
            <v>0</v>
          </cell>
          <cell r="J347">
            <v>0</v>
          </cell>
          <cell r="K347">
            <v>0</v>
          </cell>
          <cell r="L347">
            <v>0</v>
          </cell>
          <cell r="M347">
            <v>0</v>
          </cell>
          <cell r="N347">
            <v>0</v>
          </cell>
          <cell r="O347">
            <v>0</v>
          </cell>
          <cell r="P347">
            <v>0</v>
          </cell>
          <cell r="Q347">
            <v>250</v>
          </cell>
        </row>
        <row r="348">
          <cell r="A348" t="str">
            <v>US59P015013201400051</v>
          </cell>
          <cell r="B348" t="str">
            <v>US59P01501</v>
          </cell>
          <cell r="C348">
            <v>3201400051</v>
          </cell>
          <cell r="D348" t="str">
            <v>MAINTENANCE EQUIPMENT</v>
          </cell>
          <cell r="E348">
            <v>195</v>
          </cell>
          <cell r="F348">
            <v>175</v>
          </cell>
          <cell r="G348">
            <v>0</v>
          </cell>
          <cell r="H348">
            <v>0</v>
          </cell>
          <cell r="I348">
            <v>0</v>
          </cell>
          <cell r="J348">
            <v>0</v>
          </cell>
          <cell r="K348">
            <v>0</v>
          </cell>
          <cell r="L348">
            <v>0</v>
          </cell>
          <cell r="M348">
            <v>0</v>
          </cell>
          <cell r="N348">
            <v>0</v>
          </cell>
          <cell r="O348">
            <v>0</v>
          </cell>
          <cell r="P348">
            <v>0</v>
          </cell>
          <cell r="Q348">
            <v>370</v>
          </cell>
        </row>
        <row r="349">
          <cell r="A349" t="str">
            <v>US59P015503201400051</v>
          </cell>
          <cell r="B349" t="str">
            <v>US59P01550</v>
          </cell>
          <cell r="C349">
            <v>3201400051</v>
          </cell>
          <cell r="D349" t="str">
            <v>MAINTENANCE EQUIPMENT</v>
          </cell>
          <cell r="E349">
            <v>0</v>
          </cell>
          <cell r="F349">
            <v>0</v>
          </cell>
          <cell r="G349">
            <v>270</v>
          </cell>
          <cell r="H349">
            <v>0</v>
          </cell>
          <cell r="I349">
            <v>0</v>
          </cell>
          <cell r="J349">
            <v>0</v>
          </cell>
          <cell r="K349">
            <v>0</v>
          </cell>
          <cell r="L349">
            <v>0</v>
          </cell>
          <cell r="M349">
            <v>0</v>
          </cell>
          <cell r="N349">
            <v>0</v>
          </cell>
          <cell r="O349">
            <v>0</v>
          </cell>
          <cell r="P349">
            <v>0</v>
          </cell>
          <cell r="Q349">
            <v>270</v>
          </cell>
        </row>
        <row r="350">
          <cell r="A350" t="str">
            <v>US59P015533201400051</v>
          </cell>
          <cell r="B350" t="str">
            <v>US59P01553</v>
          </cell>
          <cell r="C350">
            <v>3201400051</v>
          </cell>
          <cell r="D350" t="str">
            <v>MAINTENANCE EQUIPMENT</v>
          </cell>
          <cell r="E350">
            <v>0</v>
          </cell>
          <cell r="F350">
            <v>306</v>
          </cell>
          <cell r="G350">
            <v>0</v>
          </cell>
          <cell r="H350">
            <v>0</v>
          </cell>
          <cell r="I350">
            <v>0</v>
          </cell>
          <cell r="J350">
            <v>0</v>
          </cell>
          <cell r="K350">
            <v>0</v>
          </cell>
          <cell r="L350">
            <v>0</v>
          </cell>
          <cell r="M350">
            <v>0</v>
          </cell>
          <cell r="N350">
            <v>0</v>
          </cell>
          <cell r="O350">
            <v>0</v>
          </cell>
          <cell r="P350">
            <v>0</v>
          </cell>
          <cell r="Q350">
            <v>306</v>
          </cell>
        </row>
        <row r="351">
          <cell r="A351" t="str">
            <v>US59P015603201400051</v>
          </cell>
          <cell r="B351" t="str">
            <v>US59P01560</v>
          </cell>
          <cell r="C351">
            <v>3201400051</v>
          </cell>
          <cell r="D351" t="str">
            <v>MAINTENANCE EQUIPMENT</v>
          </cell>
          <cell r="E351">
            <v>1931</v>
          </cell>
          <cell r="F351">
            <v>81</v>
          </cell>
          <cell r="G351">
            <v>3523</v>
          </cell>
          <cell r="H351">
            <v>0</v>
          </cell>
          <cell r="I351">
            <v>0</v>
          </cell>
          <cell r="J351">
            <v>0</v>
          </cell>
          <cell r="K351">
            <v>0</v>
          </cell>
          <cell r="L351">
            <v>0</v>
          </cell>
          <cell r="M351">
            <v>0</v>
          </cell>
          <cell r="N351">
            <v>0</v>
          </cell>
          <cell r="O351">
            <v>0</v>
          </cell>
          <cell r="P351">
            <v>0</v>
          </cell>
          <cell r="Q351">
            <v>5535</v>
          </cell>
        </row>
        <row r="352">
          <cell r="A352" t="str">
            <v>US59P015643201400051</v>
          </cell>
          <cell r="B352" t="str">
            <v>US59P01564</v>
          </cell>
          <cell r="C352">
            <v>3201400051</v>
          </cell>
          <cell r="D352" t="str">
            <v>MAINTENANCE EQUIPMENT</v>
          </cell>
          <cell r="E352">
            <v>0</v>
          </cell>
          <cell r="F352">
            <v>0</v>
          </cell>
          <cell r="G352">
            <v>675</v>
          </cell>
          <cell r="H352">
            <v>0</v>
          </cell>
          <cell r="I352">
            <v>0</v>
          </cell>
          <cell r="J352">
            <v>0</v>
          </cell>
          <cell r="K352">
            <v>0</v>
          </cell>
          <cell r="L352">
            <v>0</v>
          </cell>
          <cell r="M352">
            <v>0</v>
          </cell>
          <cell r="N352">
            <v>0</v>
          </cell>
          <cell r="O352">
            <v>0</v>
          </cell>
          <cell r="P352">
            <v>0</v>
          </cell>
          <cell r="Q352">
            <v>675</v>
          </cell>
        </row>
        <row r="353">
          <cell r="A353" t="str">
            <v>US59P3C5013201400051</v>
          </cell>
          <cell r="B353" t="str">
            <v>US59P3C501</v>
          </cell>
          <cell r="C353">
            <v>3201400051</v>
          </cell>
          <cell r="D353" t="str">
            <v>MAINTENANCE EQUIPMENT</v>
          </cell>
          <cell r="E353">
            <v>195</v>
          </cell>
          <cell r="F353">
            <v>240</v>
          </cell>
          <cell r="G353">
            <v>0</v>
          </cell>
          <cell r="H353">
            <v>0</v>
          </cell>
          <cell r="I353">
            <v>0</v>
          </cell>
          <cell r="J353">
            <v>0</v>
          </cell>
          <cell r="K353">
            <v>0</v>
          </cell>
          <cell r="L353">
            <v>0</v>
          </cell>
          <cell r="M353">
            <v>0</v>
          </cell>
          <cell r="N353">
            <v>0</v>
          </cell>
          <cell r="O353">
            <v>0</v>
          </cell>
          <cell r="P353">
            <v>0</v>
          </cell>
          <cell r="Q353">
            <v>435</v>
          </cell>
        </row>
        <row r="354">
          <cell r="A354" t="str">
            <v>US59P3C5603201400051</v>
          </cell>
          <cell r="B354" t="str">
            <v>US59P3C560</v>
          </cell>
          <cell r="C354">
            <v>3201400051</v>
          </cell>
          <cell r="D354" t="str">
            <v>MAINTENANCE EQUIPMENT</v>
          </cell>
          <cell r="E354">
            <v>3381</v>
          </cell>
          <cell r="F354">
            <v>0</v>
          </cell>
          <cell r="G354">
            <v>3847</v>
          </cell>
          <cell r="H354">
            <v>0</v>
          </cell>
          <cell r="I354">
            <v>0</v>
          </cell>
          <cell r="J354">
            <v>0</v>
          </cell>
          <cell r="K354">
            <v>0</v>
          </cell>
          <cell r="L354">
            <v>0</v>
          </cell>
          <cell r="M354">
            <v>0</v>
          </cell>
          <cell r="N354">
            <v>0</v>
          </cell>
          <cell r="O354">
            <v>0</v>
          </cell>
          <cell r="P354">
            <v>0</v>
          </cell>
          <cell r="Q354">
            <v>7228</v>
          </cell>
        </row>
        <row r="355">
          <cell r="A355" t="str">
            <v>USCRMZA1503201400051</v>
          </cell>
          <cell r="B355" t="str">
            <v>USCRMZA150</v>
          </cell>
          <cell r="C355">
            <v>3201400051</v>
          </cell>
          <cell r="D355" t="str">
            <v>MAINTENANCE EQUIPMENT</v>
          </cell>
          <cell r="E355">
            <v>1705</v>
          </cell>
          <cell r="F355">
            <v>2959</v>
          </cell>
          <cell r="G355">
            <v>200</v>
          </cell>
          <cell r="H355">
            <v>0</v>
          </cell>
          <cell r="I355">
            <v>0</v>
          </cell>
          <cell r="J355">
            <v>0</v>
          </cell>
          <cell r="K355">
            <v>0</v>
          </cell>
          <cell r="L355">
            <v>0</v>
          </cell>
          <cell r="M355">
            <v>0</v>
          </cell>
          <cell r="N355">
            <v>0</v>
          </cell>
          <cell r="O355">
            <v>0</v>
          </cell>
          <cell r="P355">
            <v>0</v>
          </cell>
          <cell r="Q355">
            <v>4864</v>
          </cell>
        </row>
        <row r="356">
          <cell r="A356" t="str">
            <v>USCRP015013201400051</v>
          </cell>
          <cell r="B356" t="str">
            <v>USCRP01501</v>
          </cell>
          <cell r="C356">
            <v>3201400051</v>
          </cell>
          <cell r="D356" t="str">
            <v>MAINTENANCE EQUIPMENT</v>
          </cell>
          <cell r="E356">
            <v>1724</v>
          </cell>
          <cell r="F356">
            <v>499</v>
          </cell>
          <cell r="G356">
            <v>1051</v>
          </cell>
          <cell r="H356">
            <v>0</v>
          </cell>
          <cell r="I356">
            <v>0</v>
          </cell>
          <cell r="J356">
            <v>0</v>
          </cell>
          <cell r="K356">
            <v>0</v>
          </cell>
          <cell r="L356">
            <v>0</v>
          </cell>
          <cell r="M356">
            <v>0</v>
          </cell>
          <cell r="N356">
            <v>0</v>
          </cell>
          <cell r="O356">
            <v>0</v>
          </cell>
          <cell r="P356">
            <v>0</v>
          </cell>
          <cell r="Q356">
            <v>3274</v>
          </cell>
        </row>
        <row r="357">
          <cell r="A357" t="str">
            <v>USCRP015603201400051</v>
          </cell>
          <cell r="B357" t="str">
            <v>USCRP01560</v>
          </cell>
          <cell r="C357">
            <v>3201400051</v>
          </cell>
          <cell r="D357" t="str">
            <v>MAINTENANCE EQUIPMENT</v>
          </cell>
          <cell r="E357">
            <v>884</v>
          </cell>
          <cell r="F357">
            <v>1892</v>
          </cell>
          <cell r="G357">
            <v>2567</v>
          </cell>
          <cell r="H357">
            <v>0</v>
          </cell>
          <cell r="I357">
            <v>0</v>
          </cell>
          <cell r="J357">
            <v>0</v>
          </cell>
          <cell r="K357">
            <v>0</v>
          </cell>
          <cell r="L357">
            <v>0</v>
          </cell>
          <cell r="M357">
            <v>0</v>
          </cell>
          <cell r="N357">
            <v>0</v>
          </cell>
          <cell r="O357">
            <v>0</v>
          </cell>
          <cell r="P357">
            <v>0</v>
          </cell>
          <cell r="Q357">
            <v>5343</v>
          </cell>
        </row>
        <row r="358">
          <cell r="A358" t="str">
            <v>USCRP015643201400051</v>
          </cell>
          <cell r="B358" t="str">
            <v>USCRP01564</v>
          </cell>
          <cell r="C358">
            <v>3201400051</v>
          </cell>
          <cell r="D358" t="str">
            <v>MAINTENANCE EQUIPMENT</v>
          </cell>
          <cell r="E358">
            <v>1261</v>
          </cell>
          <cell r="F358">
            <v>3620</v>
          </cell>
          <cell r="G358">
            <v>0</v>
          </cell>
          <cell r="H358">
            <v>0</v>
          </cell>
          <cell r="I358">
            <v>0</v>
          </cell>
          <cell r="J358">
            <v>0</v>
          </cell>
          <cell r="K358">
            <v>0</v>
          </cell>
          <cell r="L358">
            <v>0</v>
          </cell>
          <cell r="M358">
            <v>0</v>
          </cell>
          <cell r="N358">
            <v>0</v>
          </cell>
          <cell r="O358">
            <v>0</v>
          </cell>
          <cell r="P358">
            <v>0</v>
          </cell>
          <cell r="Q358">
            <v>4881</v>
          </cell>
        </row>
        <row r="359">
          <cell r="A359" t="str">
            <v>USCRP015753201400051</v>
          </cell>
          <cell r="B359" t="str">
            <v>USCRP01575</v>
          </cell>
          <cell r="C359">
            <v>3201400051</v>
          </cell>
          <cell r="D359" t="str">
            <v>MAINTENANCE EQUIPMENT</v>
          </cell>
          <cell r="E359">
            <v>0</v>
          </cell>
          <cell r="F359">
            <v>1611</v>
          </cell>
          <cell r="G359">
            <v>199</v>
          </cell>
          <cell r="H359">
            <v>0</v>
          </cell>
          <cell r="I359">
            <v>0</v>
          </cell>
          <cell r="J359">
            <v>0</v>
          </cell>
          <cell r="K359">
            <v>0</v>
          </cell>
          <cell r="L359">
            <v>0</v>
          </cell>
          <cell r="M359">
            <v>0</v>
          </cell>
          <cell r="N359">
            <v>0</v>
          </cell>
          <cell r="O359">
            <v>0</v>
          </cell>
          <cell r="P359">
            <v>0</v>
          </cell>
          <cell r="Q359">
            <v>1810</v>
          </cell>
        </row>
        <row r="360">
          <cell r="A360" t="str">
            <v>USWOMZA1503201400051</v>
          </cell>
          <cell r="B360" t="str">
            <v>USWOMZA150</v>
          </cell>
          <cell r="C360">
            <v>3201400051</v>
          </cell>
          <cell r="D360" t="str">
            <v>MAINTENANCE EQUIPMENT</v>
          </cell>
          <cell r="E360">
            <v>418</v>
          </cell>
          <cell r="F360">
            <v>0</v>
          </cell>
          <cell r="G360">
            <v>0</v>
          </cell>
          <cell r="H360">
            <v>0</v>
          </cell>
          <cell r="I360">
            <v>0</v>
          </cell>
          <cell r="J360">
            <v>0</v>
          </cell>
          <cell r="K360">
            <v>0</v>
          </cell>
          <cell r="L360">
            <v>0</v>
          </cell>
          <cell r="M360">
            <v>0</v>
          </cell>
          <cell r="N360">
            <v>0</v>
          </cell>
          <cell r="O360">
            <v>0</v>
          </cell>
          <cell r="P360">
            <v>0</v>
          </cell>
          <cell r="Q360">
            <v>418</v>
          </cell>
        </row>
        <row r="361">
          <cell r="A361" t="str">
            <v>USWOP015603201400051</v>
          </cell>
          <cell r="B361" t="str">
            <v>USWOP01560</v>
          </cell>
          <cell r="C361">
            <v>3201400051</v>
          </cell>
          <cell r="D361" t="str">
            <v>MAINTENANCE EQUIPMENT</v>
          </cell>
          <cell r="E361">
            <v>566</v>
          </cell>
          <cell r="F361">
            <v>354</v>
          </cell>
          <cell r="G361">
            <v>0</v>
          </cell>
          <cell r="H361">
            <v>0</v>
          </cell>
          <cell r="I361">
            <v>0</v>
          </cell>
          <cell r="J361">
            <v>0</v>
          </cell>
          <cell r="K361">
            <v>0</v>
          </cell>
          <cell r="L361">
            <v>0</v>
          </cell>
          <cell r="M361">
            <v>0</v>
          </cell>
          <cell r="N361">
            <v>0</v>
          </cell>
          <cell r="O361">
            <v>0</v>
          </cell>
          <cell r="P361">
            <v>0</v>
          </cell>
          <cell r="Q361">
            <v>920</v>
          </cell>
        </row>
        <row r="362">
          <cell r="A362" t="str">
            <v>US22P015503201400054</v>
          </cell>
          <cell r="B362" t="str">
            <v>US22P01550</v>
          </cell>
          <cell r="C362">
            <v>3201400054</v>
          </cell>
          <cell r="D362" t="str">
            <v>TECHNICAL SERVICES</v>
          </cell>
          <cell r="E362">
            <v>0</v>
          </cell>
          <cell r="F362">
            <v>432</v>
          </cell>
          <cell r="G362">
            <v>216</v>
          </cell>
          <cell r="H362">
            <v>0</v>
          </cell>
          <cell r="I362">
            <v>0</v>
          </cell>
          <cell r="J362">
            <v>0</v>
          </cell>
          <cell r="K362">
            <v>0</v>
          </cell>
          <cell r="L362">
            <v>0</v>
          </cell>
          <cell r="M362">
            <v>0</v>
          </cell>
          <cell r="N362">
            <v>0</v>
          </cell>
          <cell r="O362">
            <v>0</v>
          </cell>
          <cell r="P362">
            <v>0</v>
          </cell>
          <cell r="Q362">
            <v>648</v>
          </cell>
        </row>
        <row r="363">
          <cell r="A363" t="str">
            <v>US28P015603201400054</v>
          </cell>
          <cell r="B363" t="str">
            <v>US28P01560</v>
          </cell>
          <cell r="C363">
            <v>3201400054</v>
          </cell>
          <cell r="D363" t="str">
            <v>TECHNICAL SERVICES</v>
          </cell>
          <cell r="E363">
            <v>0</v>
          </cell>
          <cell r="F363">
            <v>0</v>
          </cell>
          <cell r="G363">
            <v>2</v>
          </cell>
          <cell r="H363">
            <v>0</v>
          </cell>
          <cell r="I363">
            <v>0</v>
          </cell>
          <cell r="J363">
            <v>0</v>
          </cell>
          <cell r="K363">
            <v>0</v>
          </cell>
          <cell r="L363">
            <v>0</v>
          </cell>
          <cell r="M363">
            <v>0</v>
          </cell>
          <cell r="N363">
            <v>0</v>
          </cell>
          <cell r="O363">
            <v>0</v>
          </cell>
          <cell r="P363">
            <v>0</v>
          </cell>
          <cell r="Q363">
            <v>2</v>
          </cell>
        </row>
        <row r="364">
          <cell r="A364" t="str">
            <v>US59MZA1503201400054</v>
          </cell>
          <cell r="B364" t="str">
            <v>US59MZA150</v>
          </cell>
          <cell r="C364">
            <v>3201400054</v>
          </cell>
          <cell r="D364" t="str">
            <v>TECHNICAL SERVICES</v>
          </cell>
          <cell r="E364">
            <v>67</v>
          </cell>
          <cell r="F364">
            <v>0</v>
          </cell>
          <cell r="G364">
            <v>0</v>
          </cell>
          <cell r="H364">
            <v>0</v>
          </cell>
          <cell r="I364">
            <v>0</v>
          </cell>
          <cell r="J364">
            <v>0</v>
          </cell>
          <cell r="K364">
            <v>0</v>
          </cell>
          <cell r="L364">
            <v>0</v>
          </cell>
          <cell r="M364">
            <v>0</v>
          </cell>
          <cell r="N364">
            <v>0</v>
          </cell>
          <cell r="O364">
            <v>0</v>
          </cell>
          <cell r="P364">
            <v>0</v>
          </cell>
          <cell r="Q364">
            <v>67</v>
          </cell>
        </row>
        <row r="365">
          <cell r="A365" t="str">
            <v>US35P015903201400055</v>
          </cell>
          <cell r="B365" t="str">
            <v>US35P01590</v>
          </cell>
          <cell r="C365">
            <v>3201400055</v>
          </cell>
          <cell r="D365" t="str">
            <v>LABORATORY TESTING</v>
          </cell>
          <cell r="E365">
            <v>0</v>
          </cell>
          <cell r="F365">
            <v>465</v>
          </cell>
          <cell r="G365">
            <v>0</v>
          </cell>
          <cell r="H365">
            <v>0</v>
          </cell>
          <cell r="I365">
            <v>0</v>
          </cell>
          <cell r="J365">
            <v>0</v>
          </cell>
          <cell r="K365">
            <v>0</v>
          </cell>
          <cell r="L365">
            <v>0</v>
          </cell>
          <cell r="M365">
            <v>0</v>
          </cell>
          <cell r="N365">
            <v>0</v>
          </cell>
          <cell r="O365">
            <v>0</v>
          </cell>
          <cell r="P365">
            <v>0</v>
          </cell>
          <cell r="Q365">
            <v>465</v>
          </cell>
        </row>
        <row r="366">
          <cell r="A366" t="str">
            <v>USCRP015903201400055</v>
          </cell>
          <cell r="B366" t="str">
            <v>USCRP01590</v>
          </cell>
          <cell r="C366">
            <v>3201400055</v>
          </cell>
          <cell r="D366" t="str">
            <v>LABORATORY TESTING</v>
          </cell>
          <cell r="E366">
            <v>312</v>
          </cell>
          <cell r="F366">
            <v>0</v>
          </cell>
          <cell r="G366">
            <v>0</v>
          </cell>
          <cell r="H366">
            <v>0</v>
          </cell>
          <cell r="I366">
            <v>0</v>
          </cell>
          <cell r="J366">
            <v>0</v>
          </cell>
          <cell r="K366">
            <v>0</v>
          </cell>
          <cell r="L366">
            <v>0</v>
          </cell>
          <cell r="M366">
            <v>0</v>
          </cell>
          <cell r="N366">
            <v>0</v>
          </cell>
          <cell r="O366">
            <v>0</v>
          </cell>
          <cell r="P366">
            <v>0</v>
          </cell>
          <cell r="Q366">
            <v>312</v>
          </cell>
        </row>
        <row r="367">
          <cell r="A367" t="str">
            <v>US22P015503201400056</v>
          </cell>
          <cell r="B367" t="str">
            <v>US22P01550</v>
          </cell>
          <cell r="C367">
            <v>3201400056</v>
          </cell>
          <cell r="D367" t="str">
            <v>FIELD AND PRODUCTION EXPENSES</v>
          </cell>
          <cell r="E367">
            <v>0</v>
          </cell>
          <cell r="F367">
            <v>707</v>
          </cell>
          <cell r="G367">
            <v>111</v>
          </cell>
          <cell r="H367">
            <v>0</v>
          </cell>
          <cell r="I367">
            <v>0</v>
          </cell>
          <cell r="J367">
            <v>0</v>
          </cell>
          <cell r="K367">
            <v>0</v>
          </cell>
          <cell r="L367">
            <v>0</v>
          </cell>
          <cell r="M367">
            <v>0</v>
          </cell>
          <cell r="N367">
            <v>0</v>
          </cell>
          <cell r="O367">
            <v>0</v>
          </cell>
          <cell r="P367">
            <v>0</v>
          </cell>
          <cell r="Q367">
            <v>818</v>
          </cell>
        </row>
        <row r="368">
          <cell r="A368" t="str">
            <v>US28P015503201400056</v>
          </cell>
          <cell r="B368" t="str">
            <v>US28P01550</v>
          </cell>
          <cell r="C368">
            <v>3201400056</v>
          </cell>
          <cell r="D368" t="str">
            <v>FIELD AND PRODUCTION EXPENSES</v>
          </cell>
          <cell r="E368">
            <v>33</v>
          </cell>
          <cell r="F368">
            <v>279</v>
          </cell>
          <cell r="G368">
            <v>560</v>
          </cell>
          <cell r="H368">
            <v>0</v>
          </cell>
          <cell r="I368">
            <v>0</v>
          </cell>
          <cell r="J368">
            <v>0</v>
          </cell>
          <cell r="K368">
            <v>0</v>
          </cell>
          <cell r="L368">
            <v>0</v>
          </cell>
          <cell r="M368">
            <v>0</v>
          </cell>
          <cell r="N368">
            <v>0</v>
          </cell>
          <cell r="O368">
            <v>0</v>
          </cell>
          <cell r="P368">
            <v>0</v>
          </cell>
          <cell r="Q368">
            <v>872</v>
          </cell>
        </row>
        <row r="369">
          <cell r="A369" t="str">
            <v>US59P015503201400056</v>
          </cell>
          <cell r="B369" t="str">
            <v>US59P01550</v>
          </cell>
          <cell r="C369">
            <v>3201400056</v>
          </cell>
          <cell r="D369" t="str">
            <v>FIELD AND PRODUCTION EXPENSES</v>
          </cell>
          <cell r="E369">
            <v>10577</v>
          </cell>
          <cell r="F369">
            <v>0</v>
          </cell>
          <cell r="G369">
            <v>0</v>
          </cell>
          <cell r="H369">
            <v>0</v>
          </cell>
          <cell r="I369">
            <v>0</v>
          </cell>
          <cell r="J369">
            <v>0</v>
          </cell>
          <cell r="K369">
            <v>0</v>
          </cell>
          <cell r="L369">
            <v>0</v>
          </cell>
          <cell r="M369">
            <v>0</v>
          </cell>
          <cell r="N369">
            <v>0</v>
          </cell>
          <cell r="O369">
            <v>0</v>
          </cell>
          <cell r="P369">
            <v>0</v>
          </cell>
          <cell r="Q369">
            <v>10577</v>
          </cell>
        </row>
        <row r="370">
          <cell r="A370" t="str">
            <v>US59P015533201400056</v>
          </cell>
          <cell r="B370" t="str">
            <v>US59P01553</v>
          </cell>
          <cell r="C370">
            <v>3201400056</v>
          </cell>
          <cell r="D370" t="str">
            <v>FIELD AND PRODUCTION EXPENSES</v>
          </cell>
          <cell r="E370">
            <v>0</v>
          </cell>
          <cell r="F370">
            <v>560</v>
          </cell>
          <cell r="G370">
            <v>0</v>
          </cell>
          <cell r="H370">
            <v>0</v>
          </cell>
          <cell r="I370">
            <v>0</v>
          </cell>
          <cell r="J370">
            <v>0</v>
          </cell>
          <cell r="K370">
            <v>0</v>
          </cell>
          <cell r="L370">
            <v>0</v>
          </cell>
          <cell r="M370">
            <v>0</v>
          </cell>
          <cell r="N370">
            <v>0</v>
          </cell>
          <cell r="O370">
            <v>0</v>
          </cell>
          <cell r="P370">
            <v>0</v>
          </cell>
          <cell r="Q370">
            <v>560</v>
          </cell>
        </row>
        <row r="371">
          <cell r="A371" t="str">
            <v>US59P3C5503201400056</v>
          </cell>
          <cell r="B371" t="str">
            <v>US59P3C550</v>
          </cell>
          <cell r="C371">
            <v>3201400056</v>
          </cell>
          <cell r="D371" t="str">
            <v>FIELD AND PRODUCTION EXPENSES</v>
          </cell>
          <cell r="E371">
            <v>0</v>
          </cell>
          <cell r="F371">
            <v>0</v>
          </cell>
          <cell r="G371">
            <v>0</v>
          </cell>
          <cell r="H371">
            <v>0</v>
          </cell>
          <cell r="I371">
            <v>0</v>
          </cell>
          <cell r="J371">
            <v>0</v>
          </cell>
          <cell r="K371">
            <v>0</v>
          </cell>
          <cell r="L371">
            <v>0</v>
          </cell>
          <cell r="M371">
            <v>0</v>
          </cell>
          <cell r="N371">
            <v>0</v>
          </cell>
          <cell r="O371">
            <v>0</v>
          </cell>
          <cell r="P371">
            <v>0</v>
          </cell>
          <cell r="Q371">
            <v>0</v>
          </cell>
        </row>
        <row r="372">
          <cell r="A372" t="str">
            <v>USCRP015503201400056</v>
          </cell>
          <cell r="B372" t="str">
            <v>USCRP01550</v>
          </cell>
          <cell r="C372">
            <v>3201400056</v>
          </cell>
          <cell r="D372" t="str">
            <v>FIELD AND PRODUCTION EXPENSES</v>
          </cell>
          <cell r="E372">
            <v>0</v>
          </cell>
          <cell r="F372">
            <v>321</v>
          </cell>
          <cell r="G372">
            <v>0</v>
          </cell>
          <cell r="H372">
            <v>0</v>
          </cell>
          <cell r="I372">
            <v>0</v>
          </cell>
          <cell r="J372">
            <v>0</v>
          </cell>
          <cell r="K372">
            <v>0</v>
          </cell>
          <cell r="L372">
            <v>0</v>
          </cell>
          <cell r="M372">
            <v>0</v>
          </cell>
          <cell r="N372">
            <v>0</v>
          </cell>
          <cell r="O372">
            <v>0</v>
          </cell>
          <cell r="P372">
            <v>0</v>
          </cell>
          <cell r="Q372">
            <v>321</v>
          </cell>
        </row>
        <row r="373">
          <cell r="A373" t="str">
            <v>USWOP015503201400056</v>
          </cell>
          <cell r="B373" t="str">
            <v>USWOP01550</v>
          </cell>
          <cell r="C373">
            <v>3201400056</v>
          </cell>
          <cell r="D373" t="str">
            <v>FIELD AND PRODUCTION EXPENSES</v>
          </cell>
          <cell r="E373">
            <v>0</v>
          </cell>
          <cell r="F373">
            <v>107</v>
          </cell>
          <cell r="G373">
            <v>0</v>
          </cell>
          <cell r="H373">
            <v>0</v>
          </cell>
          <cell r="I373">
            <v>0</v>
          </cell>
          <cell r="J373">
            <v>0</v>
          </cell>
          <cell r="K373">
            <v>0</v>
          </cell>
          <cell r="L373">
            <v>0</v>
          </cell>
          <cell r="M373">
            <v>0</v>
          </cell>
          <cell r="N373">
            <v>0</v>
          </cell>
          <cell r="O373">
            <v>0</v>
          </cell>
          <cell r="P373">
            <v>0</v>
          </cell>
          <cell r="Q373">
            <v>107</v>
          </cell>
        </row>
        <row r="374">
          <cell r="A374" t="str">
            <v>USCRP015503201400057</v>
          </cell>
          <cell r="B374" t="str">
            <v>USCRP01550</v>
          </cell>
          <cell r="C374">
            <v>3201400057</v>
          </cell>
          <cell r="D374" t="str">
            <v>FIELD AND PRODUCTION SERVICES - SPRAYING</v>
          </cell>
          <cell r="E374">
            <v>-1582</v>
          </cell>
          <cell r="F374">
            <v>0</v>
          </cell>
          <cell r="G374">
            <v>0</v>
          </cell>
          <cell r="H374">
            <v>0</v>
          </cell>
          <cell r="I374">
            <v>0</v>
          </cell>
          <cell r="J374">
            <v>0</v>
          </cell>
          <cell r="K374">
            <v>0</v>
          </cell>
          <cell r="L374">
            <v>0</v>
          </cell>
          <cell r="M374">
            <v>0</v>
          </cell>
          <cell r="N374">
            <v>0</v>
          </cell>
          <cell r="O374">
            <v>0</v>
          </cell>
          <cell r="P374">
            <v>0</v>
          </cell>
          <cell r="Q374">
            <v>-1582</v>
          </cell>
        </row>
        <row r="375">
          <cell r="A375" t="str">
            <v>US28MZA1503201400070</v>
          </cell>
          <cell r="B375" t="str">
            <v>US28MZA150</v>
          </cell>
          <cell r="C375">
            <v>3201400070</v>
          </cell>
          <cell r="D375" t="str">
            <v>STORAGE WAREHOUSE SERVICE FEES</v>
          </cell>
          <cell r="E375">
            <v>1625</v>
          </cell>
          <cell r="F375">
            <v>3250</v>
          </cell>
          <cell r="G375">
            <v>1625</v>
          </cell>
          <cell r="H375">
            <v>0</v>
          </cell>
          <cell r="I375">
            <v>0</v>
          </cell>
          <cell r="J375">
            <v>0</v>
          </cell>
          <cell r="K375">
            <v>0</v>
          </cell>
          <cell r="L375">
            <v>0</v>
          </cell>
          <cell r="M375">
            <v>0</v>
          </cell>
          <cell r="N375">
            <v>0</v>
          </cell>
          <cell r="O375">
            <v>0</v>
          </cell>
          <cell r="P375">
            <v>0</v>
          </cell>
          <cell r="Q375">
            <v>6500</v>
          </cell>
        </row>
        <row r="376">
          <cell r="A376" t="str">
            <v>US22MZA1503311400099</v>
          </cell>
          <cell r="B376" t="str">
            <v>US22MZA150</v>
          </cell>
          <cell r="C376">
            <v>3311400099</v>
          </cell>
          <cell r="D376" t="str">
            <v>CO DEPRECIATION</v>
          </cell>
          <cell r="E376">
            <v>2032</v>
          </cell>
          <cell r="F376">
            <v>2032</v>
          </cell>
          <cell r="G376">
            <v>2032</v>
          </cell>
          <cell r="H376">
            <v>0</v>
          </cell>
          <cell r="I376">
            <v>0</v>
          </cell>
          <cell r="J376">
            <v>0</v>
          </cell>
          <cell r="K376">
            <v>0</v>
          </cell>
          <cell r="L376">
            <v>0</v>
          </cell>
          <cell r="M376">
            <v>0</v>
          </cell>
          <cell r="N376">
            <v>0</v>
          </cell>
          <cell r="O376">
            <v>0</v>
          </cell>
          <cell r="P376">
            <v>0</v>
          </cell>
          <cell r="Q376">
            <v>6096</v>
          </cell>
        </row>
        <row r="377">
          <cell r="A377" t="str">
            <v>US22P015013311400099</v>
          </cell>
          <cell r="B377" t="str">
            <v>US22P01501</v>
          </cell>
          <cell r="C377">
            <v>3311400099</v>
          </cell>
          <cell r="D377" t="str">
            <v>CO DEPRECIATION</v>
          </cell>
          <cell r="E377">
            <v>788</v>
          </cell>
          <cell r="F377">
            <v>760</v>
          </cell>
          <cell r="G377">
            <v>705</v>
          </cell>
          <cell r="H377">
            <v>0</v>
          </cell>
          <cell r="I377">
            <v>0</v>
          </cell>
          <cell r="J377">
            <v>0</v>
          </cell>
          <cell r="K377">
            <v>0</v>
          </cell>
          <cell r="L377">
            <v>0</v>
          </cell>
          <cell r="M377">
            <v>0</v>
          </cell>
          <cell r="N377">
            <v>0</v>
          </cell>
          <cell r="O377">
            <v>0</v>
          </cell>
          <cell r="P377">
            <v>0</v>
          </cell>
          <cell r="Q377">
            <v>2253</v>
          </cell>
        </row>
        <row r="378">
          <cell r="A378" t="str">
            <v>US22P015503311400099</v>
          </cell>
          <cell r="B378" t="str">
            <v>US22P01550</v>
          </cell>
          <cell r="C378">
            <v>3311400099</v>
          </cell>
          <cell r="D378" t="str">
            <v>CO DEPRECIATION</v>
          </cell>
          <cell r="E378">
            <v>409</v>
          </cell>
          <cell r="F378">
            <v>386</v>
          </cell>
          <cell r="G378">
            <v>219</v>
          </cell>
          <cell r="H378">
            <v>0</v>
          </cell>
          <cell r="I378">
            <v>0</v>
          </cell>
          <cell r="J378">
            <v>0</v>
          </cell>
          <cell r="K378">
            <v>0</v>
          </cell>
          <cell r="L378">
            <v>0</v>
          </cell>
          <cell r="M378">
            <v>0</v>
          </cell>
          <cell r="N378">
            <v>0</v>
          </cell>
          <cell r="O378">
            <v>0</v>
          </cell>
          <cell r="P378">
            <v>0</v>
          </cell>
          <cell r="Q378">
            <v>1014</v>
          </cell>
        </row>
        <row r="379">
          <cell r="A379" t="str">
            <v>US22P015533311400099</v>
          </cell>
          <cell r="B379" t="str">
            <v>US22P01553</v>
          </cell>
          <cell r="C379">
            <v>3311400099</v>
          </cell>
          <cell r="D379" t="str">
            <v>CO DEPRECIATION</v>
          </cell>
          <cell r="E379">
            <v>3192</v>
          </cell>
          <cell r="F379">
            <v>3192</v>
          </cell>
          <cell r="G379">
            <v>3192</v>
          </cell>
          <cell r="H379">
            <v>0</v>
          </cell>
          <cell r="I379">
            <v>0</v>
          </cell>
          <cell r="J379">
            <v>0</v>
          </cell>
          <cell r="K379">
            <v>0</v>
          </cell>
          <cell r="L379">
            <v>0</v>
          </cell>
          <cell r="M379">
            <v>0</v>
          </cell>
          <cell r="N379">
            <v>0</v>
          </cell>
          <cell r="O379">
            <v>0</v>
          </cell>
          <cell r="P379">
            <v>0</v>
          </cell>
          <cell r="Q379">
            <v>9576</v>
          </cell>
        </row>
        <row r="380">
          <cell r="A380" t="str">
            <v>US22P015603311400099</v>
          </cell>
          <cell r="B380" t="str">
            <v>US22P01560</v>
          </cell>
          <cell r="C380">
            <v>3311400099</v>
          </cell>
          <cell r="D380" t="str">
            <v>CO DEPRECIATION</v>
          </cell>
          <cell r="E380">
            <v>46201</v>
          </cell>
          <cell r="F380">
            <v>46201</v>
          </cell>
          <cell r="G380">
            <v>46202</v>
          </cell>
          <cell r="H380">
            <v>0</v>
          </cell>
          <cell r="I380">
            <v>0</v>
          </cell>
          <cell r="J380">
            <v>0</v>
          </cell>
          <cell r="K380">
            <v>0</v>
          </cell>
          <cell r="L380">
            <v>0</v>
          </cell>
          <cell r="M380">
            <v>0</v>
          </cell>
          <cell r="N380">
            <v>0</v>
          </cell>
          <cell r="O380">
            <v>0</v>
          </cell>
          <cell r="P380">
            <v>0</v>
          </cell>
          <cell r="Q380">
            <v>138604</v>
          </cell>
        </row>
        <row r="381">
          <cell r="A381" t="str">
            <v>US22P015643311400099</v>
          </cell>
          <cell r="B381" t="str">
            <v>US22P01564</v>
          </cell>
          <cell r="C381">
            <v>3311400099</v>
          </cell>
          <cell r="D381" t="str">
            <v>CO DEPRECIATION</v>
          </cell>
          <cell r="E381">
            <v>954</v>
          </cell>
          <cell r="F381">
            <v>954</v>
          </cell>
          <cell r="G381">
            <v>954</v>
          </cell>
          <cell r="H381">
            <v>0</v>
          </cell>
          <cell r="I381">
            <v>0</v>
          </cell>
          <cell r="J381">
            <v>0</v>
          </cell>
          <cell r="K381">
            <v>0</v>
          </cell>
          <cell r="L381">
            <v>0</v>
          </cell>
          <cell r="M381">
            <v>0</v>
          </cell>
          <cell r="N381">
            <v>0</v>
          </cell>
          <cell r="O381">
            <v>0</v>
          </cell>
          <cell r="P381">
            <v>0</v>
          </cell>
          <cell r="Q381">
            <v>2862</v>
          </cell>
        </row>
        <row r="382">
          <cell r="A382" t="str">
            <v>US22P015753311400099</v>
          </cell>
          <cell r="B382" t="str">
            <v>US22P01575</v>
          </cell>
          <cell r="C382">
            <v>3311400099</v>
          </cell>
          <cell r="D382" t="str">
            <v>CO DEPRECIATION</v>
          </cell>
          <cell r="E382">
            <v>14481</v>
          </cell>
          <cell r="F382">
            <v>14481</v>
          </cell>
          <cell r="G382">
            <v>4445</v>
          </cell>
          <cell r="H382">
            <v>0</v>
          </cell>
          <cell r="I382">
            <v>0</v>
          </cell>
          <cell r="J382">
            <v>0</v>
          </cell>
          <cell r="K382">
            <v>0</v>
          </cell>
          <cell r="L382">
            <v>0</v>
          </cell>
          <cell r="M382">
            <v>0</v>
          </cell>
          <cell r="N382">
            <v>0</v>
          </cell>
          <cell r="O382">
            <v>0</v>
          </cell>
          <cell r="P382">
            <v>0</v>
          </cell>
          <cell r="Q382">
            <v>33407</v>
          </cell>
        </row>
        <row r="383">
          <cell r="A383" t="str">
            <v>US22P015903311400099</v>
          </cell>
          <cell r="B383" t="str">
            <v>US22P01590</v>
          </cell>
          <cell r="C383">
            <v>3311400099</v>
          </cell>
          <cell r="D383" t="str">
            <v>CO DEPRECIATION</v>
          </cell>
          <cell r="E383">
            <v>347</v>
          </cell>
          <cell r="F383">
            <v>347</v>
          </cell>
          <cell r="G383">
            <v>347</v>
          </cell>
          <cell r="H383">
            <v>0</v>
          </cell>
          <cell r="I383">
            <v>0</v>
          </cell>
          <cell r="J383">
            <v>0</v>
          </cell>
          <cell r="K383">
            <v>0</v>
          </cell>
          <cell r="L383">
            <v>0</v>
          </cell>
          <cell r="M383">
            <v>0</v>
          </cell>
          <cell r="N383">
            <v>0</v>
          </cell>
          <cell r="O383">
            <v>0</v>
          </cell>
          <cell r="P383">
            <v>0</v>
          </cell>
          <cell r="Q383">
            <v>1041</v>
          </cell>
        </row>
        <row r="384">
          <cell r="A384" t="str">
            <v>US28MZA1503311400099</v>
          </cell>
          <cell r="B384" t="str">
            <v>US28MZA150</v>
          </cell>
          <cell r="C384">
            <v>3311400099</v>
          </cell>
          <cell r="D384" t="str">
            <v>CO DEPRECIATION</v>
          </cell>
          <cell r="E384">
            <v>2691</v>
          </cell>
          <cell r="F384">
            <v>2691</v>
          </cell>
          <cell r="G384">
            <v>2691</v>
          </cell>
          <cell r="H384">
            <v>0</v>
          </cell>
          <cell r="I384">
            <v>0</v>
          </cell>
          <cell r="J384">
            <v>0</v>
          </cell>
          <cell r="K384">
            <v>0</v>
          </cell>
          <cell r="L384">
            <v>0</v>
          </cell>
          <cell r="M384">
            <v>0</v>
          </cell>
          <cell r="N384">
            <v>0</v>
          </cell>
          <cell r="O384">
            <v>0</v>
          </cell>
          <cell r="P384">
            <v>0</v>
          </cell>
          <cell r="Q384">
            <v>8073</v>
          </cell>
        </row>
        <row r="385">
          <cell r="A385" t="str">
            <v>US28P015013311400099</v>
          </cell>
          <cell r="B385" t="str">
            <v>US28P01501</v>
          </cell>
          <cell r="C385">
            <v>3311400099</v>
          </cell>
          <cell r="D385" t="str">
            <v>CO DEPRECIATION</v>
          </cell>
          <cell r="E385">
            <v>497</v>
          </cell>
          <cell r="F385">
            <v>497</v>
          </cell>
          <cell r="G385">
            <v>497</v>
          </cell>
          <cell r="H385">
            <v>0</v>
          </cell>
          <cell r="I385">
            <v>0</v>
          </cell>
          <cell r="J385">
            <v>0</v>
          </cell>
          <cell r="K385">
            <v>0</v>
          </cell>
          <cell r="L385">
            <v>0</v>
          </cell>
          <cell r="M385">
            <v>0</v>
          </cell>
          <cell r="N385">
            <v>0</v>
          </cell>
          <cell r="O385">
            <v>0</v>
          </cell>
          <cell r="P385">
            <v>0</v>
          </cell>
          <cell r="Q385">
            <v>1491</v>
          </cell>
        </row>
        <row r="386">
          <cell r="A386" t="str">
            <v>US28P015503311400099</v>
          </cell>
          <cell r="B386" t="str">
            <v>US28P01550</v>
          </cell>
          <cell r="C386">
            <v>3311400099</v>
          </cell>
          <cell r="D386" t="str">
            <v>CO DEPRECIATION</v>
          </cell>
          <cell r="E386">
            <v>782</v>
          </cell>
          <cell r="F386">
            <v>782</v>
          </cell>
          <cell r="G386">
            <v>782</v>
          </cell>
          <cell r="H386">
            <v>0</v>
          </cell>
          <cell r="I386">
            <v>0</v>
          </cell>
          <cell r="J386">
            <v>0</v>
          </cell>
          <cell r="K386">
            <v>0</v>
          </cell>
          <cell r="L386">
            <v>0</v>
          </cell>
          <cell r="M386">
            <v>0</v>
          </cell>
          <cell r="N386">
            <v>0</v>
          </cell>
          <cell r="O386">
            <v>0</v>
          </cell>
          <cell r="P386">
            <v>0</v>
          </cell>
          <cell r="Q386">
            <v>2346</v>
          </cell>
        </row>
        <row r="387">
          <cell r="A387" t="str">
            <v>US28P015533311400099</v>
          </cell>
          <cell r="B387" t="str">
            <v>US28P01553</v>
          </cell>
          <cell r="C387">
            <v>3311400099</v>
          </cell>
          <cell r="D387" t="str">
            <v>CO DEPRECIATION</v>
          </cell>
          <cell r="E387">
            <v>615</v>
          </cell>
          <cell r="F387">
            <v>615</v>
          </cell>
          <cell r="G387">
            <v>615</v>
          </cell>
          <cell r="H387">
            <v>0</v>
          </cell>
          <cell r="I387">
            <v>0</v>
          </cell>
          <cell r="J387">
            <v>0</v>
          </cell>
          <cell r="K387">
            <v>0</v>
          </cell>
          <cell r="L387">
            <v>0</v>
          </cell>
          <cell r="M387">
            <v>0</v>
          </cell>
          <cell r="N387">
            <v>0</v>
          </cell>
          <cell r="O387">
            <v>0</v>
          </cell>
          <cell r="P387">
            <v>0</v>
          </cell>
          <cell r="Q387">
            <v>1845</v>
          </cell>
        </row>
        <row r="388">
          <cell r="A388" t="str">
            <v>US28P015603311400099</v>
          </cell>
          <cell r="B388" t="str">
            <v>US28P01560</v>
          </cell>
          <cell r="C388">
            <v>3311400099</v>
          </cell>
          <cell r="D388" t="str">
            <v>CO DEPRECIATION</v>
          </cell>
          <cell r="E388">
            <v>1138</v>
          </cell>
          <cell r="F388">
            <v>1138</v>
          </cell>
          <cell r="G388">
            <v>1138</v>
          </cell>
          <cell r="H388">
            <v>0</v>
          </cell>
          <cell r="I388">
            <v>0</v>
          </cell>
          <cell r="J388">
            <v>0</v>
          </cell>
          <cell r="K388">
            <v>0</v>
          </cell>
          <cell r="L388">
            <v>0</v>
          </cell>
          <cell r="M388">
            <v>0</v>
          </cell>
          <cell r="N388">
            <v>0</v>
          </cell>
          <cell r="O388">
            <v>0</v>
          </cell>
          <cell r="P388">
            <v>0</v>
          </cell>
          <cell r="Q388">
            <v>3414</v>
          </cell>
        </row>
        <row r="389">
          <cell r="A389" t="str">
            <v>US28P015643311400099</v>
          </cell>
          <cell r="B389" t="str">
            <v>US28P01564</v>
          </cell>
          <cell r="C389">
            <v>3311400099</v>
          </cell>
          <cell r="D389" t="str">
            <v>CO DEPRECIATION</v>
          </cell>
          <cell r="E389">
            <v>29841</v>
          </cell>
          <cell r="F389">
            <v>29841</v>
          </cell>
          <cell r="G389">
            <v>29841</v>
          </cell>
          <cell r="H389">
            <v>0</v>
          </cell>
          <cell r="I389">
            <v>0</v>
          </cell>
          <cell r="J389">
            <v>0</v>
          </cell>
          <cell r="K389">
            <v>0</v>
          </cell>
          <cell r="L389">
            <v>0</v>
          </cell>
          <cell r="M389">
            <v>0</v>
          </cell>
          <cell r="N389">
            <v>0</v>
          </cell>
          <cell r="O389">
            <v>0</v>
          </cell>
          <cell r="P389">
            <v>0</v>
          </cell>
          <cell r="Q389">
            <v>89523</v>
          </cell>
        </row>
        <row r="390">
          <cell r="A390" t="str">
            <v>US28P015753311400099</v>
          </cell>
          <cell r="B390" t="str">
            <v>US28P01575</v>
          </cell>
          <cell r="C390">
            <v>3311400099</v>
          </cell>
          <cell r="D390" t="str">
            <v>CO DEPRECIATION</v>
          </cell>
          <cell r="E390">
            <v>547</v>
          </cell>
          <cell r="F390">
            <v>547</v>
          </cell>
          <cell r="G390">
            <v>547</v>
          </cell>
          <cell r="H390">
            <v>0</v>
          </cell>
          <cell r="I390">
            <v>0</v>
          </cell>
          <cell r="J390">
            <v>0</v>
          </cell>
          <cell r="K390">
            <v>0</v>
          </cell>
          <cell r="L390">
            <v>0</v>
          </cell>
          <cell r="M390">
            <v>0</v>
          </cell>
          <cell r="N390">
            <v>0</v>
          </cell>
          <cell r="O390">
            <v>0</v>
          </cell>
          <cell r="P390">
            <v>0</v>
          </cell>
          <cell r="Q390">
            <v>1641</v>
          </cell>
        </row>
        <row r="391">
          <cell r="A391" t="str">
            <v>US28P015903311400099</v>
          </cell>
          <cell r="B391" t="str">
            <v>US28P01590</v>
          </cell>
          <cell r="C391">
            <v>3311400099</v>
          </cell>
          <cell r="D391" t="str">
            <v>CO DEPRECIATION</v>
          </cell>
          <cell r="E391">
            <v>206</v>
          </cell>
          <cell r="F391">
            <v>206</v>
          </cell>
          <cell r="G391">
            <v>206</v>
          </cell>
          <cell r="H391">
            <v>0</v>
          </cell>
          <cell r="I391">
            <v>0</v>
          </cell>
          <cell r="J391">
            <v>0</v>
          </cell>
          <cell r="K391">
            <v>0</v>
          </cell>
          <cell r="L391">
            <v>0</v>
          </cell>
          <cell r="M391">
            <v>0</v>
          </cell>
          <cell r="N391">
            <v>0</v>
          </cell>
          <cell r="O391">
            <v>0</v>
          </cell>
          <cell r="P391">
            <v>0</v>
          </cell>
          <cell r="Q391">
            <v>618</v>
          </cell>
        </row>
        <row r="392">
          <cell r="A392" t="str">
            <v>US35MZA1503311400099</v>
          </cell>
          <cell r="B392" t="str">
            <v>US35MZA150</v>
          </cell>
          <cell r="C392">
            <v>3311400099</v>
          </cell>
          <cell r="D392" t="str">
            <v>CO DEPRECIATION</v>
          </cell>
          <cell r="E392">
            <v>3119</v>
          </cell>
          <cell r="F392">
            <v>2667</v>
          </cell>
          <cell r="G392">
            <v>2667</v>
          </cell>
          <cell r="H392">
            <v>0</v>
          </cell>
          <cell r="I392">
            <v>0</v>
          </cell>
          <cell r="J392">
            <v>0</v>
          </cell>
          <cell r="K392">
            <v>0</v>
          </cell>
          <cell r="L392">
            <v>0</v>
          </cell>
          <cell r="M392">
            <v>0</v>
          </cell>
          <cell r="N392">
            <v>0</v>
          </cell>
          <cell r="O392">
            <v>0</v>
          </cell>
          <cell r="P392">
            <v>0</v>
          </cell>
          <cell r="Q392">
            <v>8453</v>
          </cell>
        </row>
        <row r="393">
          <cell r="A393" t="str">
            <v>US35P015013311400099</v>
          </cell>
          <cell r="B393" t="str">
            <v>US35P01501</v>
          </cell>
          <cell r="C393">
            <v>3311400099</v>
          </cell>
          <cell r="D393" t="str">
            <v>CO DEPRECIATION</v>
          </cell>
          <cell r="E393">
            <v>1169</v>
          </cell>
          <cell r="F393">
            <v>1169</v>
          </cell>
          <cell r="G393">
            <v>1169</v>
          </cell>
          <cell r="H393">
            <v>0</v>
          </cell>
          <cell r="I393">
            <v>0</v>
          </cell>
          <cell r="J393">
            <v>0</v>
          </cell>
          <cell r="K393">
            <v>0</v>
          </cell>
          <cell r="L393">
            <v>0</v>
          </cell>
          <cell r="M393">
            <v>0</v>
          </cell>
          <cell r="N393">
            <v>0</v>
          </cell>
          <cell r="O393">
            <v>0</v>
          </cell>
          <cell r="P393">
            <v>0</v>
          </cell>
          <cell r="Q393">
            <v>3507</v>
          </cell>
        </row>
        <row r="394">
          <cell r="A394" t="str">
            <v>US35P015503311400099</v>
          </cell>
          <cell r="B394" t="str">
            <v>US35P01550</v>
          </cell>
          <cell r="C394">
            <v>3311400099</v>
          </cell>
          <cell r="D394" t="str">
            <v>CO DEPRECIATION</v>
          </cell>
          <cell r="E394">
            <v>35</v>
          </cell>
          <cell r="F394">
            <v>35</v>
          </cell>
          <cell r="G394">
            <v>35</v>
          </cell>
          <cell r="H394">
            <v>0</v>
          </cell>
          <cell r="I394">
            <v>0</v>
          </cell>
          <cell r="J394">
            <v>0</v>
          </cell>
          <cell r="K394">
            <v>0</v>
          </cell>
          <cell r="L394">
            <v>0</v>
          </cell>
          <cell r="M394">
            <v>0</v>
          </cell>
          <cell r="N394">
            <v>0</v>
          </cell>
          <cell r="O394">
            <v>0</v>
          </cell>
          <cell r="P394">
            <v>0</v>
          </cell>
          <cell r="Q394">
            <v>105</v>
          </cell>
        </row>
        <row r="395">
          <cell r="A395" t="str">
            <v>US35P015533311400099</v>
          </cell>
          <cell r="B395" t="str">
            <v>US35P01553</v>
          </cell>
          <cell r="C395">
            <v>3311400099</v>
          </cell>
          <cell r="D395" t="str">
            <v>CO DEPRECIATION</v>
          </cell>
          <cell r="E395">
            <v>1987</v>
          </cell>
          <cell r="F395">
            <v>1987</v>
          </cell>
          <cell r="G395">
            <v>1987</v>
          </cell>
          <cell r="H395">
            <v>0</v>
          </cell>
          <cell r="I395">
            <v>0</v>
          </cell>
          <cell r="J395">
            <v>0</v>
          </cell>
          <cell r="K395">
            <v>0</v>
          </cell>
          <cell r="L395">
            <v>0</v>
          </cell>
          <cell r="M395">
            <v>0</v>
          </cell>
          <cell r="N395">
            <v>0</v>
          </cell>
          <cell r="O395">
            <v>0</v>
          </cell>
          <cell r="P395">
            <v>0</v>
          </cell>
          <cell r="Q395">
            <v>5961</v>
          </cell>
        </row>
        <row r="396">
          <cell r="A396" t="str">
            <v>US35P015603311400099</v>
          </cell>
          <cell r="B396" t="str">
            <v>US35P01560</v>
          </cell>
          <cell r="C396">
            <v>3311400099</v>
          </cell>
          <cell r="D396" t="str">
            <v>CO DEPRECIATION</v>
          </cell>
          <cell r="E396">
            <v>34320</v>
          </cell>
          <cell r="F396">
            <v>34320</v>
          </cell>
          <cell r="G396">
            <v>34320</v>
          </cell>
          <cell r="H396">
            <v>0</v>
          </cell>
          <cell r="I396">
            <v>0</v>
          </cell>
          <cell r="J396">
            <v>0</v>
          </cell>
          <cell r="K396">
            <v>0</v>
          </cell>
          <cell r="L396">
            <v>0</v>
          </cell>
          <cell r="M396">
            <v>0</v>
          </cell>
          <cell r="N396">
            <v>0</v>
          </cell>
          <cell r="O396">
            <v>0</v>
          </cell>
          <cell r="P396">
            <v>0</v>
          </cell>
          <cell r="Q396">
            <v>102960</v>
          </cell>
        </row>
        <row r="397">
          <cell r="A397" t="str">
            <v>US35P015643311400099</v>
          </cell>
          <cell r="B397" t="str">
            <v>US35P01564</v>
          </cell>
          <cell r="C397">
            <v>3311400099</v>
          </cell>
          <cell r="D397" t="str">
            <v>CO DEPRECIATION</v>
          </cell>
          <cell r="E397">
            <v>19888</v>
          </cell>
          <cell r="F397">
            <v>19888</v>
          </cell>
          <cell r="G397">
            <v>19888</v>
          </cell>
          <cell r="H397">
            <v>0</v>
          </cell>
          <cell r="I397">
            <v>0</v>
          </cell>
          <cell r="J397">
            <v>0</v>
          </cell>
          <cell r="K397">
            <v>0</v>
          </cell>
          <cell r="L397">
            <v>0</v>
          </cell>
          <cell r="M397">
            <v>0</v>
          </cell>
          <cell r="N397">
            <v>0</v>
          </cell>
          <cell r="O397">
            <v>0</v>
          </cell>
          <cell r="P397">
            <v>0</v>
          </cell>
          <cell r="Q397">
            <v>59664</v>
          </cell>
        </row>
        <row r="398">
          <cell r="A398" t="str">
            <v>US35P015753311400099</v>
          </cell>
          <cell r="B398" t="str">
            <v>US35P01575</v>
          </cell>
          <cell r="C398">
            <v>3311400099</v>
          </cell>
          <cell r="D398" t="str">
            <v>CO DEPRECIATION</v>
          </cell>
          <cell r="E398">
            <v>401</v>
          </cell>
          <cell r="F398">
            <v>401</v>
          </cell>
          <cell r="G398">
            <v>401</v>
          </cell>
          <cell r="H398">
            <v>0</v>
          </cell>
          <cell r="I398">
            <v>0</v>
          </cell>
          <cell r="J398">
            <v>0</v>
          </cell>
          <cell r="K398">
            <v>0</v>
          </cell>
          <cell r="L398">
            <v>0</v>
          </cell>
          <cell r="M398">
            <v>0</v>
          </cell>
          <cell r="N398">
            <v>0</v>
          </cell>
          <cell r="O398">
            <v>0</v>
          </cell>
          <cell r="P398">
            <v>0</v>
          </cell>
          <cell r="Q398">
            <v>1203</v>
          </cell>
        </row>
        <row r="399">
          <cell r="A399" t="str">
            <v>US59MZA1503311400099</v>
          </cell>
          <cell r="B399" t="str">
            <v>US59MZA150</v>
          </cell>
          <cell r="C399">
            <v>3311400099</v>
          </cell>
          <cell r="D399" t="str">
            <v>CO DEPRECIATION</v>
          </cell>
          <cell r="E399">
            <v>28058</v>
          </cell>
          <cell r="F399">
            <v>28057</v>
          </cell>
          <cell r="G399">
            <v>28058</v>
          </cell>
          <cell r="H399">
            <v>0</v>
          </cell>
          <cell r="I399">
            <v>0</v>
          </cell>
          <cell r="J399">
            <v>0</v>
          </cell>
          <cell r="K399">
            <v>0</v>
          </cell>
          <cell r="L399">
            <v>0</v>
          </cell>
          <cell r="M399">
            <v>0</v>
          </cell>
          <cell r="N399">
            <v>0</v>
          </cell>
          <cell r="O399">
            <v>0</v>
          </cell>
          <cell r="P399">
            <v>0</v>
          </cell>
          <cell r="Q399">
            <v>84173</v>
          </cell>
        </row>
        <row r="400">
          <cell r="A400" t="str">
            <v>US59P015013311400099</v>
          </cell>
          <cell r="B400" t="str">
            <v>US59P01501</v>
          </cell>
          <cell r="C400">
            <v>3311400099</v>
          </cell>
          <cell r="D400" t="str">
            <v>CO DEPRECIATION</v>
          </cell>
          <cell r="E400">
            <v>2083</v>
          </cell>
          <cell r="F400">
            <v>2083</v>
          </cell>
          <cell r="G400">
            <v>2083</v>
          </cell>
          <cell r="H400">
            <v>0</v>
          </cell>
          <cell r="I400">
            <v>0</v>
          </cell>
          <cell r="J400">
            <v>0</v>
          </cell>
          <cell r="K400">
            <v>0</v>
          </cell>
          <cell r="L400">
            <v>0</v>
          </cell>
          <cell r="M400">
            <v>0</v>
          </cell>
          <cell r="N400">
            <v>0</v>
          </cell>
          <cell r="O400">
            <v>0</v>
          </cell>
          <cell r="P400">
            <v>0</v>
          </cell>
          <cell r="Q400">
            <v>6249</v>
          </cell>
        </row>
        <row r="401">
          <cell r="A401" t="str">
            <v>US59P015503311400099</v>
          </cell>
          <cell r="B401" t="str">
            <v>US59P01550</v>
          </cell>
          <cell r="C401">
            <v>3311400099</v>
          </cell>
          <cell r="D401" t="str">
            <v>CO DEPRECIATION</v>
          </cell>
          <cell r="E401">
            <v>101</v>
          </cell>
          <cell r="F401">
            <v>101</v>
          </cell>
          <cell r="G401">
            <v>101</v>
          </cell>
          <cell r="H401">
            <v>0</v>
          </cell>
          <cell r="I401">
            <v>0</v>
          </cell>
          <cell r="J401">
            <v>0</v>
          </cell>
          <cell r="K401">
            <v>0</v>
          </cell>
          <cell r="L401">
            <v>0</v>
          </cell>
          <cell r="M401">
            <v>0</v>
          </cell>
          <cell r="N401">
            <v>0</v>
          </cell>
          <cell r="O401">
            <v>0</v>
          </cell>
          <cell r="P401">
            <v>0</v>
          </cell>
          <cell r="Q401">
            <v>303</v>
          </cell>
        </row>
        <row r="402">
          <cell r="A402" t="str">
            <v>US59P015533311400099</v>
          </cell>
          <cell r="B402" t="str">
            <v>US59P01553</v>
          </cell>
          <cell r="C402">
            <v>3311400099</v>
          </cell>
          <cell r="D402" t="str">
            <v>CO DEPRECIATION</v>
          </cell>
          <cell r="E402">
            <v>5013</v>
          </cell>
          <cell r="F402">
            <v>5013</v>
          </cell>
          <cell r="G402">
            <v>5013</v>
          </cell>
          <cell r="H402">
            <v>0</v>
          </cell>
          <cell r="I402">
            <v>0</v>
          </cell>
          <cell r="J402">
            <v>0</v>
          </cell>
          <cell r="K402">
            <v>0</v>
          </cell>
          <cell r="L402">
            <v>0</v>
          </cell>
          <cell r="M402">
            <v>0</v>
          </cell>
          <cell r="N402">
            <v>0</v>
          </cell>
          <cell r="O402">
            <v>0</v>
          </cell>
          <cell r="P402">
            <v>0</v>
          </cell>
          <cell r="Q402">
            <v>15039</v>
          </cell>
        </row>
        <row r="403">
          <cell r="A403" t="str">
            <v>US59P015603311400099</v>
          </cell>
          <cell r="B403" t="str">
            <v>US59P01560</v>
          </cell>
          <cell r="C403">
            <v>3311400099</v>
          </cell>
          <cell r="D403" t="str">
            <v>CO DEPRECIATION</v>
          </cell>
          <cell r="E403">
            <v>26664</v>
          </cell>
          <cell r="F403">
            <v>26664</v>
          </cell>
          <cell r="G403">
            <v>26664</v>
          </cell>
          <cell r="H403">
            <v>0</v>
          </cell>
          <cell r="I403">
            <v>0</v>
          </cell>
          <cell r="J403">
            <v>0</v>
          </cell>
          <cell r="K403">
            <v>0</v>
          </cell>
          <cell r="L403">
            <v>0</v>
          </cell>
          <cell r="M403">
            <v>0</v>
          </cell>
          <cell r="N403">
            <v>0</v>
          </cell>
          <cell r="O403">
            <v>0</v>
          </cell>
          <cell r="P403">
            <v>0</v>
          </cell>
          <cell r="Q403">
            <v>79992</v>
          </cell>
        </row>
        <row r="404">
          <cell r="A404" t="str">
            <v>US59P015643311400099</v>
          </cell>
          <cell r="B404" t="str">
            <v>US59P01564</v>
          </cell>
          <cell r="C404">
            <v>3311400099</v>
          </cell>
          <cell r="D404" t="str">
            <v>CO DEPRECIATION</v>
          </cell>
          <cell r="E404">
            <v>20427</v>
          </cell>
          <cell r="F404">
            <v>20427</v>
          </cell>
          <cell r="G404">
            <v>20427</v>
          </cell>
          <cell r="H404">
            <v>0</v>
          </cell>
          <cell r="I404">
            <v>0</v>
          </cell>
          <cell r="J404">
            <v>0</v>
          </cell>
          <cell r="K404">
            <v>0</v>
          </cell>
          <cell r="L404">
            <v>0</v>
          </cell>
          <cell r="M404">
            <v>0</v>
          </cell>
          <cell r="N404">
            <v>0</v>
          </cell>
          <cell r="O404">
            <v>0</v>
          </cell>
          <cell r="P404">
            <v>0</v>
          </cell>
          <cell r="Q404">
            <v>61281</v>
          </cell>
        </row>
        <row r="405">
          <cell r="A405" t="str">
            <v>US59P015753311400099</v>
          </cell>
          <cell r="B405" t="str">
            <v>US59P01575</v>
          </cell>
          <cell r="C405">
            <v>3311400099</v>
          </cell>
          <cell r="D405" t="str">
            <v>CO DEPRECIATION</v>
          </cell>
          <cell r="E405">
            <v>45</v>
          </cell>
          <cell r="F405">
            <v>45</v>
          </cell>
          <cell r="G405">
            <v>45</v>
          </cell>
          <cell r="H405">
            <v>0</v>
          </cell>
          <cell r="I405">
            <v>0</v>
          </cell>
          <cell r="J405">
            <v>0</v>
          </cell>
          <cell r="K405">
            <v>0</v>
          </cell>
          <cell r="L405">
            <v>0</v>
          </cell>
          <cell r="M405">
            <v>0</v>
          </cell>
          <cell r="N405">
            <v>0</v>
          </cell>
          <cell r="O405">
            <v>0</v>
          </cell>
          <cell r="P405">
            <v>0</v>
          </cell>
          <cell r="Q405">
            <v>135</v>
          </cell>
        </row>
        <row r="406">
          <cell r="A406" t="str">
            <v>US59P3C5013311400099</v>
          </cell>
          <cell r="B406" t="str">
            <v>US59P3C501</v>
          </cell>
          <cell r="C406">
            <v>3311400099</v>
          </cell>
          <cell r="D406" t="str">
            <v>CO DEPRECIATION</v>
          </cell>
          <cell r="E406">
            <v>37</v>
          </cell>
          <cell r="F406">
            <v>37</v>
          </cell>
          <cell r="G406">
            <v>37</v>
          </cell>
          <cell r="H406">
            <v>0</v>
          </cell>
          <cell r="I406">
            <v>0</v>
          </cell>
          <cell r="J406">
            <v>0</v>
          </cell>
          <cell r="K406">
            <v>0</v>
          </cell>
          <cell r="L406">
            <v>0</v>
          </cell>
          <cell r="M406">
            <v>0</v>
          </cell>
          <cell r="N406">
            <v>0</v>
          </cell>
          <cell r="O406">
            <v>0</v>
          </cell>
          <cell r="P406">
            <v>0</v>
          </cell>
          <cell r="Q406">
            <v>111</v>
          </cell>
        </row>
        <row r="407">
          <cell r="A407" t="str">
            <v>US59P3C5603311400099</v>
          </cell>
          <cell r="B407" t="str">
            <v>US59P3C560</v>
          </cell>
          <cell r="C407">
            <v>3311400099</v>
          </cell>
          <cell r="D407" t="str">
            <v>CO DEPRECIATION</v>
          </cell>
          <cell r="E407">
            <v>52007</v>
          </cell>
          <cell r="F407">
            <v>52007</v>
          </cell>
          <cell r="G407">
            <v>52007</v>
          </cell>
          <cell r="H407">
            <v>0</v>
          </cell>
          <cell r="I407">
            <v>0</v>
          </cell>
          <cell r="J407">
            <v>0</v>
          </cell>
          <cell r="K407">
            <v>0</v>
          </cell>
          <cell r="L407">
            <v>0</v>
          </cell>
          <cell r="M407">
            <v>0</v>
          </cell>
          <cell r="N407">
            <v>0</v>
          </cell>
          <cell r="O407">
            <v>0</v>
          </cell>
          <cell r="P407">
            <v>0</v>
          </cell>
          <cell r="Q407">
            <v>156021</v>
          </cell>
        </row>
        <row r="408">
          <cell r="A408" t="str">
            <v>USCLMZA1503311400099</v>
          </cell>
          <cell r="B408" t="str">
            <v>USCLMZA150</v>
          </cell>
          <cell r="C408">
            <v>3311400099</v>
          </cell>
          <cell r="D408" t="str">
            <v>CO DEPRECIATION</v>
          </cell>
          <cell r="E408">
            <v>51</v>
          </cell>
          <cell r="F408">
            <v>51</v>
          </cell>
          <cell r="G408">
            <v>51</v>
          </cell>
          <cell r="H408">
            <v>0</v>
          </cell>
          <cell r="I408">
            <v>0</v>
          </cell>
          <cell r="J408">
            <v>0</v>
          </cell>
          <cell r="K408">
            <v>0</v>
          </cell>
          <cell r="L408">
            <v>0</v>
          </cell>
          <cell r="M408">
            <v>0</v>
          </cell>
          <cell r="N408">
            <v>0</v>
          </cell>
          <cell r="O408">
            <v>0</v>
          </cell>
          <cell r="P408">
            <v>0</v>
          </cell>
          <cell r="Q408">
            <v>153</v>
          </cell>
        </row>
        <row r="409">
          <cell r="A409" t="str">
            <v>USCLP015013311400099</v>
          </cell>
          <cell r="B409" t="str">
            <v>USCLP01501</v>
          </cell>
          <cell r="C409">
            <v>3311400099</v>
          </cell>
          <cell r="D409" t="str">
            <v>CO DEPRECIATION</v>
          </cell>
          <cell r="E409">
            <v>2401</v>
          </cell>
          <cell r="F409">
            <v>2401</v>
          </cell>
          <cell r="G409">
            <v>2401</v>
          </cell>
          <cell r="H409">
            <v>0</v>
          </cell>
          <cell r="I409">
            <v>0</v>
          </cell>
          <cell r="J409">
            <v>0</v>
          </cell>
          <cell r="K409">
            <v>0</v>
          </cell>
          <cell r="L409">
            <v>0</v>
          </cell>
          <cell r="M409">
            <v>0</v>
          </cell>
          <cell r="N409">
            <v>0</v>
          </cell>
          <cell r="O409">
            <v>0</v>
          </cell>
          <cell r="P409">
            <v>0</v>
          </cell>
          <cell r="Q409">
            <v>7203</v>
          </cell>
        </row>
        <row r="410">
          <cell r="A410" t="str">
            <v>USCLP015753311400099</v>
          </cell>
          <cell r="B410" t="str">
            <v>USCLP01575</v>
          </cell>
          <cell r="C410">
            <v>3311400099</v>
          </cell>
          <cell r="D410" t="str">
            <v>CO DEPRECIATION</v>
          </cell>
          <cell r="E410">
            <v>159</v>
          </cell>
          <cell r="F410">
            <v>159</v>
          </cell>
          <cell r="G410">
            <v>159</v>
          </cell>
          <cell r="H410">
            <v>0</v>
          </cell>
          <cell r="I410">
            <v>0</v>
          </cell>
          <cell r="J410">
            <v>0</v>
          </cell>
          <cell r="K410">
            <v>0</v>
          </cell>
          <cell r="L410">
            <v>0</v>
          </cell>
          <cell r="M410">
            <v>0</v>
          </cell>
          <cell r="N410">
            <v>0</v>
          </cell>
          <cell r="O410">
            <v>0</v>
          </cell>
          <cell r="P410">
            <v>0</v>
          </cell>
          <cell r="Q410">
            <v>477</v>
          </cell>
        </row>
        <row r="411">
          <cell r="A411" t="str">
            <v>USCOMZA1503311400099</v>
          </cell>
          <cell r="B411" t="str">
            <v>USCOMZA150</v>
          </cell>
          <cell r="C411">
            <v>3311400099</v>
          </cell>
          <cell r="D411" t="str">
            <v>CO DEPRECIATION</v>
          </cell>
          <cell r="E411">
            <v>18</v>
          </cell>
          <cell r="F411">
            <v>18</v>
          </cell>
          <cell r="G411">
            <v>18</v>
          </cell>
          <cell r="H411">
            <v>0</v>
          </cell>
          <cell r="I411">
            <v>0</v>
          </cell>
          <cell r="J411">
            <v>0</v>
          </cell>
          <cell r="K411">
            <v>0</v>
          </cell>
          <cell r="L411">
            <v>0</v>
          </cell>
          <cell r="M411">
            <v>0</v>
          </cell>
          <cell r="N411">
            <v>0</v>
          </cell>
          <cell r="O411">
            <v>0</v>
          </cell>
          <cell r="P411">
            <v>0</v>
          </cell>
          <cell r="Q411">
            <v>54</v>
          </cell>
        </row>
        <row r="412">
          <cell r="A412" t="str">
            <v>USCOP015013311400099</v>
          </cell>
          <cell r="B412" t="str">
            <v>USCOP01501</v>
          </cell>
          <cell r="C412">
            <v>3311400099</v>
          </cell>
          <cell r="D412" t="str">
            <v>CO DEPRECIATION</v>
          </cell>
          <cell r="E412">
            <v>1351</v>
          </cell>
          <cell r="F412">
            <v>1350</v>
          </cell>
          <cell r="G412">
            <v>881</v>
          </cell>
          <cell r="H412">
            <v>0</v>
          </cell>
          <cell r="I412">
            <v>0</v>
          </cell>
          <cell r="J412">
            <v>0</v>
          </cell>
          <cell r="K412">
            <v>0</v>
          </cell>
          <cell r="L412">
            <v>0</v>
          </cell>
          <cell r="M412">
            <v>0</v>
          </cell>
          <cell r="N412">
            <v>0</v>
          </cell>
          <cell r="O412">
            <v>0</v>
          </cell>
          <cell r="P412">
            <v>0</v>
          </cell>
          <cell r="Q412">
            <v>3582</v>
          </cell>
        </row>
        <row r="413">
          <cell r="A413" t="str">
            <v>USCRMZA1503311400099</v>
          </cell>
          <cell r="B413" t="str">
            <v>USCRMZA150</v>
          </cell>
          <cell r="C413">
            <v>3311400099</v>
          </cell>
          <cell r="D413" t="str">
            <v>CO DEPRECIATION</v>
          </cell>
          <cell r="E413">
            <v>2358</v>
          </cell>
          <cell r="F413">
            <v>2358</v>
          </cell>
          <cell r="G413">
            <v>2358</v>
          </cell>
          <cell r="H413">
            <v>0</v>
          </cell>
          <cell r="I413">
            <v>0</v>
          </cell>
          <cell r="J413">
            <v>0</v>
          </cell>
          <cell r="K413">
            <v>0</v>
          </cell>
          <cell r="L413">
            <v>0</v>
          </cell>
          <cell r="M413">
            <v>0</v>
          </cell>
          <cell r="N413">
            <v>0</v>
          </cell>
          <cell r="O413">
            <v>0</v>
          </cell>
          <cell r="P413">
            <v>0</v>
          </cell>
          <cell r="Q413">
            <v>7074</v>
          </cell>
        </row>
        <row r="414">
          <cell r="A414" t="str">
            <v>USCRP015013311400099</v>
          </cell>
          <cell r="B414" t="str">
            <v>USCRP01501</v>
          </cell>
          <cell r="C414">
            <v>3311400099</v>
          </cell>
          <cell r="D414" t="str">
            <v>CO DEPRECIATION</v>
          </cell>
          <cell r="E414">
            <v>28291</v>
          </cell>
          <cell r="F414">
            <v>28286</v>
          </cell>
          <cell r="G414">
            <v>28271</v>
          </cell>
          <cell r="H414">
            <v>0</v>
          </cell>
          <cell r="I414">
            <v>0</v>
          </cell>
          <cell r="J414">
            <v>0</v>
          </cell>
          <cell r="K414">
            <v>0</v>
          </cell>
          <cell r="L414">
            <v>0</v>
          </cell>
          <cell r="M414">
            <v>0</v>
          </cell>
          <cell r="N414">
            <v>0</v>
          </cell>
          <cell r="O414">
            <v>0</v>
          </cell>
          <cell r="P414">
            <v>0</v>
          </cell>
          <cell r="Q414">
            <v>84848</v>
          </cell>
        </row>
        <row r="415">
          <cell r="A415" t="str">
            <v>USCRP015533311400099</v>
          </cell>
          <cell r="B415" t="str">
            <v>USCRP01553</v>
          </cell>
          <cell r="C415">
            <v>3311400099</v>
          </cell>
          <cell r="D415" t="str">
            <v>CO DEPRECIATION</v>
          </cell>
          <cell r="E415">
            <v>769</v>
          </cell>
          <cell r="F415">
            <v>769</v>
          </cell>
          <cell r="G415">
            <v>769</v>
          </cell>
          <cell r="H415">
            <v>0</v>
          </cell>
          <cell r="I415">
            <v>0</v>
          </cell>
          <cell r="J415">
            <v>0</v>
          </cell>
          <cell r="K415">
            <v>0</v>
          </cell>
          <cell r="L415">
            <v>0</v>
          </cell>
          <cell r="M415">
            <v>0</v>
          </cell>
          <cell r="N415">
            <v>0</v>
          </cell>
          <cell r="O415">
            <v>0</v>
          </cell>
          <cell r="P415">
            <v>0</v>
          </cell>
          <cell r="Q415">
            <v>2307</v>
          </cell>
        </row>
        <row r="416">
          <cell r="A416" t="str">
            <v>USCRP015603311400099</v>
          </cell>
          <cell r="B416" t="str">
            <v>USCRP01560</v>
          </cell>
          <cell r="C416">
            <v>3311400099</v>
          </cell>
          <cell r="D416" t="str">
            <v>CO DEPRECIATION</v>
          </cell>
          <cell r="E416">
            <v>5428</v>
          </cell>
          <cell r="F416">
            <v>5428</v>
          </cell>
          <cell r="G416">
            <v>5428</v>
          </cell>
          <cell r="H416">
            <v>0</v>
          </cell>
          <cell r="I416">
            <v>0</v>
          </cell>
          <cell r="J416">
            <v>0</v>
          </cell>
          <cell r="K416">
            <v>0</v>
          </cell>
          <cell r="L416">
            <v>0</v>
          </cell>
          <cell r="M416">
            <v>0</v>
          </cell>
          <cell r="N416">
            <v>0</v>
          </cell>
          <cell r="O416">
            <v>0</v>
          </cell>
          <cell r="P416">
            <v>0</v>
          </cell>
          <cell r="Q416">
            <v>16284</v>
          </cell>
        </row>
        <row r="417">
          <cell r="A417" t="str">
            <v>USCRP015753311400099</v>
          </cell>
          <cell r="B417" t="str">
            <v>USCRP01575</v>
          </cell>
          <cell r="C417">
            <v>3311400099</v>
          </cell>
          <cell r="D417" t="str">
            <v>CO DEPRECIATION</v>
          </cell>
          <cell r="E417">
            <v>2890</v>
          </cell>
          <cell r="F417">
            <v>2890</v>
          </cell>
          <cell r="G417">
            <v>2890</v>
          </cell>
          <cell r="H417">
            <v>0</v>
          </cell>
          <cell r="I417">
            <v>0</v>
          </cell>
          <cell r="J417">
            <v>0</v>
          </cell>
          <cell r="K417">
            <v>0</v>
          </cell>
          <cell r="L417">
            <v>0</v>
          </cell>
          <cell r="M417">
            <v>0</v>
          </cell>
          <cell r="N417">
            <v>0</v>
          </cell>
          <cell r="O417">
            <v>0</v>
          </cell>
          <cell r="P417">
            <v>0</v>
          </cell>
          <cell r="Q417">
            <v>8670</v>
          </cell>
        </row>
        <row r="418">
          <cell r="A418" t="str">
            <v>USSTMZA1503311400099</v>
          </cell>
          <cell r="B418" t="str">
            <v>USSTMZA150</v>
          </cell>
          <cell r="C418">
            <v>3311400099</v>
          </cell>
          <cell r="D418" t="str">
            <v>CO DEPRECIATION</v>
          </cell>
          <cell r="E418">
            <v>111</v>
          </cell>
          <cell r="F418">
            <v>110</v>
          </cell>
          <cell r="G418">
            <v>111</v>
          </cell>
          <cell r="H418">
            <v>0</v>
          </cell>
          <cell r="I418">
            <v>0</v>
          </cell>
          <cell r="J418">
            <v>0</v>
          </cell>
          <cell r="K418">
            <v>0</v>
          </cell>
          <cell r="L418">
            <v>0</v>
          </cell>
          <cell r="M418">
            <v>0</v>
          </cell>
          <cell r="N418">
            <v>0</v>
          </cell>
          <cell r="O418">
            <v>0</v>
          </cell>
          <cell r="P418">
            <v>0</v>
          </cell>
          <cell r="Q418">
            <v>332</v>
          </cell>
        </row>
        <row r="419">
          <cell r="A419" t="str">
            <v>USSTP015013311400099</v>
          </cell>
          <cell r="B419" t="str">
            <v>USSTP01501</v>
          </cell>
          <cell r="C419">
            <v>3311400099</v>
          </cell>
          <cell r="D419" t="str">
            <v>CO DEPRECIATION</v>
          </cell>
          <cell r="E419">
            <v>4185</v>
          </cell>
          <cell r="F419">
            <v>4184</v>
          </cell>
          <cell r="G419">
            <v>4185</v>
          </cell>
          <cell r="H419">
            <v>0</v>
          </cell>
          <cell r="I419">
            <v>0</v>
          </cell>
          <cell r="J419">
            <v>0</v>
          </cell>
          <cell r="K419">
            <v>0</v>
          </cell>
          <cell r="L419">
            <v>0</v>
          </cell>
          <cell r="M419">
            <v>0</v>
          </cell>
          <cell r="N419">
            <v>0</v>
          </cell>
          <cell r="O419">
            <v>0</v>
          </cell>
          <cell r="P419">
            <v>0</v>
          </cell>
          <cell r="Q419">
            <v>12554</v>
          </cell>
        </row>
        <row r="420">
          <cell r="A420" t="str">
            <v>USWOMZA1503311400099</v>
          </cell>
          <cell r="B420" t="str">
            <v>USWOMZA150</v>
          </cell>
          <cell r="C420">
            <v>3311400099</v>
          </cell>
          <cell r="D420" t="str">
            <v>CO DEPRECIATION</v>
          </cell>
          <cell r="E420">
            <v>43892</v>
          </cell>
          <cell r="F420">
            <v>43892</v>
          </cell>
          <cell r="G420">
            <v>43892</v>
          </cell>
          <cell r="H420">
            <v>0</v>
          </cell>
          <cell r="I420">
            <v>0</v>
          </cell>
          <cell r="J420">
            <v>0</v>
          </cell>
          <cell r="K420">
            <v>0</v>
          </cell>
          <cell r="L420">
            <v>0</v>
          </cell>
          <cell r="M420">
            <v>0</v>
          </cell>
          <cell r="N420">
            <v>0</v>
          </cell>
          <cell r="O420">
            <v>0</v>
          </cell>
          <cell r="P420">
            <v>0</v>
          </cell>
          <cell r="Q420">
            <v>131676</v>
          </cell>
        </row>
        <row r="421">
          <cell r="A421" t="str">
            <v>USWOP015013311400099</v>
          </cell>
          <cell r="B421" t="str">
            <v>USWOP01501</v>
          </cell>
          <cell r="C421">
            <v>3311400099</v>
          </cell>
          <cell r="D421" t="str">
            <v>CO DEPRECIATION</v>
          </cell>
          <cell r="E421">
            <v>20497</v>
          </cell>
          <cell r="F421">
            <v>20497</v>
          </cell>
          <cell r="G421">
            <v>20497</v>
          </cell>
          <cell r="H421">
            <v>0</v>
          </cell>
          <cell r="I421">
            <v>0</v>
          </cell>
          <cell r="J421">
            <v>0</v>
          </cell>
          <cell r="K421">
            <v>0</v>
          </cell>
          <cell r="L421">
            <v>0</v>
          </cell>
          <cell r="M421">
            <v>0</v>
          </cell>
          <cell r="N421">
            <v>0</v>
          </cell>
          <cell r="O421">
            <v>0</v>
          </cell>
          <cell r="P421">
            <v>0</v>
          </cell>
          <cell r="Q421">
            <v>61491</v>
          </cell>
        </row>
        <row r="422">
          <cell r="A422" t="str">
            <v>USWOP015503311400099</v>
          </cell>
          <cell r="B422" t="str">
            <v>USWOP01550</v>
          </cell>
          <cell r="C422">
            <v>3311400099</v>
          </cell>
          <cell r="D422" t="str">
            <v>CO DEPRECIATION</v>
          </cell>
          <cell r="E422">
            <v>2193</v>
          </cell>
          <cell r="F422">
            <v>2193</v>
          </cell>
          <cell r="G422">
            <v>2193</v>
          </cell>
          <cell r="H422">
            <v>0</v>
          </cell>
          <cell r="I422">
            <v>0</v>
          </cell>
          <cell r="J422">
            <v>0</v>
          </cell>
          <cell r="K422">
            <v>0</v>
          </cell>
          <cell r="L422">
            <v>0</v>
          </cell>
          <cell r="M422">
            <v>0</v>
          </cell>
          <cell r="N422">
            <v>0</v>
          </cell>
          <cell r="O422">
            <v>0</v>
          </cell>
          <cell r="P422">
            <v>0</v>
          </cell>
          <cell r="Q422">
            <v>6579</v>
          </cell>
        </row>
        <row r="423">
          <cell r="A423" t="str">
            <v>USWOP015603311400099</v>
          </cell>
          <cell r="B423" t="str">
            <v>USWOP01560</v>
          </cell>
          <cell r="C423">
            <v>3311400099</v>
          </cell>
          <cell r="D423" t="str">
            <v>CO DEPRECIATION</v>
          </cell>
          <cell r="E423">
            <v>28127</v>
          </cell>
          <cell r="F423">
            <v>28127</v>
          </cell>
          <cell r="G423">
            <v>28127</v>
          </cell>
          <cell r="H423">
            <v>0</v>
          </cell>
          <cell r="I423">
            <v>0</v>
          </cell>
          <cell r="J423">
            <v>0</v>
          </cell>
          <cell r="K423">
            <v>0</v>
          </cell>
          <cell r="L423">
            <v>0</v>
          </cell>
          <cell r="M423">
            <v>0</v>
          </cell>
          <cell r="N423">
            <v>0</v>
          </cell>
          <cell r="O423">
            <v>0</v>
          </cell>
          <cell r="P423">
            <v>0</v>
          </cell>
          <cell r="Q423">
            <v>84381</v>
          </cell>
        </row>
        <row r="424">
          <cell r="A424" t="str">
            <v>USWOP015643311400099</v>
          </cell>
          <cell r="B424" t="str">
            <v>USWOP01564</v>
          </cell>
          <cell r="C424">
            <v>3311400099</v>
          </cell>
          <cell r="D424" t="str">
            <v>CO DEPRECIATION</v>
          </cell>
          <cell r="E424">
            <v>10428</v>
          </cell>
          <cell r="F424">
            <v>10428</v>
          </cell>
          <cell r="G424">
            <v>10428</v>
          </cell>
          <cell r="H424">
            <v>0</v>
          </cell>
          <cell r="I424">
            <v>0</v>
          </cell>
          <cell r="J424">
            <v>0</v>
          </cell>
          <cell r="K424">
            <v>0</v>
          </cell>
          <cell r="L424">
            <v>0</v>
          </cell>
          <cell r="M424">
            <v>0</v>
          </cell>
          <cell r="N424">
            <v>0</v>
          </cell>
          <cell r="O424">
            <v>0</v>
          </cell>
          <cell r="P424">
            <v>0</v>
          </cell>
          <cell r="Q424">
            <v>31284</v>
          </cell>
        </row>
        <row r="425">
          <cell r="A425" t="str">
            <v>US28P015013501500031</v>
          </cell>
          <cell r="B425" t="str">
            <v>US28P01501</v>
          </cell>
          <cell r="C425">
            <v>3501500031</v>
          </cell>
          <cell r="D425" t="str">
            <v>BUSINESS LICENSES &amp; LOCAL TAXES</v>
          </cell>
          <cell r="E425">
            <v>122</v>
          </cell>
          <cell r="F425">
            <v>0</v>
          </cell>
          <cell r="G425">
            <v>18</v>
          </cell>
          <cell r="H425">
            <v>0</v>
          </cell>
          <cell r="I425">
            <v>0</v>
          </cell>
          <cell r="J425">
            <v>0</v>
          </cell>
          <cell r="K425">
            <v>0</v>
          </cell>
          <cell r="L425">
            <v>0</v>
          </cell>
          <cell r="M425">
            <v>0</v>
          </cell>
          <cell r="N425">
            <v>0</v>
          </cell>
          <cell r="O425">
            <v>0</v>
          </cell>
          <cell r="P425">
            <v>0</v>
          </cell>
          <cell r="Q425">
            <v>140</v>
          </cell>
        </row>
        <row r="426">
          <cell r="A426" t="str">
            <v>US59P015013501500031</v>
          </cell>
          <cell r="B426" t="str">
            <v>US59P01501</v>
          </cell>
          <cell r="C426">
            <v>3501500031</v>
          </cell>
          <cell r="D426" t="str">
            <v>BUSINESS LICENSES &amp; LOCAL TAXES</v>
          </cell>
          <cell r="E426">
            <v>0</v>
          </cell>
          <cell r="F426">
            <v>0</v>
          </cell>
          <cell r="G426">
            <v>0</v>
          </cell>
          <cell r="H426">
            <v>0</v>
          </cell>
          <cell r="I426">
            <v>0</v>
          </cell>
          <cell r="J426">
            <v>0</v>
          </cell>
          <cell r="K426">
            <v>0</v>
          </cell>
          <cell r="L426">
            <v>0</v>
          </cell>
          <cell r="M426">
            <v>0</v>
          </cell>
          <cell r="N426">
            <v>0</v>
          </cell>
          <cell r="O426">
            <v>0</v>
          </cell>
          <cell r="P426">
            <v>0</v>
          </cell>
          <cell r="Q426">
            <v>0</v>
          </cell>
        </row>
        <row r="427">
          <cell r="A427" t="str">
            <v>US59P3C5013501500031</v>
          </cell>
          <cell r="B427" t="str">
            <v>US59P3C501</v>
          </cell>
          <cell r="C427">
            <v>3501500031</v>
          </cell>
          <cell r="D427" t="str">
            <v>BUSINESS LICENSES &amp; LOCAL TAXES</v>
          </cell>
          <cell r="E427">
            <v>0</v>
          </cell>
          <cell r="F427">
            <v>0</v>
          </cell>
          <cell r="G427">
            <v>0</v>
          </cell>
          <cell r="H427">
            <v>0</v>
          </cell>
          <cell r="I427">
            <v>0</v>
          </cell>
          <cell r="J427">
            <v>0</v>
          </cell>
          <cell r="K427">
            <v>0</v>
          </cell>
          <cell r="L427">
            <v>0</v>
          </cell>
          <cell r="M427">
            <v>0</v>
          </cell>
          <cell r="N427">
            <v>0</v>
          </cell>
          <cell r="O427">
            <v>0</v>
          </cell>
          <cell r="P427">
            <v>0</v>
          </cell>
          <cell r="Q427">
            <v>0</v>
          </cell>
        </row>
        <row r="428">
          <cell r="A428" t="str">
            <v>USWOP015013501500031</v>
          </cell>
          <cell r="B428" t="str">
            <v>USWOP01501</v>
          </cell>
          <cell r="C428">
            <v>3501500031</v>
          </cell>
          <cell r="D428" t="str">
            <v>BUSINESS LICENSES &amp; LOCAL TAXES</v>
          </cell>
          <cell r="E428">
            <v>0</v>
          </cell>
          <cell r="F428">
            <v>0</v>
          </cell>
          <cell r="G428">
            <v>570</v>
          </cell>
          <cell r="H428">
            <v>0</v>
          </cell>
          <cell r="I428">
            <v>0</v>
          </cell>
          <cell r="J428">
            <v>0</v>
          </cell>
          <cell r="K428">
            <v>0</v>
          </cell>
          <cell r="L428">
            <v>0</v>
          </cell>
          <cell r="M428">
            <v>0</v>
          </cell>
          <cell r="N428">
            <v>0</v>
          </cell>
          <cell r="O428">
            <v>0</v>
          </cell>
          <cell r="P428">
            <v>0</v>
          </cell>
          <cell r="Q428">
            <v>570</v>
          </cell>
        </row>
        <row r="429">
          <cell r="A429" t="str">
            <v>US22P015013501500034</v>
          </cell>
          <cell r="B429" t="str">
            <v>US22P01501</v>
          </cell>
          <cell r="C429">
            <v>3501500034</v>
          </cell>
          <cell r="D429" t="str">
            <v>PROPERTY TAXES</v>
          </cell>
          <cell r="E429">
            <v>9502</v>
          </cell>
          <cell r="F429">
            <v>9502</v>
          </cell>
          <cell r="G429">
            <v>9502</v>
          </cell>
          <cell r="H429">
            <v>0</v>
          </cell>
          <cell r="I429">
            <v>0</v>
          </cell>
          <cell r="J429">
            <v>0</v>
          </cell>
          <cell r="K429">
            <v>0</v>
          </cell>
          <cell r="L429">
            <v>0</v>
          </cell>
          <cell r="M429">
            <v>0</v>
          </cell>
          <cell r="N429">
            <v>0</v>
          </cell>
          <cell r="O429">
            <v>0</v>
          </cell>
          <cell r="P429">
            <v>0</v>
          </cell>
          <cell r="Q429">
            <v>28506</v>
          </cell>
        </row>
        <row r="430">
          <cell r="A430" t="str">
            <v>US28P015013501500034</v>
          </cell>
          <cell r="B430" t="str">
            <v>US28P01501</v>
          </cell>
          <cell r="C430">
            <v>3501500034</v>
          </cell>
          <cell r="D430" t="str">
            <v>PROPERTY TAXES</v>
          </cell>
          <cell r="E430">
            <v>3790</v>
          </cell>
          <cell r="F430">
            <v>3790</v>
          </cell>
          <cell r="G430">
            <v>3790</v>
          </cell>
          <cell r="H430">
            <v>0</v>
          </cell>
          <cell r="I430">
            <v>0</v>
          </cell>
          <cell r="J430">
            <v>0</v>
          </cell>
          <cell r="K430">
            <v>0</v>
          </cell>
          <cell r="L430">
            <v>0</v>
          </cell>
          <cell r="M430">
            <v>0</v>
          </cell>
          <cell r="N430">
            <v>0</v>
          </cell>
          <cell r="O430">
            <v>0</v>
          </cell>
          <cell r="P430">
            <v>0</v>
          </cell>
          <cell r="Q430">
            <v>11370</v>
          </cell>
        </row>
        <row r="431">
          <cell r="A431" t="str">
            <v>US35P015013501500034</v>
          </cell>
          <cell r="B431" t="str">
            <v>US35P01501</v>
          </cell>
          <cell r="C431">
            <v>3501500034</v>
          </cell>
          <cell r="D431" t="str">
            <v>PROPERTY TAXES</v>
          </cell>
          <cell r="E431">
            <v>8547</v>
          </cell>
          <cell r="F431">
            <v>8547</v>
          </cell>
          <cell r="G431">
            <v>8547</v>
          </cell>
          <cell r="H431">
            <v>0</v>
          </cell>
          <cell r="I431">
            <v>0</v>
          </cell>
          <cell r="J431">
            <v>0</v>
          </cell>
          <cell r="K431">
            <v>0</v>
          </cell>
          <cell r="L431">
            <v>0</v>
          </cell>
          <cell r="M431">
            <v>0</v>
          </cell>
          <cell r="N431">
            <v>0</v>
          </cell>
          <cell r="O431">
            <v>0</v>
          </cell>
          <cell r="P431">
            <v>0</v>
          </cell>
          <cell r="Q431">
            <v>25641</v>
          </cell>
        </row>
        <row r="432">
          <cell r="A432" t="str">
            <v>US59PZA5013501500034</v>
          </cell>
          <cell r="B432" t="str">
            <v>US59PZA501</v>
          </cell>
          <cell r="C432">
            <v>3501500034</v>
          </cell>
          <cell r="D432" t="str">
            <v>PROPERTY TAXES</v>
          </cell>
          <cell r="E432">
            <v>7545</v>
          </cell>
          <cell r="F432">
            <v>7545</v>
          </cell>
          <cell r="G432">
            <v>7545</v>
          </cell>
          <cell r="H432">
            <v>0</v>
          </cell>
          <cell r="I432">
            <v>0</v>
          </cell>
          <cell r="J432">
            <v>0</v>
          </cell>
          <cell r="K432">
            <v>0</v>
          </cell>
          <cell r="L432">
            <v>0</v>
          </cell>
          <cell r="M432">
            <v>0</v>
          </cell>
          <cell r="N432">
            <v>0</v>
          </cell>
          <cell r="O432">
            <v>0</v>
          </cell>
          <cell r="P432">
            <v>0</v>
          </cell>
          <cell r="Q432">
            <v>22635</v>
          </cell>
        </row>
        <row r="433">
          <cell r="A433" t="str">
            <v>USCOP015013501500034</v>
          </cell>
          <cell r="B433" t="str">
            <v>USCOP01501</v>
          </cell>
          <cell r="C433">
            <v>3501500034</v>
          </cell>
          <cell r="D433" t="str">
            <v>PROPERTY TAXES</v>
          </cell>
          <cell r="E433">
            <v>3263</v>
          </cell>
          <cell r="F433">
            <v>3263</v>
          </cell>
          <cell r="G433">
            <v>3263</v>
          </cell>
          <cell r="H433">
            <v>0</v>
          </cell>
          <cell r="I433">
            <v>0</v>
          </cell>
          <cell r="J433">
            <v>0</v>
          </cell>
          <cell r="K433">
            <v>0</v>
          </cell>
          <cell r="L433">
            <v>0</v>
          </cell>
          <cell r="M433">
            <v>0</v>
          </cell>
          <cell r="N433">
            <v>0</v>
          </cell>
          <cell r="O433">
            <v>0</v>
          </cell>
          <cell r="P433">
            <v>0</v>
          </cell>
          <cell r="Q433">
            <v>9789</v>
          </cell>
        </row>
        <row r="434">
          <cell r="A434" t="str">
            <v>USCRP015013501500034</v>
          </cell>
          <cell r="B434" t="str">
            <v>USCRP01501</v>
          </cell>
          <cell r="C434">
            <v>3501500034</v>
          </cell>
          <cell r="D434" t="str">
            <v>PROPERTY TAXES</v>
          </cell>
          <cell r="E434">
            <v>16159</v>
          </cell>
          <cell r="F434">
            <v>16159</v>
          </cell>
          <cell r="G434">
            <v>16159</v>
          </cell>
          <cell r="H434">
            <v>0</v>
          </cell>
          <cell r="I434">
            <v>0</v>
          </cell>
          <cell r="J434">
            <v>0</v>
          </cell>
          <cell r="K434">
            <v>0</v>
          </cell>
          <cell r="L434">
            <v>0</v>
          </cell>
          <cell r="M434">
            <v>0</v>
          </cell>
          <cell r="N434">
            <v>0</v>
          </cell>
          <cell r="O434">
            <v>0</v>
          </cell>
          <cell r="P434">
            <v>0</v>
          </cell>
          <cell r="Q434">
            <v>48477</v>
          </cell>
        </row>
        <row r="435">
          <cell r="A435" t="str">
            <v>USSTP015013501500034</v>
          </cell>
          <cell r="B435" t="str">
            <v>USSTP01501</v>
          </cell>
          <cell r="C435">
            <v>3501500034</v>
          </cell>
          <cell r="D435" t="str">
            <v>PROPERTY TAXES</v>
          </cell>
          <cell r="E435">
            <v>3280</v>
          </cell>
          <cell r="F435">
            <v>3280</v>
          </cell>
          <cell r="G435">
            <v>3280</v>
          </cell>
          <cell r="H435">
            <v>0</v>
          </cell>
          <cell r="I435">
            <v>0</v>
          </cell>
          <cell r="J435">
            <v>0</v>
          </cell>
          <cell r="K435">
            <v>0</v>
          </cell>
          <cell r="L435">
            <v>0</v>
          </cell>
          <cell r="M435">
            <v>0</v>
          </cell>
          <cell r="N435">
            <v>0</v>
          </cell>
          <cell r="O435">
            <v>0</v>
          </cell>
          <cell r="P435">
            <v>0</v>
          </cell>
          <cell r="Q435">
            <v>9840</v>
          </cell>
        </row>
        <row r="436">
          <cell r="A436" t="str">
            <v>USWOP015013501500034</v>
          </cell>
          <cell r="B436" t="str">
            <v>USWOP01501</v>
          </cell>
          <cell r="C436">
            <v>3501500034</v>
          </cell>
          <cell r="D436" t="str">
            <v>PROPERTY TAXES</v>
          </cell>
          <cell r="E436">
            <v>27341</v>
          </cell>
          <cell r="F436">
            <v>27341</v>
          </cell>
          <cell r="G436">
            <v>27341</v>
          </cell>
          <cell r="H436">
            <v>0</v>
          </cell>
          <cell r="I436">
            <v>0</v>
          </cell>
          <cell r="J436">
            <v>0</v>
          </cell>
          <cell r="K436">
            <v>0</v>
          </cell>
          <cell r="L436">
            <v>0</v>
          </cell>
          <cell r="M436">
            <v>0</v>
          </cell>
          <cell r="N436">
            <v>0</v>
          </cell>
          <cell r="O436">
            <v>0</v>
          </cell>
          <cell r="P436">
            <v>0</v>
          </cell>
          <cell r="Q436">
            <v>82023</v>
          </cell>
        </row>
        <row r="437">
          <cell r="A437" t="str">
            <v>US22MZA1503911100010</v>
          </cell>
          <cell r="B437" t="str">
            <v>US22MZA150</v>
          </cell>
          <cell r="C437">
            <v>3911100010</v>
          </cell>
          <cell r="D437" t="str">
            <v>TRAVEL EXPENSES PERMANENTS / MEALS</v>
          </cell>
          <cell r="E437">
            <v>475</v>
          </cell>
          <cell r="F437">
            <v>432</v>
          </cell>
          <cell r="G437">
            <v>454</v>
          </cell>
          <cell r="H437">
            <v>0</v>
          </cell>
          <cell r="I437">
            <v>0</v>
          </cell>
          <cell r="J437">
            <v>0</v>
          </cell>
          <cell r="K437">
            <v>0</v>
          </cell>
          <cell r="L437">
            <v>0</v>
          </cell>
          <cell r="M437">
            <v>0</v>
          </cell>
          <cell r="N437">
            <v>0</v>
          </cell>
          <cell r="O437">
            <v>0</v>
          </cell>
          <cell r="P437">
            <v>0</v>
          </cell>
          <cell r="Q437">
            <v>1361</v>
          </cell>
        </row>
        <row r="438">
          <cell r="A438" t="str">
            <v>US22P015013911100010</v>
          </cell>
          <cell r="B438" t="str">
            <v>US22P01501</v>
          </cell>
          <cell r="C438">
            <v>3911100010</v>
          </cell>
          <cell r="D438" t="str">
            <v>TRAVEL EXPENSES PERMANENTS / MEALS</v>
          </cell>
          <cell r="E438">
            <v>8</v>
          </cell>
          <cell r="F438">
            <v>0</v>
          </cell>
          <cell r="G438">
            <v>6</v>
          </cell>
          <cell r="H438">
            <v>0</v>
          </cell>
          <cell r="I438">
            <v>0</v>
          </cell>
          <cell r="J438">
            <v>0</v>
          </cell>
          <cell r="K438">
            <v>0</v>
          </cell>
          <cell r="L438">
            <v>0</v>
          </cell>
          <cell r="M438">
            <v>0</v>
          </cell>
          <cell r="N438">
            <v>0</v>
          </cell>
          <cell r="O438">
            <v>0</v>
          </cell>
          <cell r="P438">
            <v>0</v>
          </cell>
          <cell r="Q438">
            <v>14</v>
          </cell>
        </row>
        <row r="439">
          <cell r="A439" t="str">
            <v>US28MZA1503911100010</v>
          </cell>
          <cell r="B439" t="str">
            <v>US28MZA150</v>
          </cell>
          <cell r="C439">
            <v>3911100010</v>
          </cell>
          <cell r="D439" t="str">
            <v>TRAVEL EXPENSES PERMANENTS / MEALS</v>
          </cell>
          <cell r="E439">
            <v>0</v>
          </cell>
          <cell r="F439">
            <v>0</v>
          </cell>
          <cell r="G439">
            <v>12</v>
          </cell>
          <cell r="H439">
            <v>0</v>
          </cell>
          <cell r="I439">
            <v>0</v>
          </cell>
          <cell r="J439">
            <v>0</v>
          </cell>
          <cell r="K439">
            <v>0</v>
          </cell>
          <cell r="L439">
            <v>0</v>
          </cell>
          <cell r="M439">
            <v>0</v>
          </cell>
          <cell r="N439">
            <v>0</v>
          </cell>
          <cell r="O439">
            <v>0</v>
          </cell>
          <cell r="P439">
            <v>0</v>
          </cell>
          <cell r="Q439">
            <v>12</v>
          </cell>
        </row>
        <row r="440">
          <cell r="A440" t="str">
            <v>US28P015013911100010</v>
          </cell>
          <cell r="B440" t="str">
            <v>US28P01501</v>
          </cell>
          <cell r="C440">
            <v>3911100010</v>
          </cell>
          <cell r="D440" t="str">
            <v>TRAVEL EXPENSES PERMANENTS / MEALS</v>
          </cell>
          <cell r="E440">
            <v>20</v>
          </cell>
          <cell r="F440">
            <v>114</v>
          </cell>
          <cell r="G440">
            <v>152</v>
          </cell>
          <cell r="H440">
            <v>0</v>
          </cell>
          <cell r="I440">
            <v>0</v>
          </cell>
          <cell r="J440">
            <v>0</v>
          </cell>
          <cell r="K440">
            <v>0</v>
          </cell>
          <cell r="L440">
            <v>0</v>
          </cell>
          <cell r="M440">
            <v>0</v>
          </cell>
          <cell r="N440">
            <v>0</v>
          </cell>
          <cell r="O440">
            <v>0</v>
          </cell>
          <cell r="P440">
            <v>0</v>
          </cell>
          <cell r="Q440">
            <v>286</v>
          </cell>
        </row>
        <row r="441">
          <cell r="A441" t="str">
            <v>US35P015013911100010</v>
          </cell>
          <cell r="B441" t="str">
            <v>US35P01501</v>
          </cell>
          <cell r="C441">
            <v>3911100010</v>
          </cell>
          <cell r="D441" t="str">
            <v>TRAVEL EXPENSES PERMANENTS / MEALS</v>
          </cell>
          <cell r="E441">
            <v>86</v>
          </cell>
          <cell r="F441">
            <v>214</v>
          </cell>
          <cell r="G441">
            <v>0</v>
          </cell>
          <cell r="H441">
            <v>0</v>
          </cell>
          <cell r="I441">
            <v>0</v>
          </cell>
          <cell r="J441">
            <v>0</v>
          </cell>
          <cell r="K441">
            <v>0</v>
          </cell>
          <cell r="L441">
            <v>0</v>
          </cell>
          <cell r="M441">
            <v>0</v>
          </cell>
          <cell r="N441">
            <v>0</v>
          </cell>
          <cell r="O441">
            <v>0</v>
          </cell>
          <cell r="P441">
            <v>0</v>
          </cell>
          <cell r="Q441">
            <v>300</v>
          </cell>
        </row>
        <row r="442">
          <cell r="A442" t="str">
            <v>US35P015503911100010</v>
          </cell>
          <cell r="B442" t="str">
            <v>US35P01550</v>
          </cell>
          <cell r="C442">
            <v>3911100010</v>
          </cell>
          <cell r="D442" t="str">
            <v>TRAVEL EXPENSES PERMANENTS / MEALS</v>
          </cell>
          <cell r="E442">
            <v>0</v>
          </cell>
          <cell r="F442">
            <v>0</v>
          </cell>
          <cell r="G442">
            <v>58</v>
          </cell>
          <cell r="H442">
            <v>0</v>
          </cell>
          <cell r="I442">
            <v>0</v>
          </cell>
          <cell r="J442">
            <v>0</v>
          </cell>
          <cell r="K442">
            <v>0</v>
          </cell>
          <cell r="L442">
            <v>0</v>
          </cell>
          <cell r="M442">
            <v>0</v>
          </cell>
          <cell r="N442">
            <v>0</v>
          </cell>
          <cell r="O442">
            <v>0</v>
          </cell>
          <cell r="P442">
            <v>0</v>
          </cell>
          <cell r="Q442">
            <v>58</v>
          </cell>
        </row>
        <row r="443">
          <cell r="A443" t="str">
            <v>US35P015903911100010</v>
          </cell>
          <cell r="B443" t="str">
            <v>US35P01590</v>
          </cell>
          <cell r="C443">
            <v>3911100010</v>
          </cell>
          <cell r="D443" t="str">
            <v>TRAVEL EXPENSES PERMANENTS / MEALS</v>
          </cell>
          <cell r="E443">
            <v>47</v>
          </cell>
          <cell r="F443">
            <v>0</v>
          </cell>
          <cell r="G443">
            <v>135</v>
          </cell>
          <cell r="H443">
            <v>0</v>
          </cell>
          <cell r="I443">
            <v>0</v>
          </cell>
          <cell r="J443">
            <v>0</v>
          </cell>
          <cell r="K443">
            <v>0</v>
          </cell>
          <cell r="L443">
            <v>0</v>
          </cell>
          <cell r="M443">
            <v>0</v>
          </cell>
          <cell r="N443">
            <v>0</v>
          </cell>
          <cell r="O443">
            <v>0</v>
          </cell>
          <cell r="P443">
            <v>0</v>
          </cell>
          <cell r="Q443">
            <v>182</v>
          </cell>
        </row>
        <row r="444">
          <cell r="A444" t="str">
            <v>US59MZA1503911100010</v>
          </cell>
          <cell r="B444" t="str">
            <v>US59MZA150</v>
          </cell>
          <cell r="C444">
            <v>3911100010</v>
          </cell>
          <cell r="D444" t="str">
            <v>TRAVEL EXPENSES PERMANENTS / MEALS</v>
          </cell>
          <cell r="E444">
            <v>0</v>
          </cell>
          <cell r="F444">
            <v>0</v>
          </cell>
          <cell r="G444">
            <v>18</v>
          </cell>
          <cell r="H444">
            <v>0</v>
          </cell>
          <cell r="I444">
            <v>0</v>
          </cell>
          <cell r="J444">
            <v>0</v>
          </cell>
          <cell r="K444">
            <v>0</v>
          </cell>
          <cell r="L444">
            <v>0</v>
          </cell>
          <cell r="M444">
            <v>0</v>
          </cell>
          <cell r="N444">
            <v>0</v>
          </cell>
          <cell r="O444">
            <v>0</v>
          </cell>
          <cell r="P444">
            <v>0</v>
          </cell>
          <cell r="Q444">
            <v>18</v>
          </cell>
        </row>
        <row r="445">
          <cell r="A445" t="str">
            <v>US59P015013911100010</v>
          </cell>
          <cell r="B445" t="str">
            <v>US59P01501</v>
          </cell>
          <cell r="C445">
            <v>3911100010</v>
          </cell>
          <cell r="D445" t="str">
            <v>TRAVEL EXPENSES PERMANENTS / MEALS</v>
          </cell>
          <cell r="E445">
            <v>0</v>
          </cell>
          <cell r="F445">
            <v>91</v>
          </cell>
          <cell r="G445">
            <v>77</v>
          </cell>
          <cell r="H445">
            <v>0</v>
          </cell>
          <cell r="I445">
            <v>0</v>
          </cell>
          <cell r="J445">
            <v>0</v>
          </cell>
          <cell r="K445">
            <v>0</v>
          </cell>
          <cell r="L445">
            <v>0</v>
          </cell>
          <cell r="M445">
            <v>0</v>
          </cell>
          <cell r="N445">
            <v>0</v>
          </cell>
          <cell r="O445">
            <v>0</v>
          </cell>
          <cell r="P445">
            <v>0</v>
          </cell>
          <cell r="Q445">
            <v>168</v>
          </cell>
        </row>
        <row r="446">
          <cell r="A446" t="str">
            <v>US59P3C5013911100010</v>
          </cell>
          <cell r="B446" t="str">
            <v>US59P3C501</v>
          </cell>
          <cell r="C446">
            <v>3911100010</v>
          </cell>
          <cell r="D446" t="str">
            <v>TRAVEL EXPENSES PERMANENTS / MEALS</v>
          </cell>
          <cell r="E446">
            <v>10</v>
          </cell>
          <cell r="F446">
            <v>8</v>
          </cell>
          <cell r="G446">
            <v>0</v>
          </cell>
          <cell r="H446">
            <v>0</v>
          </cell>
          <cell r="I446">
            <v>0</v>
          </cell>
          <cell r="J446">
            <v>0</v>
          </cell>
          <cell r="K446">
            <v>0</v>
          </cell>
          <cell r="L446">
            <v>0</v>
          </cell>
          <cell r="M446">
            <v>0</v>
          </cell>
          <cell r="N446">
            <v>0</v>
          </cell>
          <cell r="O446">
            <v>0</v>
          </cell>
          <cell r="P446">
            <v>0</v>
          </cell>
          <cell r="Q446">
            <v>18</v>
          </cell>
        </row>
        <row r="447">
          <cell r="A447" t="str">
            <v>USCRP015013911100010</v>
          </cell>
          <cell r="B447" t="str">
            <v>USCRP01501</v>
          </cell>
          <cell r="C447">
            <v>3911100010</v>
          </cell>
          <cell r="D447" t="str">
            <v>TRAVEL EXPENSES PERMANENTS / MEALS</v>
          </cell>
          <cell r="E447">
            <v>0</v>
          </cell>
          <cell r="F447">
            <v>0</v>
          </cell>
          <cell r="G447">
            <v>12</v>
          </cell>
          <cell r="H447">
            <v>0</v>
          </cell>
          <cell r="I447">
            <v>0</v>
          </cell>
          <cell r="J447">
            <v>0</v>
          </cell>
          <cell r="K447">
            <v>0</v>
          </cell>
          <cell r="L447">
            <v>0</v>
          </cell>
          <cell r="M447">
            <v>0</v>
          </cell>
          <cell r="N447">
            <v>0</v>
          </cell>
          <cell r="O447">
            <v>0</v>
          </cell>
          <cell r="P447">
            <v>0</v>
          </cell>
          <cell r="Q447">
            <v>12</v>
          </cell>
        </row>
        <row r="448">
          <cell r="A448" t="str">
            <v>USWOP015013911100010</v>
          </cell>
          <cell r="B448" t="str">
            <v>USWOP01501</v>
          </cell>
          <cell r="C448">
            <v>3911100010</v>
          </cell>
          <cell r="D448" t="str">
            <v>TRAVEL EXPENSES PERMANENTS / MEALS</v>
          </cell>
          <cell r="E448">
            <v>6</v>
          </cell>
          <cell r="F448">
            <v>104</v>
          </cell>
          <cell r="G448">
            <v>561</v>
          </cell>
          <cell r="H448">
            <v>0</v>
          </cell>
          <cell r="I448">
            <v>0</v>
          </cell>
          <cell r="J448">
            <v>0</v>
          </cell>
          <cell r="K448">
            <v>0</v>
          </cell>
          <cell r="L448">
            <v>0</v>
          </cell>
          <cell r="M448">
            <v>0</v>
          </cell>
          <cell r="N448">
            <v>0</v>
          </cell>
          <cell r="O448">
            <v>0</v>
          </cell>
          <cell r="P448">
            <v>0</v>
          </cell>
          <cell r="Q448">
            <v>671</v>
          </cell>
        </row>
        <row r="449">
          <cell r="A449" t="str">
            <v>US22MZA1503911100012</v>
          </cell>
          <cell r="B449" t="str">
            <v>US22MZA150</v>
          </cell>
          <cell r="C449">
            <v>3911100012</v>
          </cell>
          <cell r="D449" t="str">
            <v>TRAVEL EXPENSES PERMANENTS / HOTELS</v>
          </cell>
          <cell r="E449">
            <v>694</v>
          </cell>
          <cell r="F449">
            <v>552</v>
          </cell>
          <cell r="G449">
            <v>632</v>
          </cell>
          <cell r="H449">
            <v>0</v>
          </cell>
          <cell r="I449">
            <v>0</v>
          </cell>
          <cell r="J449">
            <v>0</v>
          </cell>
          <cell r="K449">
            <v>0</v>
          </cell>
          <cell r="L449">
            <v>0</v>
          </cell>
          <cell r="M449">
            <v>0</v>
          </cell>
          <cell r="N449">
            <v>0</v>
          </cell>
          <cell r="O449">
            <v>0</v>
          </cell>
          <cell r="P449">
            <v>0</v>
          </cell>
          <cell r="Q449">
            <v>1878</v>
          </cell>
        </row>
        <row r="450">
          <cell r="A450" t="str">
            <v>US22P015013911100012</v>
          </cell>
          <cell r="B450" t="str">
            <v>US22P01501</v>
          </cell>
          <cell r="C450">
            <v>3911100012</v>
          </cell>
          <cell r="D450" t="str">
            <v>TRAVEL EXPENSES PERMANENTS / HOTELS</v>
          </cell>
          <cell r="E450">
            <v>0</v>
          </cell>
          <cell r="F450">
            <v>3190</v>
          </cell>
          <cell r="G450">
            <v>773</v>
          </cell>
          <cell r="H450">
            <v>0</v>
          </cell>
          <cell r="I450">
            <v>0</v>
          </cell>
          <cell r="J450">
            <v>0</v>
          </cell>
          <cell r="K450">
            <v>0</v>
          </cell>
          <cell r="L450">
            <v>0</v>
          </cell>
          <cell r="M450">
            <v>0</v>
          </cell>
          <cell r="N450">
            <v>0</v>
          </cell>
          <cell r="O450">
            <v>0</v>
          </cell>
          <cell r="P450">
            <v>0</v>
          </cell>
          <cell r="Q450">
            <v>3963</v>
          </cell>
        </row>
        <row r="451">
          <cell r="A451" t="str">
            <v>US22P015503911100012</v>
          </cell>
          <cell r="B451" t="str">
            <v>US22P01550</v>
          </cell>
          <cell r="C451">
            <v>3911100012</v>
          </cell>
          <cell r="D451" t="str">
            <v>TRAVEL EXPENSES PERMANENTS / HOTELS</v>
          </cell>
          <cell r="E451">
            <v>0</v>
          </cell>
          <cell r="F451">
            <v>0</v>
          </cell>
          <cell r="G451">
            <v>0</v>
          </cell>
          <cell r="H451">
            <v>0</v>
          </cell>
          <cell r="I451">
            <v>0</v>
          </cell>
          <cell r="J451">
            <v>0</v>
          </cell>
          <cell r="K451">
            <v>0</v>
          </cell>
          <cell r="L451">
            <v>0</v>
          </cell>
          <cell r="M451">
            <v>0</v>
          </cell>
          <cell r="N451">
            <v>0</v>
          </cell>
          <cell r="O451">
            <v>0</v>
          </cell>
          <cell r="P451">
            <v>0</v>
          </cell>
          <cell r="Q451">
            <v>0</v>
          </cell>
        </row>
        <row r="452">
          <cell r="A452" t="str">
            <v>US28MZA1503911100012</v>
          </cell>
          <cell r="B452" t="str">
            <v>US28MZA150</v>
          </cell>
          <cell r="C452">
            <v>3911100012</v>
          </cell>
          <cell r="D452" t="str">
            <v>TRAVEL EXPENSES PERMANENTS / HOTELS</v>
          </cell>
          <cell r="E452">
            <v>0</v>
          </cell>
          <cell r="F452">
            <v>0</v>
          </cell>
          <cell r="G452">
            <v>128</v>
          </cell>
          <cell r="H452">
            <v>0</v>
          </cell>
          <cell r="I452">
            <v>0</v>
          </cell>
          <cell r="J452">
            <v>0</v>
          </cell>
          <cell r="K452">
            <v>0</v>
          </cell>
          <cell r="L452">
            <v>0</v>
          </cell>
          <cell r="M452">
            <v>0</v>
          </cell>
          <cell r="N452">
            <v>0</v>
          </cell>
          <cell r="O452">
            <v>0</v>
          </cell>
          <cell r="P452">
            <v>0</v>
          </cell>
          <cell r="Q452">
            <v>128</v>
          </cell>
        </row>
        <row r="453">
          <cell r="A453" t="str">
            <v>US28P015013911100012</v>
          </cell>
          <cell r="B453" t="str">
            <v>US28P01501</v>
          </cell>
          <cell r="C453">
            <v>3911100012</v>
          </cell>
          <cell r="D453" t="str">
            <v>TRAVEL EXPENSES PERMANENTS / HOTELS</v>
          </cell>
          <cell r="E453">
            <v>108</v>
          </cell>
          <cell r="F453">
            <v>526</v>
          </cell>
          <cell r="G453">
            <v>1672</v>
          </cell>
          <cell r="H453">
            <v>0</v>
          </cell>
          <cell r="I453">
            <v>0</v>
          </cell>
          <cell r="J453">
            <v>0</v>
          </cell>
          <cell r="K453">
            <v>0</v>
          </cell>
          <cell r="L453">
            <v>0</v>
          </cell>
          <cell r="M453">
            <v>0</v>
          </cell>
          <cell r="N453">
            <v>0</v>
          </cell>
          <cell r="O453">
            <v>0</v>
          </cell>
          <cell r="P453">
            <v>0</v>
          </cell>
          <cell r="Q453">
            <v>2306</v>
          </cell>
        </row>
        <row r="454">
          <cell r="A454" t="str">
            <v>US35MZA1503911100012</v>
          </cell>
          <cell r="B454" t="str">
            <v>US35MZA150</v>
          </cell>
          <cell r="C454">
            <v>3911100012</v>
          </cell>
          <cell r="D454" t="str">
            <v>TRAVEL EXPENSES PERMANENTS / HOTELS</v>
          </cell>
          <cell r="E454">
            <v>0</v>
          </cell>
          <cell r="F454">
            <v>2197</v>
          </cell>
          <cell r="G454">
            <v>0</v>
          </cell>
          <cell r="H454">
            <v>0</v>
          </cell>
          <cell r="I454">
            <v>0</v>
          </cell>
          <cell r="J454">
            <v>0</v>
          </cell>
          <cell r="K454">
            <v>0</v>
          </cell>
          <cell r="L454">
            <v>0</v>
          </cell>
          <cell r="M454">
            <v>0</v>
          </cell>
          <cell r="N454">
            <v>0</v>
          </cell>
          <cell r="O454">
            <v>0</v>
          </cell>
          <cell r="P454">
            <v>0</v>
          </cell>
          <cell r="Q454">
            <v>2197</v>
          </cell>
        </row>
        <row r="455">
          <cell r="A455" t="str">
            <v>US35P015013911100012</v>
          </cell>
          <cell r="B455" t="str">
            <v>US35P01501</v>
          </cell>
          <cell r="C455">
            <v>3911100012</v>
          </cell>
          <cell r="D455" t="str">
            <v>TRAVEL EXPENSES PERMANENTS / HOTELS</v>
          </cell>
          <cell r="E455">
            <v>263</v>
          </cell>
          <cell r="F455">
            <v>421</v>
          </cell>
          <cell r="G455">
            <v>414</v>
          </cell>
          <cell r="H455">
            <v>0</v>
          </cell>
          <cell r="I455">
            <v>0</v>
          </cell>
          <cell r="J455">
            <v>0</v>
          </cell>
          <cell r="K455">
            <v>0</v>
          </cell>
          <cell r="L455">
            <v>0</v>
          </cell>
          <cell r="M455">
            <v>0</v>
          </cell>
          <cell r="N455">
            <v>0</v>
          </cell>
          <cell r="O455">
            <v>0</v>
          </cell>
          <cell r="P455">
            <v>0</v>
          </cell>
          <cell r="Q455">
            <v>1098</v>
          </cell>
        </row>
        <row r="456">
          <cell r="A456" t="str">
            <v>US35P015503911100012</v>
          </cell>
          <cell r="B456" t="str">
            <v>US35P01550</v>
          </cell>
          <cell r="C456">
            <v>3911100012</v>
          </cell>
          <cell r="D456" t="str">
            <v>TRAVEL EXPENSES PERMANENTS / HOTELS</v>
          </cell>
          <cell r="E456">
            <v>0</v>
          </cell>
          <cell r="F456">
            <v>226</v>
          </cell>
          <cell r="G456">
            <v>585</v>
          </cell>
          <cell r="H456">
            <v>0</v>
          </cell>
          <cell r="I456">
            <v>0</v>
          </cell>
          <cell r="J456">
            <v>0</v>
          </cell>
          <cell r="K456">
            <v>0</v>
          </cell>
          <cell r="L456">
            <v>0</v>
          </cell>
          <cell r="M456">
            <v>0</v>
          </cell>
          <cell r="N456">
            <v>0</v>
          </cell>
          <cell r="O456">
            <v>0</v>
          </cell>
          <cell r="P456">
            <v>0</v>
          </cell>
          <cell r="Q456">
            <v>811</v>
          </cell>
        </row>
        <row r="457">
          <cell r="A457" t="str">
            <v>US35P015903911100012</v>
          </cell>
          <cell r="B457" t="str">
            <v>US35P01590</v>
          </cell>
          <cell r="C457">
            <v>3911100012</v>
          </cell>
          <cell r="D457" t="str">
            <v>TRAVEL EXPENSES PERMANENTS / HOTELS</v>
          </cell>
          <cell r="E457">
            <v>0</v>
          </cell>
          <cell r="F457">
            <v>0</v>
          </cell>
          <cell r="G457">
            <v>1054</v>
          </cell>
          <cell r="H457">
            <v>0</v>
          </cell>
          <cell r="I457">
            <v>0</v>
          </cell>
          <cell r="J457">
            <v>0</v>
          </cell>
          <cell r="K457">
            <v>0</v>
          </cell>
          <cell r="L457">
            <v>0</v>
          </cell>
          <cell r="M457">
            <v>0</v>
          </cell>
          <cell r="N457">
            <v>0</v>
          </cell>
          <cell r="O457">
            <v>0</v>
          </cell>
          <cell r="P457">
            <v>0</v>
          </cell>
          <cell r="Q457">
            <v>1054</v>
          </cell>
        </row>
        <row r="458">
          <cell r="A458" t="str">
            <v>US59MZA1503911100012</v>
          </cell>
          <cell r="B458" t="str">
            <v>US59MZA150</v>
          </cell>
          <cell r="C458">
            <v>3911100012</v>
          </cell>
          <cell r="D458" t="str">
            <v>TRAVEL EXPENSES PERMANENTS / HOTELS</v>
          </cell>
          <cell r="E458">
            <v>0</v>
          </cell>
          <cell r="F458">
            <v>0</v>
          </cell>
          <cell r="G458">
            <v>56</v>
          </cell>
          <cell r="H458">
            <v>0</v>
          </cell>
          <cell r="I458">
            <v>0</v>
          </cell>
          <cell r="J458">
            <v>0</v>
          </cell>
          <cell r="K458">
            <v>0</v>
          </cell>
          <cell r="L458">
            <v>0</v>
          </cell>
          <cell r="M458">
            <v>0</v>
          </cell>
          <cell r="N458">
            <v>0</v>
          </cell>
          <cell r="O458">
            <v>0</v>
          </cell>
          <cell r="P458">
            <v>0</v>
          </cell>
          <cell r="Q458">
            <v>56</v>
          </cell>
        </row>
        <row r="459">
          <cell r="A459" t="str">
            <v>US59P015013911100012</v>
          </cell>
          <cell r="B459" t="str">
            <v>US59P01501</v>
          </cell>
          <cell r="C459">
            <v>3911100012</v>
          </cell>
          <cell r="D459" t="str">
            <v>TRAVEL EXPENSES PERMANENTS / HOTELS</v>
          </cell>
          <cell r="E459">
            <v>0</v>
          </cell>
          <cell r="F459">
            <v>1004</v>
          </cell>
          <cell r="G459">
            <v>322</v>
          </cell>
          <cell r="H459">
            <v>0</v>
          </cell>
          <cell r="I459">
            <v>0</v>
          </cell>
          <cell r="J459">
            <v>0</v>
          </cell>
          <cell r="K459">
            <v>0</v>
          </cell>
          <cell r="L459">
            <v>0</v>
          </cell>
          <cell r="M459">
            <v>0</v>
          </cell>
          <cell r="N459">
            <v>0</v>
          </cell>
          <cell r="O459">
            <v>0</v>
          </cell>
          <cell r="P459">
            <v>0</v>
          </cell>
          <cell r="Q459">
            <v>1326</v>
          </cell>
        </row>
        <row r="460">
          <cell r="A460" t="str">
            <v>US59P3C5013911100012</v>
          </cell>
          <cell r="B460" t="str">
            <v>US59P3C501</v>
          </cell>
          <cell r="C460">
            <v>3911100012</v>
          </cell>
          <cell r="D460" t="str">
            <v>TRAVEL EXPENSES PERMANENTS / HOTELS</v>
          </cell>
          <cell r="E460">
            <v>0</v>
          </cell>
          <cell r="F460">
            <v>182</v>
          </cell>
          <cell r="G460">
            <v>0</v>
          </cell>
          <cell r="H460">
            <v>0</v>
          </cell>
          <cell r="I460">
            <v>0</v>
          </cell>
          <cell r="J460">
            <v>0</v>
          </cell>
          <cell r="K460">
            <v>0</v>
          </cell>
          <cell r="L460">
            <v>0</v>
          </cell>
          <cell r="M460">
            <v>0</v>
          </cell>
          <cell r="N460">
            <v>0</v>
          </cell>
          <cell r="O460">
            <v>0</v>
          </cell>
          <cell r="P460">
            <v>0</v>
          </cell>
          <cell r="Q460">
            <v>182</v>
          </cell>
        </row>
        <row r="461">
          <cell r="A461" t="str">
            <v>US59P3C5503911100012</v>
          </cell>
          <cell r="B461" t="str">
            <v>US59P3C550</v>
          </cell>
          <cell r="C461">
            <v>3911100012</v>
          </cell>
          <cell r="D461" t="str">
            <v>TRAVEL EXPENSES PERMANENTS / HOTELS</v>
          </cell>
          <cell r="E461">
            <v>0</v>
          </cell>
          <cell r="F461">
            <v>0</v>
          </cell>
          <cell r="G461">
            <v>707</v>
          </cell>
          <cell r="H461">
            <v>0</v>
          </cell>
          <cell r="I461">
            <v>0</v>
          </cell>
          <cell r="J461">
            <v>0</v>
          </cell>
          <cell r="K461">
            <v>0</v>
          </cell>
          <cell r="L461">
            <v>0</v>
          </cell>
          <cell r="M461">
            <v>0</v>
          </cell>
          <cell r="N461">
            <v>0</v>
          </cell>
          <cell r="O461">
            <v>0</v>
          </cell>
          <cell r="P461">
            <v>0</v>
          </cell>
          <cell r="Q461">
            <v>707</v>
          </cell>
        </row>
        <row r="462">
          <cell r="A462" t="str">
            <v>USCRP015013911100012</v>
          </cell>
          <cell r="B462" t="str">
            <v>USCRP01501</v>
          </cell>
          <cell r="C462">
            <v>3911100012</v>
          </cell>
          <cell r="D462" t="str">
            <v>TRAVEL EXPENSES PERMANENTS / HOTELS</v>
          </cell>
          <cell r="E462">
            <v>0</v>
          </cell>
          <cell r="F462">
            <v>0</v>
          </cell>
          <cell r="G462">
            <v>836</v>
          </cell>
          <cell r="H462">
            <v>0</v>
          </cell>
          <cell r="I462">
            <v>0</v>
          </cell>
          <cell r="J462">
            <v>0</v>
          </cell>
          <cell r="K462">
            <v>0</v>
          </cell>
          <cell r="L462">
            <v>0</v>
          </cell>
          <cell r="M462">
            <v>0</v>
          </cell>
          <cell r="N462">
            <v>0</v>
          </cell>
          <cell r="O462">
            <v>0</v>
          </cell>
          <cell r="P462">
            <v>0</v>
          </cell>
          <cell r="Q462">
            <v>836</v>
          </cell>
        </row>
        <row r="463">
          <cell r="A463" t="str">
            <v>USWOP015013911100012</v>
          </cell>
          <cell r="B463" t="str">
            <v>USWOP01501</v>
          </cell>
          <cell r="C463">
            <v>3911100012</v>
          </cell>
          <cell r="D463" t="str">
            <v>TRAVEL EXPENSES PERMANENTS / HOTELS</v>
          </cell>
          <cell r="E463">
            <v>479</v>
          </cell>
          <cell r="F463">
            <v>287</v>
          </cell>
          <cell r="G463">
            <v>1973</v>
          </cell>
          <cell r="H463">
            <v>0</v>
          </cell>
          <cell r="I463">
            <v>0</v>
          </cell>
          <cell r="J463">
            <v>0</v>
          </cell>
          <cell r="K463">
            <v>0</v>
          </cell>
          <cell r="L463">
            <v>0</v>
          </cell>
          <cell r="M463">
            <v>0</v>
          </cell>
          <cell r="N463">
            <v>0</v>
          </cell>
          <cell r="O463">
            <v>0</v>
          </cell>
          <cell r="P463">
            <v>0</v>
          </cell>
          <cell r="Q463">
            <v>2739</v>
          </cell>
        </row>
        <row r="464">
          <cell r="A464" t="str">
            <v>US22P015013911100015</v>
          </cell>
          <cell r="B464" t="str">
            <v>US22P01501</v>
          </cell>
          <cell r="C464">
            <v>3911100015</v>
          </cell>
          <cell r="D464" t="str">
            <v>TRAVEL EXPENSES PERMANENTS / OTHER</v>
          </cell>
          <cell r="E464">
            <v>151</v>
          </cell>
          <cell r="F464">
            <v>111</v>
          </cell>
          <cell r="G464">
            <v>91</v>
          </cell>
          <cell r="H464">
            <v>0</v>
          </cell>
          <cell r="I464">
            <v>0</v>
          </cell>
          <cell r="J464">
            <v>0</v>
          </cell>
          <cell r="K464">
            <v>0</v>
          </cell>
          <cell r="L464">
            <v>0</v>
          </cell>
          <cell r="M464">
            <v>0</v>
          </cell>
          <cell r="N464">
            <v>0</v>
          </cell>
          <cell r="O464">
            <v>0</v>
          </cell>
          <cell r="P464">
            <v>0</v>
          </cell>
          <cell r="Q464">
            <v>353</v>
          </cell>
        </row>
        <row r="465">
          <cell r="A465" t="str">
            <v>US22P015503911100015</v>
          </cell>
          <cell r="B465" t="str">
            <v>US22P01550</v>
          </cell>
          <cell r="C465">
            <v>3911100015</v>
          </cell>
          <cell r="D465" t="str">
            <v>TRAVEL EXPENSES PERMANENTS / OTHER</v>
          </cell>
          <cell r="E465">
            <v>8</v>
          </cell>
          <cell r="F465">
            <v>18</v>
          </cell>
          <cell r="G465">
            <v>0</v>
          </cell>
          <cell r="H465">
            <v>0</v>
          </cell>
          <cell r="I465">
            <v>0</v>
          </cell>
          <cell r="J465">
            <v>0</v>
          </cell>
          <cell r="K465">
            <v>0</v>
          </cell>
          <cell r="L465">
            <v>0</v>
          </cell>
          <cell r="M465">
            <v>0</v>
          </cell>
          <cell r="N465">
            <v>0</v>
          </cell>
          <cell r="O465">
            <v>0</v>
          </cell>
          <cell r="P465">
            <v>0</v>
          </cell>
          <cell r="Q465">
            <v>26</v>
          </cell>
        </row>
        <row r="466">
          <cell r="A466" t="str">
            <v>US28MZA1503911100015</v>
          </cell>
          <cell r="B466" t="str">
            <v>US28MZA150</v>
          </cell>
          <cell r="C466">
            <v>3911100015</v>
          </cell>
          <cell r="D466" t="str">
            <v>TRAVEL EXPENSES PERMANENTS / OTHER</v>
          </cell>
          <cell r="E466">
            <v>0</v>
          </cell>
          <cell r="F466">
            <v>0</v>
          </cell>
          <cell r="G466">
            <v>4</v>
          </cell>
          <cell r="H466">
            <v>0</v>
          </cell>
          <cell r="I466">
            <v>0</v>
          </cell>
          <cell r="J466">
            <v>0</v>
          </cell>
          <cell r="K466">
            <v>0</v>
          </cell>
          <cell r="L466">
            <v>0</v>
          </cell>
          <cell r="M466">
            <v>0</v>
          </cell>
          <cell r="N466">
            <v>0</v>
          </cell>
          <cell r="O466">
            <v>0</v>
          </cell>
          <cell r="P466">
            <v>0</v>
          </cell>
          <cell r="Q466">
            <v>4</v>
          </cell>
        </row>
        <row r="467">
          <cell r="A467" t="str">
            <v>US28P015013911100015</v>
          </cell>
          <cell r="B467" t="str">
            <v>US28P01501</v>
          </cell>
          <cell r="C467">
            <v>3911100015</v>
          </cell>
          <cell r="D467" t="str">
            <v>TRAVEL EXPENSES PERMANENTS / OTHER</v>
          </cell>
          <cell r="E467">
            <v>0</v>
          </cell>
          <cell r="F467">
            <v>0</v>
          </cell>
          <cell r="G467">
            <v>54</v>
          </cell>
          <cell r="H467">
            <v>0</v>
          </cell>
          <cell r="I467">
            <v>0</v>
          </cell>
          <cell r="J467">
            <v>0</v>
          </cell>
          <cell r="K467">
            <v>0</v>
          </cell>
          <cell r="L467">
            <v>0</v>
          </cell>
          <cell r="M467">
            <v>0</v>
          </cell>
          <cell r="N467">
            <v>0</v>
          </cell>
          <cell r="O467">
            <v>0</v>
          </cell>
          <cell r="P467">
            <v>0</v>
          </cell>
          <cell r="Q467">
            <v>54</v>
          </cell>
        </row>
        <row r="468">
          <cell r="A468" t="str">
            <v>US35MZA1503911100015</v>
          </cell>
          <cell r="B468" t="str">
            <v>US35MZA150</v>
          </cell>
          <cell r="C468">
            <v>3911100015</v>
          </cell>
          <cell r="D468" t="str">
            <v>TRAVEL EXPENSES PERMANENTS / OTHER</v>
          </cell>
          <cell r="E468">
            <v>558</v>
          </cell>
          <cell r="F468">
            <v>334</v>
          </cell>
          <cell r="G468">
            <v>362</v>
          </cell>
          <cell r="H468">
            <v>0</v>
          </cell>
          <cell r="I468">
            <v>0</v>
          </cell>
          <cell r="J468">
            <v>0</v>
          </cell>
          <cell r="K468">
            <v>0</v>
          </cell>
          <cell r="L468">
            <v>0</v>
          </cell>
          <cell r="M468">
            <v>0</v>
          </cell>
          <cell r="N468">
            <v>0</v>
          </cell>
          <cell r="O468">
            <v>0</v>
          </cell>
          <cell r="P468">
            <v>0</v>
          </cell>
          <cell r="Q468">
            <v>1254</v>
          </cell>
        </row>
        <row r="469">
          <cell r="A469" t="str">
            <v>US35P015013911100015</v>
          </cell>
          <cell r="B469" t="str">
            <v>US35P01501</v>
          </cell>
          <cell r="C469">
            <v>3911100015</v>
          </cell>
          <cell r="D469" t="str">
            <v>TRAVEL EXPENSES PERMANENTS / OTHER</v>
          </cell>
          <cell r="E469">
            <v>0</v>
          </cell>
          <cell r="F469">
            <v>21</v>
          </cell>
          <cell r="G469">
            <v>0</v>
          </cell>
          <cell r="H469">
            <v>0</v>
          </cell>
          <cell r="I469">
            <v>0</v>
          </cell>
          <cell r="J469">
            <v>0</v>
          </cell>
          <cell r="K469">
            <v>0</v>
          </cell>
          <cell r="L469">
            <v>0</v>
          </cell>
          <cell r="M469">
            <v>0</v>
          </cell>
          <cell r="N469">
            <v>0</v>
          </cell>
          <cell r="O469">
            <v>0</v>
          </cell>
          <cell r="P469">
            <v>0</v>
          </cell>
          <cell r="Q469">
            <v>21</v>
          </cell>
        </row>
        <row r="470">
          <cell r="A470" t="str">
            <v>US35P015503911100015</v>
          </cell>
          <cell r="B470" t="str">
            <v>US35P01550</v>
          </cell>
          <cell r="C470">
            <v>3911100015</v>
          </cell>
          <cell r="D470" t="str">
            <v>TRAVEL EXPENSES PERMANENTS / OTHER</v>
          </cell>
          <cell r="E470">
            <v>80</v>
          </cell>
          <cell r="F470">
            <v>0</v>
          </cell>
          <cell r="G470">
            <v>233</v>
          </cell>
          <cell r="H470">
            <v>0</v>
          </cell>
          <cell r="I470">
            <v>0</v>
          </cell>
          <cell r="J470">
            <v>0</v>
          </cell>
          <cell r="K470">
            <v>0</v>
          </cell>
          <cell r="L470">
            <v>0</v>
          </cell>
          <cell r="M470">
            <v>0</v>
          </cell>
          <cell r="N470">
            <v>0</v>
          </cell>
          <cell r="O470">
            <v>0</v>
          </cell>
          <cell r="P470">
            <v>0</v>
          </cell>
          <cell r="Q470">
            <v>313</v>
          </cell>
        </row>
        <row r="471">
          <cell r="A471" t="str">
            <v>US35P015603911100015</v>
          </cell>
          <cell r="B471" t="str">
            <v>US35P01560</v>
          </cell>
          <cell r="C471">
            <v>3911100015</v>
          </cell>
          <cell r="D471" t="str">
            <v>TRAVEL EXPENSES PERMANENTS / OTHER</v>
          </cell>
          <cell r="E471">
            <v>158</v>
          </cell>
          <cell r="F471">
            <v>74</v>
          </cell>
          <cell r="G471">
            <v>0</v>
          </cell>
          <cell r="H471">
            <v>0</v>
          </cell>
          <cell r="I471">
            <v>0</v>
          </cell>
          <cell r="J471">
            <v>0</v>
          </cell>
          <cell r="K471">
            <v>0</v>
          </cell>
          <cell r="L471">
            <v>0</v>
          </cell>
          <cell r="M471">
            <v>0</v>
          </cell>
          <cell r="N471">
            <v>0</v>
          </cell>
          <cell r="O471">
            <v>0</v>
          </cell>
          <cell r="P471">
            <v>0</v>
          </cell>
          <cell r="Q471">
            <v>232</v>
          </cell>
        </row>
        <row r="472">
          <cell r="A472" t="str">
            <v>US35P015903911100015</v>
          </cell>
          <cell r="B472" t="str">
            <v>US35P01590</v>
          </cell>
          <cell r="C472">
            <v>3911100015</v>
          </cell>
          <cell r="D472" t="str">
            <v>TRAVEL EXPENSES PERMANENTS / OTHER</v>
          </cell>
          <cell r="E472">
            <v>101</v>
          </cell>
          <cell r="F472">
            <v>28</v>
          </cell>
          <cell r="G472">
            <v>677</v>
          </cell>
          <cell r="H472">
            <v>0</v>
          </cell>
          <cell r="I472">
            <v>0</v>
          </cell>
          <cell r="J472">
            <v>0</v>
          </cell>
          <cell r="K472">
            <v>0</v>
          </cell>
          <cell r="L472">
            <v>0</v>
          </cell>
          <cell r="M472">
            <v>0</v>
          </cell>
          <cell r="N472">
            <v>0</v>
          </cell>
          <cell r="O472">
            <v>0</v>
          </cell>
          <cell r="P472">
            <v>0</v>
          </cell>
          <cell r="Q472">
            <v>806</v>
          </cell>
        </row>
        <row r="473">
          <cell r="A473" t="str">
            <v>US35P015923911100015</v>
          </cell>
          <cell r="B473" t="str">
            <v>US35P01592</v>
          </cell>
          <cell r="C473">
            <v>3911100015</v>
          </cell>
          <cell r="D473" t="str">
            <v>TRAVEL EXPENSES PERMANENTS / OTHER</v>
          </cell>
          <cell r="E473">
            <v>174</v>
          </cell>
          <cell r="F473">
            <v>0</v>
          </cell>
          <cell r="G473">
            <v>0</v>
          </cell>
          <cell r="H473">
            <v>0</v>
          </cell>
          <cell r="I473">
            <v>0</v>
          </cell>
          <cell r="J473">
            <v>0</v>
          </cell>
          <cell r="K473">
            <v>0</v>
          </cell>
          <cell r="L473">
            <v>0</v>
          </cell>
          <cell r="M473">
            <v>0</v>
          </cell>
          <cell r="N473">
            <v>0</v>
          </cell>
          <cell r="O473">
            <v>0</v>
          </cell>
          <cell r="P473">
            <v>0</v>
          </cell>
          <cell r="Q473">
            <v>174</v>
          </cell>
        </row>
        <row r="474">
          <cell r="A474" t="str">
            <v>US59P015013911100015</v>
          </cell>
          <cell r="B474" t="str">
            <v>US59P01501</v>
          </cell>
          <cell r="C474">
            <v>3911100015</v>
          </cell>
          <cell r="D474" t="str">
            <v>TRAVEL EXPENSES PERMANENTS / OTHER</v>
          </cell>
          <cell r="E474">
            <v>85</v>
          </cell>
          <cell r="F474">
            <v>115</v>
          </cell>
          <cell r="G474">
            <v>13</v>
          </cell>
          <cell r="H474">
            <v>0</v>
          </cell>
          <cell r="I474">
            <v>0</v>
          </cell>
          <cell r="J474">
            <v>0</v>
          </cell>
          <cell r="K474">
            <v>0</v>
          </cell>
          <cell r="L474">
            <v>0</v>
          </cell>
          <cell r="M474">
            <v>0</v>
          </cell>
          <cell r="N474">
            <v>0</v>
          </cell>
          <cell r="O474">
            <v>0</v>
          </cell>
          <cell r="P474">
            <v>0</v>
          </cell>
          <cell r="Q474">
            <v>213</v>
          </cell>
        </row>
        <row r="475">
          <cell r="A475" t="str">
            <v>US59P3C5013911100015</v>
          </cell>
          <cell r="B475" t="str">
            <v>US59P3C501</v>
          </cell>
          <cell r="C475">
            <v>3911100015</v>
          </cell>
          <cell r="D475" t="str">
            <v>TRAVEL EXPENSES PERMANENTS / OTHER</v>
          </cell>
          <cell r="E475">
            <v>75</v>
          </cell>
          <cell r="F475">
            <v>0</v>
          </cell>
          <cell r="G475">
            <v>0</v>
          </cell>
          <cell r="H475">
            <v>0</v>
          </cell>
          <cell r="I475">
            <v>0</v>
          </cell>
          <cell r="J475">
            <v>0</v>
          </cell>
          <cell r="K475">
            <v>0</v>
          </cell>
          <cell r="L475">
            <v>0</v>
          </cell>
          <cell r="M475">
            <v>0</v>
          </cell>
          <cell r="N475">
            <v>0</v>
          </cell>
          <cell r="O475">
            <v>0</v>
          </cell>
          <cell r="P475">
            <v>0</v>
          </cell>
          <cell r="Q475">
            <v>75</v>
          </cell>
        </row>
        <row r="476">
          <cell r="A476" t="str">
            <v>USWOP015013911100015</v>
          </cell>
          <cell r="B476" t="str">
            <v>USWOP01501</v>
          </cell>
          <cell r="C476">
            <v>3911100015</v>
          </cell>
          <cell r="D476" t="str">
            <v>TRAVEL EXPENSES PERMANENTS / OTHER</v>
          </cell>
          <cell r="E476">
            <v>0</v>
          </cell>
          <cell r="F476">
            <v>0</v>
          </cell>
          <cell r="G476">
            <v>1023</v>
          </cell>
          <cell r="H476">
            <v>0</v>
          </cell>
          <cell r="I476">
            <v>0</v>
          </cell>
          <cell r="J476">
            <v>0</v>
          </cell>
          <cell r="K476">
            <v>0</v>
          </cell>
          <cell r="L476">
            <v>0</v>
          </cell>
          <cell r="M476">
            <v>0</v>
          </cell>
          <cell r="N476">
            <v>0</v>
          </cell>
          <cell r="O476">
            <v>0</v>
          </cell>
          <cell r="P476">
            <v>0</v>
          </cell>
          <cell r="Q476">
            <v>1023</v>
          </cell>
        </row>
        <row r="477">
          <cell r="A477" t="str">
            <v>USWOP015503911100015</v>
          </cell>
          <cell r="B477" t="str">
            <v>USWOP01550</v>
          </cell>
          <cell r="C477">
            <v>3911100015</v>
          </cell>
          <cell r="D477" t="str">
            <v>TRAVEL EXPENSES PERMANENTS / OTHER</v>
          </cell>
          <cell r="E477">
            <v>0</v>
          </cell>
          <cell r="F477">
            <v>0</v>
          </cell>
          <cell r="G477">
            <v>0</v>
          </cell>
          <cell r="H477">
            <v>0</v>
          </cell>
          <cell r="I477">
            <v>0</v>
          </cell>
          <cell r="J477">
            <v>0</v>
          </cell>
          <cell r="K477">
            <v>0</v>
          </cell>
          <cell r="L477">
            <v>0</v>
          </cell>
          <cell r="M477">
            <v>0</v>
          </cell>
          <cell r="N477">
            <v>0</v>
          </cell>
          <cell r="O477">
            <v>0</v>
          </cell>
          <cell r="P477">
            <v>0</v>
          </cell>
          <cell r="Q477">
            <v>0</v>
          </cell>
        </row>
        <row r="478">
          <cell r="A478" t="str">
            <v>US28P015013911100022</v>
          </cell>
          <cell r="B478" t="str">
            <v>US28P01501</v>
          </cell>
          <cell r="C478">
            <v>3911100022</v>
          </cell>
          <cell r="D478" t="str">
            <v>TRAVEL EXPENSES - AIRFARE</v>
          </cell>
          <cell r="E478">
            <v>-386</v>
          </cell>
          <cell r="F478">
            <v>674</v>
          </cell>
          <cell r="G478">
            <v>2809</v>
          </cell>
          <cell r="H478">
            <v>0</v>
          </cell>
          <cell r="I478">
            <v>0</v>
          </cell>
          <cell r="J478">
            <v>0</v>
          </cell>
          <cell r="K478">
            <v>0</v>
          </cell>
          <cell r="L478">
            <v>0</v>
          </cell>
          <cell r="M478">
            <v>0</v>
          </cell>
          <cell r="N478">
            <v>0</v>
          </cell>
          <cell r="O478">
            <v>0</v>
          </cell>
          <cell r="P478">
            <v>0</v>
          </cell>
          <cell r="Q478">
            <v>3097</v>
          </cell>
        </row>
        <row r="479">
          <cell r="A479" t="str">
            <v>US35P015503911100022</v>
          </cell>
          <cell r="B479" t="str">
            <v>US35P01550</v>
          </cell>
          <cell r="C479">
            <v>3911100022</v>
          </cell>
          <cell r="D479" t="str">
            <v>TRAVEL EXPENSES - AIRFARE</v>
          </cell>
          <cell r="E479">
            <v>0</v>
          </cell>
          <cell r="F479">
            <v>0</v>
          </cell>
          <cell r="G479">
            <v>664</v>
          </cell>
          <cell r="H479">
            <v>0</v>
          </cell>
          <cell r="I479">
            <v>0</v>
          </cell>
          <cell r="J479">
            <v>0</v>
          </cell>
          <cell r="K479">
            <v>0</v>
          </cell>
          <cell r="L479">
            <v>0</v>
          </cell>
          <cell r="M479">
            <v>0</v>
          </cell>
          <cell r="N479">
            <v>0</v>
          </cell>
          <cell r="O479">
            <v>0</v>
          </cell>
          <cell r="P479">
            <v>0</v>
          </cell>
          <cell r="Q479">
            <v>664</v>
          </cell>
        </row>
        <row r="480">
          <cell r="A480" t="str">
            <v>US35P015903911100022</v>
          </cell>
          <cell r="B480" t="str">
            <v>US35P01590</v>
          </cell>
          <cell r="C480">
            <v>3911100022</v>
          </cell>
          <cell r="D480" t="str">
            <v>TRAVEL EXPENSES - AIRFARE</v>
          </cell>
          <cell r="E480">
            <v>0</v>
          </cell>
          <cell r="F480">
            <v>1889</v>
          </cell>
          <cell r="G480">
            <v>0</v>
          </cell>
          <cell r="H480">
            <v>0</v>
          </cell>
          <cell r="I480">
            <v>0</v>
          </cell>
          <cell r="J480">
            <v>0</v>
          </cell>
          <cell r="K480">
            <v>0</v>
          </cell>
          <cell r="L480">
            <v>0</v>
          </cell>
          <cell r="M480">
            <v>0</v>
          </cell>
          <cell r="N480">
            <v>0</v>
          </cell>
          <cell r="O480">
            <v>0</v>
          </cell>
          <cell r="P480">
            <v>0</v>
          </cell>
          <cell r="Q480">
            <v>1889</v>
          </cell>
        </row>
        <row r="481">
          <cell r="A481" t="str">
            <v>US59MZA1503911100022</v>
          </cell>
          <cell r="B481" t="str">
            <v>US59MZA150</v>
          </cell>
          <cell r="C481">
            <v>3911100022</v>
          </cell>
          <cell r="D481" t="str">
            <v>TRAVEL EXPENSES - AIRFARE</v>
          </cell>
          <cell r="E481">
            <v>423</v>
          </cell>
          <cell r="F481">
            <v>0</v>
          </cell>
          <cell r="G481">
            <v>0</v>
          </cell>
          <cell r="H481">
            <v>0</v>
          </cell>
          <cell r="I481">
            <v>0</v>
          </cell>
          <cell r="J481">
            <v>0</v>
          </cell>
          <cell r="K481">
            <v>0</v>
          </cell>
          <cell r="L481">
            <v>0</v>
          </cell>
          <cell r="M481">
            <v>0</v>
          </cell>
          <cell r="N481">
            <v>0</v>
          </cell>
          <cell r="O481">
            <v>0</v>
          </cell>
          <cell r="P481">
            <v>0</v>
          </cell>
          <cell r="Q481">
            <v>423</v>
          </cell>
        </row>
        <row r="482">
          <cell r="A482" t="str">
            <v>US59P015013911100022</v>
          </cell>
          <cell r="B482" t="str">
            <v>US59P01501</v>
          </cell>
          <cell r="C482">
            <v>3911100022</v>
          </cell>
          <cell r="D482" t="str">
            <v>TRAVEL EXPENSES - AIRFARE</v>
          </cell>
          <cell r="E482">
            <v>0</v>
          </cell>
          <cell r="F482">
            <v>938</v>
          </cell>
          <cell r="G482">
            <v>791</v>
          </cell>
          <cell r="H482">
            <v>0</v>
          </cell>
          <cell r="I482">
            <v>0</v>
          </cell>
          <cell r="J482">
            <v>0</v>
          </cell>
          <cell r="K482">
            <v>0</v>
          </cell>
          <cell r="L482">
            <v>0</v>
          </cell>
          <cell r="M482">
            <v>0</v>
          </cell>
          <cell r="N482">
            <v>0</v>
          </cell>
          <cell r="O482">
            <v>0</v>
          </cell>
          <cell r="P482">
            <v>0</v>
          </cell>
          <cell r="Q482">
            <v>1729</v>
          </cell>
        </row>
        <row r="483">
          <cell r="A483" t="str">
            <v>US22MZA1503911100041</v>
          </cell>
          <cell r="B483" t="str">
            <v>US22MZA150</v>
          </cell>
          <cell r="C483">
            <v>3911100041</v>
          </cell>
          <cell r="D483" t="str">
            <v>TRAVEL EXPENSES - ENTERTAINMENT</v>
          </cell>
          <cell r="E483">
            <v>266</v>
          </cell>
          <cell r="F483">
            <v>0</v>
          </cell>
          <cell r="G483">
            <v>0</v>
          </cell>
          <cell r="H483">
            <v>0</v>
          </cell>
          <cell r="I483">
            <v>0</v>
          </cell>
          <cell r="J483">
            <v>0</v>
          </cell>
          <cell r="K483">
            <v>0</v>
          </cell>
          <cell r="L483">
            <v>0</v>
          </cell>
          <cell r="M483">
            <v>0</v>
          </cell>
          <cell r="N483">
            <v>0</v>
          </cell>
          <cell r="O483">
            <v>0</v>
          </cell>
          <cell r="P483">
            <v>0</v>
          </cell>
          <cell r="Q483">
            <v>266</v>
          </cell>
        </row>
        <row r="484">
          <cell r="A484" t="str">
            <v>US22P015013911100041</v>
          </cell>
          <cell r="B484" t="str">
            <v>US22P01501</v>
          </cell>
          <cell r="C484">
            <v>3911100041</v>
          </cell>
          <cell r="D484" t="str">
            <v>TRAVEL EXPENSES - ENTERTAINMENT</v>
          </cell>
          <cell r="E484">
            <v>268</v>
          </cell>
          <cell r="F484">
            <v>863</v>
          </cell>
          <cell r="G484">
            <v>7793</v>
          </cell>
          <cell r="H484">
            <v>0</v>
          </cell>
          <cell r="I484">
            <v>0</v>
          </cell>
          <cell r="J484">
            <v>0</v>
          </cell>
          <cell r="K484">
            <v>0</v>
          </cell>
          <cell r="L484">
            <v>0</v>
          </cell>
          <cell r="M484">
            <v>0</v>
          </cell>
          <cell r="N484">
            <v>0</v>
          </cell>
          <cell r="O484">
            <v>0</v>
          </cell>
          <cell r="P484">
            <v>0</v>
          </cell>
          <cell r="Q484">
            <v>8924</v>
          </cell>
        </row>
        <row r="485">
          <cell r="A485" t="str">
            <v>US22P015503911100041</v>
          </cell>
          <cell r="B485" t="str">
            <v>US22P01550</v>
          </cell>
          <cell r="C485">
            <v>3911100041</v>
          </cell>
          <cell r="D485" t="str">
            <v>TRAVEL EXPENSES - ENTERTAINMENT</v>
          </cell>
          <cell r="E485">
            <v>51</v>
          </cell>
          <cell r="F485">
            <v>132</v>
          </cell>
          <cell r="G485">
            <v>11</v>
          </cell>
          <cell r="H485">
            <v>0</v>
          </cell>
          <cell r="I485">
            <v>0</v>
          </cell>
          <cell r="J485">
            <v>0</v>
          </cell>
          <cell r="K485">
            <v>0</v>
          </cell>
          <cell r="L485">
            <v>0</v>
          </cell>
          <cell r="M485">
            <v>0</v>
          </cell>
          <cell r="N485">
            <v>0</v>
          </cell>
          <cell r="O485">
            <v>0</v>
          </cell>
          <cell r="P485">
            <v>0</v>
          </cell>
          <cell r="Q485">
            <v>194</v>
          </cell>
        </row>
        <row r="486">
          <cell r="A486" t="str">
            <v>US22P015753911100041</v>
          </cell>
          <cell r="B486" t="str">
            <v>US22P01575</v>
          </cell>
          <cell r="C486">
            <v>3911100041</v>
          </cell>
          <cell r="D486" t="str">
            <v>TRAVEL EXPENSES - ENTERTAINMENT</v>
          </cell>
          <cell r="E486">
            <v>0</v>
          </cell>
          <cell r="F486">
            <v>0</v>
          </cell>
          <cell r="G486">
            <v>30</v>
          </cell>
          <cell r="H486">
            <v>0</v>
          </cell>
          <cell r="I486">
            <v>0</v>
          </cell>
          <cell r="J486">
            <v>0</v>
          </cell>
          <cell r="K486">
            <v>0</v>
          </cell>
          <cell r="L486">
            <v>0</v>
          </cell>
          <cell r="M486">
            <v>0</v>
          </cell>
          <cell r="N486">
            <v>0</v>
          </cell>
          <cell r="O486">
            <v>0</v>
          </cell>
          <cell r="P486">
            <v>0</v>
          </cell>
          <cell r="Q486">
            <v>30</v>
          </cell>
        </row>
        <row r="487">
          <cell r="A487" t="str">
            <v>US28P015013911100041</v>
          </cell>
          <cell r="B487" t="str">
            <v>US28P01501</v>
          </cell>
          <cell r="C487">
            <v>3911100041</v>
          </cell>
          <cell r="D487" t="str">
            <v>TRAVEL EXPENSES - ENTERTAINMENT</v>
          </cell>
          <cell r="E487">
            <v>146</v>
          </cell>
          <cell r="F487">
            <v>15</v>
          </cell>
          <cell r="G487">
            <v>23</v>
          </cell>
          <cell r="H487">
            <v>0</v>
          </cell>
          <cell r="I487">
            <v>0</v>
          </cell>
          <cell r="J487">
            <v>0</v>
          </cell>
          <cell r="K487">
            <v>0</v>
          </cell>
          <cell r="L487">
            <v>0</v>
          </cell>
          <cell r="M487">
            <v>0</v>
          </cell>
          <cell r="N487">
            <v>0</v>
          </cell>
          <cell r="O487">
            <v>0</v>
          </cell>
          <cell r="P487">
            <v>0</v>
          </cell>
          <cell r="Q487">
            <v>184</v>
          </cell>
        </row>
        <row r="488">
          <cell r="A488" t="str">
            <v>US35MZA1503911100041</v>
          </cell>
          <cell r="B488" t="str">
            <v>US35MZA150</v>
          </cell>
          <cell r="C488">
            <v>3911100041</v>
          </cell>
          <cell r="D488" t="str">
            <v>TRAVEL EXPENSES - ENTERTAINMENT</v>
          </cell>
          <cell r="E488">
            <v>3287</v>
          </cell>
          <cell r="F488">
            <v>0</v>
          </cell>
          <cell r="G488">
            <v>0</v>
          </cell>
          <cell r="H488">
            <v>0</v>
          </cell>
          <cell r="I488">
            <v>0</v>
          </cell>
          <cell r="J488">
            <v>0</v>
          </cell>
          <cell r="K488">
            <v>0</v>
          </cell>
          <cell r="L488">
            <v>0</v>
          </cell>
          <cell r="M488">
            <v>0</v>
          </cell>
          <cell r="N488">
            <v>0</v>
          </cell>
          <cell r="O488">
            <v>0</v>
          </cell>
          <cell r="P488">
            <v>0</v>
          </cell>
          <cell r="Q488">
            <v>3287</v>
          </cell>
        </row>
        <row r="489">
          <cell r="A489" t="str">
            <v>US35P015013911100041</v>
          </cell>
          <cell r="B489" t="str">
            <v>US35P01501</v>
          </cell>
          <cell r="C489">
            <v>3911100041</v>
          </cell>
          <cell r="D489" t="str">
            <v>TRAVEL EXPENSES - ENTERTAINMENT</v>
          </cell>
          <cell r="E489">
            <v>190</v>
          </cell>
          <cell r="F489">
            <v>87</v>
          </cell>
          <cell r="G489">
            <v>177</v>
          </cell>
          <cell r="H489">
            <v>0</v>
          </cell>
          <cell r="I489">
            <v>0</v>
          </cell>
          <cell r="J489">
            <v>0</v>
          </cell>
          <cell r="K489">
            <v>0</v>
          </cell>
          <cell r="L489">
            <v>0</v>
          </cell>
          <cell r="M489">
            <v>0</v>
          </cell>
          <cell r="N489">
            <v>0</v>
          </cell>
          <cell r="O489">
            <v>0</v>
          </cell>
          <cell r="P489">
            <v>0</v>
          </cell>
          <cell r="Q489">
            <v>454</v>
          </cell>
        </row>
        <row r="490">
          <cell r="A490" t="str">
            <v>US35P015503911100041</v>
          </cell>
          <cell r="B490" t="str">
            <v>US35P01550</v>
          </cell>
          <cell r="C490">
            <v>3911100041</v>
          </cell>
          <cell r="D490" t="str">
            <v>TRAVEL EXPENSES - ENTERTAINMENT</v>
          </cell>
          <cell r="E490">
            <v>144</v>
          </cell>
          <cell r="F490">
            <v>0</v>
          </cell>
          <cell r="G490">
            <v>0</v>
          </cell>
          <cell r="H490">
            <v>0</v>
          </cell>
          <cell r="I490">
            <v>0</v>
          </cell>
          <cell r="J490">
            <v>0</v>
          </cell>
          <cell r="K490">
            <v>0</v>
          </cell>
          <cell r="L490">
            <v>0</v>
          </cell>
          <cell r="M490">
            <v>0</v>
          </cell>
          <cell r="N490">
            <v>0</v>
          </cell>
          <cell r="O490">
            <v>0</v>
          </cell>
          <cell r="P490">
            <v>0</v>
          </cell>
          <cell r="Q490">
            <v>144</v>
          </cell>
        </row>
        <row r="491">
          <cell r="A491" t="str">
            <v>US35P015903911100041</v>
          </cell>
          <cell r="B491" t="str">
            <v>US35P01590</v>
          </cell>
          <cell r="C491">
            <v>3911100041</v>
          </cell>
          <cell r="D491" t="str">
            <v>TRAVEL EXPENSES - ENTERTAINMENT</v>
          </cell>
          <cell r="E491">
            <v>0</v>
          </cell>
          <cell r="F491">
            <v>29</v>
          </cell>
          <cell r="G491">
            <v>0</v>
          </cell>
          <cell r="H491">
            <v>0</v>
          </cell>
          <cell r="I491">
            <v>0</v>
          </cell>
          <cell r="J491">
            <v>0</v>
          </cell>
          <cell r="K491">
            <v>0</v>
          </cell>
          <cell r="L491">
            <v>0</v>
          </cell>
          <cell r="M491">
            <v>0</v>
          </cell>
          <cell r="N491">
            <v>0</v>
          </cell>
          <cell r="O491">
            <v>0</v>
          </cell>
          <cell r="P491">
            <v>0</v>
          </cell>
          <cell r="Q491">
            <v>29</v>
          </cell>
        </row>
        <row r="492">
          <cell r="A492" t="str">
            <v>US59P015013911100041</v>
          </cell>
          <cell r="B492" t="str">
            <v>US59P01501</v>
          </cell>
          <cell r="C492">
            <v>3911100041</v>
          </cell>
          <cell r="D492" t="str">
            <v>TRAVEL EXPENSES - ENTERTAINMENT</v>
          </cell>
          <cell r="E492">
            <v>87</v>
          </cell>
          <cell r="F492">
            <v>259</v>
          </cell>
          <cell r="G492">
            <v>204</v>
          </cell>
          <cell r="H492">
            <v>0</v>
          </cell>
          <cell r="I492">
            <v>0</v>
          </cell>
          <cell r="J492">
            <v>0</v>
          </cell>
          <cell r="K492">
            <v>0</v>
          </cell>
          <cell r="L492">
            <v>0</v>
          </cell>
          <cell r="M492">
            <v>0</v>
          </cell>
          <cell r="N492">
            <v>0</v>
          </cell>
          <cell r="O492">
            <v>0</v>
          </cell>
          <cell r="P492">
            <v>0</v>
          </cell>
          <cell r="Q492">
            <v>550</v>
          </cell>
        </row>
        <row r="493">
          <cell r="A493" t="str">
            <v>US59P3C5013911100041</v>
          </cell>
          <cell r="B493" t="str">
            <v>US59P3C501</v>
          </cell>
          <cell r="C493">
            <v>3911100041</v>
          </cell>
          <cell r="D493" t="str">
            <v>TRAVEL EXPENSES - ENTERTAINMENT</v>
          </cell>
          <cell r="E493">
            <v>69</v>
          </cell>
          <cell r="F493">
            <v>562</v>
          </cell>
          <cell r="G493">
            <v>13</v>
          </cell>
          <cell r="H493">
            <v>0</v>
          </cell>
          <cell r="I493">
            <v>0</v>
          </cell>
          <cell r="J493">
            <v>0</v>
          </cell>
          <cell r="K493">
            <v>0</v>
          </cell>
          <cell r="L493">
            <v>0</v>
          </cell>
          <cell r="M493">
            <v>0</v>
          </cell>
          <cell r="N493">
            <v>0</v>
          </cell>
          <cell r="O493">
            <v>0</v>
          </cell>
          <cell r="P493">
            <v>0</v>
          </cell>
          <cell r="Q493">
            <v>644</v>
          </cell>
        </row>
        <row r="494">
          <cell r="A494" t="str">
            <v>US59PZA5013911100041</v>
          </cell>
          <cell r="B494" t="str">
            <v>US59PZA501</v>
          </cell>
          <cell r="C494">
            <v>3911100041</v>
          </cell>
          <cell r="D494" t="str">
            <v>TRAVEL EXPENSES - ENTERTAINMENT</v>
          </cell>
          <cell r="E494">
            <v>123</v>
          </cell>
          <cell r="F494">
            <v>0</v>
          </cell>
          <cell r="G494">
            <v>0</v>
          </cell>
          <cell r="H494">
            <v>0</v>
          </cell>
          <cell r="I494">
            <v>0</v>
          </cell>
          <cell r="J494">
            <v>0</v>
          </cell>
          <cell r="K494">
            <v>0</v>
          </cell>
          <cell r="L494">
            <v>0</v>
          </cell>
          <cell r="M494">
            <v>0</v>
          </cell>
          <cell r="N494">
            <v>0</v>
          </cell>
          <cell r="O494">
            <v>0</v>
          </cell>
          <cell r="P494">
            <v>0</v>
          </cell>
          <cell r="Q494">
            <v>123</v>
          </cell>
        </row>
        <row r="495">
          <cell r="A495" t="str">
            <v>USWOP015013911100041</v>
          </cell>
          <cell r="B495" t="str">
            <v>USWOP01501</v>
          </cell>
          <cell r="C495">
            <v>3911100041</v>
          </cell>
          <cell r="D495" t="str">
            <v>TRAVEL EXPENSES - ENTERTAINMENT</v>
          </cell>
          <cell r="E495">
            <v>38</v>
          </cell>
          <cell r="F495">
            <v>971</v>
          </cell>
          <cell r="G495">
            <v>183</v>
          </cell>
          <cell r="H495">
            <v>0</v>
          </cell>
          <cell r="I495">
            <v>0</v>
          </cell>
          <cell r="J495">
            <v>0</v>
          </cell>
          <cell r="K495">
            <v>0</v>
          </cell>
          <cell r="L495">
            <v>0</v>
          </cell>
          <cell r="M495">
            <v>0</v>
          </cell>
          <cell r="N495">
            <v>0</v>
          </cell>
          <cell r="O495">
            <v>0</v>
          </cell>
          <cell r="P495">
            <v>0</v>
          </cell>
          <cell r="Q495">
            <v>1192</v>
          </cell>
        </row>
        <row r="496">
          <cell r="A496" t="str">
            <v>US28P015013911200000</v>
          </cell>
          <cell r="B496" t="str">
            <v>US28P01501</v>
          </cell>
          <cell r="C496">
            <v>3911200000</v>
          </cell>
          <cell r="D496" t="str">
            <v>PROMOTIONAL EXPENSES ADVERTISEMENT</v>
          </cell>
          <cell r="E496">
            <v>25</v>
          </cell>
          <cell r="F496">
            <v>84</v>
          </cell>
          <cell r="G496">
            <v>20</v>
          </cell>
          <cell r="H496">
            <v>0</v>
          </cell>
          <cell r="I496">
            <v>0</v>
          </cell>
          <cell r="J496">
            <v>0</v>
          </cell>
          <cell r="K496">
            <v>0</v>
          </cell>
          <cell r="L496">
            <v>0</v>
          </cell>
          <cell r="M496">
            <v>0</v>
          </cell>
          <cell r="N496">
            <v>0</v>
          </cell>
          <cell r="O496">
            <v>0</v>
          </cell>
          <cell r="P496">
            <v>0</v>
          </cell>
          <cell r="Q496">
            <v>129</v>
          </cell>
        </row>
        <row r="497">
          <cell r="A497" t="str">
            <v>USCRP015013911200000</v>
          </cell>
          <cell r="B497" t="str">
            <v>USCRP01501</v>
          </cell>
          <cell r="C497">
            <v>3911200000</v>
          </cell>
          <cell r="D497" t="str">
            <v>PROMOTIONAL EXPENSES ADVERTISEMENT</v>
          </cell>
          <cell r="E497">
            <v>-50</v>
          </cell>
          <cell r="F497">
            <v>0</v>
          </cell>
          <cell r="G497">
            <v>0</v>
          </cell>
          <cell r="H497">
            <v>0</v>
          </cell>
          <cell r="I497">
            <v>0</v>
          </cell>
          <cell r="J497">
            <v>0</v>
          </cell>
          <cell r="K497">
            <v>0</v>
          </cell>
          <cell r="L497">
            <v>0</v>
          </cell>
          <cell r="M497">
            <v>0</v>
          </cell>
          <cell r="N497">
            <v>0</v>
          </cell>
          <cell r="O497">
            <v>0</v>
          </cell>
          <cell r="P497">
            <v>0</v>
          </cell>
          <cell r="Q497">
            <v>-50</v>
          </cell>
        </row>
        <row r="498">
          <cell r="A498" t="str">
            <v>US22MZA1503911200001</v>
          </cell>
          <cell r="B498" t="str">
            <v>US22MZA150</v>
          </cell>
          <cell r="C498">
            <v>3911200001</v>
          </cell>
          <cell r="D498" t="str">
            <v>SYMPOSIUMS, CONFERENCES, MEETINGS</v>
          </cell>
          <cell r="E498">
            <v>0</v>
          </cell>
          <cell r="F498">
            <v>0</v>
          </cell>
          <cell r="G498">
            <v>0</v>
          </cell>
          <cell r="H498">
            <v>0</v>
          </cell>
          <cell r="I498">
            <v>0</v>
          </cell>
          <cell r="J498">
            <v>0</v>
          </cell>
          <cell r="K498">
            <v>0</v>
          </cell>
          <cell r="L498">
            <v>0</v>
          </cell>
          <cell r="M498">
            <v>0</v>
          </cell>
          <cell r="N498">
            <v>0</v>
          </cell>
          <cell r="O498">
            <v>0</v>
          </cell>
          <cell r="P498">
            <v>0</v>
          </cell>
          <cell r="Q498">
            <v>0</v>
          </cell>
        </row>
        <row r="499">
          <cell r="A499" t="str">
            <v>US22P015013911200001</v>
          </cell>
          <cell r="B499" t="str">
            <v>US22P01501</v>
          </cell>
          <cell r="C499">
            <v>3911200001</v>
          </cell>
          <cell r="D499" t="str">
            <v>SYMPOSIUMS, CONFERENCES, MEETINGS</v>
          </cell>
          <cell r="E499">
            <v>11</v>
          </cell>
          <cell r="F499">
            <v>85</v>
          </cell>
          <cell r="G499">
            <v>73</v>
          </cell>
          <cell r="H499">
            <v>0</v>
          </cell>
          <cell r="I499">
            <v>0</v>
          </cell>
          <cell r="J499">
            <v>0</v>
          </cell>
          <cell r="K499">
            <v>0</v>
          </cell>
          <cell r="L499">
            <v>0</v>
          </cell>
          <cell r="M499">
            <v>0</v>
          </cell>
          <cell r="N499">
            <v>0</v>
          </cell>
          <cell r="O499">
            <v>0</v>
          </cell>
          <cell r="P499">
            <v>0</v>
          </cell>
          <cell r="Q499">
            <v>169</v>
          </cell>
        </row>
        <row r="500">
          <cell r="A500" t="str">
            <v>US22P015753911200001</v>
          </cell>
          <cell r="B500" t="str">
            <v>US22P01575</v>
          </cell>
          <cell r="C500">
            <v>3911200001</v>
          </cell>
          <cell r="D500" t="str">
            <v>SYMPOSIUMS, CONFERENCES, MEETINGS</v>
          </cell>
          <cell r="E500">
            <v>4</v>
          </cell>
          <cell r="F500">
            <v>0</v>
          </cell>
          <cell r="G500">
            <v>0</v>
          </cell>
          <cell r="H500">
            <v>0</v>
          </cell>
          <cell r="I500">
            <v>0</v>
          </cell>
          <cell r="J500">
            <v>0</v>
          </cell>
          <cell r="K500">
            <v>0</v>
          </cell>
          <cell r="L500">
            <v>0</v>
          </cell>
          <cell r="M500">
            <v>0</v>
          </cell>
          <cell r="N500">
            <v>0</v>
          </cell>
          <cell r="O500">
            <v>0</v>
          </cell>
          <cell r="P500">
            <v>0</v>
          </cell>
          <cell r="Q500">
            <v>4</v>
          </cell>
        </row>
        <row r="501">
          <cell r="A501" t="str">
            <v>US22P015903911200001</v>
          </cell>
          <cell r="B501" t="str">
            <v>US22P01590</v>
          </cell>
          <cell r="C501">
            <v>3911200001</v>
          </cell>
          <cell r="D501" t="str">
            <v>SYMPOSIUMS, CONFERENCES, MEETINGS</v>
          </cell>
          <cell r="E501">
            <v>0</v>
          </cell>
          <cell r="F501">
            <v>0</v>
          </cell>
          <cell r="G501">
            <v>0</v>
          </cell>
          <cell r="H501">
            <v>0</v>
          </cell>
          <cell r="I501">
            <v>0</v>
          </cell>
          <cell r="J501">
            <v>0</v>
          </cell>
          <cell r="K501">
            <v>0</v>
          </cell>
          <cell r="L501">
            <v>0</v>
          </cell>
          <cell r="M501">
            <v>0</v>
          </cell>
          <cell r="N501">
            <v>0</v>
          </cell>
          <cell r="O501">
            <v>0</v>
          </cell>
          <cell r="P501">
            <v>0</v>
          </cell>
          <cell r="Q501">
            <v>0</v>
          </cell>
        </row>
        <row r="502">
          <cell r="A502" t="str">
            <v>US28P015013911200001</v>
          </cell>
          <cell r="B502" t="str">
            <v>US28P01501</v>
          </cell>
          <cell r="C502">
            <v>3911200001</v>
          </cell>
          <cell r="D502" t="str">
            <v>SYMPOSIUMS, CONFERENCES, MEETINGS</v>
          </cell>
          <cell r="E502">
            <v>3086</v>
          </cell>
          <cell r="F502">
            <v>761</v>
          </cell>
          <cell r="G502">
            <v>552</v>
          </cell>
          <cell r="H502">
            <v>0</v>
          </cell>
          <cell r="I502">
            <v>0</v>
          </cell>
          <cell r="J502">
            <v>0</v>
          </cell>
          <cell r="K502">
            <v>0</v>
          </cell>
          <cell r="L502">
            <v>0</v>
          </cell>
          <cell r="M502">
            <v>0</v>
          </cell>
          <cell r="N502">
            <v>0</v>
          </cell>
          <cell r="O502">
            <v>0</v>
          </cell>
          <cell r="P502">
            <v>0</v>
          </cell>
          <cell r="Q502">
            <v>4399</v>
          </cell>
        </row>
        <row r="503">
          <cell r="A503" t="str">
            <v>US28P015503911200001</v>
          </cell>
          <cell r="B503" t="str">
            <v>US28P01550</v>
          </cell>
          <cell r="C503">
            <v>3911200001</v>
          </cell>
          <cell r="D503" t="str">
            <v>SYMPOSIUMS, CONFERENCES, MEETINGS</v>
          </cell>
          <cell r="E503">
            <v>0</v>
          </cell>
          <cell r="F503">
            <v>0</v>
          </cell>
          <cell r="G503">
            <v>0</v>
          </cell>
          <cell r="H503">
            <v>0</v>
          </cell>
          <cell r="I503">
            <v>0</v>
          </cell>
          <cell r="J503">
            <v>0</v>
          </cell>
          <cell r="K503">
            <v>0</v>
          </cell>
          <cell r="L503">
            <v>0</v>
          </cell>
          <cell r="M503">
            <v>0</v>
          </cell>
          <cell r="N503">
            <v>0</v>
          </cell>
          <cell r="O503">
            <v>0</v>
          </cell>
          <cell r="P503">
            <v>0</v>
          </cell>
          <cell r="Q503">
            <v>0</v>
          </cell>
        </row>
        <row r="504">
          <cell r="A504" t="str">
            <v>US35MZA1503911200001</v>
          </cell>
          <cell r="B504" t="str">
            <v>US35MZA150</v>
          </cell>
          <cell r="C504">
            <v>3911200001</v>
          </cell>
          <cell r="D504" t="str">
            <v>SYMPOSIUMS, CONFERENCES, MEETINGS</v>
          </cell>
          <cell r="E504">
            <v>41</v>
          </cell>
          <cell r="F504">
            <v>363</v>
          </cell>
          <cell r="G504">
            <v>45</v>
          </cell>
          <cell r="H504">
            <v>0</v>
          </cell>
          <cell r="I504">
            <v>0</v>
          </cell>
          <cell r="J504">
            <v>0</v>
          </cell>
          <cell r="K504">
            <v>0</v>
          </cell>
          <cell r="L504">
            <v>0</v>
          </cell>
          <cell r="M504">
            <v>0</v>
          </cell>
          <cell r="N504">
            <v>0</v>
          </cell>
          <cell r="O504">
            <v>0</v>
          </cell>
          <cell r="P504">
            <v>0</v>
          </cell>
          <cell r="Q504">
            <v>449</v>
          </cell>
        </row>
        <row r="505">
          <cell r="A505" t="str">
            <v>US35P015013911200001</v>
          </cell>
          <cell r="B505" t="str">
            <v>US35P01501</v>
          </cell>
          <cell r="C505">
            <v>3911200001</v>
          </cell>
          <cell r="D505" t="str">
            <v>SYMPOSIUMS, CONFERENCES, MEETINGS</v>
          </cell>
          <cell r="E505">
            <v>6</v>
          </cell>
          <cell r="F505">
            <v>281</v>
          </cell>
          <cell r="G505">
            <v>30</v>
          </cell>
          <cell r="H505">
            <v>0</v>
          </cell>
          <cell r="I505">
            <v>0</v>
          </cell>
          <cell r="J505">
            <v>0</v>
          </cell>
          <cell r="K505">
            <v>0</v>
          </cell>
          <cell r="L505">
            <v>0</v>
          </cell>
          <cell r="M505">
            <v>0</v>
          </cell>
          <cell r="N505">
            <v>0</v>
          </cell>
          <cell r="O505">
            <v>0</v>
          </cell>
          <cell r="P505">
            <v>0</v>
          </cell>
          <cell r="Q505">
            <v>317</v>
          </cell>
        </row>
        <row r="506">
          <cell r="A506" t="str">
            <v>US35P015503911200001</v>
          </cell>
          <cell r="B506" t="str">
            <v>US35P01550</v>
          </cell>
          <cell r="C506">
            <v>3911200001</v>
          </cell>
          <cell r="D506" t="str">
            <v>SYMPOSIUMS, CONFERENCES, MEETINGS</v>
          </cell>
          <cell r="E506">
            <v>0</v>
          </cell>
          <cell r="F506">
            <v>643</v>
          </cell>
          <cell r="G506">
            <v>68</v>
          </cell>
          <cell r="H506">
            <v>0</v>
          </cell>
          <cell r="I506">
            <v>0</v>
          </cell>
          <cell r="J506">
            <v>0</v>
          </cell>
          <cell r="K506">
            <v>0</v>
          </cell>
          <cell r="L506">
            <v>0</v>
          </cell>
          <cell r="M506">
            <v>0</v>
          </cell>
          <cell r="N506">
            <v>0</v>
          </cell>
          <cell r="O506">
            <v>0</v>
          </cell>
          <cell r="P506">
            <v>0</v>
          </cell>
          <cell r="Q506">
            <v>711</v>
          </cell>
        </row>
        <row r="507">
          <cell r="A507" t="str">
            <v>US35P015603911200001</v>
          </cell>
          <cell r="B507" t="str">
            <v>US35P01560</v>
          </cell>
          <cell r="C507">
            <v>3911200001</v>
          </cell>
          <cell r="D507" t="str">
            <v>SYMPOSIUMS, CONFERENCES, MEETINGS</v>
          </cell>
          <cell r="E507">
            <v>0</v>
          </cell>
          <cell r="F507">
            <v>2</v>
          </cell>
          <cell r="G507">
            <v>11</v>
          </cell>
          <cell r="H507">
            <v>0</v>
          </cell>
          <cell r="I507">
            <v>0</v>
          </cell>
          <cell r="J507">
            <v>0</v>
          </cell>
          <cell r="K507">
            <v>0</v>
          </cell>
          <cell r="L507">
            <v>0</v>
          </cell>
          <cell r="M507">
            <v>0</v>
          </cell>
          <cell r="N507">
            <v>0</v>
          </cell>
          <cell r="O507">
            <v>0</v>
          </cell>
          <cell r="P507">
            <v>0</v>
          </cell>
          <cell r="Q507">
            <v>13</v>
          </cell>
        </row>
        <row r="508">
          <cell r="A508" t="str">
            <v>US35P015903911200001</v>
          </cell>
          <cell r="B508" t="str">
            <v>US35P01590</v>
          </cell>
          <cell r="C508">
            <v>3911200001</v>
          </cell>
          <cell r="D508" t="str">
            <v>SYMPOSIUMS, CONFERENCES, MEETINGS</v>
          </cell>
          <cell r="E508">
            <v>0</v>
          </cell>
          <cell r="F508">
            <v>15</v>
          </cell>
          <cell r="G508">
            <v>0</v>
          </cell>
          <cell r="H508">
            <v>0</v>
          </cell>
          <cell r="I508">
            <v>0</v>
          </cell>
          <cell r="J508">
            <v>0</v>
          </cell>
          <cell r="K508">
            <v>0</v>
          </cell>
          <cell r="L508">
            <v>0</v>
          </cell>
          <cell r="M508">
            <v>0</v>
          </cell>
          <cell r="N508">
            <v>0</v>
          </cell>
          <cell r="O508">
            <v>0</v>
          </cell>
          <cell r="P508">
            <v>0</v>
          </cell>
          <cell r="Q508">
            <v>15</v>
          </cell>
        </row>
        <row r="509">
          <cell r="A509" t="str">
            <v>US59MZA1503911200001</v>
          </cell>
          <cell r="B509" t="str">
            <v>US59MZA150</v>
          </cell>
          <cell r="C509">
            <v>3911200001</v>
          </cell>
          <cell r="D509" t="str">
            <v>SYMPOSIUMS, CONFERENCES, MEETINGS</v>
          </cell>
          <cell r="E509">
            <v>87</v>
          </cell>
          <cell r="F509">
            <v>0</v>
          </cell>
          <cell r="G509">
            <v>0</v>
          </cell>
          <cell r="H509">
            <v>0</v>
          </cell>
          <cell r="I509">
            <v>0</v>
          </cell>
          <cell r="J509">
            <v>0</v>
          </cell>
          <cell r="K509">
            <v>0</v>
          </cell>
          <cell r="L509">
            <v>0</v>
          </cell>
          <cell r="M509">
            <v>0</v>
          </cell>
          <cell r="N509">
            <v>0</v>
          </cell>
          <cell r="O509">
            <v>0</v>
          </cell>
          <cell r="P509">
            <v>0</v>
          </cell>
          <cell r="Q509">
            <v>87</v>
          </cell>
        </row>
        <row r="510">
          <cell r="A510" t="str">
            <v>US59P015013911200001</v>
          </cell>
          <cell r="B510" t="str">
            <v>US59P01501</v>
          </cell>
          <cell r="C510">
            <v>3911200001</v>
          </cell>
          <cell r="D510" t="str">
            <v>SYMPOSIUMS, CONFERENCES, MEETINGS</v>
          </cell>
          <cell r="E510">
            <v>655</v>
          </cell>
          <cell r="F510">
            <v>47</v>
          </cell>
          <cell r="G510">
            <v>51</v>
          </cell>
          <cell r="H510">
            <v>0</v>
          </cell>
          <cell r="I510">
            <v>0</v>
          </cell>
          <cell r="J510">
            <v>0</v>
          </cell>
          <cell r="K510">
            <v>0</v>
          </cell>
          <cell r="L510">
            <v>0</v>
          </cell>
          <cell r="M510">
            <v>0</v>
          </cell>
          <cell r="N510">
            <v>0</v>
          </cell>
          <cell r="O510">
            <v>0</v>
          </cell>
          <cell r="P510">
            <v>0</v>
          </cell>
          <cell r="Q510">
            <v>753</v>
          </cell>
        </row>
        <row r="511">
          <cell r="A511" t="str">
            <v>US59P015503911200001</v>
          </cell>
          <cell r="B511" t="str">
            <v>US59P01550</v>
          </cell>
          <cell r="C511">
            <v>3911200001</v>
          </cell>
          <cell r="D511" t="str">
            <v>SYMPOSIUMS, CONFERENCES, MEETINGS</v>
          </cell>
          <cell r="E511">
            <v>0</v>
          </cell>
          <cell r="F511">
            <v>96</v>
          </cell>
          <cell r="G511">
            <v>-10</v>
          </cell>
          <cell r="H511">
            <v>0</v>
          </cell>
          <cell r="I511">
            <v>0</v>
          </cell>
          <cell r="J511">
            <v>0</v>
          </cell>
          <cell r="K511">
            <v>0</v>
          </cell>
          <cell r="L511">
            <v>0</v>
          </cell>
          <cell r="M511">
            <v>0</v>
          </cell>
          <cell r="N511">
            <v>0</v>
          </cell>
          <cell r="O511">
            <v>0</v>
          </cell>
          <cell r="P511">
            <v>0</v>
          </cell>
          <cell r="Q511">
            <v>86</v>
          </cell>
        </row>
        <row r="512">
          <cell r="A512" t="str">
            <v>US59P3C5013911200001</v>
          </cell>
          <cell r="B512" t="str">
            <v>US59P3C501</v>
          </cell>
          <cell r="C512">
            <v>3911200001</v>
          </cell>
          <cell r="D512" t="str">
            <v>SYMPOSIUMS, CONFERENCES, MEETINGS</v>
          </cell>
          <cell r="E512">
            <v>504</v>
          </cell>
          <cell r="F512">
            <v>0</v>
          </cell>
          <cell r="G512">
            <v>0</v>
          </cell>
          <cell r="H512">
            <v>0</v>
          </cell>
          <cell r="I512">
            <v>0</v>
          </cell>
          <cell r="J512">
            <v>0</v>
          </cell>
          <cell r="K512">
            <v>0</v>
          </cell>
          <cell r="L512">
            <v>0</v>
          </cell>
          <cell r="M512">
            <v>0</v>
          </cell>
          <cell r="N512">
            <v>0</v>
          </cell>
          <cell r="O512">
            <v>0</v>
          </cell>
          <cell r="P512">
            <v>0</v>
          </cell>
          <cell r="Q512">
            <v>504</v>
          </cell>
        </row>
        <row r="513">
          <cell r="A513" t="str">
            <v>US59P3C5503911200001</v>
          </cell>
          <cell r="B513" t="str">
            <v>US59P3C550</v>
          </cell>
          <cell r="C513">
            <v>3911200001</v>
          </cell>
          <cell r="D513" t="str">
            <v>SYMPOSIUMS, CONFERENCES, MEETINGS</v>
          </cell>
          <cell r="E513">
            <v>0</v>
          </cell>
          <cell r="F513">
            <v>175</v>
          </cell>
          <cell r="G513">
            <v>1619</v>
          </cell>
          <cell r="H513">
            <v>0</v>
          </cell>
          <cell r="I513">
            <v>0</v>
          </cell>
          <cell r="J513">
            <v>0</v>
          </cell>
          <cell r="K513">
            <v>0</v>
          </cell>
          <cell r="L513">
            <v>0</v>
          </cell>
          <cell r="M513">
            <v>0</v>
          </cell>
          <cell r="N513">
            <v>0</v>
          </cell>
          <cell r="O513">
            <v>0</v>
          </cell>
          <cell r="P513">
            <v>0</v>
          </cell>
          <cell r="Q513">
            <v>1794</v>
          </cell>
        </row>
        <row r="514">
          <cell r="A514" t="str">
            <v>US59P3C5603911200001</v>
          </cell>
          <cell r="B514" t="str">
            <v>US59P3C560</v>
          </cell>
          <cell r="C514">
            <v>3911200001</v>
          </cell>
          <cell r="D514" t="str">
            <v>SYMPOSIUMS, CONFERENCES, MEETINGS</v>
          </cell>
          <cell r="E514">
            <v>24</v>
          </cell>
          <cell r="F514">
            <v>0</v>
          </cell>
          <cell r="G514">
            <v>0</v>
          </cell>
          <cell r="H514">
            <v>0</v>
          </cell>
          <cell r="I514">
            <v>0</v>
          </cell>
          <cell r="J514">
            <v>0</v>
          </cell>
          <cell r="K514">
            <v>0</v>
          </cell>
          <cell r="L514">
            <v>0</v>
          </cell>
          <cell r="M514">
            <v>0</v>
          </cell>
          <cell r="N514">
            <v>0</v>
          </cell>
          <cell r="O514">
            <v>0</v>
          </cell>
          <cell r="P514">
            <v>0</v>
          </cell>
          <cell r="Q514">
            <v>24</v>
          </cell>
        </row>
        <row r="515">
          <cell r="A515" t="str">
            <v>USCRP015013911200001</v>
          </cell>
          <cell r="B515" t="str">
            <v>USCRP01501</v>
          </cell>
          <cell r="C515">
            <v>3911200001</v>
          </cell>
          <cell r="D515" t="str">
            <v>SYMPOSIUMS, CONFERENCES, MEETINGS</v>
          </cell>
          <cell r="E515">
            <v>300</v>
          </cell>
          <cell r="F515">
            <v>23</v>
          </cell>
          <cell r="G515">
            <v>331</v>
          </cell>
          <cell r="H515">
            <v>0</v>
          </cell>
          <cell r="I515">
            <v>0</v>
          </cell>
          <cell r="J515">
            <v>0</v>
          </cell>
          <cell r="K515">
            <v>0</v>
          </cell>
          <cell r="L515">
            <v>0</v>
          </cell>
          <cell r="M515">
            <v>0</v>
          </cell>
          <cell r="N515">
            <v>0</v>
          </cell>
          <cell r="O515">
            <v>0</v>
          </cell>
          <cell r="P515">
            <v>0</v>
          </cell>
          <cell r="Q515">
            <v>654</v>
          </cell>
        </row>
        <row r="516">
          <cell r="A516" t="str">
            <v>USCRP015503911200001</v>
          </cell>
          <cell r="B516" t="str">
            <v>USCRP01550</v>
          </cell>
          <cell r="C516">
            <v>3911200001</v>
          </cell>
          <cell r="D516" t="str">
            <v>SYMPOSIUMS, CONFERENCES, MEETINGS</v>
          </cell>
          <cell r="E516">
            <v>31</v>
          </cell>
          <cell r="F516">
            <v>0</v>
          </cell>
          <cell r="G516">
            <v>0</v>
          </cell>
          <cell r="H516">
            <v>0</v>
          </cell>
          <cell r="I516">
            <v>0</v>
          </cell>
          <cell r="J516">
            <v>0</v>
          </cell>
          <cell r="K516">
            <v>0</v>
          </cell>
          <cell r="L516">
            <v>0</v>
          </cell>
          <cell r="M516">
            <v>0</v>
          </cell>
          <cell r="N516">
            <v>0</v>
          </cell>
          <cell r="O516">
            <v>0</v>
          </cell>
          <cell r="P516">
            <v>0</v>
          </cell>
          <cell r="Q516">
            <v>31</v>
          </cell>
        </row>
        <row r="517">
          <cell r="A517" t="str">
            <v>USWOP015013911200001</v>
          </cell>
          <cell r="B517" t="str">
            <v>USWOP01501</v>
          </cell>
          <cell r="C517">
            <v>3911200001</v>
          </cell>
          <cell r="D517" t="str">
            <v>SYMPOSIUMS, CONFERENCES, MEETINGS</v>
          </cell>
          <cell r="E517">
            <v>34</v>
          </cell>
          <cell r="F517">
            <v>432</v>
          </cell>
          <cell r="G517">
            <v>110</v>
          </cell>
          <cell r="H517">
            <v>0</v>
          </cell>
          <cell r="I517">
            <v>0</v>
          </cell>
          <cell r="J517">
            <v>0</v>
          </cell>
          <cell r="K517">
            <v>0</v>
          </cell>
          <cell r="L517">
            <v>0</v>
          </cell>
          <cell r="M517">
            <v>0</v>
          </cell>
          <cell r="N517">
            <v>0</v>
          </cell>
          <cell r="O517">
            <v>0</v>
          </cell>
          <cell r="P517">
            <v>0</v>
          </cell>
          <cell r="Q517">
            <v>576</v>
          </cell>
        </row>
        <row r="518">
          <cell r="A518" t="str">
            <v>USCRMZA1503911200006</v>
          </cell>
          <cell r="B518" t="str">
            <v>USCRMZA150</v>
          </cell>
          <cell r="C518">
            <v>3911200006</v>
          </cell>
          <cell r="D518" t="str">
            <v>PROMOTIONAL EXPENSES MOVIES, PHOTOS, SLI</v>
          </cell>
          <cell r="E518">
            <v>0</v>
          </cell>
          <cell r="F518">
            <v>0</v>
          </cell>
          <cell r="G518">
            <v>0</v>
          </cell>
          <cell r="H518">
            <v>0</v>
          </cell>
          <cell r="I518">
            <v>0</v>
          </cell>
          <cell r="J518">
            <v>0</v>
          </cell>
          <cell r="K518">
            <v>0</v>
          </cell>
          <cell r="L518">
            <v>0</v>
          </cell>
          <cell r="M518">
            <v>0</v>
          </cell>
          <cell r="N518">
            <v>0</v>
          </cell>
          <cell r="O518">
            <v>0</v>
          </cell>
          <cell r="P518">
            <v>0</v>
          </cell>
          <cell r="Q518">
            <v>0</v>
          </cell>
        </row>
        <row r="519">
          <cell r="A519" t="str">
            <v>US22P015013911200007</v>
          </cell>
          <cell r="B519" t="str">
            <v>US22P01501</v>
          </cell>
          <cell r="C519">
            <v>3911200007</v>
          </cell>
          <cell r="D519" t="str">
            <v>PROMOTIONAL EXP ADVERTISING AND PROMOTIO</v>
          </cell>
          <cell r="E519">
            <v>828</v>
          </cell>
          <cell r="F519">
            <v>231</v>
          </cell>
          <cell r="G519">
            <v>403</v>
          </cell>
          <cell r="H519">
            <v>0</v>
          </cell>
          <cell r="I519">
            <v>0</v>
          </cell>
          <cell r="J519">
            <v>0</v>
          </cell>
          <cell r="K519">
            <v>0</v>
          </cell>
          <cell r="L519">
            <v>0</v>
          </cell>
          <cell r="M519">
            <v>0</v>
          </cell>
          <cell r="N519">
            <v>0</v>
          </cell>
          <cell r="O519">
            <v>0</v>
          </cell>
          <cell r="P519">
            <v>0</v>
          </cell>
          <cell r="Q519">
            <v>1462</v>
          </cell>
        </row>
        <row r="520">
          <cell r="A520" t="str">
            <v>US28P015013911200007</v>
          </cell>
          <cell r="B520" t="str">
            <v>US28P01501</v>
          </cell>
          <cell r="C520">
            <v>3911200007</v>
          </cell>
          <cell r="D520" t="str">
            <v>PROMOTIONAL EXP ADVERTISING AND PROMOTIO</v>
          </cell>
          <cell r="E520">
            <v>125</v>
          </cell>
          <cell r="F520">
            <v>0</v>
          </cell>
          <cell r="G520">
            <v>0</v>
          </cell>
          <cell r="H520">
            <v>0</v>
          </cell>
          <cell r="I520">
            <v>0</v>
          </cell>
          <cell r="J520">
            <v>0</v>
          </cell>
          <cell r="K520">
            <v>0</v>
          </cell>
          <cell r="L520">
            <v>0</v>
          </cell>
          <cell r="M520">
            <v>0</v>
          </cell>
          <cell r="N520">
            <v>0</v>
          </cell>
          <cell r="O520">
            <v>0</v>
          </cell>
          <cell r="P520">
            <v>0</v>
          </cell>
          <cell r="Q520">
            <v>125</v>
          </cell>
        </row>
        <row r="521">
          <cell r="A521" t="str">
            <v>US35P015013911200007</v>
          </cell>
          <cell r="B521" t="str">
            <v>US35P01501</v>
          </cell>
          <cell r="C521">
            <v>3911200007</v>
          </cell>
          <cell r="D521" t="str">
            <v>PROMOTIONAL EXP ADVERTISING AND PROMOTIO</v>
          </cell>
          <cell r="E521">
            <v>301</v>
          </cell>
          <cell r="F521">
            <v>177</v>
          </cell>
          <cell r="G521">
            <v>86</v>
          </cell>
          <cell r="H521">
            <v>0</v>
          </cell>
          <cell r="I521">
            <v>0</v>
          </cell>
          <cell r="J521">
            <v>0</v>
          </cell>
          <cell r="K521">
            <v>0</v>
          </cell>
          <cell r="L521">
            <v>0</v>
          </cell>
          <cell r="M521">
            <v>0</v>
          </cell>
          <cell r="N521">
            <v>0</v>
          </cell>
          <cell r="O521">
            <v>0</v>
          </cell>
          <cell r="P521">
            <v>0</v>
          </cell>
          <cell r="Q521">
            <v>564</v>
          </cell>
        </row>
        <row r="522">
          <cell r="A522" t="str">
            <v>USCRP015013911200007</v>
          </cell>
          <cell r="B522" t="str">
            <v>USCRP01501</v>
          </cell>
          <cell r="C522">
            <v>3911200007</v>
          </cell>
          <cell r="D522" t="str">
            <v>PROMOTIONAL EXP ADVERTISING AND PROMOTIO</v>
          </cell>
          <cell r="E522">
            <v>0</v>
          </cell>
          <cell r="F522">
            <v>500</v>
          </cell>
          <cell r="G522">
            <v>479</v>
          </cell>
          <cell r="H522">
            <v>0</v>
          </cell>
          <cell r="I522">
            <v>0</v>
          </cell>
          <cell r="J522">
            <v>0</v>
          </cell>
          <cell r="K522">
            <v>0</v>
          </cell>
          <cell r="L522">
            <v>0</v>
          </cell>
          <cell r="M522">
            <v>0</v>
          </cell>
          <cell r="N522">
            <v>0</v>
          </cell>
          <cell r="O522">
            <v>0</v>
          </cell>
          <cell r="P522">
            <v>0</v>
          </cell>
          <cell r="Q522">
            <v>979</v>
          </cell>
        </row>
        <row r="523">
          <cell r="A523" t="str">
            <v>US35P015013911200015</v>
          </cell>
          <cell r="B523" t="str">
            <v>US35P01501</v>
          </cell>
          <cell r="C523">
            <v>3911200015</v>
          </cell>
          <cell r="D523" t="str">
            <v>PROMOTIONAL FAIRS</v>
          </cell>
          <cell r="E523">
            <v>0</v>
          </cell>
          <cell r="F523">
            <v>0</v>
          </cell>
          <cell r="G523">
            <v>300</v>
          </cell>
          <cell r="H523">
            <v>0</v>
          </cell>
          <cell r="I523">
            <v>0</v>
          </cell>
          <cell r="J523">
            <v>0</v>
          </cell>
          <cell r="K523">
            <v>0</v>
          </cell>
          <cell r="L523">
            <v>0</v>
          </cell>
          <cell r="M523">
            <v>0</v>
          </cell>
          <cell r="N523">
            <v>0</v>
          </cell>
          <cell r="O523">
            <v>0</v>
          </cell>
          <cell r="P523">
            <v>0</v>
          </cell>
          <cell r="Q523">
            <v>300</v>
          </cell>
        </row>
        <row r="524">
          <cell r="A524" t="str">
            <v>US28P015013921100000</v>
          </cell>
          <cell r="B524" t="str">
            <v>US28P01501</v>
          </cell>
          <cell r="C524">
            <v>3921100000</v>
          </cell>
          <cell r="D524" t="str">
            <v>UTILITIES EXPENSES WATER</v>
          </cell>
          <cell r="E524">
            <v>0</v>
          </cell>
          <cell r="F524">
            <v>116</v>
          </cell>
          <cell r="G524">
            <v>308</v>
          </cell>
          <cell r="H524">
            <v>0</v>
          </cell>
          <cell r="I524">
            <v>0</v>
          </cell>
          <cell r="J524">
            <v>0</v>
          </cell>
          <cell r="K524">
            <v>0</v>
          </cell>
          <cell r="L524">
            <v>0</v>
          </cell>
          <cell r="M524">
            <v>0</v>
          </cell>
          <cell r="N524">
            <v>0</v>
          </cell>
          <cell r="O524">
            <v>0</v>
          </cell>
          <cell r="P524">
            <v>0</v>
          </cell>
          <cell r="Q524">
            <v>424</v>
          </cell>
        </row>
        <row r="525">
          <cell r="A525" t="str">
            <v>US35MZA1503921100000</v>
          </cell>
          <cell r="B525" t="str">
            <v>US35MZA150</v>
          </cell>
          <cell r="C525">
            <v>3921100000</v>
          </cell>
          <cell r="D525" t="str">
            <v>UTILITIES EXPENSES WATER</v>
          </cell>
          <cell r="E525">
            <v>204</v>
          </cell>
          <cell r="F525">
            <v>204</v>
          </cell>
          <cell r="G525">
            <v>205</v>
          </cell>
          <cell r="H525">
            <v>0</v>
          </cell>
          <cell r="I525">
            <v>0</v>
          </cell>
          <cell r="J525">
            <v>0</v>
          </cell>
          <cell r="K525">
            <v>0</v>
          </cell>
          <cell r="L525">
            <v>0</v>
          </cell>
          <cell r="M525">
            <v>0</v>
          </cell>
          <cell r="N525">
            <v>0</v>
          </cell>
          <cell r="O525">
            <v>0</v>
          </cell>
          <cell r="P525">
            <v>0</v>
          </cell>
          <cell r="Q525">
            <v>613</v>
          </cell>
        </row>
        <row r="526">
          <cell r="A526" t="str">
            <v>US59P015013921100000</v>
          </cell>
          <cell r="B526" t="str">
            <v>US59P01501</v>
          </cell>
          <cell r="C526">
            <v>3921100000</v>
          </cell>
          <cell r="D526" t="str">
            <v>UTILITIES EXPENSES WATER</v>
          </cell>
          <cell r="E526">
            <v>37</v>
          </cell>
          <cell r="F526">
            <v>37</v>
          </cell>
          <cell r="G526">
            <v>81</v>
          </cell>
          <cell r="H526">
            <v>0</v>
          </cell>
          <cell r="I526">
            <v>0</v>
          </cell>
          <cell r="J526">
            <v>0</v>
          </cell>
          <cell r="K526">
            <v>0</v>
          </cell>
          <cell r="L526">
            <v>0</v>
          </cell>
          <cell r="M526">
            <v>0</v>
          </cell>
          <cell r="N526">
            <v>0</v>
          </cell>
          <cell r="O526">
            <v>0</v>
          </cell>
          <cell r="P526">
            <v>0</v>
          </cell>
          <cell r="Q526">
            <v>155</v>
          </cell>
        </row>
        <row r="527">
          <cell r="A527" t="str">
            <v>US59P3C5013921100000</v>
          </cell>
          <cell r="B527" t="str">
            <v>US59P3C501</v>
          </cell>
          <cell r="C527">
            <v>3921100000</v>
          </cell>
          <cell r="D527" t="str">
            <v>UTILITIES EXPENSES WATER</v>
          </cell>
          <cell r="E527">
            <v>121</v>
          </cell>
          <cell r="F527">
            <v>117</v>
          </cell>
          <cell r="G527">
            <v>81</v>
          </cell>
          <cell r="H527">
            <v>0</v>
          </cell>
          <cell r="I527">
            <v>0</v>
          </cell>
          <cell r="J527">
            <v>0</v>
          </cell>
          <cell r="K527">
            <v>0</v>
          </cell>
          <cell r="L527">
            <v>0</v>
          </cell>
          <cell r="M527">
            <v>0</v>
          </cell>
          <cell r="N527">
            <v>0</v>
          </cell>
          <cell r="O527">
            <v>0</v>
          </cell>
          <cell r="P527">
            <v>0</v>
          </cell>
          <cell r="Q527">
            <v>319</v>
          </cell>
        </row>
        <row r="528">
          <cell r="A528" t="str">
            <v>USCRMZA1503921100000</v>
          </cell>
          <cell r="B528" t="str">
            <v>USCRMZA150</v>
          </cell>
          <cell r="C528">
            <v>3921100000</v>
          </cell>
          <cell r="D528" t="str">
            <v>UTILITIES EXPENSES WATER</v>
          </cell>
          <cell r="E528">
            <v>0</v>
          </cell>
          <cell r="F528">
            <v>40</v>
          </cell>
          <cell r="G528">
            <v>47</v>
          </cell>
          <cell r="H528">
            <v>0</v>
          </cell>
          <cell r="I528">
            <v>0</v>
          </cell>
          <cell r="J528">
            <v>0</v>
          </cell>
          <cell r="K528">
            <v>0</v>
          </cell>
          <cell r="L528">
            <v>0</v>
          </cell>
          <cell r="M528">
            <v>0</v>
          </cell>
          <cell r="N528">
            <v>0</v>
          </cell>
          <cell r="O528">
            <v>0</v>
          </cell>
          <cell r="P528">
            <v>0</v>
          </cell>
          <cell r="Q528">
            <v>87</v>
          </cell>
        </row>
        <row r="529">
          <cell r="A529" t="str">
            <v>USCRP015013921100000</v>
          </cell>
          <cell r="B529" t="str">
            <v>USCRP01501</v>
          </cell>
          <cell r="C529">
            <v>3921100000</v>
          </cell>
          <cell r="D529" t="str">
            <v>UTILITIES EXPENSES WATER</v>
          </cell>
          <cell r="E529">
            <v>0</v>
          </cell>
          <cell r="F529">
            <v>121</v>
          </cell>
          <cell r="G529">
            <v>248</v>
          </cell>
          <cell r="H529">
            <v>0</v>
          </cell>
          <cell r="I529">
            <v>0</v>
          </cell>
          <cell r="J529">
            <v>0</v>
          </cell>
          <cell r="K529">
            <v>0</v>
          </cell>
          <cell r="L529">
            <v>0</v>
          </cell>
          <cell r="M529">
            <v>0</v>
          </cell>
          <cell r="N529">
            <v>0</v>
          </cell>
          <cell r="O529">
            <v>0</v>
          </cell>
          <cell r="P529">
            <v>0</v>
          </cell>
          <cell r="Q529">
            <v>369</v>
          </cell>
        </row>
        <row r="530">
          <cell r="A530" t="str">
            <v>USCRP015643921100000</v>
          </cell>
          <cell r="B530" t="str">
            <v>USCRP01564</v>
          </cell>
          <cell r="C530">
            <v>3921100000</v>
          </cell>
          <cell r="D530" t="str">
            <v>UTILITIES EXPENSES WATER</v>
          </cell>
          <cell r="E530">
            <v>0</v>
          </cell>
          <cell r="F530">
            <v>0</v>
          </cell>
          <cell r="G530">
            <v>11</v>
          </cell>
          <cell r="H530">
            <v>0</v>
          </cell>
          <cell r="I530">
            <v>0</v>
          </cell>
          <cell r="J530">
            <v>0</v>
          </cell>
          <cell r="K530">
            <v>0</v>
          </cell>
          <cell r="L530">
            <v>0</v>
          </cell>
          <cell r="M530">
            <v>0</v>
          </cell>
          <cell r="N530">
            <v>0</v>
          </cell>
          <cell r="O530">
            <v>0</v>
          </cell>
          <cell r="P530">
            <v>0</v>
          </cell>
          <cell r="Q530">
            <v>11</v>
          </cell>
        </row>
        <row r="531">
          <cell r="A531" t="str">
            <v>USWOP015013921100000</v>
          </cell>
          <cell r="B531" t="str">
            <v>USWOP01501</v>
          </cell>
          <cell r="C531">
            <v>3921100000</v>
          </cell>
          <cell r="D531" t="str">
            <v>UTILITIES EXPENSES WATER</v>
          </cell>
          <cell r="E531">
            <v>361</v>
          </cell>
          <cell r="F531">
            <v>370</v>
          </cell>
          <cell r="G531">
            <v>482</v>
          </cell>
          <cell r="H531">
            <v>0</v>
          </cell>
          <cell r="I531">
            <v>0</v>
          </cell>
          <cell r="J531">
            <v>0</v>
          </cell>
          <cell r="K531">
            <v>0</v>
          </cell>
          <cell r="L531">
            <v>0</v>
          </cell>
          <cell r="M531">
            <v>0</v>
          </cell>
          <cell r="N531">
            <v>0</v>
          </cell>
          <cell r="O531">
            <v>0</v>
          </cell>
          <cell r="P531">
            <v>0</v>
          </cell>
          <cell r="Q531">
            <v>1213</v>
          </cell>
        </row>
        <row r="532">
          <cell r="A532" t="str">
            <v>USWOP015643921100000</v>
          </cell>
          <cell r="B532" t="str">
            <v>USWOP01564</v>
          </cell>
          <cell r="C532">
            <v>3921100000</v>
          </cell>
          <cell r="D532" t="str">
            <v>UTILITIES EXPENSES WATER</v>
          </cell>
          <cell r="E532">
            <v>7</v>
          </cell>
          <cell r="F532">
            <v>0</v>
          </cell>
          <cell r="G532">
            <v>0</v>
          </cell>
          <cell r="H532">
            <v>0</v>
          </cell>
          <cell r="I532">
            <v>0</v>
          </cell>
          <cell r="J532">
            <v>0</v>
          </cell>
          <cell r="K532">
            <v>0</v>
          </cell>
          <cell r="L532">
            <v>0</v>
          </cell>
          <cell r="M532">
            <v>0</v>
          </cell>
          <cell r="N532">
            <v>0</v>
          </cell>
          <cell r="O532">
            <v>0</v>
          </cell>
          <cell r="P532">
            <v>0</v>
          </cell>
          <cell r="Q532">
            <v>7</v>
          </cell>
        </row>
        <row r="533">
          <cell r="A533" t="str">
            <v>US22P015013921100001</v>
          </cell>
          <cell r="B533" t="str">
            <v>US22P01501</v>
          </cell>
          <cell r="C533">
            <v>3921100001</v>
          </cell>
          <cell r="D533" t="str">
            <v>UTILITY EXPENSES ELECTRICITY</v>
          </cell>
          <cell r="E533">
            <v>16157</v>
          </cell>
          <cell r="F533">
            <v>1846</v>
          </cell>
          <cell r="G533">
            <v>17804</v>
          </cell>
          <cell r="H533">
            <v>0</v>
          </cell>
          <cell r="I533">
            <v>0</v>
          </cell>
          <cell r="J533">
            <v>0</v>
          </cell>
          <cell r="K533">
            <v>0</v>
          </cell>
          <cell r="L533">
            <v>0</v>
          </cell>
          <cell r="M533">
            <v>0</v>
          </cell>
          <cell r="N533">
            <v>0</v>
          </cell>
          <cell r="O533">
            <v>0</v>
          </cell>
          <cell r="P533">
            <v>0</v>
          </cell>
          <cell r="Q533">
            <v>35807</v>
          </cell>
        </row>
        <row r="534">
          <cell r="A534" t="str">
            <v>US22P015503921100001</v>
          </cell>
          <cell r="B534" t="str">
            <v>US22P01550</v>
          </cell>
          <cell r="C534">
            <v>3921100001</v>
          </cell>
          <cell r="D534" t="str">
            <v>UTILITY EXPENSES ELECTRICITY</v>
          </cell>
          <cell r="E534">
            <v>200</v>
          </cell>
          <cell r="F534">
            <v>0</v>
          </cell>
          <cell r="G534">
            <v>0</v>
          </cell>
          <cell r="H534">
            <v>0</v>
          </cell>
          <cell r="I534">
            <v>0</v>
          </cell>
          <cell r="J534">
            <v>0</v>
          </cell>
          <cell r="K534">
            <v>0</v>
          </cell>
          <cell r="L534">
            <v>0</v>
          </cell>
          <cell r="M534">
            <v>0</v>
          </cell>
          <cell r="N534">
            <v>0</v>
          </cell>
          <cell r="O534">
            <v>0</v>
          </cell>
          <cell r="P534">
            <v>0</v>
          </cell>
          <cell r="Q534">
            <v>200</v>
          </cell>
        </row>
        <row r="535">
          <cell r="A535" t="str">
            <v>US28MZA1503921100001</v>
          </cell>
          <cell r="B535" t="str">
            <v>US28MZA150</v>
          </cell>
          <cell r="C535">
            <v>3921100001</v>
          </cell>
          <cell r="D535" t="str">
            <v>UTILITY EXPENSES ELECTRICITY</v>
          </cell>
          <cell r="E535">
            <v>1723</v>
          </cell>
          <cell r="F535">
            <v>1126</v>
          </cell>
          <cell r="G535">
            <v>1264</v>
          </cell>
          <cell r="H535">
            <v>0</v>
          </cell>
          <cell r="I535">
            <v>0</v>
          </cell>
          <cell r="J535">
            <v>0</v>
          </cell>
          <cell r="K535">
            <v>0</v>
          </cell>
          <cell r="L535">
            <v>0</v>
          </cell>
          <cell r="M535">
            <v>0</v>
          </cell>
          <cell r="N535">
            <v>0</v>
          </cell>
          <cell r="O535">
            <v>0</v>
          </cell>
          <cell r="P535">
            <v>0</v>
          </cell>
          <cell r="Q535">
            <v>4113</v>
          </cell>
        </row>
        <row r="536">
          <cell r="A536" t="str">
            <v>US28P015013921100001</v>
          </cell>
          <cell r="B536" t="str">
            <v>US28P01501</v>
          </cell>
          <cell r="C536">
            <v>3921100001</v>
          </cell>
          <cell r="D536" t="str">
            <v>UTILITY EXPENSES ELECTRICITY</v>
          </cell>
          <cell r="E536">
            <v>13978</v>
          </cell>
          <cell r="F536">
            <v>9298</v>
          </cell>
          <cell r="G536">
            <v>10060</v>
          </cell>
          <cell r="H536">
            <v>0</v>
          </cell>
          <cell r="I536">
            <v>0</v>
          </cell>
          <cell r="J536">
            <v>0</v>
          </cell>
          <cell r="K536">
            <v>0</v>
          </cell>
          <cell r="L536">
            <v>0</v>
          </cell>
          <cell r="M536">
            <v>0</v>
          </cell>
          <cell r="N536">
            <v>0</v>
          </cell>
          <cell r="O536">
            <v>0</v>
          </cell>
          <cell r="P536">
            <v>0</v>
          </cell>
          <cell r="Q536">
            <v>33336</v>
          </cell>
        </row>
        <row r="537">
          <cell r="A537" t="str">
            <v>US35MZA1503921100001</v>
          </cell>
          <cell r="B537" t="str">
            <v>US35MZA150</v>
          </cell>
          <cell r="C537">
            <v>3921100001</v>
          </cell>
          <cell r="D537" t="str">
            <v>UTILITY EXPENSES ELECTRICITY</v>
          </cell>
          <cell r="E537">
            <v>261</v>
          </cell>
          <cell r="F537">
            <v>372</v>
          </cell>
          <cell r="G537">
            <v>368</v>
          </cell>
          <cell r="H537">
            <v>0</v>
          </cell>
          <cell r="I537">
            <v>0</v>
          </cell>
          <cell r="J537">
            <v>0</v>
          </cell>
          <cell r="K537">
            <v>0</v>
          </cell>
          <cell r="L537">
            <v>0</v>
          </cell>
          <cell r="M537">
            <v>0</v>
          </cell>
          <cell r="N537">
            <v>0</v>
          </cell>
          <cell r="O537">
            <v>0</v>
          </cell>
          <cell r="P537">
            <v>0</v>
          </cell>
          <cell r="Q537">
            <v>1001</v>
          </cell>
        </row>
        <row r="538">
          <cell r="A538" t="str">
            <v>US35P015013921100001</v>
          </cell>
          <cell r="B538" t="str">
            <v>US35P01501</v>
          </cell>
          <cell r="C538">
            <v>3921100001</v>
          </cell>
          <cell r="D538" t="str">
            <v>UTILITY EXPENSES ELECTRICITY</v>
          </cell>
          <cell r="E538">
            <v>8906</v>
          </cell>
          <cell r="F538">
            <v>9177</v>
          </cell>
          <cell r="G538">
            <v>9949</v>
          </cell>
          <cell r="H538">
            <v>0</v>
          </cell>
          <cell r="I538">
            <v>0</v>
          </cell>
          <cell r="J538">
            <v>0</v>
          </cell>
          <cell r="K538">
            <v>0</v>
          </cell>
          <cell r="L538">
            <v>0</v>
          </cell>
          <cell r="M538">
            <v>0</v>
          </cell>
          <cell r="N538">
            <v>0</v>
          </cell>
          <cell r="O538">
            <v>0</v>
          </cell>
          <cell r="P538">
            <v>0</v>
          </cell>
          <cell r="Q538">
            <v>28032</v>
          </cell>
        </row>
        <row r="539">
          <cell r="A539" t="str">
            <v>US35P015643921100001</v>
          </cell>
          <cell r="B539" t="str">
            <v>US35P01564</v>
          </cell>
          <cell r="C539">
            <v>3921100001</v>
          </cell>
          <cell r="D539" t="str">
            <v>UTILITY EXPENSES ELECTRICITY</v>
          </cell>
          <cell r="E539">
            <v>2137</v>
          </cell>
          <cell r="F539">
            <v>2198</v>
          </cell>
          <cell r="G539">
            <v>1500</v>
          </cell>
          <cell r="H539">
            <v>0</v>
          </cell>
          <cell r="I539">
            <v>0</v>
          </cell>
          <cell r="J539">
            <v>0</v>
          </cell>
          <cell r="K539">
            <v>0</v>
          </cell>
          <cell r="L539">
            <v>0</v>
          </cell>
          <cell r="M539">
            <v>0</v>
          </cell>
          <cell r="N539">
            <v>0</v>
          </cell>
          <cell r="O539">
            <v>0</v>
          </cell>
          <cell r="P539">
            <v>0</v>
          </cell>
          <cell r="Q539">
            <v>5835</v>
          </cell>
        </row>
        <row r="540">
          <cell r="A540" t="str">
            <v>US59MZA1503921100001</v>
          </cell>
          <cell r="B540" t="str">
            <v>US59MZA150</v>
          </cell>
          <cell r="C540">
            <v>3921100001</v>
          </cell>
          <cell r="D540" t="str">
            <v>UTILITY EXPENSES ELECTRICITY</v>
          </cell>
          <cell r="E540">
            <v>0</v>
          </cell>
          <cell r="F540">
            <v>0</v>
          </cell>
          <cell r="G540">
            <v>116</v>
          </cell>
          <cell r="H540">
            <v>0</v>
          </cell>
          <cell r="I540">
            <v>0</v>
          </cell>
          <cell r="J540">
            <v>0</v>
          </cell>
          <cell r="K540">
            <v>0</v>
          </cell>
          <cell r="L540">
            <v>0</v>
          </cell>
          <cell r="M540">
            <v>0</v>
          </cell>
          <cell r="N540">
            <v>0</v>
          </cell>
          <cell r="O540">
            <v>0</v>
          </cell>
          <cell r="P540">
            <v>0</v>
          </cell>
          <cell r="Q540">
            <v>116</v>
          </cell>
        </row>
        <row r="541">
          <cell r="A541" t="str">
            <v>US59P015013921100001</v>
          </cell>
          <cell r="B541" t="str">
            <v>US59P01501</v>
          </cell>
          <cell r="C541">
            <v>3921100001</v>
          </cell>
          <cell r="D541" t="str">
            <v>UTILITY EXPENSES ELECTRICITY</v>
          </cell>
          <cell r="E541">
            <v>278</v>
          </cell>
          <cell r="F541">
            <v>-2591</v>
          </cell>
          <cell r="G541">
            <v>475</v>
          </cell>
          <cell r="H541">
            <v>0</v>
          </cell>
          <cell r="I541">
            <v>0</v>
          </cell>
          <cell r="J541">
            <v>0</v>
          </cell>
          <cell r="K541">
            <v>0</v>
          </cell>
          <cell r="L541">
            <v>0</v>
          </cell>
          <cell r="M541">
            <v>0</v>
          </cell>
          <cell r="N541">
            <v>0</v>
          </cell>
          <cell r="O541">
            <v>0</v>
          </cell>
          <cell r="P541">
            <v>0</v>
          </cell>
          <cell r="Q541">
            <v>-1838</v>
          </cell>
        </row>
        <row r="542">
          <cell r="A542" t="str">
            <v>US59P015603921100001</v>
          </cell>
          <cell r="B542" t="str">
            <v>US59P01560</v>
          </cell>
          <cell r="C542">
            <v>3921100001</v>
          </cell>
          <cell r="D542" t="str">
            <v>UTILITY EXPENSES ELECTRICITY</v>
          </cell>
          <cell r="E542">
            <v>7021</v>
          </cell>
          <cell r="F542">
            <v>6029</v>
          </cell>
          <cell r="G542">
            <v>7460</v>
          </cell>
          <cell r="H542">
            <v>0</v>
          </cell>
          <cell r="I542">
            <v>0</v>
          </cell>
          <cell r="J542">
            <v>0</v>
          </cell>
          <cell r="K542">
            <v>0</v>
          </cell>
          <cell r="L542">
            <v>0</v>
          </cell>
          <cell r="M542">
            <v>0</v>
          </cell>
          <cell r="N542">
            <v>0</v>
          </cell>
          <cell r="O542">
            <v>0</v>
          </cell>
          <cell r="P542">
            <v>0</v>
          </cell>
          <cell r="Q542">
            <v>20510</v>
          </cell>
        </row>
        <row r="543">
          <cell r="A543" t="str">
            <v>US59P3C5013921100001</v>
          </cell>
          <cell r="B543" t="str">
            <v>US59P3C501</v>
          </cell>
          <cell r="C543">
            <v>3921100001</v>
          </cell>
          <cell r="D543" t="str">
            <v>UTILITY EXPENSES ELECTRICITY</v>
          </cell>
          <cell r="E543">
            <v>76</v>
          </cell>
          <cell r="F543">
            <v>500</v>
          </cell>
          <cell r="G543">
            <v>68</v>
          </cell>
          <cell r="H543">
            <v>0</v>
          </cell>
          <cell r="I543">
            <v>0</v>
          </cell>
          <cell r="J543">
            <v>0</v>
          </cell>
          <cell r="K543">
            <v>0</v>
          </cell>
          <cell r="L543">
            <v>0</v>
          </cell>
          <cell r="M543">
            <v>0</v>
          </cell>
          <cell r="N543">
            <v>0</v>
          </cell>
          <cell r="O543">
            <v>0</v>
          </cell>
          <cell r="P543">
            <v>0</v>
          </cell>
          <cell r="Q543">
            <v>644</v>
          </cell>
        </row>
        <row r="544">
          <cell r="A544" t="str">
            <v>US59P3C5603921100001</v>
          </cell>
          <cell r="B544" t="str">
            <v>US59P3C560</v>
          </cell>
          <cell r="C544">
            <v>3921100001</v>
          </cell>
          <cell r="D544" t="str">
            <v>UTILITY EXPENSES ELECTRICITY</v>
          </cell>
          <cell r="E544">
            <v>6597</v>
          </cell>
          <cell r="F544">
            <v>6029</v>
          </cell>
          <cell r="G544">
            <v>7460</v>
          </cell>
          <cell r="H544">
            <v>0</v>
          </cell>
          <cell r="I544">
            <v>0</v>
          </cell>
          <cell r="J544">
            <v>0</v>
          </cell>
          <cell r="K544">
            <v>0</v>
          </cell>
          <cell r="L544">
            <v>0</v>
          </cell>
          <cell r="M544">
            <v>0</v>
          </cell>
          <cell r="N544">
            <v>0</v>
          </cell>
          <cell r="O544">
            <v>0</v>
          </cell>
          <cell r="P544">
            <v>0</v>
          </cell>
          <cell r="Q544">
            <v>20086</v>
          </cell>
        </row>
        <row r="545">
          <cell r="A545" t="str">
            <v>USCOP015013921100001</v>
          </cell>
          <cell r="B545" t="str">
            <v>USCOP01501</v>
          </cell>
          <cell r="C545">
            <v>3921100001</v>
          </cell>
          <cell r="D545" t="str">
            <v>UTILITY EXPENSES ELECTRICITY</v>
          </cell>
          <cell r="E545">
            <v>360</v>
          </cell>
          <cell r="F545">
            <v>442</v>
          </cell>
          <cell r="G545">
            <v>453</v>
          </cell>
          <cell r="H545">
            <v>0</v>
          </cell>
          <cell r="I545">
            <v>0</v>
          </cell>
          <cell r="J545">
            <v>0</v>
          </cell>
          <cell r="K545">
            <v>0</v>
          </cell>
          <cell r="L545">
            <v>0</v>
          </cell>
          <cell r="M545">
            <v>0</v>
          </cell>
          <cell r="N545">
            <v>0</v>
          </cell>
          <cell r="O545">
            <v>0</v>
          </cell>
          <cell r="P545">
            <v>0</v>
          </cell>
          <cell r="Q545">
            <v>1255</v>
          </cell>
        </row>
        <row r="546">
          <cell r="A546" t="str">
            <v>USCRMZA1503921100001</v>
          </cell>
          <cell r="B546" t="str">
            <v>USCRMZA150</v>
          </cell>
          <cell r="C546">
            <v>3921100001</v>
          </cell>
          <cell r="D546" t="str">
            <v>UTILITY EXPENSES ELECTRICITY</v>
          </cell>
          <cell r="E546">
            <v>0</v>
          </cell>
          <cell r="F546">
            <v>0</v>
          </cell>
          <cell r="G546">
            <v>7480</v>
          </cell>
          <cell r="H546">
            <v>0</v>
          </cell>
          <cell r="I546">
            <v>0</v>
          </cell>
          <cell r="J546">
            <v>0</v>
          </cell>
          <cell r="K546">
            <v>0</v>
          </cell>
          <cell r="L546">
            <v>0</v>
          </cell>
          <cell r="M546">
            <v>0</v>
          </cell>
          <cell r="N546">
            <v>0</v>
          </cell>
          <cell r="O546">
            <v>0</v>
          </cell>
          <cell r="P546">
            <v>0</v>
          </cell>
          <cell r="Q546">
            <v>7480</v>
          </cell>
        </row>
        <row r="547">
          <cell r="A547" t="str">
            <v>USCRP015013921100001</v>
          </cell>
          <cell r="B547" t="str">
            <v>USCRP01501</v>
          </cell>
          <cell r="C547">
            <v>3921100001</v>
          </cell>
          <cell r="D547" t="str">
            <v>UTILITY EXPENSES ELECTRICITY</v>
          </cell>
          <cell r="E547">
            <v>23690</v>
          </cell>
          <cell r="F547">
            <v>12908</v>
          </cell>
          <cell r="G547">
            <v>10343</v>
          </cell>
          <cell r="H547">
            <v>0</v>
          </cell>
          <cell r="I547">
            <v>0</v>
          </cell>
          <cell r="J547">
            <v>0</v>
          </cell>
          <cell r="K547">
            <v>0</v>
          </cell>
          <cell r="L547">
            <v>0</v>
          </cell>
          <cell r="M547">
            <v>0</v>
          </cell>
          <cell r="N547">
            <v>0</v>
          </cell>
          <cell r="O547">
            <v>0</v>
          </cell>
          <cell r="P547">
            <v>0</v>
          </cell>
          <cell r="Q547">
            <v>46941</v>
          </cell>
        </row>
        <row r="548">
          <cell r="A548" t="str">
            <v>USCRP015643921100001</v>
          </cell>
          <cell r="B548" t="str">
            <v>USCRP01564</v>
          </cell>
          <cell r="C548">
            <v>3921100001</v>
          </cell>
          <cell r="D548" t="str">
            <v>UTILITY EXPENSES ELECTRICITY</v>
          </cell>
          <cell r="E548">
            <v>0</v>
          </cell>
          <cell r="F548">
            <v>11971</v>
          </cell>
          <cell r="G548">
            <v>11877</v>
          </cell>
          <cell r="H548">
            <v>0</v>
          </cell>
          <cell r="I548">
            <v>0</v>
          </cell>
          <cell r="J548">
            <v>0</v>
          </cell>
          <cell r="K548">
            <v>0</v>
          </cell>
          <cell r="L548">
            <v>0</v>
          </cell>
          <cell r="M548">
            <v>0</v>
          </cell>
          <cell r="N548">
            <v>0</v>
          </cell>
          <cell r="O548">
            <v>0</v>
          </cell>
          <cell r="P548">
            <v>0</v>
          </cell>
          <cell r="Q548">
            <v>23848</v>
          </cell>
        </row>
        <row r="549">
          <cell r="A549" t="str">
            <v>USCRP015753921100001</v>
          </cell>
          <cell r="B549" t="str">
            <v>USCRP01575</v>
          </cell>
          <cell r="C549">
            <v>3921100001</v>
          </cell>
          <cell r="D549" t="str">
            <v>UTILITY EXPENSES ELECTRICITY</v>
          </cell>
          <cell r="E549">
            <v>0</v>
          </cell>
          <cell r="F549">
            <v>1450</v>
          </cell>
          <cell r="G549">
            <v>1330</v>
          </cell>
          <cell r="H549">
            <v>0</v>
          </cell>
          <cell r="I549">
            <v>0</v>
          </cell>
          <cell r="J549">
            <v>0</v>
          </cell>
          <cell r="K549">
            <v>0</v>
          </cell>
          <cell r="L549">
            <v>0</v>
          </cell>
          <cell r="M549">
            <v>0</v>
          </cell>
          <cell r="N549">
            <v>0</v>
          </cell>
          <cell r="O549">
            <v>0</v>
          </cell>
          <cell r="P549">
            <v>0</v>
          </cell>
          <cell r="Q549">
            <v>2780</v>
          </cell>
        </row>
        <row r="550">
          <cell r="A550" t="str">
            <v>USSTP015013921100001</v>
          </cell>
          <cell r="B550" t="str">
            <v>USSTP01501</v>
          </cell>
          <cell r="C550">
            <v>3921100001</v>
          </cell>
          <cell r="D550" t="str">
            <v>UTILITY EXPENSES ELECTRICITY</v>
          </cell>
          <cell r="E550">
            <v>332</v>
          </cell>
          <cell r="F550">
            <v>572</v>
          </cell>
          <cell r="G550">
            <v>642</v>
          </cell>
          <cell r="H550">
            <v>0</v>
          </cell>
          <cell r="I550">
            <v>0</v>
          </cell>
          <cell r="J550">
            <v>0</v>
          </cell>
          <cell r="K550">
            <v>0</v>
          </cell>
          <cell r="L550">
            <v>0</v>
          </cell>
          <cell r="M550">
            <v>0</v>
          </cell>
          <cell r="N550">
            <v>0</v>
          </cell>
          <cell r="O550">
            <v>0</v>
          </cell>
          <cell r="P550">
            <v>0</v>
          </cell>
          <cell r="Q550">
            <v>1546</v>
          </cell>
        </row>
        <row r="551">
          <cell r="A551" t="str">
            <v>USWOP015013921100001</v>
          </cell>
          <cell r="B551" t="str">
            <v>USWOP01501</v>
          </cell>
          <cell r="C551">
            <v>3921100001</v>
          </cell>
          <cell r="D551" t="str">
            <v>UTILITY EXPENSES ELECTRICITY</v>
          </cell>
          <cell r="E551">
            <v>19715</v>
          </cell>
          <cell r="F551">
            <v>22929</v>
          </cell>
          <cell r="G551">
            <v>23214</v>
          </cell>
          <cell r="H551">
            <v>0</v>
          </cell>
          <cell r="I551">
            <v>0</v>
          </cell>
          <cell r="J551">
            <v>0</v>
          </cell>
          <cell r="K551">
            <v>0</v>
          </cell>
          <cell r="L551">
            <v>0</v>
          </cell>
          <cell r="M551">
            <v>0</v>
          </cell>
          <cell r="N551">
            <v>0</v>
          </cell>
          <cell r="O551">
            <v>0</v>
          </cell>
          <cell r="P551">
            <v>0</v>
          </cell>
          <cell r="Q551">
            <v>65858</v>
          </cell>
        </row>
        <row r="552">
          <cell r="A552" t="str">
            <v>US22MZA1503921200001</v>
          </cell>
          <cell r="B552" t="str">
            <v>US22MZA150</v>
          </cell>
          <cell r="C552">
            <v>3921200001</v>
          </cell>
          <cell r="D552" t="str">
            <v>FUEL</v>
          </cell>
          <cell r="E552">
            <v>2453</v>
          </cell>
          <cell r="F552">
            <v>2387</v>
          </cell>
          <cell r="G552">
            <v>3344</v>
          </cell>
          <cell r="H552">
            <v>0</v>
          </cell>
          <cell r="I552">
            <v>0</v>
          </cell>
          <cell r="J552">
            <v>0</v>
          </cell>
          <cell r="K552">
            <v>0</v>
          </cell>
          <cell r="L552">
            <v>0</v>
          </cell>
          <cell r="M552">
            <v>0</v>
          </cell>
          <cell r="N552">
            <v>0</v>
          </cell>
          <cell r="O552">
            <v>0</v>
          </cell>
          <cell r="P552">
            <v>0</v>
          </cell>
          <cell r="Q552">
            <v>8184</v>
          </cell>
        </row>
        <row r="553">
          <cell r="A553" t="str">
            <v>US22P015013921200001</v>
          </cell>
          <cell r="B553" t="str">
            <v>US22P01501</v>
          </cell>
          <cell r="C553">
            <v>3921200001</v>
          </cell>
          <cell r="D553" t="str">
            <v>FUEL</v>
          </cell>
          <cell r="E553">
            <v>2394</v>
          </cell>
          <cell r="F553">
            <v>21519</v>
          </cell>
          <cell r="G553">
            <v>12581</v>
          </cell>
          <cell r="H553">
            <v>0</v>
          </cell>
          <cell r="I553">
            <v>0</v>
          </cell>
          <cell r="J553">
            <v>0</v>
          </cell>
          <cell r="K553">
            <v>0</v>
          </cell>
          <cell r="L553">
            <v>0</v>
          </cell>
          <cell r="M553">
            <v>0</v>
          </cell>
          <cell r="N553">
            <v>0</v>
          </cell>
          <cell r="O553">
            <v>0</v>
          </cell>
          <cell r="P553">
            <v>0</v>
          </cell>
          <cell r="Q553">
            <v>36494</v>
          </cell>
        </row>
        <row r="554">
          <cell r="A554" t="str">
            <v>US22P015503921200001</v>
          </cell>
          <cell r="B554" t="str">
            <v>US22P01550</v>
          </cell>
          <cell r="C554">
            <v>3921200001</v>
          </cell>
          <cell r="D554" t="str">
            <v>FUEL</v>
          </cell>
          <cell r="E554">
            <v>0</v>
          </cell>
          <cell r="F554">
            <v>455</v>
          </cell>
          <cell r="G554">
            <v>482</v>
          </cell>
          <cell r="H554">
            <v>0</v>
          </cell>
          <cell r="I554">
            <v>0</v>
          </cell>
          <cell r="J554">
            <v>0</v>
          </cell>
          <cell r="K554">
            <v>0</v>
          </cell>
          <cell r="L554">
            <v>0</v>
          </cell>
          <cell r="M554">
            <v>0</v>
          </cell>
          <cell r="N554">
            <v>0</v>
          </cell>
          <cell r="O554">
            <v>0</v>
          </cell>
          <cell r="P554">
            <v>0</v>
          </cell>
          <cell r="Q554">
            <v>937</v>
          </cell>
        </row>
        <row r="555">
          <cell r="A555" t="str">
            <v>US22P015643921200001</v>
          </cell>
          <cell r="B555" t="str">
            <v>US22P01564</v>
          </cell>
          <cell r="C555">
            <v>3921200001</v>
          </cell>
          <cell r="D555" t="str">
            <v>FUEL</v>
          </cell>
          <cell r="E555">
            <v>-11568</v>
          </cell>
          <cell r="F555">
            <v>20</v>
          </cell>
          <cell r="G555">
            <v>29</v>
          </cell>
          <cell r="H555">
            <v>0</v>
          </cell>
          <cell r="I555">
            <v>0</v>
          </cell>
          <cell r="J555">
            <v>0</v>
          </cell>
          <cell r="K555">
            <v>0</v>
          </cell>
          <cell r="L555">
            <v>0</v>
          </cell>
          <cell r="M555">
            <v>0</v>
          </cell>
          <cell r="N555">
            <v>0</v>
          </cell>
          <cell r="O555">
            <v>0</v>
          </cell>
          <cell r="P555">
            <v>0</v>
          </cell>
          <cell r="Q555">
            <v>-11519</v>
          </cell>
        </row>
        <row r="556">
          <cell r="A556" t="str">
            <v>US28MZA1503921200001</v>
          </cell>
          <cell r="B556" t="str">
            <v>US28MZA150</v>
          </cell>
          <cell r="C556">
            <v>3921200001</v>
          </cell>
          <cell r="D556" t="str">
            <v>FUEL</v>
          </cell>
          <cell r="E556">
            <v>985</v>
          </cell>
          <cell r="F556">
            <v>1536</v>
          </cell>
          <cell r="G556">
            <v>1570</v>
          </cell>
          <cell r="H556">
            <v>0</v>
          </cell>
          <cell r="I556">
            <v>0</v>
          </cell>
          <cell r="J556">
            <v>0</v>
          </cell>
          <cell r="K556">
            <v>0</v>
          </cell>
          <cell r="L556">
            <v>0</v>
          </cell>
          <cell r="M556">
            <v>0</v>
          </cell>
          <cell r="N556">
            <v>0</v>
          </cell>
          <cell r="O556">
            <v>0</v>
          </cell>
          <cell r="P556">
            <v>0</v>
          </cell>
          <cell r="Q556">
            <v>4091</v>
          </cell>
        </row>
        <row r="557">
          <cell r="A557" t="str">
            <v>US28P015013921200001</v>
          </cell>
          <cell r="B557" t="str">
            <v>US28P01501</v>
          </cell>
          <cell r="C557">
            <v>3921200001</v>
          </cell>
          <cell r="D557" t="str">
            <v>FUEL</v>
          </cell>
          <cell r="E557">
            <v>1296</v>
          </cell>
          <cell r="F557">
            <v>1634</v>
          </cell>
          <cell r="G557">
            <v>1259</v>
          </cell>
          <cell r="H557">
            <v>0</v>
          </cell>
          <cell r="I557">
            <v>0</v>
          </cell>
          <cell r="J557">
            <v>0</v>
          </cell>
          <cell r="K557">
            <v>0</v>
          </cell>
          <cell r="L557">
            <v>0</v>
          </cell>
          <cell r="M557">
            <v>0</v>
          </cell>
          <cell r="N557">
            <v>0</v>
          </cell>
          <cell r="O557">
            <v>0</v>
          </cell>
          <cell r="P557">
            <v>0</v>
          </cell>
          <cell r="Q557">
            <v>4189</v>
          </cell>
        </row>
        <row r="558">
          <cell r="A558" t="str">
            <v>US28P015503921200001</v>
          </cell>
          <cell r="B558" t="str">
            <v>US28P01550</v>
          </cell>
          <cell r="C558">
            <v>3921200001</v>
          </cell>
          <cell r="D558" t="str">
            <v>FUEL</v>
          </cell>
          <cell r="E558">
            <v>40</v>
          </cell>
          <cell r="F558">
            <v>0</v>
          </cell>
          <cell r="G558">
            <v>0</v>
          </cell>
          <cell r="H558">
            <v>0</v>
          </cell>
          <cell r="I558">
            <v>0</v>
          </cell>
          <cell r="J558">
            <v>0</v>
          </cell>
          <cell r="K558">
            <v>0</v>
          </cell>
          <cell r="L558">
            <v>0</v>
          </cell>
          <cell r="M558">
            <v>0</v>
          </cell>
          <cell r="N558">
            <v>0</v>
          </cell>
          <cell r="O558">
            <v>0</v>
          </cell>
          <cell r="P558">
            <v>0</v>
          </cell>
          <cell r="Q558">
            <v>40</v>
          </cell>
        </row>
        <row r="559">
          <cell r="A559" t="str">
            <v>US28P015603921200001</v>
          </cell>
          <cell r="B559" t="str">
            <v>US28P01560</v>
          </cell>
          <cell r="C559">
            <v>3921200001</v>
          </cell>
          <cell r="D559" t="str">
            <v>FUEL</v>
          </cell>
          <cell r="E559">
            <v>316</v>
          </cell>
          <cell r="F559">
            <v>250</v>
          </cell>
          <cell r="G559">
            <v>250</v>
          </cell>
          <cell r="H559">
            <v>0</v>
          </cell>
          <cell r="I559">
            <v>0</v>
          </cell>
          <cell r="J559">
            <v>0</v>
          </cell>
          <cell r="K559">
            <v>0</v>
          </cell>
          <cell r="L559">
            <v>0</v>
          </cell>
          <cell r="M559">
            <v>0</v>
          </cell>
          <cell r="N559">
            <v>0</v>
          </cell>
          <cell r="O559">
            <v>0</v>
          </cell>
          <cell r="P559">
            <v>0</v>
          </cell>
          <cell r="Q559">
            <v>816</v>
          </cell>
        </row>
        <row r="560">
          <cell r="A560" t="str">
            <v>US28P015643921200001</v>
          </cell>
          <cell r="B560" t="str">
            <v>US28P01564</v>
          </cell>
          <cell r="C560">
            <v>3921200001</v>
          </cell>
          <cell r="D560" t="str">
            <v>FUEL</v>
          </cell>
          <cell r="E560">
            <v>357</v>
          </cell>
          <cell r="F560">
            <v>430</v>
          </cell>
          <cell r="G560">
            <v>137</v>
          </cell>
          <cell r="H560">
            <v>0</v>
          </cell>
          <cell r="I560">
            <v>0</v>
          </cell>
          <cell r="J560">
            <v>0</v>
          </cell>
          <cell r="K560">
            <v>0</v>
          </cell>
          <cell r="L560">
            <v>0</v>
          </cell>
          <cell r="M560">
            <v>0</v>
          </cell>
          <cell r="N560">
            <v>0</v>
          </cell>
          <cell r="O560">
            <v>0</v>
          </cell>
          <cell r="P560">
            <v>0</v>
          </cell>
          <cell r="Q560">
            <v>924</v>
          </cell>
        </row>
        <row r="561">
          <cell r="A561" t="str">
            <v>US35MZA1503921200001</v>
          </cell>
          <cell r="B561" t="str">
            <v>US35MZA150</v>
          </cell>
          <cell r="C561">
            <v>3921200001</v>
          </cell>
          <cell r="D561" t="str">
            <v>FUEL</v>
          </cell>
          <cell r="E561">
            <v>2887</v>
          </cell>
          <cell r="F561">
            <v>3433</v>
          </cell>
          <cell r="G561">
            <v>3315</v>
          </cell>
          <cell r="H561">
            <v>0</v>
          </cell>
          <cell r="I561">
            <v>0</v>
          </cell>
          <cell r="J561">
            <v>0</v>
          </cell>
          <cell r="K561">
            <v>0</v>
          </cell>
          <cell r="L561">
            <v>0</v>
          </cell>
          <cell r="M561">
            <v>0</v>
          </cell>
          <cell r="N561">
            <v>0</v>
          </cell>
          <cell r="O561">
            <v>0</v>
          </cell>
          <cell r="P561">
            <v>0</v>
          </cell>
          <cell r="Q561">
            <v>9635</v>
          </cell>
        </row>
        <row r="562">
          <cell r="A562" t="str">
            <v>US35P015013921200001</v>
          </cell>
          <cell r="B562" t="str">
            <v>US35P01501</v>
          </cell>
          <cell r="C562">
            <v>3921200001</v>
          </cell>
          <cell r="D562" t="str">
            <v>FUEL</v>
          </cell>
          <cell r="E562">
            <v>0</v>
          </cell>
          <cell r="F562">
            <v>248</v>
          </cell>
          <cell r="G562">
            <v>172</v>
          </cell>
          <cell r="H562">
            <v>0</v>
          </cell>
          <cell r="I562">
            <v>0</v>
          </cell>
          <cell r="J562">
            <v>0</v>
          </cell>
          <cell r="K562">
            <v>0</v>
          </cell>
          <cell r="L562">
            <v>0</v>
          </cell>
          <cell r="M562">
            <v>0</v>
          </cell>
          <cell r="N562">
            <v>0</v>
          </cell>
          <cell r="O562">
            <v>0</v>
          </cell>
          <cell r="P562">
            <v>0</v>
          </cell>
          <cell r="Q562">
            <v>420</v>
          </cell>
        </row>
        <row r="563">
          <cell r="A563" t="str">
            <v>US35P015503921200001</v>
          </cell>
          <cell r="B563" t="str">
            <v>US35P01550</v>
          </cell>
          <cell r="C563">
            <v>3921200001</v>
          </cell>
          <cell r="D563" t="str">
            <v>FUEL</v>
          </cell>
          <cell r="E563">
            <v>3492</v>
          </cell>
          <cell r="F563">
            <v>5959</v>
          </cell>
          <cell r="G563">
            <v>298</v>
          </cell>
          <cell r="H563">
            <v>0</v>
          </cell>
          <cell r="I563">
            <v>0</v>
          </cell>
          <cell r="J563">
            <v>0</v>
          </cell>
          <cell r="K563">
            <v>0</v>
          </cell>
          <cell r="L563">
            <v>0</v>
          </cell>
          <cell r="M563">
            <v>0</v>
          </cell>
          <cell r="N563">
            <v>0</v>
          </cell>
          <cell r="O563">
            <v>0</v>
          </cell>
          <cell r="P563">
            <v>0</v>
          </cell>
          <cell r="Q563">
            <v>9749</v>
          </cell>
        </row>
        <row r="564">
          <cell r="A564" t="str">
            <v>US35P015603921200001</v>
          </cell>
          <cell r="B564" t="str">
            <v>US35P01560</v>
          </cell>
          <cell r="C564">
            <v>3921200001</v>
          </cell>
          <cell r="D564" t="str">
            <v>FUEL</v>
          </cell>
          <cell r="E564">
            <v>358</v>
          </cell>
          <cell r="F564">
            <v>864</v>
          </cell>
          <cell r="G564">
            <v>0</v>
          </cell>
          <cell r="H564">
            <v>0</v>
          </cell>
          <cell r="I564">
            <v>0</v>
          </cell>
          <cell r="J564">
            <v>0</v>
          </cell>
          <cell r="K564">
            <v>0</v>
          </cell>
          <cell r="L564">
            <v>0</v>
          </cell>
          <cell r="M564">
            <v>0</v>
          </cell>
          <cell r="N564">
            <v>0</v>
          </cell>
          <cell r="O564">
            <v>0</v>
          </cell>
          <cell r="P564">
            <v>0</v>
          </cell>
          <cell r="Q564">
            <v>1222</v>
          </cell>
        </row>
        <row r="565">
          <cell r="A565" t="str">
            <v>US59MZA1503921200001</v>
          </cell>
          <cell r="B565" t="str">
            <v>US59MZA150</v>
          </cell>
          <cell r="C565">
            <v>3921200001</v>
          </cell>
          <cell r="D565" t="str">
            <v>FUEL</v>
          </cell>
          <cell r="E565">
            <v>2116</v>
          </cell>
          <cell r="F565">
            <v>3246</v>
          </cell>
          <cell r="G565">
            <v>1577</v>
          </cell>
          <cell r="H565">
            <v>0</v>
          </cell>
          <cell r="I565">
            <v>0</v>
          </cell>
          <cell r="J565">
            <v>0</v>
          </cell>
          <cell r="K565">
            <v>0</v>
          </cell>
          <cell r="L565">
            <v>0</v>
          </cell>
          <cell r="M565">
            <v>0</v>
          </cell>
          <cell r="N565">
            <v>0</v>
          </cell>
          <cell r="O565">
            <v>0</v>
          </cell>
          <cell r="P565">
            <v>0</v>
          </cell>
          <cell r="Q565">
            <v>6939</v>
          </cell>
        </row>
        <row r="566">
          <cell r="A566" t="str">
            <v>US59P015013921200001</v>
          </cell>
          <cell r="B566" t="str">
            <v>US59P01501</v>
          </cell>
          <cell r="C566">
            <v>3921200001</v>
          </cell>
          <cell r="D566" t="str">
            <v>FUEL</v>
          </cell>
          <cell r="E566">
            <v>2067</v>
          </cell>
          <cell r="F566">
            <v>1523</v>
          </cell>
          <cell r="G566">
            <v>2145</v>
          </cell>
          <cell r="H566">
            <v>0</v>
          </cell>
          <cell r="I566">
            <v>0</v>
          </cell>
          <cell r="J566">
            <v>0</v>
          </cell>
          <cell r="K566">
            <v>0</v>
          </cell>
          <cell r="L566">
            <v>0</v>
          </cell>
          <cell r="M566">
            <v>0</v>
          </cell>
          <cell r="N566">
            <v>0</v>
          </cell>
          <cell r="O566">
            <v>0</v>
          </cell>
          <cell r="P566">
            <v>0</v>
          </cell>
          <cell r="Q566">
            <v>5735</v>
          </cell>
        </row>
        <row r="567">
          <cell r="A567" t="str">
            <v>US59P015603921200001</v>
          </cell>
          <cell r="B567" t="str">
            <v>US59P01560</v>
          </cell>
          <cell r="C567">
            <v>3921200001</v>
          </cell>
          <cell r="D567" t="str">
            <v>FUEL</v>
          </cell>
          <cell r="E567">
            <v>0</v>
          </cell>
          <cell r="F567">
            <v>0</v>
          </cell>
          <cell r="G567">
            <v>0</v>
          </cell>
          <cell r="H567">
            <v>0</v>
          </cell>
          <cell r="I567">
            <v>0</v>
          </cell>
          <cell r="J567">
            <v>0</v>
          </cell>
          <cell r="K567">
            <v>0</v>
          </cell>
          <cell r="L567">
            <v>0</v>
          </cell>
          <cell r="M567">
            <v>0</v>
          </cell>
          <cell r="N567">
            <v>0</v>
          </cell>
          <cell r="O567">
            <v>0</v>
          </cell>
          <cell r="P567">
            <v>0</v>
          </cell>
          <cell r="Q567">
            <v>0</v>
          </cell>
        </row>
        <row r="568">
          <cell r="A568" t="str">
            <v>US59P3C5013921200001</v>
          </cell>
          <cell r="B568" t="str">
            <v>US59P3C501</v>
          </cell>
          <cell r="C568">
            <v>3921200001</v>
          </cell>
          <cell r="D568" t="str">
            <v>FUEL</v>
          </cell>
          <cell r="E568">
            <v>1500</v>
          </cell>
          <cell r="F568">
            <v>1523</v>
          </cell>
          <cell r="G568">
            <v>2141</v>
          </cell>
          <cell r="H568">
            <v>0</v>
          </cell>
          <cell r="I568">
            <v>0</v>
          </cell>
          <cell r="J568">
            <v>0</v>
          </cell>
          <cell r="K568">
            <v>0</v>
          </cell>
          <cell r="L568">
            <v>0</v>
          </cell>
          <cell r="M568">
            <v>0</v>
          </cell>
          <cell r="N568">
            <v>0</v>
          </cell>
          <cell r="O568">
            <v>0</v>
          </cell>
          <cell r="P568">
            <v>0</v>
          </cell>
          <cell r="Q568">
            <v>5164</v>
          </cell>
        </row>
        <row r="569">
          <cell r="A569" t="str">
            <v>USCOP015013921200001</v>
          </cell>
          <cell r="B569" t="str">
            <v>USCOP01501</v>
          </cell>
          <cell r="C569">
            <v>3921200001</v>
          </cell>
          <cell r="D569" t="str">
            <v>FUEL</v>
          </cell>
          <cell r="E569">
            <v>0</v>
          </cell>
          <cell r="F569">
            <v>3860</v>
          </cell>
          <cell r="G569">
            <v>0</v>
          </cell>
          <cell r="H569">
            <v>0</v>
          </cell>
          <cell r="I569">
            <v>0</v>
          </cell>
          <cell r="J569">
            <v>0</v>
          </cell>
          <cell r="K569">
            <v>0</v>
          </cell>
          <cell r="L569">
            <v>0</v>
          </cell>
          <cell r="M569">
            <v>0</v>
          </cell>
          <cell r="N569">
            <v>0</v>
          </cell>
          <cell r="O569">
            <v>0</v>
          </cell>
          <cell r="P569">
            <v>0</v>
          </cell>
          <cell r="Q569">
            <v>3860</v>
          </cell>
        </row>
        <row r="570">
          <cell r="A570" t="str">
            <v>USCRMZA1503921200001</v>
          </cell>
          <cell r="B570" t="str">
            <v>USCRMZA150</v>
          </cell>
          <cell r="C570">
            <v>3921200001</v>
          </cell>
          <cell r="D570" t="str">
            <v>FUEL</v>
          </cell>
          <cell r="E570">
            <v>5365</v>
          </cell>
          <cell r="F570">
            <v>15330</v>
          </cell>
          <cell r="G570">
            <v>5344</v>
          </cell>
          <cell r="H570">
            <v>0</v>
          </cell>
          <cell r="I570">
            <v>0</v>
          </cell>
          <cell r="J570">
            <v>0</v>
          </cell>
          <cell r="K570">
            <v>0</v>
          </cell>
          <cell r="L570">
            <v>0</v>
          </cell>
          <cell r="M570">
            <v>0</v>
          </cell>
          <cell r="N570">
            <v>0</v>
          </cell>
          <cell r="O570">
            <v>0</v>
          </cell>
          <cell r="P570">
            <v>0</v>
          </cell>
          <cell r="Q570">
            <v>26039</v>
          </cell>
        </row>
        <row r="571">
          <cell r="A571" t="str">
            <v>USCRP015013921200001</v>
          </cell>
          <cell r="B571" t="str">
            <v>USCRP01501</v>
          </cell>
          <cell r="C571">
            <v>3921200001</v>
          </cell>
          <cell r="D571" t="str">
            <v>FUEL</v>
          </cell>
          <cell r="E571">
            <v>24206</v>
          </cell>
          <cell r="F571">
            <v>4674</v>
          </cell>
          <cell r="G571">
            <v>5374</v>
          </cell>
          <cell r="H571">
            <v>0</v>
          </cell>
          <cell r="I571">
            <v>0</v>
          </cell>
          <cell r="J571">
            <v>0</v>
          </cell>
          <cell r="K571">
            <v>0</v>
          </cell>
          <cell r="L571">
            <v>0</v>
          </cell>
          <cell r="M571">
            <v>0</v>
          </cell>
          <cell r="N571">
            <v>0</v>
          </cell>
          <cell r="O571">
            <v>0</v>
          </cell>
          <cell r="P571">
            <v>0</v>
          </cell>
          <cell r="Q571">
            <v>34254</v>
          </cell>
        </row>
        <row r="572">
          <cell r="A572" t="str">
            <v>USCRP015503921200001</v>
          </cell>
          <cell r="B572" t="str">
            <v>USCRP01550</v>
          </cell>
          <cell r="C572">
            <v>3921200001</v>
          </cell>
          <cell r="D572" t="str">
            <v>FUEL</v>
          </cell>
          <cell r="E572">
            <v>0</v>
          </cell>
          <cell r="F572">
            <v>0</v>
          </cell>
          <cell r="G572">
            <v>0</v>
          </cell>
          <cell r="H572">
            <v>0</v>
          </cell>
          <cell r="I572">
            <v>0</v>
          </cell>
          <cell r="J572">
            <v>0</v>
          </cell>
          <cell r="K572">
            <v>0</v>
          </cell>
          <cell r="L572">
            <v>0</v>
          </cell>
          <cell r="M572">
            <v>0</v>
          </cell>
          <cell r="N572">
            <v>0</v>
          </cell>
          <cell r="O572">
            <v>0</v>
          </cell>
          <cell r="P572">
            <v>0</v>
          </cell>
          <cell r="Q572">
            <v>0</v>
          </cell>
        </row>
        <row r="573">
          <cell r="A573" t="str">
            <v>USCRP015643921200001</v>
          </cell>
          <cell r="B573" t="str">
            <v>USCRP01564</v>
          </cell>
          <cell r="C573">
            <v>3921200001</v>
          </cell>
          <cell r="D573" t="str">
            <v>FUEL</v>
          </cell>
          <cell r="E573">
            <v>0</v>
          </cell>
          <cell r="F573">
            <v>0</v>
          </cell>
          <cell r="G573">
            <v>0</v>
          </cell>
          <cell r="H573">
            <v>0</v>
          </cell>
          <cell r="I573">
            <v>0</v>
          </cell>
          <cell r="J573">
            <v>0</v>
          </cell>
          <cell r="K573">
            <v>0</v>
          </cell>
          <cell r="L573">
            <v>0</v>
          </cell>
          <cell r="M573">
            <v>0</v>
          </cell>
          <cell r="N573">
            <v>0</v>
          </cell>
          <cell r="O573">
            <v>0</v>
          </cell>
          <cell r="P573">
            <v>0</v>
          </cell>
          <cell r="Q573">
            <v>0</v>
          </cell>
        </row>
        <row r="574">
          <cell r="A574" t="str">
            <v>USCRP015753921200001</v>
          </cell>
          <cell r="B574" t="str">
            <v>USCRP01575</v>
          </cell>
          <cell r="C574">
            <v>3921200001</v>
          </cell>
          <cell r="D574" t="str">
            <v>FUEL</v>
          </cell>
          <cell r="E574">
            <v>0</v>
          </cell>
          <cell r="F574">
            <v>1940</v>
          </cell>
          <cell r="G574">
            <v>1677</v>
          </cell>
          <cell r="H574">
            <v>0</v>
          </cell>
          <cell r="I574">
            <v>0</v>
          </cell>
          <cell r="J574">
            <v>0</v>
          </cell>
          <cell r="K574">
            <v>0</v>
          </cell>
          <cell r="L574">
            <v>0</v>
          </cell>
          <cell r="M574">
            <v>0</v>
          </cell>
          <cell r="N574">
            <v>0</v>
          </cell>
          <cell r="O574">
            <v>0</v>
          </cell>
          <cell r="P574">
            <v>0</v>
          </cell>
          <cell r="Q574">
            <v>3617</v>
          </cell>
        </row>
        <row r="575">
          <cell r="A575" t="str">
            <v>USSTP015013921200001</v>
          </cell>
          <cell r="B575" t="str">
            <v>USSTP01501</v>
          </cell>
          <cell r="C575">
            <v>3921200001</v>
          </cell>
          <cell r="D575" t="str">
            <v>FUEL</v>
          </cell>
          <cell r="E575">
            <v>796</v>
          </cell>
          <cell r="F575">
            <v>891</v>
          </cell>
          <cell r="G575">
            <v>1039</v>
          </cell>
          <cell r="H575">
            <v>0</v>
          </cell>
          <cell r="I575">
            <v>0</v>
          </cell>
          <cell r="J575">
            <v>0</v>
          </cell>
          <cell r="K575">
            <v>0</v>
          </cell>
          <cell r="L575">
            <v>0</v>
          </cell>
          <cell r="M575">
            <v>0</v>
          </cell>
          <cell r="N575">
            <v>0</v>
          </cell>
          <cell r="O575">
            <v>0</v>
          </cell>
          <cell r="P575">
            <v>0</v>
          </cell>
          <cell r="Q575">
            <v>2726</v>
          </cell>
        </row>
        <row r="576">
          <cell r="A576" t="str">
            <v>USWOMZA1503921200001</v>
          </cell>
          <cell r="B576" t="str">
            <v>USWOMZA150</v>
          </cell>
          <cell r="C576">
            <v>3921200001</v>
          </cell>
          <cell r="D576" t="str">
            <v>FUEL</v>
          </cell>
          <cell r="E576">
            <v>0</v>
          </cell>
          <cell r="F576">
            <v>903</v>
          </cell>
          <cell r="G576">
            <v>0</v>
          </cell>
          <cell r="H576">
            <v>0</v>
          </cell>
          <cell r="I576">
            <v>0</v>
          </cell>
          <cell r="J576">
            <v>0</v>
          </cell>
          <cell r="K576">
            <v>0</v>
          </cell>
          <cell r="L576">
            <v>0</v>
          </cell>
          <cell r="M576">
            <v>0</v>
          </cell>
          <cell r="N576">
            <v>0</v>
          </cell>
          <cell r="O576">
            <v>0</v>
          </cell>
          <cell r="P576">
            <v>0</v>
          </cell>
          <cell r="Q576">
            <v>903</v>
          </cell>
        </row>
        <row r="577">
          <cell r="A577" t="str">
            <v>USWOP015013921200001</v>
          </cell>
          <cell r="B577" t="str">
            <v>USWOP01501</v>
          </cell>
          <cell r="C577">
            <v>3921200001</v>
          </cell>
          <cell r="D577" t="str">
            <v>FUEL</v>
          </cell>
          <cell r="E577">
            <v>6592</v>
          </cell>
          <cell r="F577">
            <v>7087</v>
          </cell>
          <cell r="G577">
            <v>8082</v>
          </cell>
          <cell r="H577">
            <v>0</v>
          </cell>
          <cell r="I577">
            <v>0</v>
          </cell>
          <cell r="J577">
            <v>0</v>
          </cell>
          <cell r="K577">
            <v>0</v>
          </cell>
          <cell r="L577">
            <v>0</v>
          </cell>
          <cell r="M577">
            <v>0</v>
          </cell>
          <cell r="N577">
            <v>0</v>
          </cell>
          <cell r="O577">
            <v>0</v>
          </cell>
          <cell r="P577">
            <v>0</v>
          </cell>
          <cell r="Q577">
            <v>21761</v>
          </cell>
        </row>
        <row r="578">
          <cell r="A578" t="str">
            <v>USWOP015603921200001</v>
          </cell>
          <cell r="B578" t="str">
            <v>USWOP01560</v>
          </cell>
          <cell r="C578">
            <v>3921200001</v>
          </cell>
          <cell r="D578" t="str">
            <v>FUEL</v>
          </cell>
          <cell r="E578">
            <v>320</v>
          </cell>
          <cell r="F578">
            <v>128</v>
          </cell>
          <cell r="G578">
            <v>0</v>
          </cell>
          <cell r="H578">
            <v>0</v>
          </cell>
          <cell r="I578">
            <v>0</v>
          </cell>
          <cell r="J578">
            <v>0</v>
          </cell>
          <cell r="K578">
            <v>0</v>
          </cell>
          <cell r="L578">
            <v>0</v>
          </cell>
          <cell r="M578">
            <v>0</v>
          </cell>
          <cell r="N578">
            <v>0</v>
          </cell>
          <cell r="O578">
            <v>0</v>
          </cell>
          <cell r="P578">
            <v>0</v>
          </cell>
          <cell r="Q578">
            <v>448</v>
          </cell>
        </row>
        <row r="579">
          <cell r="A579" t="str">
            <v>USWOP015643921200001</v>
          </cell>
          <cell r="B579" t="str">
            <v>USWOP01564</v>
          </cell>
          <cell r="C579">
            <v>3921200001</v>
          </cell>
          <cell r="D579" t="str">
            <v>FUEL</v>
          </cell>
          <cell r="E579">
            <v>61248</v>
          </cell>
          <cell r="F579">
            <v>0</v>
          </cell>
          <cell r="G579">
            <v>0</v>
          </cell>
          <cell r="H579">
            <v>0</v>
          </cell>
          <cell r="I579">
            <v>0</v>
          </cell>
          <cell r="J579">
            <v>0</v>
          </cell>
          <cell r="K579">
            <v>0</v>
          </cell>
          <cell r="L579">
            <v>0</v>
          </cell>
          <cell r="M579">
            <v>0</v>
          </cell>
          <cell r="N579">
            <v>0</v>
          </cell>
          <cell r="O579">
            <v>0</v>
          </cell>
          <cell r="P579">
            <v>0</v>
          </cell>
          <cell r="Q579">
            <v>61248</v>
          </cell>
        </row>
        <row r="580">
          <cell r="A580" t="str">
            <v>US22MZA1503921200003</v>
          </cell>
          <cell r="B580" t="str">
            <v>US22MZA150</v>
          </cell>
          <cell r="C580">
            <v>3921200003</v>
          </cell>
          <cell r="D580" t="str">
            <v>GAS</v>
          </cell>
          <cell r="E580">
            <v>9107</v>
          </cell>
          <cell r="F580">
            <v>0</v>
          </cell>
          <cell r="G580">
            <v>8340</v>
          </cell>
          <cell r="H580">
            <v>0</v>
          </cell>
          <cell r="I580">
            <v>0</v>
          </cell>
          <cell r="J580">
            <v>0</v>
          </cell>
          <cell r="K580">
            <v>0</v>
          </cell>
          <cell r="L580">
            <v>0</v>
          </cell>
          <cell r="M580">
            <v>0</v>
          </cell>
          <cell r="N580">
            <v>0</v>
          </cell>
          <cell r="O580">
            <v>0</v>
          </cell>
          <cell r="P580">
            <v>0</v>
          </cell>
          <cell r="Q580">
            <v>17447</v>
          </cell>
        </row>
        <row r="581">
          <cell r="A581" t="str">
            <v>US22P015013921200003</v>
          </cell>
          <cell r="B581" t="str">
            <v>US22P01501</v>
          </cell>
          <cell r="C581">
            <v>3921200003</v>
          </cell>
          <cell r="D581" t="str">
            <v>GAS</v>
          </cell>
          <cell r="E581">
            <v>1031</v>
          </cell>
          <cell r="F581">
            <v>70</v>
          </cell>
          <cell r="G581">
            <v>1187</v>
          </cell>
          <cell r="H581">
            <v>0</v>
          </cell>
          <cell r="I581">
            <v>0</v>
          </cell>
          <cell r="J581">
            <v>0</v>
          </cell>
          <cell r="K581">
            <v>0</v>
          </cell>
          <cell r="L581">
            <v>0</v>
          </cell>
          <cell r="M581">
            <v>0</v>
          </cell>
          <cell r="N581">
            <v>0</v>
          </cell>
          <cell r="O581">
            <v>0</v>
          </cell>
          <cell r="P581">
            <v>0</v>
          </cell>
          <cell r="Q581">
            <v>2288</v>
          </cell>
        </row>
        <row r="582">
          <cell r="A582" t="str">
            <v>US22P015503921200003</v>
          </cell>
          <cell r="B582" t="str">
            <v>US22P01550</v>
          </cell>
          <cell r="C582">
            <v>3921200003</v>
          </cell>
          <cell r="D582" t="str">
            <v>GAS</v>
          </cell>
          <cell r="E582">
            <v>3763</v>
          </cell>
          <cell r="F582">
            <v>26</v>
          </cell>
          <cell r="G582">
            <v>3267</v>
          </cell>
          <cell r="H582">
            <v>0</v>
          </cell>
          <cell r="I582">
            <v>0</v>
          </cell>
          <cell r="J582">
            <v>0</v>
          </cell>
          <cell r="K582">
            <v>0</v>
          </cell>
          <cell r="L582">
            <v>0</v>
          </cell>
          <cell r="M582">
            <v>0</v>
          </cell>
          <cell r="N582">
            <v>0</v>
          </cell>
          <cell r="O582">
            <v>0</v>
          </cell>
          <cell r="P582">
            <v>0</v>
          </cell>
          <cell r="Q582">
            <v>7056</v>
          </cell>
        </row>
        <row r="583">
          <cell r="A583" t="str">
            <v>US28MZA1503921200003</v>
          </cell>
          <cell r="B583" t="str">
            <v>US28MZA150</v>
          </cell>
          <cell r="C583">
            <v>3921200003</v>
          </cell>
          <cell r="D583" t="str">
            <v>GAS</v>
          </cell>
          <cell r="E583">
            <v>1613</v>
          </cell>
          <cell r="F583">
            <v>0</v>
          </cell>
          <cell r="G583">
            <v>616</v>
          </cell>
          <cell r="H583">
            <v>0</v>
          </cell>
          <cell r="I583">
            <v>0</v>
          </cell>
          <cell r="J583">
            <v>0</v>
          </cell>
          <cell r="K583">
            <v>0</v>
          </cell>
          <cell r="L583">
            <v>0</v>
          </cell>
          <cell r="M583">
            <v>0</v>
          </cell>
          <cell r="N583">
            <v>0</v>
          </cell>
          <cell r="O583">
            <v>0</v>
          </cell>
          <cell r="P583">
            <v>0</v>
          </cell>
          <cell r="Q583">
            <v>2229</v>
          </cell>
        </row>
        <row r="584">
          <cell r="A584" t="str">
            <v>US28P015013921200003</v>
          </cell>
          <cell r="B584" t="str">
            <v>US28P01501</v>
          </cell>
          <cell r="C584">
            <v>3921200003</v>
          </cell>
          <cell r="D584" t="str">
            <v>GAS</v>
          </cell>
          <cell r="E584">
            <v>1194</v>
          </cell>
          <cell r="F584">
            <v>285</v>
          </cell>
          <cell r="G584">
            <v>1643</v>
          </cell>
          <cell r="H584">
            <v>0</v>
          </cell>
          <cell r="I584">
            <v>0</v>
          </cell>
          <cell r="J584">
            <v>0</v>
          </cell>
          <cell r="K584">
            <v>0</v>
          </cell>
          <cell r="L584">
            <v>0</v>
          </cell>
          <cell r="M584">
            <v>0</v>
          </cell>
          <cell r="N584">
            <v>0</v>
          </cell>
          <cell r="O584">
            <v>0</v>
          </cell>
          <cell r="P584">
            <v>0</v>
          </cell>
          <cell r="Q584">
            <v>3122</v>
          </cell>
        </row>
        <row r="585">
          <cell r="A585" t="str">
            <v>US28P015503921200003</v>
          </cell>
          <cell r="B585" t="str">
            <v>US28P01550</v>
          </cell>
          <cell r="C585">
            <v>3921200003</v>
          </cell>
          <cell r="D585" t="str">
            <v>GAS</v>
          </cell>
          <cell r="E585">
            <v>63</v>
          </cell>
          <cell r="F585">
            <v>0</v>
          </cell>
          <cell r="G585">
            <v>0</v>
          </cell>
          <cell r="H585">
            <v>0</v>
          </cell>
          <cell r="I585">
            <v>0</v>
          </cell>
          <cell r="J585">
            <v>0</v>
          </cell>
          <cell r="K585">
            <v>0</v>
          </cell>
          <cell r="L585">
            <v>0</v>
          </cell>
          <cell r="M585">
            <v>0</v>
          </cell>
          <cell r="N585">
            <v>0</v>
          </cell>
          <cell r="O585">
            <v>0</v>
          </cell>
          <cell r="P585">
            <v>0</v>
          </cell>
          <cell r="Q585">
            <v>63</v>
          </cell>
        </row>
        <row r="586">
          <cell r="A586" t="str">
            <v>US35MZA1503921200003</v>
          </cell>
          <cell r="B586" t="str">
            <v>US35MZA150</v>
          </cell>
          <cell r="C586">
            <v>3921200003</v>
          </cell>
          <cell r="D586" t="str">
            <v>GAS</v>
          </cell>
          <cell r="E586">
            <v>109</v>
          </cell>
          <cell r="F586">
            <v>0</v>
          </cell>
          <cell r="G586">
            <v>100</v>
          </cell>
          <cell r="H586">
            <v>0</v>
          </cell>
          <cell r="I586">
            <v>0</v>
          </cell>
          <cell r="J586">
            <v>0</v>
          </cell>
          <cell r="K586">
            <v>0</v>
          </cell>
          <cell r="L586">
            <v>0</v>
          </cell>
          <cell r="M586">
            <v>0</v>
          </cell>
          <cell r="N586">
            <v>0</v>
          </cell>
          <cell r="O586">
            <v>0</v>
          </cell>
          <cell r="P586">
            <v>0</v>
          </cell>
          <cell r="Q586">
            <v>209</v>
          </cell>
        </row>
        <row r="587">
          <cell r="A587" t="str">
            <v>US35P015013921200003</v>
          </cell>
          <cell r="B587" t="str">
            <v>US35P01501</v>
          </cell>
          <cell r="C587">
            <v>3921200003</v>
          </cell>
          <cell r="D587" t="str">
            <v>GAS</v>
          </cell>
          <cell r="E587">
            <v>274</v>
          </cell>
          <cell r="F587">
            <v>0</v>
          </cell>
          <cell r="G587">
            <v>250</v>
          </cell>
          <cell r="H587">
            <v>0</v>
          </cell>
          <cell r="I587">
            <v>0</v>
          </cell>
          <cell r="J587">
            <v>0</v>
          </cell>
          <cell r="K587">
            <v>0</v>
          </cell>
          <cell r="L587">
            <v>0</v>
          </cell>
          <cell r="M587">
            <v>0</v>
          </cell>
          <cell r="N587">
            <v>0</v>
          </cell>
          <cell r="O587">
            <v>0</v>
          </cell>
          <cell r="P587">
            <v>0</v>
          </cell>
          <cell r="Q587">
            <v>524</v>
          </cell>
        </row>
        <row r="588">
          <cell r="A588" t="str">
            <v>US35P015503921200003</v>
          </cell>
          <cell r="B588" t="str">
            <v>US35P01550</v>
          </cell>
          <cell r="C588">
            <v>3921200003</v>
          </cell>
          <cell r="D588" t="str">
            <v>GAS</v>
          </cell>
          <cell r="E588">
            <v>985</v>
          </cell>
          <cell r="F588">
            <v>0</v>
          </cell>
          <cell r="G588">
            <v>896</v>
          </cell>
          <cell r="H588">
            <v>0</v>
          </cell>
          <cell r="I588">
            <v>0</v>
          </cell>
          <cell r="J588">
            <v>0</v>
          </cell>
          <cell r="K588">
            <v>0</v>
          </cell>
          <cell r="L588">
            <v>0</v>
          </cell>
          <cell r="M588">
            <v>0</v>
          </cell>
          <cell r="N588">
            <v>0</v>
          </cell>
          <cell r="O588">
            <v>0</v>
          </cell>
          <cell r="P588">
            <v>0</v>
          </cell>
          <cell r="Q588">
            <v>1881</v>
          </cell>
        </row>
        <row r="589">
          <cell r="A589" t="str">
            <v>US35P015643921200003</v>
          </cell>
          <cell r="B589" t="str">
            <v>US35P01564</v>
          </cell>
          <cell r="C589">
            <v>3921200003</v>
          </cell>
          <cell r="D589" t="str">
            <v>GAS</v>
          </cell>
          <cell r="E589">
            <v>6292</v>
          </cell>
          <cell r="F589">
            <v>0</v>
          </cell>
          <cell r="G589">
            <v>303457</v>
          </cell>
          <cell r="H589">
            <v>0</v>
          </cell>
          <cell r="I589">
            <v>0</v>
          </cell>
          <cell r="J589">
            <v>0</v>
          </cell>
          <cell r="K589">
            <v>0</v>
          </cell>
          <cell r="L589">
            <v>0</v>
          </cell>
          <cell r="M589">
            <v>0</v>
          </cell>
          <cell r="N589">
            <v>0</v>
          </cell>
          <cell r="O589">
            <v>0</v>
          </cell>
          <cell r="P589">
            <v>0</v>
          </cell>
          <cell r="Q589">
            <v>309749</v>
          </cell>
        </row>
        <row r="590">
          <cell r="A590" t="str">
            <v>US59MZA1503921200003</v>
          </cell>
          <cell r="B590" t="str">
            <v>US59MZA150</v>
          </cell>
          <cell r="C590">
            <v>3921200003</v>
          </cell>
          <cell r="D590" t="str">
            <v>GAS</v>
          </cell>
          <cell r="E590">
            <v>2897</v>
          </cell>
          <cell r="F590">
            <v>0</v>
          </cell>
          <cell r="G590">
            <v>2359</v>
          </cell>
          <cell r="H590">
            <v>0</v>
          </cell>
          <cell r="I590">
            <v>0</v>
          </cell>
          <cell r="J590">
            <v>0</v>
          </cell>
          <cell r="K590">
            <v>0</v>
          </cell>
          <cell r="L590">
            <v>0</v>
          </cell>
          <cell r="M590">
            <v>0</v>
          </cell>
          <cell r="N590">
            <v>0</v>
          </cell>
          <cell r="O590">
            <v>0</v>
          </cell>
          <cell r="P590">
            <v>0</v>
          </cell>
          <cell r="Q590">
            <v>5256</v>
          </cell>
        </row>
        <row r="591">
          <cell r="A591" t="str">
            <v>US59P015013921200003</v>
          </cell>
          <cell r="B591" t="str">
            <v>US59P01501</v>
          </cell>
          <cell r="C591">
            <v>3921200003</v>
          </cell>
          <cell r="D591" t="str">
            <v>GAS</v>
          </cell>
          <cell r="E591">
            <v>1925</v>
          </cell>
          <cell r="F591">
            <v>0</v>
          </cell>
          <cell r="G591">
            <v>1624</v>
          </cell>
          <cell r="H591">
            <v>0</v>
          </cell>
          <cell r="I591">
            <v>0</v>
          </cell>
          <cell r="J591">
            <v>0</v>
          </cell>
          <cell r="K591">
            <v>0</v>
          </cell>
          <cell r="L591">
            <v>0</v>
          </cell>
          <cell r="M591">
            <v>0</v>
          </cell>
          <cell r="N591">
            <v>0</v>
          </cell>
          <cell r="O591">
            <v>0</v>
          </cell>
          <cell r="P591">
            <v>0</v>
          </cell>
          <cell r="Q591">
            <v>3549</v>
          </cell>
        </row>
        <row r="592">
          <cell r="A592" t="str">
            <v>USCRMZA1503921200003</v>
          </cell>
          <cell r="B592" t="str">
            <v>USCRMZA150</v>
          </cell>
          <cell r="C592">
            <v>3921200003</v>
          </cell>
          <cell r="D592" t="str">
            <v>GAS</v>
          </cell>
          <cell r="E592">
            <v>1450</v>
          </cell>
          <cell r="F592">
            <v>0</v>
          </cell>
          <cell r="G592">
            <v>2010</v>
          </cell>
          <cell r="H592">
            <v>0</v>
          </cell>
          <cell r="I592">
            <v>0</v>
          </cell>
          <cell r="J592">
            <v>0</v>
          </cell>
          <cell r="K592">
            <v>0</v>
          </cell>
          <cell r="L592">
            <v>0</v>
          </cell>
          <cell r="M592">
            <v>0</v>
          </cell>
          <cell r="N592">
            <v>0</v>
          </cell>
          <cell r="O592">
            <v>0</v>
          </cell>
          <cell r="P592">
            <v>0</v>
          </cell>
          <cell r="Q592">
            <v>3460</v>
          </cell>
        </row>
        <row r="593">
          <cell r="A593" t="str">
            <v>USCRP015013921200003</v>
          </cell>
          <cell r="B593" t="str">
            <v>USCRP01501</v>
          </cell>
          <cell r="C593">
            <v>3921200003</v>
          </cell>
          <cell r="D593" t="str">
            <v>GAS</v>
          </cell>
          <cell r="E593">
            <v>1879</v>
          </cell>
          <cell r="F593">
            <v>0</v>
          </cell>
          <cell r="G593">
            <v>1548</v>
          </cell>
          <cell r="H593">
            <v>0</v>
          </cell>
          <cell r="I593">
            <v>0</v>
          </cell>
          <cell r="J593">
            <v>0</v>
          </cell>
          <cell r="K593">
            <v>0</v>
          </cell>
          <cell r="L593">
            <v>0</v>
          </cell>
          <cell r="M593">
            <v>0</v>
          </cell>
          <cell r="N593">
            <v>0</v>
          </cell>
          <cell r="O593">
            <v>0</v>
          </cell>
          <cell r="P593">
            <v>0</v>
          </cell>
          <cell r="Q593">
            <v>3427</v>
          </cell>
        </row>
        <row r="594">
          <cell r="A594" t="str">
            <v>USWOP015013921200003</v>
          </cell>
          <cell r="B594" t="str">
            <v>USWOP01501</v>
          </cell>
          <cell r="C594">
            <v>3921200003</v>
          </cell>
          <cell r="D594" t="str">
            <v>GAS</v>
          </cell>
          <cell r="E594">
            <v>1652</v>
          </cell>
          <cell r="F594">
            <v>666</v>
          </cell>
          <cell r="G594">
            <v>2313</v>
          </cell>
          <cell r="H594">
            <v>0</v>
          </cell>
          <cell r="I594">
            <v>0</v>
          </cell>
          <cell r="J594">
            <v>0</v>
          </cell>
          <cell r="K594">
            <v>0</v>
          </cell>
          <cell r="L594">
            <v>0</v>
          </cell>
          <cell r="M594">
            <v>0</v>
          </cell>
          <cell r="N594">
            <v>0</v>
          </cell>
          <cell r="O594">
            <v>0</v>
          </cell>
          <cell r="P594">
            <v>0</v>
          </cell>
          <cell r="Q594">
            <v>4631</v>
          </cell>
        </row>
        <row r="595">
          <cell r="A595" t="str">
            <v>US28P015903921200004</v>
          </cell>
          <cell r="B595" t="str">
            <v>US28P01590</v>
          </cell>
          <cell r="C595">
            <v>3921200004</v>
          </cell>
          <cell r="D595" t="str">
            <v>FACTORY SUPPLIES LABO SUPPLIES</v>
          </cell>
          <cell r="E595">
            <v>0</v>
          </cell>
          <cell r="F595">
            <v>0</v>
          </cell>
          <cell r="G595">
            <v>45</v>
          </cell>
          <cell r="H595">
            <v>0</v>
          </cell>
          <cell r="I595">
            <v>0</v>
          </cell>
          <cell r="J595">
            <v>0</v>
          </cell>
          <cell r="K595">
            <v>0</v>
          </cell>
          <cell r="L595">
            <v>0</v>
          </cell>
          <cell r="M595">
            <v>0</v>
          </cell>
          <cell r="N595">
            <v>0</v>
          </cell>
          <cell r="O595">
            <v>0</v>
          </cell>
          <cell r="P595">
            <v>0</v>
          </cell>
          <cell r="Q595">
            <v>45</v>
          </cell>
        </row>
        <row r="596">
          <cell r="A596" t="str">
            <v>US22MZA1503921200006</v>
          </cell>
          <cell r="B596" t="str">
            <v>US22MZA150</v>
          </cell>
          <cell r="C596">
            <v>3921200006</v>
          </cell>
          <cell r="D596" t="str">
            <v>FACTORY SUPPLIES MAINTENANCE SUPPLIES</v>
          </cell>
          <cell r="E596">
            <v>57</v>
          </cell>
          <cell r="F596">
            <v>3652</v>
          </cell>
          <cell r="G596">
            <v>559</v>
          </cell>
          <cell r="H596">
            <v>0</v>
          </cell>
          <cell r="I596">
            <v>0</v>
          </cell>
          <cell r="J596">
            <v>0</v>
          </cell>
          <cell r="K596">
            <v>0</v>
          </cell>
          <cell r="L596">
            <v>0</v>
          </cell>
          <cell r="M596">
            <v>0</v>
          </cell>
          <cell r="N596">
            <v>0</v>
          </cell>
          <cell r="O596">
            <v>0</v>
          </cell>
          <cell r="P596">
            <v>0</v>
          </cell>
          <cell r="Q596">
            <v>4268</v>
          </cell>
        </row>
        <row r="597">
          <cell r="A597" t="str">
            <v>US22P015013921200006</v>
          </cell>
          <cell r="B597" t="str">
            <v>US22P01501</v>
          </cell>
          <cell r="C597">
            <v>3921200006</v>
          </cell>
          <cell r="D597" t="str">
            <v>FACTORY SUPPLIES MAINTENANCE SUPPLIES</v>
          </cell>
          <cell r="E597">
            <v>290</v>
          </cell>
          <cell r="F597">
            <v>1000</v>
          </cell>
          <cell r="G597">
            <v>1032</v>
          </cell>
          <cell r="H597">
            <v>0</v>
          </cell>
          <cell r="I597">
            <v>0</v>
          </cell>
          <cell r="J597">
            <v>0</v>
          </cell>
          <cell r="K597">
            <v>0</v>
          </cell>
          <cell r="L597">
            <v>0</v>
          </cell>
          <cell r="M597">
            <v>0</v>
          </cell>
          <cell r="N597">
            <v>0</v>
          </cell>
          <cell r="O597">
            <v>0</v>
          </cell>
          <cell r="P597">
            <v>0</v>
          </cell>
          <cell r="Q597">
            <v>2322</v>
          </cell>
        </row>
        <row r="598">
          <cell r="A598" t="str">
            <v>US22P015503921200006</v>
          </cell>
          <cell r="B598" t="str">
            <v>US22P01550</v>
          </cell>
          <cell r="C598">
            <v>3921200006</v>
          </cell>
          <cell r="D598" t="str">
            <v>FACTORY SUPPLIES MAINTENANCE SUPPLIES</v>
          </cell>
          <cell r="E598">
            <v>40</v>
          </cell>
          <cell r="F598">
            <v>0</v>
          </cell>
          <cell r="G598">
            <v>0</v>
          </cell>
          <cell r="H598">
            <v>0</v>
          </cell>
          <cell r="I598">
            <v>0</v>
          </cell>
          <cell r="J598">
            <v>0</v>
          </cell>
          <cell r="K598">
            <v>0</v>
          </cell>
          <cell r="L598">
            <v>0</v>
          </cell>
          <cell r="M598">
            <v>0</v>
          </cell>
          <cell r="N598">
            <v>0</v>
          </cell>
          <cell r="O598">
            <v>0</v>
          </cell>
          <cell r="P598">
            <v>0</v>
          </cell>
          <cell r="Q598">
            <v>40</v>
          </cell>
        </row>
        <row r="599">
          <cell r="A599" t="str">
            <v>US22P015603921200006</v>
          </cell>
          <cell r="B599" t="str">
            <v>US22P01560</v>
          </cell>
          <cell r="C599">
            <v>3921200006</v>
          </cell>
          <cell r="D599" t="str">
            <v>FACTORY SUPPLIES MAINTENANCE SUPPLIES</v>
          </cell>
          <cell r="E599">
            <v>523</v>
          </cell>
          <cell r="F599">
            <v>2052</v>
          </cell>
          <cell r="G599">
            <v>2494</v>
          </cell>
          <cell r="H599">
            <v>0</v>
          </cell>
          <cell r="I599">
            <v>0</v>
          </cell>
          <cell r="J599">
            <v>0</v>
          </cell>
          <cell r="K599">
            <v>0</v>
          </cell>
          <cell r="L599">
            <v>0</v>
          </cell>
          <cell r="M599">
            <v>0</v>
          </cell>
          <cell r="N599">
            <v>0</v>
          </cell>
          <cell r="O599">
            <v>0</v>
          </cell>
          <cell r="P599">
            <v>0</v>
          </cell>
          <cell r="Q599">
            <v>5069</v>
          </cell>
        </row>
        <row r="600">
          <cell r="A600" t="str">
            <v>US22P015643921200006</v>
          </cell>
          <cell r="B600" t="str">
            <v>US22P01564</v>
          </cell>
          <cell r="C600">
            <v>3921200006</v>
          </cell>
          <cell r="D600" t="str">
            <v>FACTORY SUPPLIES MAINTENANCE SUPPLIES</v>
          </cell>
          <cell r="E600">
            <v>0</v>
          </cell>
          <cell r="F600">
            <v>0</v>
          </cell>
          <cell r="G600">
            <v>5006</v>
          </cell>
          <cell r="H600">
            <v>0</v>
          </cell>
          <cell r="I600">
            <v>0</v>
          </cell>
          <cell r="J600">
            <v>0</v>
          </cell>
          <cell r="K600">
            <v>0</v>
          </cell>
          <cell r="L600">
            <v>0</v>
          </cell>
          <cell r="M600">
            <v>0</v>
          </cell>
          <cell r="N600">
            <v>0</v>
          </cell>
          <cell r="O600">
            <v>0</v>
          </cell>
          <cell r="P600">
            <v>0</v>
          </cell>
          <cell r="Q600">
            <v>5006</v>
          </cell>
        </row>
        <row r="601">
          <cell r="A601" t="str">
            <v>US22P015753921200006</v>
          </cell>
          <cell r="B601" t="str">
            <v>US22P01575</v>
          </cell>
          <cell r="C601">
            <v>3921200006</v>
          </cell>
          <cell r="D601" t="str">
            <v>FACTORY SUPPLIES MAINTENANCE SUPPLIES</v>
          </cell>
          <cell r="E601">
            <v>3500</v>
          </cell>
          <cell r="F601">
            <v>767</v>
          </cell>
          <cell r="G601">
            <v>1197</v>
          </cell>
          <cell r="H601">
            <v>0</v>
          </cell>
          <cell r="I601">
            <v>0</v>
          </cell>
          <cell r="J601">
            <v>0</v>
          </cell>
          <cell r="K601">
            <v>0</v>
          </cell>
          <cell r="L601">
            <v>0</v>
          </cell>
          <cell r="M601">
            <v>0</v>
          </cell>
          <cell r="N601">
            <v>0</v>
          </cell>
          <cell r="O601">
            <v>0</v>
          </cell>
          <cell r="P601">
            <v>0</v>
          </cell>
          <cell r="Q601">
            <v>5464</v>
          </cell>
        </row>
        <row r="602">
          <cell r="A602" t="str">
            <v>US28MZA1503921200006</v>
          </cell>
          <cell r="B602" t="str">
            <v>US28MZA150</v>
          </cell>
          <cell r="C602">
            <v>3921200006</v>
          </cell>
          <cell r="D602" t="str">
            <v>FACTORY SUPPLIES MAINTENANCE SUPPLIES</v>
          </cell>
          <cell r="E602">
            <v>1192</v>
          </cell>
          <cell r="F602">
            <v>3278</v>
          </cell>
          <cell r="G602">
            <v>627</v>
          </cell>
          <cell r="H602">
            <v>0</v>
          </cell>
          <cell r="I602">
            <v>0</v>
          </cell>
          <cell r="J602">
            <v>0</v>
          </cell>
          <cell r="K602">
            <v>0</v>
          </cell>
          <cell r="L602">
            <v>0</v>
          </cell>
          <cell r="M602">
            <v>0</v>
          </cell>
          <cell r="N602">
            <v>0</v>
          </cell>
          <cell r="O602">
            <v>0</v>
          </cell>
          <cell r="P602">
            <v>0</v>
          </cell>
          <cell r="Q602">
            <v>5097</v>
          </cell>
        </row>
        <row r="603">
          <cell r="A603" t="str">
            <v>US28P015013921200006</v>
          </cell>
          <cell r="B603" t="str">
            <v>US28P01501</v>
          </cell>
          <cell r="C603">
            <v>3921200006</v>
          </cell>
          <cell r="D603" t="str">
            <v>FACTORY SUPPLIES MAINTENANCE SUPPLIES</v>
          </cell>
          <cell r="E603">
            <v>834</v>
          </cell>
          <cell r="F603">
            <v>173</v>
          </cell>
          <cell r="G603">
            <v>1501</v>
          </cell>
          <cell r="H603">
            <v>0</v>
          </cell>
          <cell r="I603">
            <v>0</v>
          </cell>
          <cell r="J603">
            <v>0</v>
          </cell>
          <cell r="K603">
            <v>0</v>
          </cell>
          <cell r="L603">
            <v>0</v>
          </cell>
          <cell r="M603">
            <v>0</v>
          </cell>
          <cell r="N603">
            <v>0</v>
          </cell>
          <cell r="O603">
            <v>0</v>
          </cell>
          <cell r="P603">
            <v>0</v>
          </cell>
          <cell r="Q603">
            <v>2508</v>
          </cell>
        </row>
        <row r="604">
          <cell r="A604" t="str">
            <v>US28P015503921200006</v>
          </cell>
          <cell r="B604" t="str">
            <v>US28P01550</v>
          </cell>
          <cell r="C604">
            <v>3921200006</v>
          </cell>
          <cell r="D604" t="str">
            <v>FACTORY SUPPLIES MAINTENANCE SUPPLIES</v>
          </cell>
          <cell r="E604">
            <v>0</v>
          </cell>
          <cell r="F604">
            <v>0</v>
          </cell>
          <cell r="G604">
            <v>0</v>
          </cell>
          <cell r="H604">
            <v>0</v>
          </cell>
          <cell r="I604">
            <v>0</v>
          </cell>
          <cell r="J604">
            <v>0</v>
          </cell>
          <cell r="K604">
            <v>0</v>
          </cell>
          <cell r="L604">
            <v>0</v>
          </cell>
          <cell r="M604">
            <v>0</v>
          </cell>
          <cell r="N604">
            <v>0</v>
          </cell>
          <cell r="O604">
            <v>0</v>
          </cell>
          <cell r="P604">
            <v>0</v>
          </cell>
          <cell r="Q604">
            <v>0</v>
          </cell>
        </row>
        <row r="605">
          <cell r="A605" t="str">
            <v>US28P015533921200006</v>
          </cell>
          <cell r="B605" t="str">
            <v>US28P01553</v>
          </cell>
          <cell r="C605">
            <v>3921200006</v>
          </cell>
          <cell r="D605" t="str">
            <v>FACTORY SUPPLIES MAINTENANCE SUPPLIES</v>
          </cell>
          <cell r="E605">
            <v>308</v>
          </cell>
          <cell r="F605">
            <v>182</v>
          </cell>
          <cell r="G605">
            <v>482</v>
          </cell>
          <cell r="H605">
            <v>0</v>
          </cell>
          <cell r="I605">
            <v>0</v>
          </cell>
          <cell r="J605">
            <v>0</v>
          </cell>
          <cell r="K605">
            <v>0</v>
          </cell>
          <cell r="L605">
            <v>0</v>
          </cell>
          <cell r="M605">
            <v>0</v>
          </cell>
          <cell r="N605">
            <v>0</v>
          </cell>
          <cell r="O605">
            <v>0</v>
          </cell>
          <cell r="P605">
            <v>0</v>
          </cell>
          <cell r="Q605">
            <v>972</v>
          </cell>
        </row>
        <row r="606">
          <cell r="A606" t="str">
            <v>US28P015603921200006</v>
          </cell>
          <cell r="B606" t="str">
            <v>US28P01560</v>
          </cell>
          <cell r="C606">
            <v>3921200006</v>
          </cell>
          <cell r="D606" t="str">
            <v>FACTORY SUPPLIES MAINTENANCE SUPPLIES</v>
          </cell>
          <cell r="E606">
            <v>786</v>
          </cell>
          <cell r="F606">
            <v>8921</v>
          </cell>
          <cell r="G606">
            <v>2497</v>
          </cell>
          <cell r="H606">
            <v>0</v>
          </cell>
          <cell r="I606">
            <v>0</v>
          </cell>
          <cell r="J606">
            <v>0</v>
          </cell>
          <cell r="K606">
            <v>0</v>
          </cell>
          <cell r="L606">
            <v>0</v>
          </cell>
          <cell r="M606">
            <v>0</v>
          </cell>
          <cell r="N606">
            <v>0</v>
          </cell>
          <cell r="O606">
            <v>0</v>
          </cell>
          <cell r="P606">
            <v>0</v>
          </cell>
          <cell r="Q606">
            <v>12204</v>
          </cell>
        </row>
        <row r="607">
          <cell r="A607" t="str">
            <v>US28P015643921200006</v>
          </cell>
          <cell r="B607" t="str">
            <v>US28P01564</v>
          </cell>
          <cell r="C607">
            <v>3921200006</v>
          </cell>
          <cell r="D607" t="str">
            <v>FACTORY SUPPLIES MAINTENANCE SUPPLIES</v>
          </cell>
          <cell r="E607">
            <v>20089</v>
          </cell>
          <cell r="F607">
            <v>5175</v>
          </cell>
          <cell r="G607">
            <v>1217</v>
          </cell>
          <cell r="H607">
            <v>0</v>
          </cell>
          <cell r="I607">
            <v>0</v>
          </cell>
          <cell r="J607">
            <v>0</v>
          </cell>
          <cell r="K607">
            <v>0</v>
          </cell>
          <cell r="L607">
            <v>0</v>
          </cell>
          <cell r="M607">
            <v>0</v>
          </cell>
          <cell r="N607">
            <v>0</v>
          </cell>
          <cell r="O607">
            <v>0</v>
          </cell>
          <cell r="P607">
            <v>0</v>
          </cell>
          <cell r="Q607">
            <v>26481</v>
          </cell>
        </row>
        <row r="608">
          <cell r="A608" t="str">
            <v>US35MZA1503921200006</v>
          </cell>
          <cell r="B608" t="str">
            <v>US35MZA150</v>
          </cell>
          <cell r="C608">
            <v>3921200006</v>
          </cell>
          <cell r="D608" t="str">
            <v>FACTORY SUPPLIES MAINTENANCE SUPPLIES</v>
          </cell>
          <cell r="E608">
            <v>4866</v>
          </cell>
          <cell r="F608">
            <v>1444</v>
          </cell>
          <cell r="G608">
            <v>3613</v>
          </cell>
          <cell r="H608">
            <v>0</v>
          </cell>
          <cell r="I608">
            <v>0</v>
          </cell>
          <cell r="J608">
            <v>0</v>
          </cell>
          <cell r="K608">
            <v>0</v>
          </cell>
          <cell r="L608">
            <v>0</v>
          </cell>
          <cell r="M608">
            <v>0</v>
          </cell>
          <cell r="N608">
            <v>0</v>
          </cell>
          <cell r="O608">
            <v>0</v>
          </cell>
          <cell r="P608">
            <v>0</v>
          </cell>
          <cell r="Q608">
            <v>9923</v>
          </cell>
        </row>
        <row r="609">
          <cell r="A609" t="str">
            <v>US35P015013921200006</v>
          </cell>
          <cell r="B609" t="str">
            <v>US35P01501</v>
          </cell>
          <cell r="C609">
            <v>3921200006</v>
          </cell>
          <cell r="D609" t="str">
            <v>FACTORY SUPPLIES MAINTENANCE SUPPLIES</v>
          </cell>
          <cell r="E609">
            <v>6740</v>
          </cell>
          <cell r="F609">
            <v>8563</v>
          </cell>
          <cell r="G609">
            <v>1163</v>
          </cell>
          <cell r="H609">
            <v>0</v>
          </cell>
          <cell r="I609">
            <v>0</v>
          </cell>
          <cell r="J609">
            <v>0</v>
          </cell>
          <cell r="K609">
            <v>0</v>
          </cell>
          <cell r="L609">
            <v>0</v>
          </cell>
          <cell r="M609">
            <v>0</v>
          </cell>
          <cell r="N609">
            <v>0</v>
          </cell>
          <cell r="O609">
            <v>0</v>
          </cell>
          <cell r="P609">
            <v>0</v>
          </cell>
          <cell r="Q609">
            <v>16466</v>
          </cell>
        </row>
        <row r="610">
          <cell r="A610" t="str">
            <v>US35P015503921200006</v>
          </cell>
          <cell r="B610" t="str">
            <v>US35P01550</v>
          </cell>
          <cell r="C610">
            <v>3921200006</v>
          </cell>
          <cell r="D610" t="str">
            <v>FACTORY SUPPLIES MAINTENANCE SUPPLIES</v>
          </cell>
          <cell r="E610">
            <v>370</v>
          </cell>
          <cell r="F610">
            <v>1761</v>
          </cell>
          <cell r="G610">
            <v>152</v>
          </cell>
          <cell r="H610">
            <v>0</v>
          </cell>
          <cell r="I610">
            <v>0</v>
          </cell>
          <cell r="J610">
            <v>0</v>
          </cell>
          <cell r="K610">
            <v>0</v>
          </cell>
          <cell r="L610">
            <v>0</v>
          </cell>
          <cell r="M610">
            <v>0</v>
          </cell>
          <cell r="N610">
            <v>0</v>
          </cell>
          <cell r="O610">
            <v>0</v>
          </cell>
          <cell r="P610">
            <v>0</v>
          </cell>
          <cell r="Q610">
            <v>2283</v>
          </cell>
        </row>
        <row r="611">
          <cell r="A611" t="str">
            <v>US35P015533921200006</v>
          </cell>
          <cell r="B611" t="str">
            <v>US35P01553</v>
          </cell>
          <cell r="C611">
            <v>3921200006</v>
          </cell>
          <cell r="D611" t="str">
            <v>FACTORY SUPPLIES MAINTENANCE SUPPLIES</v>
          </cell>
          <cell r="E611">
            <v>1818</v>
          </cell>
          <cell r="F611">
            <v>7112</v>
          </cell>
          <cell r="G611">
            <v>2771</v>
          </cell>
          <cell r="H611">
            <v>0</v>
          </cell>
          <cell r="I611">
            <v>0</v>
          </cell>
          <cell r="J611">
            <v>0</v>
          </cell>
          <cell r="K611">
            <v>0</v>
          </cell>
          <cell r="L611">
            <v>0</v>
          </cell>
          <cell r="M611">
            <v>0</v>
          </cell>
          <cell r="N611">
            <v>0</v>
          </cell>
          <cell r="O611">
            <v>0</v>
          </cell>
          <cell r="P611">
            <v>0</v>
          </cell>
          <cell r="Q611">
            <v>11701</v>
          </cell>
        </row>
        <row r="612">
          <cell r="A612" t="str">
            <v>US35P015603921200006</v>
          </cell>
          <cell r="B612" t="str">
            <v>US35P01560</v>
          </cell>
          <cell r="C612">
            <v>3921200006</v>
          </cell>
          <cell r="D612" t="str">
            <v>FACTORY SUPPLIES MAINTENANCE SUPPLIES</v>
          </cell>
          <cell r="E612">
            <v>17819</v>
          </cell>
          <cell r="F612">
            <v>13769</v>
          </cell>
          <cell r="G612">
            <v>3760</v>
          </cell>
          <cell r="H612">
            <v>0</v>
          </cell>
          <cell r="I612">
            <v>0</v>
          </cell>
          <cell r="J612">
            <v>0</v>
          </cell>
          <cell r="K612">
            <v>0</v>
          </cell>
          <cell r="L612">
            <v>0</v>
          </cell>
          <cell r="M612">
            <v>0</v>
          </cell>
          <cell r="N612">
            <v>0</v>
          </cell>
          <cell r="O612">
            <v>0</v>
          </cell>
          <cell r="P612">
            <v>0</v>
          </cell>
          <cell r="Q612">
            <v>35348</v>
          </cell>
        </row>
        <row r="613">
          <cell r="A613" t="str">
            <v>US35P015643921200006</v>
          </cell>
          <cell r="B613" t="str">
            <v>US35P01564</v>
          </cell>
          <cell r="C613">
            <v>3921200006</v>
          </cell>
          <cell r="D613" t="str">
            <v>FACTORY SUPPLIES MAINTENANCE SUPPLIES</v>
          </cell>
          <cell r="E613">
            <v>9582</v>
          </cell>
          <cell r="F613">
            <v>9448</v>
          </cell>
          <cell r="G613">
            <v>2460</v>
          </cell>
          <cell r="H613">
            <v>0</v>
          </cell>
          <cell r="I613">
            <v>0</v>
          </cell>
          <cell r="J613">
            <v>0</v>
          </cell>
          <cell r="K613">
            <v>0</v>
          </cell>
          <cell r="L613">
            <v>0</v>
          </cell>
          <cell r="M613">
            <v>0</v>
          </cell>
          <cell r="N613">
            <v>0</v>
          </cell>
          <cell r="O613">
            <v>0</v>
          </cell>
          <cell r="P613">
            <v>0</v>
          </cell>
          <cell r="Q613">
            <v>21490</v>
          </cell>
        </row>
        <row r="614">
          <cell r="A614" t="str">
            <v>US35P015753921200006</v>
          </cell>
          <cell r="B614" t="str">
            <v>US35P01575</v>
          </cell>
          <cell r="C614">
            <v>3921200006</v>
          </cell>
          <cell r="D614" t="str">
            <v>FACTORY SUPPLIES MAINTENANCE SUPPLIES</v>
          </cell>
          <cell r="E614">
            <v>344</v>
          </cell>
          <cell r="F614">
            <v>0</v>
          </cell>
          <cell r="G614">
            <v>4500</v>
          </cell>
          <cell r="H614">
            <v>0</v>
          </cell>
          <cell r="I614">
            <v>0</v>
          </cell>
          <cell r="J614">
            <v>0</v>
          </cell>
          <cell r="K614">
            <v>0</v>
          </cell>
          <cell r="L614">
            <v>0</v>
          </cell>
          <cell r="M614">
            <v>0</v>
          </cell>
          <cell r="N614">
            <v>0</v>
          </cell>
          <cell r="O614">
            <v>0</v>
          </cell>
          <cell r="P614">
            <v>0</v>
          </cell>
          <cell r="Q614">
            <v>4844</v>
          </cell>
        </row>
        <row r="615">
          <cell r="A615" t="str">
            <v>US35P015853921200006</v>
          </cell>
          <cell r="B615" t="str">
            <v>US35P01585</v>
          </cell>
          <cell r="C615">
            <v>3921200006</v>
          </cell>
          <cell r="D615" t="str">
            <v>FACTORY SUPPLIES MAINTENANCE SUPPLIES</v>
          </cell>
          <cell r="E615">
            <v>123</v>
          </cell>
          <cell r="F615">
            <v>66</v>
          </cell>
          <cell r="G615">
            <v>66</v>
          </cell>
          <cell r="H615">
            <v>0</v>
          </cell>
          <cell r="I615">
            <v>0</v>
          </cell>
          <cell r="J615">
            <v>0</v>
          </cell>
          <cell r="K615">
            <v>0</v>
          </cell>
          <cell r="L615">
            <v>0</v>
          </cell>
          <cell r="M615">
            <v>0</v>
          </cell>
          <cell r="N615">
            <v>0</v>
          </cell>
          <cell r="O615">
            <v>0</v>
          </cell>
          <cell r="P615">
            <v>0</v>
          </cell>
          <cell r="Q615">
            <v>255</v>
          </cell>
        </row>
        <row r="616">
          <cell r="A616" t="str">
            <v>US35P015903921200006</v>
          </cell>
          <cell r="B616" t="str">
            <v>US35P01590</v>
          </cell>
          <cell r="C616">
            <v>3921200006</v>
          </cell>
          <cell r="D616" t="str">
            <v>FACTORY SUPPLIES MAINTENANCE SUPPLIES</v>
          </cell>
          <cell r="E616">
            <v>123</v>
          </cell>
          <cell r="F616">
            <v>66</v>
          </cell>
          <cell r="G616">
            <v>66</v>
          </cell>
          <cell r="H616">
            <v>0</v>
          </cell>
          <cell r="I616">
            <v>0</v>
          </cell>
          <cell r="J616">
            <v>0</v>
          </cell>
          <cell r="K616">
            <v>0</v>
          </cell>
          <cell r="L616">
            <v>0</v>
          </cell>
          <cell r="M616">
            <v>0</v>
          </cell>
          <cell r="N616">
            <v>0</v>
          </cell>
          <cell r="O616">
            <v>0</v>
          </cell>
          <cell r="P616">
            <v>0</v>
          </cell>
          <cell r="Q616">
            <v>255</v>
          </cell>
        </row>
        <row r="617">
          <cell r="A617" t="str">
            <v>US59MZA1503921200006</v>
          </cell>
          <cell r="B617" t="str">
            <v>US59MZA150</v>
          </cell>
          <cell r="C617">
            <v>3921200006</v>
          </cell>
          <cell r="D617" t="str">
            <v>FACTORY SUPPLIES MAINTENANCE SUPPLIES</v>
          </cell>
          <cell r="E617">
            <v>455</v>
          </cell>
          <cell r="F617">
            <v>1312</v>
          </cell>
          <cell r="G617">
            <v>0</v>
          </cell>
          <cell r="H617">
            <v>0</v>
          </cell>
          <cell r="I617">
            <v>0</v>
          </cell>
          <cell r="J617">
            <v>0</v>
          </cell>
          <cell r="K617">
            <v>0</v>
          </cell>
          <cell r="L617">
            <v>0</v>
          </cell>
          <cell r="M617">
            <v>0</v>
          </cell>
          <cell r="N617">
            <v>0</v>
          </cell>
          <cell r="O617">
            <v>0</v>
          </cell>
          <cell r="P617">
            <v>0</v>
          </cell>
          <cell r="Q617">
            <v>1767</v>
          </cell>
        </row>
        <row r="618">
          <cell r="A618" t="str">
            <v>US59P015013921200006</v>
          </cell>
          <cell r="B618" t="str">
            <v>US59P01501</v>
          </cell>
          <cell r="C618">
            <v>3921200006</v>
          </cell>
          <cell r="D618" t="str">
            <v>FACTORY SUPPLIES MAINTENANCE SUPPLIES</v>
          </cell>
          <cell r="E618">
            <v>6</v>
          </cell>
          <cell r="F618">
            <v>1237</v>
          </cell>
          <cell r="G618">
            <v>447</v>
          </cell>
          <cell r="H618">
            <v>0</v>
          </cell>
          <cell r="I618">
            <v>0</v>
          </cell>
          <cell r="J618">
            <v>0</v>
          </cell>
          <cell r="K618">
            <v>0</v>
          </cell>
          <cell r="L618">
            <v>0</v>
          </cell>
          <cell r="M618">
            <v>0</v>
          </cell>
          <cell r="N618">
            <v>0</v>
          </cell>
          <cell r="O618">
            <v>0</v>
          </cell>
          <cell r="P618">
            <v>0</v>
          </cell>
          <cell r="Q618">
            <v>1690</v>
          </cell>
        </row>
        <row r="619">
          <cell r="A619" t="str">
            <v>US59P015503921200006</v>
          </cell>
          <cell r="B619" t="str">
            <v>US59P01550</v>
          </cell>
          <cell r="C619">
            <v>3921200006</v>
          </cell>
          <cell r="D619" t="str">
            <v>FACTORY SUPPLIES MAINTENANCE SUPPLIES</v>
          </cell>
          <cell r="E619">
            <v>0</v>
          </cell>
          <cell r="F619">
            <v>338</v>
          </cell>
          <cell r="G619">
            <v>5793</v>
          </cell>
          <cell r="H619">
            <v>0</v>
          </cell>
          <cell r="I619">
            <v>0</v>
          </cell>
          <cell r="J619">
            <v>0</v>
          </cell>
          <cell r="K619">
            <v>0</v>
          </cell>
          <cell r="L619">
            <v>0</v>
          </cell>
          <cell r="M619">
            <v>0</v>
          </cell>
          <cell r="N619">
            <v>0</v>
          </cell>
          <cell r="O619">
            <v>0</v>
          </cell>
          <cell r="P619">
            <v>0</v>
          </cell>
          <cell r="Q619">
            <v>6131</v>
          </cell>
        </row>
        <row r="620">
          <cell r="A620" t="str">
            <v>US59P015533921200006</v>
          </cell>
          <cell r="B620" t="str">
            <v>US59P01553</v>
          </cell>
          <cell r="C620">
            <v>3921200006</v>
          </cell>
          <cell r="D620" t="str">
            <v>FACTORY SUPPLIES MAINTENANCE SUPPLIES</v>
          </cell>
          <cell r="E620">
            <v>13413</v>
          </cell>
          <cell r="F620">
            <v>1364</v>
          </cell>
          <cell r="G620">
            <v>2042</v>
          </cell>
          <cell r="H620">
            <v>0</v>
          </cell>
          <cell r="I620">
            <v>0</v>
          </cell>
          <cell r="J620">
            <v>0</v>
          </cell>
          <cell r="K620">
            <v>0</v>
          </cell>
          <cell r="L620">
            <v>0</v>
          </cell>
          <cell r="M620">
            <v>0</v>
          </cell>
          <cell r="N620">
            <v>0</v>
          </cell>
          <cell r="O620">
            <v>0</v>
          </cell>
          <cell r="P620">
            <v>0</v>
          </cell>
          <cell r="Q620">
            <v>16819</v>
          </cell>
        </row>
        <row r="621">
          <cell r="A621" t="str">
            <v>US59P015603921200006</v>
          </cell>
          <cell r="B621" t="str">
            <v>US59P01560</v>
          </cell>
          <cell r="C621">
            <v>3921200006</v>
          </cell>
          <cell r="D621" t="str">
            <v>FACTORY SUPPLIES MAINTENANCE SUPPLIES</v>
          </cell>
          <cell r="E621">
            <v>373</v>
          </cell>
          <cell r="F621">
            <v>79</v>
          </cell>
          <cell r="G621">
            <v>91</v>
          </cell>
          <cell r="H621">
            <v>0</v>
          </cell>
          <cell r="I621">
            <v>0</v>
          </cell>
          <cell r="J621">
            <v>0</v>
          </cell>
          <cell r="K621">
            <v>0</v>
          </cell>
          <cell r="L621">
            <v>0</v>
          </cell>
          <cell r="M621">
            <v>0</v>
          </cell>
          <cell r="N621">
            <v>0</v>
          </cell>
          <cell r="O621">
            <v>0</v>
          </cell>
          <cell r="P621">
            <v>0</v>
          </cell>
          <cell r="Q621">
            <v>543</v>
          </cell>
        </row>
        <row r="622">
          <cell r="A622" t="str">
            <v>US59P015643921200006</v>
          </cell>
          <cell r="B622" t="str">
            <v>US59P01564</v>
          </cell>
          <cell r="C622">
            <v>3921200006</v>
          </cell>
          <cell r="D622" t="str">
            <v>FACTORY SUPPLIES MAINTENANCE SUPPLIES</v>
          </cell>
          <cell r="E622">
            <v>0</v>
          </cell>
          <cell r="F622">
            <v>1160</v>
          </cell>
          <cell r="G622">
            <v>2808</v>
          </cell>
          <cell r="H622">
            <v>0</v>
          </cell>
          <cell r="I622">
            <v>0</v>
          </cell>
          <cell r="J622">
            <v>0</v>
          </cell>
          <cell r="K622">
            <v>0</v>
          </cell>
          <cell r="L622">
            <v>0</v>
          </cell>
          <cell r="M622">
            <v>0</v>
          </cell>
          <cell r="N622">
            <v>0</v>
          </cell>
          <cell r="O622">
            <v>0</v>
          </cell>
          <cell r="P622">
            <v>0</v>
          </cell>
          <cell r="Q622">
            <v>3968</v>
          </cell>
        </row>
        <row r="623">
          <cell r="A623" t="str">
            <v>US59P3C5013921200006</v>
          </cell>
          <cell r="B623" t="str">
            <v>US59P3C501</v>
          </cell>
          <cell r="C623">
            <v>3921200006</v>
          </cell>
          <cell r="D623" t="str">
            <v>FACTORY SUPPLIES MAINTENANCE SUPPLIES</v>
          </cell>
          <cell r="E623">
            <v>0</v>
          </cell>
          <cell r="F623">
            <v>1237</v>
          </cell>
          <cell r="G623">
            <v>218</v>
          </cell>
          <cell r="H623">
            <v>0</v>
          </cell>
          <cell r="I623">
            <v>0</v>
          </cell>
          <cell r="J623">
            <v>0</v>
          </cell>
          <cell r="K623">
            <v>0</v>
          </cell>
          <cell r="L623">
            <v>0</v>
          </cell>
          <cell r="M623">
            <v>0</v>
          </cell>
          <cell r="N623">
            <v>0</v>
          </cell>
          <cell r="O623">
            <v>0</v>
          </cell>
          <cell r="P623">
            <v>0</v>
          </cell>
          <cell r="Q623">
            <v>1455</v>
          </cell>
        </row>
        <row r="624">
          <cell r="A624" t="str">
            <v>US59P3C5503921200006</v>
          </cell>
          <cell r="B624" t="str">
            <v>US59P3C550</v>
          </cell>
          <cell r="C624">
            <v>3921200006</v>
          </cell>
          <cell r="D624" t="str">
            <v>FACTORY SUPPLIES MAINTENANCE SUPPLIES</v>
          </cell>
          <cell r="E624">
            <v>0</v>
          </cell>
          <cell r="F624">
            <v>123</v>
          </cell>
          <cell r="G624">
            <v>0</v>
          </cell>
          <cell r="H624">
            <v>0</v>
          </cell>
          <cell r="I624">
            <v>0</v>
          </cell>
          <cell r="J624">
            <v>0</v>
          </cell>
          <cell r="K624">
            <v>0</v>
          </cell>
          <cell r="L624">
            <v>0</v>
          </cell>
          <cell r="M624">
            <v>0</v>
          </cell>
          <cell r="N624">
            <v>0</v>
          </cell>
          <cell r="O624">
            <v>0</v>
          </cell>
          <cell r="P624">
            <v>0</v>
          </cell>
          <cell r="Q624">
            <v>123</v>
          </cell>
        </row>
        <row r="625">
          <cell r="A625" t="str">
            <v>US59P3C5603921200006</v>
          </cell>
          <cell r="B625" t="str">
            <v>US59P3C560</v>
          </cell>
          <cell r="C625">
            <v>3921200006</v>
          </cell>
          <cell r="D625" t="str">
            <v>FACTORY SUPPLIES MAINTENANCE SUPPLIES</v>
          </cell>
          <cell r="E625">
            <v>760</v>
          </cell>
          <cell r="F625">
            <v>1993</v>
          </cell>
          <cell r="G625">
            <v>657</v>
          </cell>
          <cell r="H625">
            <v>0</v>
          </cell>
          <cell r="I625">
            <v>0</v>
          </cell>
          <cell r="J625">
            <v>0</v>
          </cell>
          <cell r="K625">
            <v>0</v>
          </cell>
          <cell r="L625">
            <v>0</v>
          </cell>
          <cell r="M625">
            <v>0</v>
          </cell>
          <cell r="N625">
            <v>0</v>
          </cell>
          <cell r="O625">
            <v>0</v>
          </cell>
          <cell r="P625">
            <v>0</v>
          </cell>
          <cell r="Q625">
            <v>3410</v>
          </cell>
        </row>
        <row r="626">
          <cell r="A626" t="str">
            <v>USCRMZA1503921200006</v>
          </cell>
          <cell r="B626" t="str">
            <v>USCRMZA150</v>
          </cell>
          <cell r="C626">
            <v>3921200006</v>
          </cell>
          <cell r="D626" t="str">
            <v>FACTORY SUPPLIES MAINTENANCE SUPPLIES</v>
          </cell>
          <cell r="E626">
            <v>1375</v>
          </cell>
          <cell r="F626">
            <v>11973</v>
          </cell>
          <cell r="G626">
            <v>9392</v>
          </cell>
          <cell r="H626">
            <v>0</v>
          </cell>
          <cell r="I626">
            <v>0</v>
          </cell>
          <cell r="J626">
            <v>0</v>
          </cell>
          <cell r="K626">
            <v>0</v>
          </cell>
          <cell r="L626">
            <v>0</v>
          </cell>
          <cell r="M626">
            <v>0</v>
          </cell>
          <cell r="N626">
            <v>0</v>
          </cell>
          <cell r="O626">
            <v>0</v>
          </cell>
          <cell r="P626">
            <v>0</v>
          </cell>
          <cell r="Q626">
            <v>22740</v>
          </cell>
        </row>
        <row r="627">
          <cell r="A627" t="str">
            <v>USCRP015013921200006</v>
          </cell>
          <cell r="B627" t="str">
            <v>USCRP01501</v>
          </cell>
          <cell r="C627">
            <v>3921200006</v>
          </cell>
          <cell r="D627" t="str">
            <v>FACTORY SUPPLIES MAINTENANCE SUPPLIES</v>
          </cell>
          <cell r="E627">
            <v>3454</v>
          </cell>
          <cell r="F627">
            <v>4487</v>
          </cell>
          <cell r="G627">
            <v>8419</v>
          </cell>
          <cell r="H627">
            <v>0</v>
          </cell>
          <cell r="I627">
            <v>0</v>
          </cell>
          <cell r="J627">
            <v>0</v>
          </cell>
          <cell r="K627">
            <v>0</v>
          </cell>
          <cell r="L627">
            <v>0</v>
          </cell>
          <cell r="M627">
            <v>0</v>
          </cell>
          <cell r="N627">
            <v>0</v>
          </cell>
          <cell r="O627">
            <v>0</v>
          </cell>
          <cell r="P627">
            <v>0</v>
          </cell>
          <cell r="Q627">
            <v>16360</v>
          </cell>
        </row>
        <row r="628">
          <cell r="A628" t="str">
            <v>USCRP015533921200006</v>
          </cell>
          <cell r="B628" t="str">
            <v>USCRP01553</v>
          </cell>
          <cell r="C628">
            <v>3921200006</v>
          </cell>
          <cell r="D628" t="str">
            <v>FACTORY SUPPLIES MAINTENANCE SUPPLIES</v>
          </cell>
          <cell r="E628">
            <v>2543</v>
          </cell>
          <cell r="F628">
            <v>4252</v>
          </cell>
          <cell r="G628">
            <v>6362</v>
          </cell>
          <cell r="H628">
            <v>0</v>
          </cell>
          <cell r="I628">
            <v>0</v>
          </cell>
          <cell r="J628">
            <v>0</v>
          </cell>
          <cell r="K628">
            <v>0</v>
          </cell>
          <cell r="L628">
            <v>0</v>
          </cell>
          <cell r="M628">
            <v>0</v>
          </cell>
          <cell r="N628">
            <v>0</v>
          </cell>
          <cell r="O628">
            <v>0</v>
          </cell>
          <cell r="P628">
            <v>0</v>
          </cell>
          <cell r="Q628">
            <v>13157</v>
          </cell>
        </row>
        <row r="629">
          <cell r="A629" t="str">
            <v>USCRP015603921200006</v>
          </cell>
          <cell r="B629" t="str">
            <v>USCRP01560</v>
          </cell>
          <cell r="C629">
            <v>3921200006</v>
          </cell>
          <cell r="D629" t="str">
            <v>FACTORY SUPPLIES MAINTENANCE SUPPLIES</v>
          </cell>
          <cell r="E629">
            <v>8962</v>
          </cell>
          <cell r="F629">
            <v>5669</v>
          </cell>
          <cell r="G629">
            <v>2400</v>
          </cell>
          <cell r="H629">
            <v>0</v>
          </cell>
          <cell r="I629">
            <v>0</v>
          </cell>
          <cell r="J629">
            <v>0</v>
          </cell>
          <cell r="K629">
            <v>0</v>
          </cell>
          <cell r="L629">
            <v>0</v>
          </cell>
          <cell r="M629">
            <v>0</v>
          </cell>
          <cell r="N629">
            <v>0</v>
          </cell>
          <cell r="O629">
            <v>0</v>
          </cell>
          <cell r="P629">
            <v>0</v>
          </cell>
          <cell r="Q629">
            <v>17031</v>
          </cell>
        </row>
        <row r="630">
          <cell r="A630" t="str">
            <v>USCRP015643921200006</v>
          </cell>
          <cell r="B630" t="str">
            <v>USCRP01564</v>
          </cell>
          <cell r="C630">
            <v>3921200006</v>
          </cell>
          <cell r="D630" t="str">
            <v>FACTORY SUPPLIES MAINTENANCE SUPPLIES</v>
          </cell>
          <cell r="E630">
            <v>63630</v>
          </cell>
          <cell r="F630">
            <v>1332</v>
          </cell>
          <cell r="G630">
            <v>182</v>
          </cell>
          <cell r="H630">
            <v>0</v>
          </cell>
          <cell r="I630">
            <v>0</v>
          </cell>
          <cell r="J630">
            <v>0</v>
          </cell>
          <cell r="K630">
            <v>0</v>
          </cell>
          <cell r="L630">
            <v>0</v>
          </cell>
          <cell r="M630">
            <v>0</v>
          </cell>
          <cell r="N630">
            <v>0</v>
          </cell>
          <cell r="O630">
            <v>0</v>
          </cell>
          <cell r="P630">
            <v>0</v>
          </cell>
          <cell r="Q630">
            <v>65144</v>
          </cell>
        </row>
        <row r="631">
          <cell r="A631" t="str">
            <v>USCRP015753921200006</v>
          </cell>
          <cell r="B631" t="str">
            <v>USCRP01575</v>
          </cell>
          <cell r="C631">
            <v>3921200006</v>
          </cell>
          <cell r="D631" t="str">
            <v>FACTORY SUPPLIES MAINTENANCE SUPPLIES</v>
          </cell>
          <cell r="E631">
            <v>803</v>
          </cell>
          <cell r="F631">
            <v>4760</v>
          </cell>
          <cell r="G631">
            <v>144</v>
          </cell>
          <cell r="H631">
            <v>0</v>
          </cell>
          <cell r="I631">
            <v>0</v>
          </cell>
          <cell r="J631">
            <v>0</v>
          </cell>
          <cell r="K631">
            <v>0</v>
          </cell>
          <cell r="L631">
            <v>0</v>
          </cell>
          <cell r="M631">
            <v>0</v>
          </cell>
          <cell r="N631">
            <v>0</v>
          </cell>
          <cell r="O631">
            <v>0</v>
          </cell>
          <cell r="P631">
            <v>0</v>
          </cell>
          <cell r="Q631">
            <v>5707</v>
          </cell>
        </row>
        <row r="632">
          <cell r="A632" t="str">
            <v>USWOMZA1503921200006</v>
          </cell>
          <cell r="B632" t="str">
            <v>USWOMZA150</v>
          </cell>
          <cell r="C632">
            <v>3921200006</v>
          </cell>
          <cell r="D632" t="str">
            <v>FACTORY SUPPLIES MAINTENANCE SUPPLIES</v>
          </cell>
          <cell r="E632">
            <v>529</v>
          </cell>
          <cell r="F632">
            <v>279</v>
          </cell>
          <cell r="G632">
            <v>127</v>
          </cell>
          <cell r="H632">
            <v>0</v>
          </cell>
          <cell r="I632">
            <v>0</v>
          </cell>
          <cell r="J632">
            <v>0</v>
          </cell>
          <cell r="K632">
            <v>0</v>
          </cell>
          <cell r="L632">
            <v>0</v>
          </cell>
          <cell r="M632">
            <v>0</v>
          </cell>
          <cell r="N632">
            <v>0</v>
          </cell>
          <cell r="O632">
            <v>0</v>
          </cell>
          <cell r="P632">
            <v>0</v>
          </cell>
          <cell r="Q632">
            <v>935</v>
          </cell>
        </row>
        <row r="633">
          <cell r="A633" t="str">
            <v>USWOP015013921200006</v>
          </cell>
          <cell r="B633" t="str">
            <v>USWOP01501</v>
          </cell>
          <cell r="C633">
            <v>3921200006</v>
          </cell>
          <cell r="D633" t="str">
            <v>FACTORY SUPPLIES MAINTENANCE SUPPLIES</v>
          </cell>
          <cell r="E633">
            <v>1074</v>
          </cell>
          <cell r="F633">
            <v>438</v>
          </cell>
          <cell r="G633">
            <v>1538</v>
          </cell>
          <cell r="H633">
            <v>0</v>
          </cell>
          <cell r="I633">
            <v>0</v>
          </cell>
          <cell r="J633">
            <v>0</v>
          </cell>
          <cell r="K633">
            <v>0</v>
          </cell>
          <cell r="L633">
            <v>0</v>
          </cell>
          <cell r="M633">
            <v>0</v>
          </cell>
          <cell r="N633">
            <v>0</v>
          </cell>
          <cell r="O633">
            <v>0</v>
          </cell>
          <cell r="P633">
            <v>0</v>
          </cell>
          <cell r="Q633">
            <v>3050</v>
          </cell>
        </row>
        <row r="634">
          <cell r="A634" t="str">
            <v>USWOP015503921200006</v>
          </cell>
          <cell r="B634" t="str">
            <v>USWOP01550</v>
          </cell>
          <cell r="C634">
            <v>3921200006</v>
          </cell>
          <cell r="D634" t="str">
            <v>FACTORY SUPPLIES MAINTENANCE SUPPLIES</v>
          </cell>
          <cell r="E634">
            <v>0</v>
          </cell>
          <cell r="F634">
            <v>241</v>
          </cell>
          <cell r="G634">
            <v>241</v>
          </cell>
          <cell r="H634">
            <v>0</v>
          </cell>
          <cell r="I634">
            <v>0</v>
          </cell>
          <cell r="J634">
            <v>0</v>
          </cell>
          <cell r="K634">
            <v>0</v>
          </cell>
          <cell r="L634">
            <v>0</v>
          </cell>
          <cell r="M634">
            <v>0</v>
          </cell>
          <cell r="N634">
            <v>0</v>
          </cell>
          <cell r="O634">
            <v>0</v>
          </cell>
          <cell r="P634">
            <v>0</v>
          </cell>
          <cell r="Q634">
            <v>482</v>
          </cell>
        </row>
        <row r="635">
          <cell r="A635" t="str">
            <v>USWOP015533921200006</v>
          </cell>
          <cell r="B635" t="str">
            <v>USWOP01553</v>
          </cell>
          <cell r="C635">
            <v>3921200006</v>
          </cell>
          <cell r="D635" t="str">
            <v>FACTORY SUPPLIES MAINTENANCE SUPPLIES</v>
          </cell>
          <cell r="E635">
            <v>0</v>
          </cell>
          <cell r="F635">
            <v>0</v>
          </cell>
          <cell r="G635">
            <v>1512</v>
          </cell>
          <cell r="H635">
            <v>0</v>
          </cell>
          <cell r="I635">
            <v>0</v>
          </cell>
          <cell r="J635">
            <v>0</v>
          </cell>
          <cell r="K635">
            <v>0</v>
          </cell>
          <cell r="L635">
            <v>0</v>
          </cell>
          <cell r="M635">
            <v>0</v>
          </cell>
          <cell r="N635">
            <v>0</v>
          </cell>
          <cell r="O635">
            <v>0</v>
          </cell>
          <cell r="P635">
            <v>0</v>
          </cell>
          <cell r="Q635">
            <v>1512</v>
          </cell>
        </row>
        <row r="636">
          <cell r="A636" t="str">
            <v>USWOP015603921200006</v>
          </cell>
          <cell r="B636" t="str">
            <v>USWOP01560</v>
          </cell>
          <cell r="C636">
            <v>3921200006</v>
          </cell>
          <cell r="D636" t="str">
            <v>FACTORY SUPPLIES MAINTENANCE SUPPLIES</v>
          </cell>
          <cell r="E636">
            <v>7392</v>
          </cell>
          <cell r="F636">
            <v>4868</v>
          </cell>
          <cell r="G636">
            <v>7299</v>
          </cell>
          <cell r="H636">
            <v>0</v>
          </cell>
          <cell r="I636">
            <v>0</v>
          </cell>
          <cell r="J636">
            <v>0</v>
          </cell>
          <cell r="K636">
            <v>0</v>
          </cell>
          <cell r="L636">
            <v>0</v>
          </cell>
          <cell r="M636">
            <v>0</v>
          </cell>
          <cell r="N636">
            <v>0</v>
          </cell>
          <cell r="O636">
            <v>0</v>
          </cell>
          <cell r="P636">
            <v>0</v>
          </cell>
          <cell r="Q636">
            <v>19559</v>
          </cell>
        </row>
        <row r="637">
          <cell r="A637" t="str">
            <v>USWOP015643921200006</v>
          </cell>
          <cell r="B637" t="str">
            <v>USWOP01564</v>
          </cell>
          <cell r="C637">
            <v>3921200006</v>
          </cell>
          <cell r="D637" t="str">
            <v>FACTORY SUPPLIES MAINTENANCE SUPPLIES</v>
          </cell>
          <cell r="E637">
            <v>9062</v>
          </cell>
          <cell r="F637">
            <v>7650</v>
          </cell>
          <cell r="G637">
            <v>2062</v>
          </cell>
          <cell r="H637">
            <v>0</v>
          </cell>
          <cell r="I637">
            <v>0</v>
          </cell>
          <cell r="J637">
            <v>0</v>
          </cell>
          <cell r="K637">
            <v>0</v>
          </cell>
          <cell r="L637">
            <v>0</v>
          </cell>
          <cell r="M637">
            <v>0</v>
          </cell>
          <cell r="N637">
            <v>0</v>
          </cell>
          <cell r="O637">
            <v>0</v>
          </cell>
          <cell r="P637">
            <v>0</v>
          </cell>
          <cell r="Q637">
            <v>18774</v>
          </cell>
        </row>
        <row r="638">
          <cell r="A638" t="str">
            <v>US22MZA1503921200010</v>
          </cell>
          <cell r="B638" t="str">
            <v>US22MZA150</v>
          </cell>
          <cell r="C638">
            <v>3921200010</v>
          </cell>
          <cell r="D638" t="str">
            <v>ADMINISTRATIVE SUPPLIES</v>
          </cell>
          <cell r="E638">
            <v>0</v>
          </cell>
          <cell r="F638">
            <v>26</v>
          </cell>
          <cell r="G638">
            <v>7</v>
          </cell>
          <cell r="H638">
            <v>0</v>
          </cell>
          <cell r="I638">
            <v>0</v>
          </cell>
          <cell r="J638">
            <v>0</v>
          </cell>
          <cell r="K638">
            <v>0</v>
          </cell>
          <cell r="L638">
            <v>0</v>
          </cell>
          <cell r="M638">
            <v>0</v>
          </cell>
          <cell r="N638">
            <v>0</v>
          </cell>
          <cell r="O638">
            <v>0</v>
          </cell>
          <cell r="P638">
            <v>0</v>
          </cell>
          <cell r="Q638">
            <v>33</v>
          </cell>
        </row>
        <row r="639">
          <cell r="A639" t="str">
            <v>US22P015013921200010</v>
          </cell>
          <cell r="B639" t="str">
            <v>US22P01501</v>
          </cell>
          <cell r="C639">
            <v>3921200010</v>
          </cell>
          <cell r="D639" t="str">
            <v>ADMINISTRATIVE SUPPLIES</v>
          </cell>
          <cell r="E639">
            <v>2629</v>
          </cell>
          <cell r="F639">
            <v>2119</v>
          </cell>
          <cell r="G639">
            <v>1683</v>
          </cell>
          <cell r="H639">
            <v>0</v>
          </cell>
          <cell r="I639">
            <v>0</v>
          </cell>
          <cell r="J639">
            <v>0</v>
          </cell>
          <cell r="K639">
            <v>0</v>
          </cell>
          <cell r="L639">
            <v>0</v>
          </cell>
          <cell r="M639">
            <v>0</v>
          </cell>
          <cell r="N639">
            <v>0</v>
          </cell>
          <cell r="O639">
            <v>0</v>
          </cell>
          <cell r="P639">
            <v>0</v>
          </cell>
          <cell r="Q639">
            <v>6431</v>
          </cell>
        </row>
        <row r="640">
          <cell r="A640" t="str">
            <v>US22P015503921200010</v>
          </cell>
          <cell r="B640" t="str">
            <v>US22P01550</v>
          </cell>
          <cell r="C640">
            <v>3921200010</v>
          </cell>
          <cell r="D640" t="str">
            <v>ADMINISTRATIVE SUPPLIES</v>
          </cell>
          <cell r="E640">
            <v>24</v>
          </cell>
          <cell r="F640">
            <v>0</v>
          </cell>
          <cell r="G640">
            <v>0</v>
          </cell>
          <cell r="H640">
            <v>0</v>
          </cell>
          <cell r="I640">
            <v>0</v>
          </cell>
          <cell r="J640">
            <v>0</v>
          </cell>
          <cell r="K640">
            <v>0</v>
          </cell>
          <cell r="L640">
            <v>0</v>
          </cell>
          <cell r="M640">
            <v>0</v>
          </cell>
          <cell r="N640">
            <v>0</v>
          </cell>
          <cell r="O640">
            <v>0</v>
          </cell>
          <cell r="P640">
            <v>0</v>
          </cell>
          <cell r="Q640">
            <v>24</v>
          </cell>
        </row>
        <row r="641">
          <cell r="A641" t="str">
            <v>US22P015753921200010</v>
          </cell>
          <cell r="B641" t="str">
            <v>US22P01575</v>
          </cell>
          <cell r="C641">
            <v>3921200010</v>
          </cell>
          <cell r="D641" t="str">
            <v>ADMINISTRATIVE SUPPLIES</v>
          </cell>
          <cell r="E641">
            <v>0</v>
          </cell>
          <cell r="F641">
            <v>0</v>
          </cell>
          <cell r="G641">
            <v>0</v>
          </cell>
          <cell r="H641">
            <v>0</v>
          </cell>
          <cell r="I641">
            <v>0</v>
          </cell>
          <cell r="J641">
            <v>0</v>
          </cell>
          <cell r="K641">
            <v>0</v>
          </cell>
          <cell r="L641">
            <v>0</v>
          </cell>
          <cell r="M641">
            <v>0</v>
          </cell>
          <cell r="N641">
            <v>0</v>
          </cell>
          <cell r="O641">
            <v>0</v>
          </cell>
          <cell r="P641">
            <v>0</v>
          </cell>
          <cell r="Q641">
            <v>0</v>
          </cell>
        </row>
        <row r="642">
          <cell r="A642" t="str">
            <v>US28MZA1503921200010</v>
          </cell>
          <cell r="B642" t="str">
            <v>US28MZA150</v>
          </cell>
          <cell r="C642">
            <v>3921200010</v>
          </cell>
          <cell r="D642" t="str">
            <v>ADMINISTRATIVE SUPPLIES</v>
          </cell>
          <cell r="E642">
            <v>255</v>
          </cell>
          <cell r="F642">
            <v>85</v>
          </cell>
          <cell r="G642">
            <v>272</v>
          </cell>
          <cell r="H642">
            <v>0</v>
          </cell>
          <cell r="I642">
            <v>0</v>
          </cell>
          <cell r="J642">
            <v>0</v>
          </cell>
          <cell r="K642">
            <v>0</v>
          </cell>
          <cell r="L642">
            <v>0</v>
          </cell>
          <cell r="M642">
            <v>0</v>
          </cell>
          <cell r="N642">
            <v>0</v>
          </cell>
          <cell r="O642">
            <v>0</v>
          </cell>
          <cell r="P642">
            <v>0</v>
          </cell>
          <cell r="Q642">
            <v>612</v>
          </cell>
        </row>
        <row r="643">
          <cell r="A643" t="str">
            <v>US28P015013921200010</v>
          </cell>
          <cell r="B643" t="str">
            <v>US28P01501</v>
          </cell>
          <cell r="C643">
            <v>3921200010</v>
          </cell>
          <cell r="D643" t="str">
            <v>ADMINISTRATIVE SUPPLIES</v>
          </cell>
          <cell r="E643">
            <v>1918</v>
          </cell>
          <cell r="F643">
            <v>2343</v>
          </cell>
          <cell r="G643">
            <v>4053</v>
          </cell>
          <cell r="H643">
            <v>0</v>
          </cell>
          <cell r="I643">
            <v>0</v>
          </cell>
          <cell r="J643">
            <v>0</v>
          </cell>
          <cell r="K643">
            <v>0</v>
          </cell>
          <cell r="L643">
            <v>0</v>
          </cell>
          <cell r="M643">
            <v>0</v>
          </cell>
          <cell r="N643">
            <v>0</v>
          </cell>
          <cell r="O643">
            <v>0</v>
          </cell>
          <cell r="P643">
            <v>0</v>
          </cell>
          <cell r="Q643">
            <v>8314</v>
          </cell>
        </row>
        <row r="644">
          <cell r="A644" t="str">
            <v>US28P015503921200010</v>
          </cell>
          <cell r="B644" t="str">
            <v>US28P01550</v>
          </cell>
          <cell r="C644">
            <v>3921200010</v>
          </cell>
          <cell r="D644" t="str">
            <v>ADMINISTRATIVE SUPPLIES</v>
          </cell>
          <cell r="E644">
            <v>0</v>
          </cell>
          <cell r="F644">
            <v>0</v>
          </cell>
          <cell r="G644">
            <v>0</v>
          </cell>
          <cell r="H644">
            <v>0</v>
          </cell>
          <cell r="I644">
            <v>0</v>
          </cell>
          <cell r="J644">
            <v>0</v>
          </cell>
          <cell r="K644">
            <v>0</v>
          </cell>
          <cell r="L644">
            <v>0</v>
          </cell>
          <cell r="M644">
            <v>0</v>
          </cell>
          <cell r="N644">
            <v>0</v>
          </cell>
          <cell r="O644">
            <v>0</v>
          </cell>
          <cell r="P644">
            <v>0</v>
          </cell>
          <cell r="Q644">
            <v>0</v>
          </cell>
        </row>
        <row r="645">
          <cell r="A645" t="str">
            <v>US35MZA1503921200010</v>
          </cell>
          <cell r="B645" t="str">
            <v>US35MZA150</v>
          </cell>
          <cell r="C645">
            <v>3921200010</v>
          </cell>
          <cell r="D645" t="str">
            <v>ADMINISTRATIVE SUPPLIES</v>
          </cell>
          <cell r="E645">
            <v>880</v>
          </cell>
          <cell r="F645">
            <v>1097</v>
          </cell>
          <cell r="G645">
            <v>283</v>
          </cell>
          <cell r="H645">
            <v>0</v>
          </cell>
          <cell r="I645">
            <v>0</v>
          </cell>
          <cell r="J645">
            <v>0</v>
          </cell>
          <cell r="K645">
            <v>0</v>
          </cell>
          <cell r="L645">
            <v>0</v>
          </cell>
          <cell r="M645">
            <v>0</v>
          </cell>
          <cell r="N645">
            <v>0</v>
          </cell>
          <cell r="O645">
            <v>0</v>
          </cell>
          <cell r="P645">
            <v>0</v>
          </cell>
          <cell r="Q645">
            <v>2260</v>
          </cell>
        </row>
        <row r="646">
          <cell r="A646" t="str">
            <v>US35P015013921200010</v>
          </cell>
          <cell r="B646" t="str">
            <v>US35P01501</v>
          </cell>
          <cell r="C646">
            <v>3921200010</v>
          </cell>
          <cell r="D646" t="str">
            <v>ADMINISTRATIVE SUPPLIES</v>
          </cell>
          <cell r="E646">
            <v>2741</v>
          </cell>
          <cell r="F646">
            <v>1359</v>
          </cell>
          <cell r="G646">
            <v>2645</v>
          </cell>
          <cell r="H646">
            <v>0</v>
          </cell>
          <cell r="I646">
            <v>0</v>
          </cell>
          <cell r="J646">
            <v>0</v>
          </cell>
          <cell r="K646">
            <v>0</v>
          </cell>
          <cell r="L646">
            <v>0</v>
          </cell>
          <cell r="M646">
            <v>0</v>
          </cell>
          <cell r="N646">
            <v>0</v>
          </cell>
          <cell r="O646">
            <v>0</v>
          </cell>
          <cell r="P646">
            <v>0</v>
          </cell>
          <cell r="Q646">
            <v>6745</v>
          </cell>
        </row>
        <row r="647">
          <cell r="A647" t="str">
            <v>US35P015503921200010</v>
          </cell>
          <cell r="B647" t="str">
            <v>US35P01550</v>
          </cell>
          <cell r="C647">
            <v>3921200010</v>
          </cell>
          <cell r="D647" t="str">
            <v>ADMINISTRATIVE SUPPLIES</v>
          </cell>
          <cell r="E647">
            <v>0</v>
          </cell>
          <cell r="F647">
            <v>0</v>
          </cell>
          <cell r="G647">
            <v>0</v>
          </cell>
          <cell r="H647">
            <v>0</v>
          </cell>
          <cell r="I647">
            <v>0</v>
          </cell>
          <cell r="J647">
            <v>0</v>
          </cell>
          <cell r="K647">
            <v>0</v>
          </cell>
          <cell r="L647">
            <v>0</v>
          </cell>
          <cell r="M647">
            <v>0</v>
          </cell>
          <cell r="N647">
            <v>0</v>
          </cell>
          <cell r="O647">
            <v>0</v>
          </cell>
          <cell r="P647">
            <v>0</v>
          </cell>
          <cell r="Q647">
            <v>0</v>
          </cell>
        </row>
        <row r="648">
          <cell r="A648" t="str">
            <v>US35P015603921200010</v>
          </cell>
          <cell r="B648" t="str">
            <v>US35P01560</v>
          </cell>
          <cell r="C648">
            <v>3921200010</v>
          </cell>
          <cell r="D648" t="str">
            <v>ADMINISTRATIVE SUPPLIES</v>
          </cell>
          <cell r="E648">
            <v>0</v>
          </cell>
          <cell r="F648">
            <v>495</v>
          </cell>
          <cell r="G648">
            <v>112</v>
          </cell>
          <cell r="H648">
            <v>0</v>
          </cell>
          <cell r="I648">
            <v>0</v>
          </cell>
          <cell r="J648">
            <v>0</v>
          </cell>
          <cell r="K648">
            <v>0</v>
          </cell>
          <cell r="L648">
            <v>0</v>
          </cell>
          <cell r="M648">
            <v>0</v>
          </cell>
          <cell r="N648">
            <v>0</v>
          </cell>
          <cell r="O648">
            <v>0</v>
          </cell>
          <cell r="P648">
            <v>0</v>
          </cell>
          <cell r="Q648">
            <v>607</v>
          </cell>
        </row>
        <row r="649">
          <cell r="A649" t="str">
            <v>US35P015753921200010</v>
          </cell>
          <cell r="B649" t="str">
            <v>US35P01575</v>
          </cell>
          <cell r="C649">
            <v>3921200010</v>
          </cell>
          <cell r="D649" t="str">
            <v>ADMINISTRATIVE SUPPLIES</v>
          </cell>
          <cell r="E649">
            <v>0</v>
          </cell>
          <cell r="F649">
            <v>0</v>
          </cell>
          <cell r="G649">
            <v>749</v>
          </cell>
          <cell r="H649">
            <v>0</v>
          </cell>
          <cell r="I649">
            <v>0</v>
          </cell>
          <cell r="J649">
            <v>0</v>
          </cell>
          <cell r="K649">
            <v>0</v>
          </cell>
          <cell r="L649">
            <v>0</v>
          </cell>
          <cell r="M649">
            <v>0</v>
          </cell>
          <cell r="N649">
            <v>0</v>
          </cell>
          <cell r="O649">
            <v>0</v>
          </cell>
          <cell r="P649">
            <v>0</v>
          </cell>
          <cell r="Q649">
            <v>749</v>
          </cell>
        </row>
        <row r="650">
          <cell r="A650" t="str">
            <v>US35P015903921200010</v>
          </cell>
          <cell r="B650" t="str">
            <v>US35P01590</v>
          </cell>
          <cell r="C650">
            <v>3921200010</v>
          </cell>
          <cell r="D650" t="str">
            <v>ADMINISTRATIVE SUPPLIES</v>
          </cell>
          <cell r="E650">
            <v>7</v>
          </cell>
          <cell r="F650">
            <v>757</v>
          </cell>
          <cell r="G650">
            <v>66</v>
          </cell>
          <cell r="H650">
            <v>0</v>
          </cell>
          <cell r="I650">
            <v>0</v>
          </cell>
          <cell r="J650">
            <v>0</v>
          </cell>
          <cell r="K650">
            <v>0</v>
          </cell>
          <cell r="L650">
            <v>0</v>
          </cell>
          <cell r="M650">
            <v>0</v>
          </cell>
          <cell r="N650">
            <v>0</v>
          </cell>
          <cell r="O650">
            <v>0</v>
          </cell>
          <cell r="P650">
            <v>0</v>
          </cell>
          <cell r="Q650">
            <v>830</v>
          </cell>
        </row>
        <row r="651">
          <cell r="A651" t="str">
            <v>US59MZA1503921200010</v>
          </cell>
          <cell r="B651" t="str">
            <v>US59MZA150</v>
          </cell>
          <cell r="C651">
            <v>3921200010</v>
          </cell>
          <cell r="D651" t="str">
            <v>ADMINISTRATIVE SUPPLIES</v>
          </cell>
          <cell r="E651">
            <v>460</v>
          </cell>
          <cell r="F651">
            <v>508</v>
          </cell>
          <cell r="G651">
            <v>513</v>
          </cell>
          <cell r="H651">
            <v>0</v>
          </cell>
          <cell r="I651">
            <v>0</v>
          </cell>
          <cell r="J651">
            <v>0</v>
          </cell>
          <cell r="K651">
            <v>0</v>
          </cell>
          <cell r="L651">
            <v>0</v>
          </cell>
          <cell r="M651">
            <v>0</v>
          </cell>
          <cell r="N651">
            <v>0</v>
          </cell>
          <cell r="O651">
            <v>0</v>
          </cell>
          <cell r="P651">
            <v>0</v>
          </cell>
          <cell r="Q651">
            <v>1481</v>
          </cell>
        </row>
        <row r="652">
          <cell r="A652" t="str">
            <v>US59P015013921200010</v>
          </cell>
          <cell r="B652" t="str">
            <v>US59P01501</v>
          </cell>
          <cell r="C652">
            <v>3921200010</v>
          </cell>
          <cell r="D652" t="str">
            <v>ADMINISTRATIVE SUPPLIES</v>
          </cell>
          <cell r="E652">
            <v>264</v>
          </cell>
          <cell r="F652">
            <v>325</v>
          </cell>
          <cell r="G652">
            <v>913</v>
          </cell>
          <cell r="H652">
            <v>0</v>
          </cell>
          <cell r="I652">
            <v>0</v>
          </cell>
          <cell r="J652">
            <v>0</v>
          </cell>
          <cell r="K652">
            <v>0</v>
          </cell>
          <cell r="L652">
            <v>0</v>
          </cell>
          <cell r="M652">
            <v>0</v>
          </cell>
          <cell r="N652">
            <v>0</v>
          </cell>
          <cell r="O652">
            <v>0</v>
          </cell>
          <cell r="P652">
            <v>0</v>
          </cell>
          <cell r="Q652">
            <v>1502</v>
          </cell>
        </row>
        <row r="653">
          <cell r="A653" t="str">
            <v>US59P015503921200010</v>
          </cell>
          <cell r="B653" t="str">
            <v>US59P01550</v>
          </cell>
          <cell r="C653">
            <v>3921200010</v>
          </cell>
          <cell r="D653" t="str">
            <v>ADMINISTRATIVE SUPPLIES</v>
          </cell>
          <cell r="E653">
            <v>0</v>
          </cell>
          <cell r="F653">
            <v>355</v>
          </cell>
          <cell r="G653">
            <v>173</v>
          </cell>
          <cell r="H653">
            <v>0</v>
          </cell>
          <cell r="I653">
            <v>0</v>
          </cell>
          <cell r="J653">
            <v>0</v>
          </cell>
          <cell r="K653">
            <v>0</v>
          </cell>
          <cell r="L653">
            <v>0</v>
          </cell>
          <cell r="M653">
            <v>0</v>
          </cell>
          <cell r="N653">
            <v>0</v>
          </cell>
          <cell r="O653">
            <v>0</v>
          </cell>
          <cell r="P653">
            <v>0</v>
          </cell>
          <cell r="Q653">
            <v>528</v>
          </cell>
        </row>
        <row r="654">
          <cell r="A654" t="str">
            <v>US59P015603921200010</v>
          </cell>
          <cell r="B654" t="str">
            <v>US59P01560</v>
          </cell>
          <cell r="C654">
            <v>3921200010</v>
          </cell>
          <cell r="D654" t="str">
            <v>ADMINISTRATIVE SUPPLIES</v>
          </cell>
          <cell r="E654">
            <v>139</v>
          </cell>
          <cell r="F654">
            <v>0</v>
          </cell>
          <cell r="G654">
            <v>41</v>
          </cell>
          <cell r="H654">
            <v>0</v>
          </cell>
          <cell r="I654">
            <v>0</v>
          </cell>
          <cell r="J654">
            <v>0</v>
          </cell>
          <cell r="K654">
            <v>0</v>
          </cell>
          <cell r="L654">
            <v>0</v>
          </cell>
          <cell r="M654">
            <v>0</v>
          </cell>
          <cell r="N654">
            <v>0</v>
          </cell>
          <cell r="O654">
            <v>0</v>
          </cell>
          <cell r="P654">
            <v>0</v>
          </cell>
          <cell r="Q654">
            <v>180</v>
          </cell>
        </row>
        <row r="655">
          <cell r="A655" t="str">
            <v>US59P3C5013921200010</v>
          </cell>
          <cell r="B655" t="str">
            <v>US59P3C501</v>
          </cell>
          <cell r="C655">
            <v>3921200010</v>
          </cell>
          <cell r="D655" t="str">
            <v>ADMINISTRATIVE SUPPLIES</v>
          </cell>
          <cell r="E655">
            <v>822</v>
          </cell>
          <cell r="F655">
            <v>768</v>
          </cell>
          <cell r="G655">
            <v>595</v>
          </cell>
          <cell r="H655">
            <v>0</v>
          </cell>
          <cell r="I655">
            <v>0</v>
          </cell>
          <cell r="J655">
            <v>0</v>
          </cell>
          <cell r="K655">
            <v>0</v>
          </cell>
          <cell r="L655">
            <v>0</v>
          </cell>
          <cell r="M655">
            <v>0</v>
          </cell>
          <cell r="N655">
            <v>0</v>
          </cell>
          <cell r="O655">
            <v>0</v>
          </cell>
          <cell r="P655">
            <v>0</v>
          </cell>
          <cell r="Q655">
            <v>2185</v>
          </cell>
        </row>
        <row r="656">
          <cell r="A656" t="str">
            <v>US59P3C5603921200010</v>
          </cell>
          <cell r="B656" t="str">
            <v>US59P3C560</v>
          </cell>
          <cell r="C656">
            <v>3921200010</v>
          </cell>
          <cell r="D656" t="str">
            <v>ADMINISTRATIVE SUPPLIES</v>
          </cell>
          <cell r="E656">
            <v>109</v>
          </cell>
          <cell r="F656">
            <v>130</v>
          </cell>
          <cell r="G656">
            <v>0</v>
          </cell>
          <cell r="H656">
            <v>0</v>
          </cell>
          <cell r="I656">
            <v>0</v>
          </cell>
          <cell r="J656">
            <v>0</v>
          </cell>
          <cell r="K656">
            <v>0</v>
          </cell>
          <cell r="L656">
            <v>0</v>
          </cell>
          <cell r="M656">
            <v>0</v>
          </cell>
          <cell r="N656">
            <v>0</v>
          </cell>
          <cell r="O656">
            <v>0</v>
          </cell>
          <cell r="P656">
            <v>0</v>
          </cell>
          <cell r="Q656">
            <v>239</v>
          </cell>
        </row>
        <row r="657">
          <cell r="A657" t="str">
            <v>US59PZA5013921200010</v>
          </cell>
          <cell r="B657" t="str">
            <v>US59PZA501</v>
          </cell>
          <cell r="C657">
            <v>3921200010</v>
          </cell>
          <cell r="D657" t="str">
            <v>ADMINISTRATIVE SUPPLIES</v>
          </cell>
          <cell r="E657">
            <v>134</v>
          </cell>
          <cell r="F657">
            <v>225</v>
          </cell>
          <cell r="G657">
            <v>0</v>
          </cell>
          <cell r="H657">
            <v>0</v>
          </cell>
          <cell r="I657">
            <v>0</v>
          </cell>
          <cell r="J657">
            <v>0</v>
          </cell>
          <cell r="K657">
            <v>0</v>
          </cell>
          <cell r="L657">
            <v>0</v>
          </cell>
          <cell r="M657">
            <v>0</v>
          </cell>
          <cell r="N657">
            <v>0</v>
          </cell>
          <cell r="O657">
            <v>0</v>
          </cell>
          <cell r="P657">
            <v>0</v>
          </cell>
          <cell r="Q657">
            <v>359</v>
          </cell>
        </row>
        <row r="658">
          <cell r="A658" t="str">
            <v>USCRMZA1503921200010</v>
          </cell>
          <cell r="B658" t="str">
            <v>USCRMZA150</v>
          </cell>
          <cell r="C658">
            <v>3921200010</v>
          </cell>
          <cell r="D658" t="str">
            <v>ADMINISTRATIVE SUPPLIES</v>
          </cell>
          <cell r="E658">
            <v>440</v>
          </cell>
          <cell r="F658">
            <v>100</v>
          </cell>
          <cell r="G658">
            <v>160</v>
          </cell>
          <cell r="H658">
            <v>0</v>
          </cell>
          <cell r="I658">
            <v>0</v>
          </cell>
          <cell r="J658">
            <v>0</v>
          </cell>
          <cell r="K658">
            <v>0</v>
          </cell>
          <cell r="L658">
            <v>0</v>
          </cell>
          <cell r="M658">
            <v>0</v>
          </cell>
          <cell r="N658">
            <v>0</v>
          </cell>
          <cell r="O658">
            <v>0</v>
          </cell>
          <cell r="P658">
            <v>0</v>
          </cell>
          <cell r="Q658">
            <v>700</v>
          </cell>
        </row>
        <row r="659">
          <cell r="A659" t="str">
            <v>USCRMZA1553921200010</v>
          </cell>
          <cell r="B659" t="str">
            <v>USCRMZA155</v>
          </cell>
          <cell r="C659">
            <v>3921200010</v>
          </cell>
          <cell r="D659" t="str">
            <v>ADMINISTRATIVE SUPPLIES</v>
          </cell>
          <cell r="E659">
            <v>0</v>
          </cell>
          <cell r="F659">
            <v>85</v>
          </cell>
          <cell r="G659">
            <v>0</v>
          </cell>
          <cell r="H659">
            <v>0</v>
          </cell>
          <cell r="I659">
            <v>0</v>
          </cell>
          <cell r="J659">
            <v>0</v>
          </cell>
          <cell r="K659">
            <v>0</v>
          </cell>
          <cell r="L659">
            <v>0</v>
          </cell>
          <cell r="M659">
            <v>0</v>
          </cell>
          <cell r="N659">
            <v>0</v>
          </cell>
          <cell r="O659">
            <v>0</v>
          </cell>
          <cell r="P659">
            <v>0</v>
          </cell>
          <cell r="Q659">
            <v>85</v>
          </cell>
        </row>
        <row r="660">
          <cell r="A660" t="str">
            <v>USCRP015013921200010</v>
          </cell>
          <cell r="B660" t="str">
            <v>USCRP01501</v>
          </cell>
          <cell r="C660">
            <v>3921200010</v>
          </cell>
          <cell r="D660" t="str">
            <v>ADMINISTRATIVE SUPPLIES</v>
          </cell>
          <cell r="E660">
            <v>934</v>
          </cell>
          <cell r="F660">
            <v>1193</v>
          </cell>
          <cell r="G660">
            <v>715</v>
          </cell>
          <cell r="H660">
            <v>0</v>
          </cell>
          <cell r="I660">
            <v>0</v>
          </cell>
          <cell r="J660">
            <v>0</v>
          </cell>
          <cell r="K660">
            <v>0</v>
          </cell>
          <cell r="L660">
            <v>0</v>
          </cell>
          <cell r="M660">
            <v>0</v>
          </cell>
          <cell r="N660">
            <v>0</v>
          </cell>
          <cell r="O660">
            <v>0</v>
          </cell>
          <cell r="P660">
            <v>0</v>
          </cell>
          <cell r="Q660">
            <v>2842</v>
          </cell>
        </row>
        <row r="661">
          <cell r="A661" t="str">
            <v>USCRP015603921200010</v>
          </cell>
          <cell r="B661" t="str">
            <v>USCRP01560</v>
          </cell>
          <cell r="C661">
            <v>3921200010</v>
          </cell>
          <cell r="D661" t="str">
            <v>ADMINISTRATIVE SUPPLIES</v>
          </cell>
          <cell r="E661">
            <v>0</v>
          </cell>
          <cell r="F661">
            <v>58</v>
          </cell>
          <cell r="G661">
            <v>0</v>
          </cell>
          <cell r="H661">
            <v>0</v>
          </cell>
          <cell r="I661">
            <v>0</v>
          </cell>
          <cell r="J661">
            <v>0</v>
          </cell>
          <cell r="K661">
            <v>0</v>
          </cell>
          <cell r="L661">
            <v>0</v>
          </cell>
          <cell r="M661">
            <v>0</v>
          </cell>
          <cell r="N661">
            <v>0</v>
          </cell>
          <cell r="O661">
            <v>0</v>
          </cell>
          <cell r="P661">
            <v>0</v>
          </cell>
          <cell r="Q661">
            <v>58</v>
          </cell>
        </row>
        <row r="662">
          <cell r="A662" t="str">
            <v>USCRP015903921200010</v>
          </cell>
          <cell r="B662" t="str">
            <v>USCRP01590</v>
          </cell>
          <cell r="C662">
            <v>3921200010</v>
          </cell>
          <cell r="D662" t="str">
            <v>ADMINISTRATIVE SUPPLIES</v>
          </cell>
          <cell r="E662">
            <v>0</v>
          </cell>
          <cell r="F662">
            <v>0</v>
          </cell>
          <cell r="G662">
            <v>97</v>
          </cell>
          <cell r="H662">
            <v>0</v>
          </cell>
          <cell r="I662">
            <v>0</v>
          </cell>
          <cell r="J662">
            <v>0</v>
          </cell>
          <cell r="K662">
            <v>0</v>
          </cell>
          <cell r="L662">
            <v>0</v>
          </cell>
          <cell r="M662">
            <v>0</v>
          </cell>
          <cell r="N662">
            <v>0</v>
          </cell>
          <cell r="O662">
            <v>0</v>
          </cell>
          <cell r="P662">
            <v>0</v>
          </cell>
          <cell r="Q662">
            <v>97</v>
          </cell>
        </row>
        <row r="663">
          <cell r="A663" t="str">
            <v>USWOMZA1503921200010</v>
          </cell>
          <cell r="B663" t="str">
            <v>USWOMZA150</v>
          </cell>
          <cell r="C663">
            <v>3921200010</v>
          </cell>
          <cell r="D663" t="str">
            <v>ADMINISTRATIVE SUPPLIES</v>
          </cell>
          <cell r="E663">
            <v>270</v>
          </cell>
          <cell r="F663">
            <v>21</v>
          </cell>
          <cell r="G663">
            <v>288</v>
          </cell>
          <cell r="H663">
            <v>0</v>
          </cell>
          <cell r="I663">
            <v>0</v>
          </cell>
          <cell r="J663">
            <v>0</v>
          </cell>
          <cell r="K663">
            <v>0</v>
          </cell>
          <cell r="L663">
            <v>0</v>
          </cell>
          <cell r="M663">
            <v>0</v>
          </cell>
          <cell r="N663">
            <v>0</v>
          </cell>
          <cell r="O663">
            <v>0</v>
          </cell>
          <cell r="P663">
            <v>0</v>
          </cell>
          <cell r="Q663">
            <v>579</v>
          </cell>
        </row>
        <row r="664">
          <cell r="A664" t="str">
            <v>USWOP015013921200010</v>
          </cell>
          <cell r="B664" t="str">
            <v>USWOP01501</v>
          </cell>
          <cell r="C664">
            <v>3921200010</v>
          </cell>
          <cell r="D664" t="str">
            <v>ADMINISTRATIVE SUPPLIES</v>
          </cell>
          <cell r="E664">
            <v>1732</v>
          </cell>
          <cell r="F664">
            <v>2408</v>
          </cell>
          <cell r="G664">
            <v>1439</v>
          </cell>
          <cell r="H664">
            <v>0</v>
          </cell>
          <cell r="I664">
            <v>0</v>
          </cell>
          <cell r="J664">
            <v>0</v>
          </cell>
          <cell r="K664">
            <v>0</v>
          </cell>
          <cell r="L664">
            <v>0</v>
          </cell>
          <cell r="M664">
            <v>0</v>
          </cell>
          <cell r="N664">
            <v>0</v>
          </cell>
          <cell r="O664">
            <v>0</v>
          </cell>
          <cell r="P664">
            <v>0</v>
          </cell>
          <cell r="Q664">
            <v>5579</v>
          </cell>
        </row>
        <row r="665">
          <cell r="A665" t="str">
            <v>US28P015753921200014</v>
          </cell>
          <cell r="B665" t="str">
            <v>US28P01575</v>
          </cell>
          <cell r="C665">
            <v>3921200014</v>
          </cell>
          <cell r="D665" t="str">
            <v>MATERIAL FOR TRIALS AND ANALYSES</v>
          </cell>
          <cell r="E665">
            <v>0</v>
          </cell>
          <cell r="F665">
            <v>0</v>
          </cell>
          <cell r="G665">
            <v>0</v>
          </cell>
          <cell r="H665">
            <v>0</v>
          </cell>
          <cell r="I665">
            <v>0</v>
          </cell>
          <cell r="J665">
            <v>0</v>
          </cell>
          <cell r="K665">
            <v>0</v>
          </cell>
          <cell r="L665">
            <v>0</v>
          </cell>
          <cell r="M665">
            <v>0</v>
          </cell>
          <cell r="N665">
            <v>0</v>
          </cell>
          <cell r="O665">
            <v>0</v>
          </cell>
          <cell r="P665">
            <v>0</v>
          </cell>
          <cell r="Q665">
            <v>0</v>
          </cell>
        </row>
        <row r="666">
          <cell r="A666" t="str">
            <v>US35P015603921200014</v>
          </cell>
          <cell r="B666" t="str">
            <v>US35P01560</v>
          </cell>
          <cell r="C666">
            <v>3921200014</v>
          </cell>
          <cell r="D666" t="str">
            <v>MATERIAL FOR TRIALS AND ANALYSES</v>
          </cell>
          <cell r="E666">
            <v>0</v>
          </cell>
          <cell r="F666">
            <v>387</v>
          </cell>
          <cell r="G666">
            <v>0</v>
          </cell>
          <cell r="H666">
            <v>0</v>
          </cell>
          <cell r="I666">
            <v>0</v>
          </cell>
          <cell r="J666">
            <v>0</v>
          </cell>
          <cell r="K666">
            <v>0</v>
          </cell>
          <cell r="L666">
            <v>0</v>
          </cell>
          <cell r="M666">
            <v>0</v>
          </cell>
          <cell r="N666">
            <v>0</v>
          </cell>
          <cell r="O666">
            <v>0</v>
          </cell>
          <cell r="P666">
            <v>0</v>
          </cell>
          <cell r="Q666">
            <v>387</v>
          </cell>
        </row>
        <row r="667">
          <cell r="A667" t="str">
            <v>US22MZA1503921200023</v>
          </cell>
          <cell r="B667" t="str">
            <v>US22MZA150</v>
          </cell>
          <cell r="C667">
            <v>3921200023</v>
          </cell>
          <cell r="D667" t="str">
            <v>CHEMICAL SUPPLIES</v>
          </cell>
          <cell r="E667">
            <v>0</v>
          </cell>
          <cell r="F667">
            <v>0</v>
          </cell>
          <cell r="G667">
            <v>2173</v>
          </cell>
          <cell r="H667">
            <v>0</v>
          </cell>
          <cell r="I667">
            <v>0</v>
          </cell>
          <cell r="J667">
            <v>0</v>
          </cell>
          <cell r="K667">
            <v>0</v>
          </cell>
          <cell r="L667">
            <v>0</v>
          </cell>
          <cell r="M667">
            <v>0</v>
          </cell>
          <cell r="N667">
            <v>0</v>
          </cell>
          <cell r="O667">
            <v>0</v>
          </cell>
          <cell r="P667">
            <v>0</v>
          </cell>
          <cell r="Q667">
            <v>2173</v>
          </cell>
        </row>
        <row r="668">
          <cell r="A668" t="str">
            <v>US22P015013921200023</v>
          </cell>
          <cell r="B668" t="str">
            <v>US22P01501</v>
          </cell>
          <cell r="C668">
            <v>3921200023</v>
          </cell>
          <cell r="D668" t="str">
            <v>CHEMICAL SUPPLIES</v>
          </cell>
          <cell r="E668">
            <v>0</v>
          </cell>
          <cell r="F668">
            <v>0</v>
          </cell>
          <cell r="G668">
            <v>0</v>
          </cell>
          <cell r="H668">
            <v>0</v>
          </cell>
          <cell r="I668">
            <v>0</v>
          </cell>
          <cell r="J668">
            <v>0</v>
          </cell>
          <cell r="K668">
            <v>0</v>
          </cell>
          <cell r="L668">
            <v>0</v>
          </cell>
          <cell r="M668">
            <v>0</v>
          </cell>
          <cell r="N668">
            <v>0</v>
          </cell>
          <cell r="O668">
            <v>0</v>
          </cell>
          <cell r="P668">
            <v>0</v>
          </cell>
          <cell r="Q668">
            <v>0</v>
          </cell>
        </row>
        <row r="669">
          <cell r="A669" t="str">
            <v>US22P015503921200023</v>
          </cell>
          <cell r="B669" t="str">
            <v>US22P01550</v>
          </cell>
          <cell r="C669">
            <v>3921200023</v>
          </cell>
          <cell r="D669" t="str">
            <v>CHEMICAL SUPPLIES</v>
          </cell>
          <cell r="E669">
            <v>0</v>
          </cell>
          <cell r="F669">
            <v>330</v>
          </cell>
          <cell r="G669">
            <v>0</v>
          </cell>
          <cell r="H669">
            <v>0</v>
          </cell>
          <cell r="I669">
            <v>0</v>
          </cell>
          <cell r="J669">
            <v>0</v>
          </cell>
          <cell r="K669">
            <v>0</v>
          </cell>
          <cell r="L669">
            <v>0</v>
          </cell>
          <cell r="M669">
            <v>0</v>
          </cell>
          <cell r="N669">
            <v>0</v>
          </cell>
          <cell r="O669">
            <v>0</v>
          </cell>
          <cell r="P669">
            <v>0</v>
          </cell>
          <cell r="Q669">
            <v>330</v>
          </cell>
        </row>
        <row r="670">
          <cell r="A670" t="str">
            <v>USCRMZA1503921200023</v>
          </cell>
          <cell r="B670" t="str">
            <v>USCRMZA150</v>
          </cell>
          <cell r="C670">
            <v>3921200023</v>
          </cell>
          <cell r="D670" t="str">
            <v>CHEMICAL SUPPLIES</v>
          </cell>
          <cell r="E670">
            <v>0</v>
          </cell>
          <cell r="F670">
            <v>163</v>
          </cell>
          <cell r="G670">
            <v>0</v>
          </cell>
          <cell r="H670">
            <v>0</v>
          </cell>
          <cell r="I670">
            <v>0</v>
          </cell>
          <cell r="J670">
            <v>0</v>
          </cell>
          <cell r="K670">
            <v>0</v>
          </cell>
          <cell r="L670">
            <v>0</v>
          </cell>
          <cell r="M670">
            <v>0</v>
          </cell>
          <cell r="N670">
            <v>0</v>
          </cell>
          <cell r="O670">
            <v>0</v>
          </cell>
          <cell r="P670">
            <v>0</v>
          </cell>
          <cell r="Q670">
            <v>163</v>
          </cell>
        </row>
        <row r="671">
          <cell r="A671" t="str">
            <v>US22MZA1503921200026</v>
          </cell>
          <cell r="B671" t="str">
            <v>US22MZA150</v>
          </cell>
          <cell r="C671">
            <v>3921200026</v>
          </cell>
          <cell r="D671" t="str">
            <v>MISCELLANEOUS COSTS ON VEHICLES</v>
          </cell>
          <cell r="E671">
            <v>148</v>
          </cell>
          <cell r="F671">
            <v>0</v>
          </cell>
          <cell r="G671">
            <v>3547</v>
          </cell>
          <cell r="H671">
            <v>0</v>
          </cell>
          <cell r="I671">
            <v>0</v>
          </cell>
          <cell r="J671">
            <v>0</v>
          </cell>
          <cell r="K671">
            <v>0</v>
          </cell>
          <cell r="L671">
            <v>0</v>
          </cell>
          <cell r="M671">
            <v>0</v>
          </cell>
          <cell r="N671">
            <v>0</v>
          </cell>
          <cell r="O671">
            <v>0</v>
          </cell>
          <cell r="P671">
            <v>0</v>
          </cell>
          <cell r="Q671">
            <v>3695</v>
          </cell>
        </row>
        <row r="672">
          <cell r="A672" t="str">
            <v>US22P015013921200026</v>
          </cell>
          <cell r="B672" t="str">
            <v>US22P01501</v>
          </cell>
          <cell r="C672">
            <v>3921200026</v>
          </cell>
          <cell r="D672" t="str">
            <v>MISCELLANEOUS COSTS ON VEHICLES</v>
          </cell>
          <cell r="E672">
            <v>38</v>
          </cell>
          <cell r="F672">
            <v>0</v>
          </cell>
          <cell r="G672">
            <v>1749</v>
          </cell>
          <cell r="H672">
            <v>0</v>
          </cell>
          <cell r="I672">
            <v>0</v>
          </cell>
          <cell r="J672">
            <v>0</v>
          </cell>
          <cell r="K672">
            <v>0</v>
          </cell>
          <cell r="L672">
            <v>0</v>
          </cell>
          <cell r="M672">
            <v>0</v>
          </cell>
          <cell r="N672">
            <v>0</v>
          </cell>
          <cell r="O672">
            <v>0</v>
          </cell>
          <cell r="P672">
            <v>0</v>
          </cell>
          <cell r="Q672">
            <v>1787</v>
          </cell>
        </row>
        <row r="673">
          <cell r="A673" t="str">
            <v>US22P015503921200026</v>
          </cell>
          <cell r="B673" t="str">
            <v>US22P01550</v>
          </cell>
          <cell r="C673">
            <v>3921200026</v>
          </cell>
          <cell r="D673" t="str">
            <v>MISCELLANEOUS COSTS ON VEHICLES</v>
          </cell>
          <cell r="E673">
            <v>48</v>
          </cell>
          <cell r="F673">
            <v>53</v>
          </cell>
          <cell r="G673">
            <v>265</v>
          </cell>
          <cell r="H673">
            <v>0</v>
          </cell>
          <cell r="I673">
            <v>0</v>
          </cell>
          <cell r="J673">
            <v>0</v>
          </cell>
          <cell r="K673">
            <v>0</v>
          </cell>
          <cell r="L673">
            <v>0</v>
          </cell>
          <cell r="M673">
            <v>0</v>
          </cell>
          <cell r="N673">
            <v>0</v>
          </cell>
          <cell r="O673">
            <v>0</v>
          </cell>
          <cell r="P673">
            <v>0</v>
          </cell>
          <cell r="Q673">
            <v>366</v>
          </cell>
        </row>
        <row r="674">
          <cell r="A674" t="str">
            <v>US28MZA1503921200026</v>
          </cell>
          <cell r="B674" t="str">
            <v>US28MZA150</v>
          </cell>
          <cell r="C674">
            <v>3921200026</v>
          </cell>
          <cell r="D674" t="str">
            <v>MISCELLANEOUS COSTS ON VEHICLES</v>
          </cell>
          <cell r="E674">
            <v>69</v>
          </cell>
          <cell r="F674">
            <v>0</v>
          </cell>
          <cell r="G674">
            <v>1755</v>
          </cell>
          <cell r="H674">
            <v>0</v>
          </cell>
          <cell r="I674">
            <v>0</v>
          </cell>
          <cell r="J674">
            <v>0</v>
          </cell>
          <cell r="K674">
            <v>0</v>
          </cell>
          <cell r="L674">
            <v>0</v>
          </cell>
          <cell r="M674">
            <v>0</v>
          </cell>
          <cell r="N674">
            <v>0</v>
          </cell>
          <cell r="O674">
            <v>0</v>
          </cell>
          <cell r="P674">
            <v>0</v>
          </cell>
          <cell r="Q674">
            <v>1824</v>
          </cell>
        </row>
        <row r="675">
          <cell r="A675" t="str">
            <v>US28P015013921200026</v>
          </cell>
          <cell r="B675" t="str">
            <v>US28P01501</v>
          </cell>
          <cell r="C675">
            <v>3921200026</v>
          </cell>
          <cell r="D675" t="str">
            <v>MISCELLANEOUS COSTS ON VEHICLES</v>
          </cell>
          <cell r="E675">
            <v>404</v>
          </cell>
          <cell r="F675">
            <v>0</v>
          </cell>
          <cell r="G675">
            <v>1749</v>
          </cell>
          <cell r="H675">
            <v>0</v>
          </cell>
          <cell r="I675">
            <v>0</v>
          </cell>
          <cell r="J675">
            <v>0</v>
          </cell>
          <cell r="K675">
            <v>0</v>
          </cell>
          <cell r="L675">
            <v>0</v>
          </cell>
          <cell r="M675">
            <v>0</v>
          </cell>
          <cell r="N675">
            <v>0</v>
          </cell>
          <cell r="O675">
            <v>0</v>
          </cell>
          <cell r="P675">
            <v>0</v>
          </cell>
          <cell r="Q675">
            <v>2153</v>
          </cell>
        </row>
        <row r="676">
          <cell r="A676" t="str">
            <v>US28P015503921200026</v>
          </cell>
          <cell r="B676" t="str">
            <v>US28P01550</v>
          </cell>
          <cell r="C676">
            <v>3921200026</v>
          </cell>
          <cell r="D676" t="str">
            <v>MISCELLANEOUS COSTS ON VEHICLES</v>
          </cell>
          <cell r="E676">
            <v>7</v>
          </cell>
          <cell r="F676">
            <v>0</v>
          </cell>
          <cell r="G676">
            <v>7</v>
          </cell>
          <cell r="H676">
            <v>0</v>
          </cell>
          <cell r="I676">
            <v>0</v>
          </cell>
          <cell r="J676">
            <v>0</v>
          </cell>
          <cell r="K676">
            <v>0</v>
          </cell>
          <cell r="L676">
            <v>0</v>
          </cell>
          <cell r="M676">
            <v>0</v>
          </cell>
          <cell r="N676">
            <v>0</v>
          </cell>
          <cell r="O676">
            <v>0</v>
          </cell>
          <cell r="P676">
            <v>0</v>
          </cell>
          <cell r="Q676">
            <v>14</v>
          </cell>
        </row>
        <row r="677">
          <cell r="A677" t="str">
            <v>US28P015603921200026</v>
          </cell>
          <cell r="B677" t="str">
            <v>US28P01560</v>
          </cell>
          <cell r="C677">
            <v>3921200026</v>
          </cell>
          <cell r="D677" t="str">
            <v>MISCELLANEOUS COSTS ON VEHICLES</v>
          </cell>
          <cell r="E677">
            <v>0</v>
          </cell>
          <cell r="F677">
            <v>42</v>
          </cell>
          <cell r="G677">
            <v>0</v>
          </cell>
          <cell r="H677">
            <v>0</v>
          </cell>
          <cell r="I677">
            <v>0</v>
          </cell>
          <cell r="J677">
            <v>0</v>
          </cell>
          <cell r="K677">
            <v>0</v>
          </cell>
          <cell r="L677">
            <v>0</v>
          </cell>
          <cell r="M677">
            <v>0</v>
          </cell>
          <cell r="N677">
            <v>0</v>
          </cell>
          <cell r="O677">
            <v>0</v>
          </cell>
          <cell r="P677">
            <v>0</v>
          </cell>
          <cell r="Q677">
            <v>42</v>
          </cell>
        </row>
        <row r="678">
          <cell r="A678" t="str">
            <v>US35MZA1503921200026</v>
          </cell>
          <cell r="B678" t="str">
            <v>US35MZA150</v>
          </cell>
          <cell r="C678">
            <v>3921200026</v>
          </cell>
          <cell r="D678" t="str">
            <v>MISCELLANEOUS COSTS ON VEHICLES</v>
          </cell>
          <cell r="E678">
            <v>5</v>
          </cell>
          <cell r="F678">
            <v>0</v>
          </cell>
          <cell r="G678">
            <v>5</v>
          </cell>
          <cell r="H678">
            <v>0</v>
          </cell>
          <cell r="I678">
            <v>0</v>
          </cell>
          <cell r="J678">
            <v>0</v>
          </cell>
          <cell r="K678">
            <v>0</v>
          </cell>
          <cell r="L678">
            <v>0</v>
          </cell>
          <cell r="M678">
            <v>0</v>
          </cell>
          <cell r="N678">
            <v>0</v>
          </cell>
          <cell r="O678">
            <v>0</v>
          </cell>
          <cell r="P678">
            <v>0</v>
          </cell>
          <cell r="Q678">
            <v>10</v>
          </cell>
        </row>
        <row r="679">
          <cell r="A679" t="str">
            <v>US35P015013921200026</v>
          </cell>
          <cell r="B679" t="str">
            <v>US35P01501</v>
          </cell>
          <cell r="C679">
            <v>3921200026</v>
          </cell>
          <cell r="D679" t="str">
            <v>MISCELLANEOUS COSTS ON VEHICLES</v>
          </cell>
          <cell r="E679">
            <v>2</v>
          </cell>
          <cell r="F679">
            <v>21</v>
          </cell>
          <cell r="G679">
            <v>2</v>
          </cell>
          <cell r="H679">
            <v>0</v>
          </cell>
          <cell r="I679">
            <v>0</v>
          </cell>
          <cell r="J679">
            <v>0</v>
          </cell>
          <cell r="K679">
            <v>0</v>
          </cell>
          <cell r="L679">
            <v>0</v>
          </cell>
          <cell r="M679">
            <v>0</v>
          </cell>
          <cell r="N679">
            <v>0</v>
          </cell>
          <cell r="O679">
            <v>0</v>
          </cell>
          <cell r="P679">
            <v>0</v>
          </cell>
          <cell r="Q679">
            <v>25</v>
          </cell>
        </row>
        <row r="680">
          <cell r="A680" t="str">
            <v>US35P015503921200026</v>
          </cell>
          <cell r="B680" t="str">
            <v>US35P01550</v>
          </cell>
          <cell r="C680">
            <v>3921200026</v>
          </cell>
          <cell r="D680" t="str">
            <v>MISCELLANEOUS COSTS ON VEHICLES</v>
          </cell>
          <cell r="E680">
            <v>16</v>
          </cell>
          <cell r="F680">
            <v>0</v>
          </cell>
          <cell r="G680">
            <v>11</v>
          </cell>
          <cell r="H680">
            <v>0</v>
          </cell>
          <cell r="I680">
            <v>0</v>
          </cell>
          <cell r="J680">
            <v>0</v>
          </cell>
          <cell r="K680">
            <v>0</v>
          </cell>
          <cell r="L680">
            <v>0</v>
          </cell>
          <cell r="M680">
            <v>0</v>
          </cell>
          <cell r="N680">
            <v>0</v>
          </cell>
          <cell r="O680">
            <v>0</v>
          </cell>
          <cell r="P680">
            <v>0</v>
          </cell>
          <cell r="Q680">
            <v>27</v>
          </cell>
        </row>
        <row r="681">
          <cell r="A681" t="str">
            <v>US59MZA1503921200026</v>
          </cell>
          <cell r="B681" t="str">
            <v>US59MZA150</v>
          </cell>
          <cell r="C681">
            <v>3921200026</v>
          </cell>
          <cell r="D681" t="str">
            <v>MISCELLANEOUS COSTS ON VEHICLES</v>
          </cell>
          <cell r="E681">
            <v>471</v>
          </cell>
          <cell r="F681">
            <v>26</v>
          </cell>
          <cell r="G681">
            <v>7008</v>
          </cell>
          <cell r="H681">
            <v>0</v>
          </cell>
          <cell r="I681">
            <v>0</v>
          </cell>
          <cell r="J681">
            <v>0</v>
          </cell>
          <cell r="K681">
            <v>0</v>
          </cell>
          <cell r="L681">
            <v>0</v>
          </cell>
          <cell r="M681">
            <v>0</v>
          </cell>
          <cell r="N681">
            <v>0</v>
          </cell>
          <cell r="O681">
            <v>0</v>
          </cell>
          <cell r="P681">
            <v>0</v>
          </cell>
          <cell r="Q681">
            <v>7505</v>
          </cell>
        </row>
        <row r="682">
          <cell r="A682" t="str">
            <v>US59P015013921200026</v>
          </cell>
          <cell r="B682" t="str">
            <v>US59P01501</v>
          </cell>
          <cell r="C682">
            <v>3921200026</v>
          </cell>
          <cell r="D682" t="str">
            <v>MISCELLANEOUS COSTS ON VEHICLES</v>
          </cell>
          <cell r="E682">
            <v>36</v>
          </cell>
          <cell r="F682">
            <v>0</v>
          </cell>
          <cell r="G682">
            <v>36</v>
          </cell>
          <cell r="H682">
            <v>0</v>
          </cell>
          <cell r="I682">
            <v>0</v>
          </cell>
          <cell r="J682">
            <v>0</v>
          </cell>
          <cell r="K682">
            <v>0</v>
          </cell>
          <cell r="L682">
            <v>0</v>
          </cell>
          <cell r="M682">
            <v>0</v>
          </cell>
          <cell r="N682">
            <v>0</v>
          </cell>
          <cell r="O682">
            <v>0</v>
          </cell>
          <cell r="P682">
            <v>0</v>
          </cell>
          <cell r="Q682">
            <v>72</v>
          </cell>
        </row>
        <row r="683">
          <cell r="A683" t="str">
            <v>USCRMZA1503921200026</v>
          </cell>
          <cell r="B683" t="str">
            <v>USCRMZA150</v>
          </cell>
          <cell r="C683">
            <v>3921200026</v>
          </cell>
          <cell r="D683" t="str">
            <v>MISCELLANEOUS COSTS ON VEHICLES</v>
          </cell>
          <cell r="E683">
            <v>2223</v>
          </cell>
          <cell r="F683">
            <v>0</v>
          </cell>
          <cell r="G683">
            <v>6130</v>
          </cell>
          <cell r="H683">
            <v>0</v>
          </cell>
          <cell r="I683">
            <v>0</v>
          </cell>
          <cell r="J683">
            <v>0</v>
          </cell>
          <cell r="K683">
            <v>0</v>
          </cell>
          <cell r="L683">
            <v>0</v>
          </cell>
          <cell r="M683">
            <v>0</v>
          </cell>
          <cell r="N683">
            <v>0</v>
          </cell>
          <cell r="O683">
            <v>0</v>
          </cell>
          <cell r="P683">
            <v>0</v>
          </cell>
          <cell r="Q683">
            <v>8353</v>
          </cell>
        </row>
        <row r="684">
          <cell r="A684" t="str">
            <v>USCRP015013921200026</v>
          </cell>
          <cell r="B684" t="str">
            <v>USCRP01501</v>
          </cell>
          <cell r="C684">
            <v>3921200026</v>
          </cell>
          <cell r="D684" t="str">
            <v>MISCELLANEOUS COSTS ON VEHICLES</v>
          </cell>
          <cell r="E684">
            <v>600</v>
          </cell>
          <cell r="F684">
            <v>105</v>
          </cell>
          <cell r="G684">
            <v>86</v>
          </cell>
          <cell r="H684">
            <v>0</v>
          </cell>
          <cell r="I684">
            <v>0</v>
          </cell>
          <cell r="J684">
            <v>0</v>
          </cell>
          <cell r="K684">
            <v>0</v>
          </cell>
          <cell r="L684">
            <v>0</v>
          </cell>
          <cell r="M684">
            <v>0</v>
          </cell>
          <cell r="N684">
            <v>0</v>
          </cell>
          <cell r="O684">
            <v>0</v>
          </cell>
          <cell r="P684">
            <v>0</v>
          </cell>
          <cell r="Q684">
            <v>791</v>
          </cell>
        </row>
        <row r="685">
          <cell r="A685" t="str">
            <v>USCRP015503921200026</v>
          </cell>
          <cell r="B685" t="str">
            <v>USCRP01550</v>
          </cell>
          <cell r="C685">
            <v>3921200026</v>
          </cell>
          <cell r="D685" t="str">
            <v>MISCELLANEOUS COSTS ON VEHICLES</v>
          </cell>
          <cell r="E685">
            <v>0</v>
          </cell>
          <cell r="F685">
            <v>21</v>
          </cell>
          <cell r="G685">
            <v>0</v>
          </cell>
          <cell r="H685">
            <v>0</v>
          </cell>
          <cell r="I685">
            <v>0</v>
          </cell>
          <cell r="J685">
            <v>0</v>
          </cell>
          <cell r="K685">
            <v>0</v>
          </cell>
          <cell r="L685">
            <v>0</v>
          </cell>
          <cell r="M685">
            <v>0</v>
          </cell>
          <cell r="N685">
            <v>0</v>
          </cell>
          <cell r="O685">
            <v>0</v>
          </cell>
          <cell r="P685">
            <v>0</v>
          </cell>
          <cell r="Q685">
            <v>21</v>
          </cell>
        </row>
        <row r="686">
          <cell r="A686" t="str">
            <v>USWOP015013921200026</v>
          </cell>
          <cell r="B686" t="str">
            <v>USWOP01501</v>
          </cell>
          <cell r="C686">
            <v>3921200026</v>
          </cell>
          <cell r="D686" t="str">
            <v>MISCELLANEOUS COSTS ON VEHICLES</v>
          </cell>
          <cell r="E686">
            <v>2870</v>
          </cell>
          <cell r="F686">
            <v>0</v>
          </cell>
          <cell r="G686">
            <v>5927</v>
          </cell>
          <cell r="H686">
            <v>0</v>
          </cell>
          <cell r="I686">
            <v>0</v>
          </cell>
          <cell r="J686">
            <v>0</v>
          </cell>
          <cell r="K686">
            <v>0</v>
          </cell>
          <cell r="L686">
            <v>0</v>
          </cell>
          <cell r="M686">
            <v>0</v>
          </cell>
          <cell r="N686">
            <v>0</v>
          </cell>
          <cell r="O686">
            <v>0</v>
          </cell>
          <cell r="P686">
            <v>0</v>
          </cell>
          <cell r="Q686">
            <v>8797</v>
          </cell>
        </row>
        <row r="687">
          <cell r="A687" t="str">
            <v>US22MZA1503921200037</v>
          </cell>
          <cell r="B687" t="str">
            <v>US22MZA150</v>
          </cell>
          <cell r="C687">
            <v>3921200037</v>
          </cell>
          <cell r="D687" t="str">
            <v>EXHAUSTIVE EQUIPMENT</v>
          </cell>
          <cell r="E687">
            <v>0</v>
          </cell>
          <cell r="F687">
            <v>200</v>
          </cell>
          <cell r="G687">
            <v>0</v>
          </cell>
          <cell r="H687">
            <v>0</v>
          </cell>
          <cell r="I687">
            <v>0</v>
          </cell>
          <cell r="J687">
            <v>0</v>
          </cell>
          <cell r="K687">
            <v>0</v>
          </cell>
          <cell r="L687">
            <v>0</v>
          </cell>
          <cell r="M687">
            <v>0</v>
          </cell>
          <cell r="N687">
            <v>0</v>
          </cell>
          <cell r="O687">
            <v>0</v>
          </cell>
          <cell r="P687">
            <v>0</v>
          </cell>
          <cell r="Q687">
            <v>200</v>
          </cell>
        </row>
        <row r="688">
          <cell r="A688" t="str">
            <v>US22P015013921200037</v>
          </cell>
          <cell r="B688" t="str">
            <v>US22P01501</v>
          </cell>
          <cell r="C688">
            <v>3921200037</v>
          </cell>
          <cell r="D688" t="str">
            <v>EXHAUSTIVE EQUIPMENT</v>
          </cell>
          <cell r="E688">
            <v>1396</v>
          </cell>
          <cell r="F688">
            <v>1162</v>
          </cell>
          <cell r="G688">
            <v>133</v>
          </cell>
          <cell r="H688">
            <v>0</v>
          </cell>
          <cell r="I688">
            <v>0</v>
          </cell>
          <cell r="J688">
            <v>0</v>
          </cell>
          <cell r="K688">
            <v>0</v>
          </cell>
          <cell r="L688">
            <v>0</v>
          </cell>
          <cell r="M688">
            <v>0</v>
          </cell>
          <cell r="N688">
            <v>0</v>
          </cell>
          <cell r="O688">
            <v>0</v>
          </cell>
          <cell r="P688">
            <v>0</v>
          </cell>
          <cell r="Q688">
            <v>2691</v>
          </cell>
        </row>
        <row r="689">
          <cell r="A689" t="str">
            <v>US22P015503921200037</v>
          </cell>
          <cell r="B689" t="str">
            <v>US22P01550</v>
          </cell>
          <cell r="C689">
            <v>3921200037</v>
          </cell>
          <cell r="D689" t="str">
            <v>EXHAUSTIVE EQUIPMENT</v>
          </cell>
          <cell r="E689">
            <v>0</v>
          </cell>
          <cell r="F689">
            <v>19</v>
          </cell>
          <cell r="G689">
            <v>532</v>
          </cell>
          <cell r="H689">
            <v>0</v>
          </cell>
          <cell r="I689">
            <v>0</v>
          </cell>
          <cell r="J689">
            <v>0</v>
          </cell>
          <cell r="K689">
            <v>0</v>
          </cell>
          <cell r="L689">
            <v>0</v>
          </cell>
          <cell r="M689">
            <v>0</v>
          </cell>
          <cell r="N689">
            <v>0</v>
          </cell>
          <cell r="O689">
            <v>0</v>
          </cell>
          <cell r="P689">
            <v>0</v>
          </cell>
          <cell r="Q689">
            <v>551</v>
          </cell>
        </row>
        <row r="690">
          <cell r="A690" t="str">
            <v>US22P015603921200037</v>
          </cell>
          <cell r="B690" t="str">
            <v>US22P01560</v>
          </cell>
          <cell r="C690">
            <v>3921200037</v>
          </cell>
          <cell r="D690" t="str">
            <v>EXHAUSTIVE EQUIPMENT</v>
          </cell>
          <cell r="E690">
            <v>0</v>
          </cell>
          <cell r="F690">
            <v>0</v>
          </cell>
          <cell r="G690">
            <v>15</v>
          </cell>
          <cell r="H690">
            <v>0</v>
          </cell>
          <cell r="I690">
            <v>0</v>
          </cell>
          <cell r="J690">
            <v>0</v>
          </cell>
          <cell r="K690">
            <v>0</v>
          </cell>
          <cell r="L690">
            <v>0</v>
          </cell>
          <cell r="M690">
            <v>0</v>
          </cell>
          <cell r="N690">
            <v>0</v>
          </cell>
          <cell r="O690">
            <v>0</v>
          </cell>
          <cell r="P690">
            <v>0</v>
          </cell>
          <cell r="Q690">
            <v>15</v>
          </cell>
        </row>
        <row r="691">
          <cell r="A691" t="str">
            <v>US22P015643921200037</v>
          </cell>
          <cell r="B691" t="str">
            <v>US22P01564</v>
          </cell>
          <cell r="C691">
            <v>3921200037</v>
          </cell>
          <cell r="D691" t="str">
            <v>EXHAUSTIVE EQUIPMENT</v>
          </cell>
          <cell r="E691">
            <v>0</v>
          </cell>
          <cell r="F691">
            <v>0</v>
          </cell>
          <cell r="G691">
            <v>1037</v>
          </cell>
          <cell r="H691">
            <v>0</v>
          </cell>
          <cell r="I691">
            <v>0</v>
          </cell>
          <cell r="J691">
            <v>0</v>
          </cell>
          <cell r="K691">
            <v>0</v>
          </cell>
          <cell r="L691">
            <v>0</v>
          </cell>
          <cell r="M691">
            <v>0</v>
          </cell>
          <cell r="N691">
            <v>0</v>
          </cell>
          <cell r="O691">
            <v>0</v>
          </cell>
          <cell r="P691">
            <v>0</v>
          </cell>
          <cell r="Q691">
            <v>1037</v>
          </cell>
        </row>
        <row r="692">
          <cell r="A692" t="str">
            <v>US22P015753921200037</v>
          </cell>
          <cell r="B692" t="str">
            <v>US22P01575</v>
          </cell>
          <cell r="C692">
            <v>3921200037</v>
          </cell>
          <cell r="D692" t="str">
            <v>EXHAUSTIVE EQUIPMENT</v>
          </cell>
          <cell r="E692">
            <v>0</v>
          </cell>
          <cell r="F692">
            <v>84</v>
          </cell>
          <cell r="G692">
            <v>275</v>
          </cell>
          <cell r="H692">
            <v>0</v>
          </cell>
          <cell r="I692">
            <v>0</v>
          </cell>
          <cell r="J692">
            <v>0</v>
          </cell>
          <cell r="K692">
            <v>0</v>
          </cell>
          <cell r="L692">
            <v>0</v>
          </cell>
          <cell r="M692">
            <v>0</v>
          </cell>
          <cell r="N692">
            <v>0</v>
          </cell>
          <cell r="O692">
            <v>0</v>
          </cell>
          <cell r="P692">
            <v>0</v>
          </cell>
          <cell r="Q692">
            <v>359</v>
          </cell>
        </row>
        <row r="693">
          <cell r="A693" t="str">
            <v>US28MZA1503921200037</v>
          </cell>
          <cell r="B693" t="str">
            <v>US28MZA150</v>
          </cell>
          <cell r="C693">
            <v>3921200037</v>
          </cell>
          <cell r="D693" t="str">
            <v>EXHAUSTIVE EQUIPMENT</v>
          </cell>
          <cell r="E693">
            <v>0</v>
          </cell>
          <cell r="F693">
            <v>55</v>
          </cell>
          <cell r="G693">
            <v>0</v>
          </cell>
          <cell r="H693">
            <v>0</v>
          </cell>
          <cell r="I693">
            <v>0</v>
          </cell>
          <cell r="J693">
            <v>0</v>
          </cell>
          <cell r="K693">
            <v>0</v>
          </cell>
          <cell r="L693">
            <v>0</v>
          </cell>
          <cell r="M693">
            <v>0</v>
          </cell>
          <cell r="N693">
            <v>0</v>
          </cell>
          <cell r="O693">
            <v>0</v>
          </cell>
          <cell r="P693">
            <v>0</v>
          </cell>
          <cell r="Q693">
            <v>55</v>
          </cell>
        </row>
        <row r="694">
          <cell r="A694" t="str">
            <v>US28P015503921200037</v>
          </cell>
          <cell r="B694" t="str">
            <v>US28P01550</v>
          </cell>
          <cell r="C694">
            <v>3921200037</v>
          </cell>
          <cell r="D694" t="str">
            <v>EXHAUSTIVE EQUIPMENT</v>
          </cell>
          <cell r="E694">
            <v>0</v>
          </cell>
          <cell r="F694">
            <v>106</v>
          </cell>
          <cell r="G694">
            <v>99</v>
          </cell>
          <cell r="H694">
            <v>0</v>
          </cell>
          <cell r="I694">
            <v>0</v>
          </cell>
          <cell r="J694">
            <v>0</v>
          </cell>
          <cell r="K694">
            <v>0</v>
          </cell>
          <cell r="L694">
            <v>0</v>
          </cell>
          <cell r="M694">
            <v>0</v>
          </cell>
          <cell r="N694">
            <v>0</v>
          </cell>
          <cell r="O694">
            <v>0</v>
          </cell>
          <cell r="P694">
            <v>0</v>
          </cell>
          <cell r="Q694">
            <v>205</v>
          </cell>
        </row>
        <row r="695">
          <cell r="A695" t="str">
            <v>US28P015533921200037</v>
          </cell>
          <cell r="B695" t="str">
            <v>US28P01553</v>
          </cell>
          <cell r="C695">
            <v>3921200037</v>
          </cell>
          <cell r="D695" t="str">
            <v>EXHAUSTIVE EQUIPMENT</v>
          </cell>
          <cell r="E695">
            <v>430</v>
          </cell>
          <cell r="F695">
            <v>28</v>
          </cell>
          <cell r="G695">
            <v>0</v>
          </cell>
          <cell r="H695">
            <v>0</v>
          </cell>
          <cell r="I695">
            <v>0</v>
          </cell>
          <cell r="J695">
            <v>0</v>
          </cell>
          <cell r="K695">
            <v>0</v>
          </cell>
          <cell r="L695">
            <v>0</v>
          </cell>
          <cell r="M695">
            <v>0</v>
          </cell>
          <cell r="N695">
            <v>0</v>
          </cell>
          <cell r="O695">
            <v>0</v>
          </cell>
          <cell r="P695">
            <v>0</v>
          </cell>
          <cell r="Q695">
            <v>458</v>
          </cell>
        </row>
        <row r="696">
          <cell r="A696" t="str">
            <v>US28P015603921200037</v>
          </cell>
          <cell r="B696" t="str">
            <v>US28P01560</v>
          </cell>
          <cell r="C696">
            <v>3921200037</v>
          </cell>
          <cell r="D696" t="str">
            <v>EXHAUSTIVE EQUIPMENT</v>
          </cell>
          <cell r="E696">
            <v>1192</v>
          </cell>
          <cell r="F696">
            <v>0</v>
          </cell>
          <cell r="G696">
            <v>654</v>
          </cell>
          <cell r="H696">
            <v>0</v>
          </cell>
          <cell r="I696">
            <v>0</v>
          </cell>
          <cell r="J696">
            <v>0</v>
          </cell>
          <cell r="K696">
            <v>0</v>
          </cell>
          <cell r="L696">
            <v>0</v>
          </cell>
          <cell r="M696">
            <v>0</v>
          </cell>
          <cell r="N696">
            <v>0</v>
          </cell>
          <cell r="O696">
            <v>0</v>
          </cell>
          <cell r="P696">
            <v>0</v>
          </cell>
          <cell r="Q696">
            <v>1846</v>
          </cell>
        </row>
        <row r="697">
          <cell r="A697" t="str">
            <v>US28P015753921200037</v>
          </cell>
          <cell r="B697" t="str">
            <v>US28P01575</v>
          </cell>
          <cell r="C697">
            <v>3921200037</v>
          </cell>
          <cell r="D697" t="str">
            <v>EXHAUSTIVE EQUIPMENT</v>
          </cell>
          <cell r="E697">
            <v>0</v>
          </cell>
          <cell r="F697">
            <v>0</v>
          </cell>
          <cell r="G697">
            <v>0</v>
          </cell>
          <cell r="H697">
            <v>0</v>
          </cell>
          <cell r="I697">
            <v>0</v>
          </cell>
          <cell r="J697">
            <v>0</v>
          </cell>
          <cell r="K697">
            <v>0</v>
          </cell>
          <cell r="L697">
            <v>0</v>
          </cell>
          <cell r="M697">
            <v>0</v>
          </cell>
          <cell r="N697">
            <v>0</v>
          </cell>
          <cell r="O697">
            <v>0</v>
          </cell>
          <cell r="P697">
            <v>0</v>
          </cell>
          <cell r="Q697">
            <v>0</v>
          </cell>
        </row>
        <row r="698">
          <cell r="A698" t="str">
            <v>US35MZA1503921200037</v>
          </cell>
          <cell r="B698" t="str">
            <v>US35MZA150</v>
          </cell>
          <cell r="C698">
            <v>3921200037</v>
          </cell>
          <cell r="D698" t="str">
            <v>EXHAUSTIVE EQUIPMENT</v>
          </cell>
          <cell r="E698">
            <v>84</v>
          </cell>
          <cell r="F698">
            <v>128</v>
          </cell>
          <cell r="G698">
            <v>76</v>
          </cell>
          <cell r="H698">
            <v>0</v>
          </cell>
          <cell r="I698">
            <v>0</v>
          </cell>
          <cell r="J698">
            <v>0</v>
          </cell>
          <cell r="K698">
            <v>0</v>
          </cell>
          <cell r="L698">
            <v>0</v>
          </cell>
          <cell r="M698">
            <v>0</v>
          </cell>
          <cell r="N698">
            <v>0</v>
          </cell>
          <cell r="O698">
            <v>0</v>
          </cell>
          <cell r="P698">
            <v>0</v>
          </cell>
          <cell r="Q698">
            <v>288</v>
          </cell>
        </row>
        <row r="699">
          <cell r="A699" t="str">
            <v>US35P015013921200037</v>
          </cell>
          <cell r="B699" t="str">
            <v>US35P01501</v>
          </cell>
          <cell r="C699">
            <v>3921200037</v>
          </cell>
          <cell r="D699" t="str">
            <v>EXHAUSTIVE EQUIPMENT</v>
          </cell>
          <cell r="E699">
            <v>733</v>
          </cell>
          <cell r="F699">
            <v>0</v>
          </cell>
          <cell r="G699">
            <v>203</v>
          </cell>
          <cell r="H699">
            <v>0</v>
          </cell>
          <cell r="I699">
            <v>0</v>
          </cell>
          <cell r="J699">
            <v>0</v>
          </cell>
          <cell r="K699">
            <v>0</v>
          </cell>
          <cell r="L699">
            <v>0</v>
          </cell>
          <cell r="M699">
            <v>0</v>
          </cell>
          <cell r="N699">
            <v>0</v>
          </cell>
          <cell r="O699">
            <v>0</v>
          </cell>
          <cell r="P699">
            <v>0</v>
          </cell>
          <cell r="Q699">
            <v>936</v>
          </cell>
        </row>
        <row r="700">
          <cell r="A700" t="str">
            <v>US35P015503921200037</v>
          </cell>
          <cell r="B700" t="str">
            <v>US35P01550</v>
          </cell>
          <cell r="C700">
            <v>3921200037</v>
          </cell>
          <cell r="D700" t="str">
            <v>EXHAUSTIVE EQUIPMENT</v>
          </cell>
          <cell r="E700">
            <v>0</v>
          </cell>
          <cell r="F700">
            <v>177</v>
          </cell>
          <cell r="G700">
            <v>68</v>
          </cell>
          <cell r="H700">
            <v>0</v>
          </cell>
          <cell r="I700">
            <v>0</v>
          </cell>
          <cell r="J700">
            <v>0</v>
          </cell>
          <cell r="K700">
            <v>0</v>
          </cell>
          <cell r="L700">
            <v>0</v>
          </cell>
          <cell r="M700">
            <v>0</v>
          </cell>
          <cell r="N700">
            <v>0</v>
          </cell>
          <cell r="O700">
            <v>0</v>
          </cell>
          <cell r="P700">
            <v>0</v>
          </cell>
          <cell r="Q700">
            <v>245</v>
          </cell>
        </row>
        <row r="701">
          <cell r="A701" t="str">
            <v>US35P015603921200037</v>
          </cell>
          <cell r="B701" t="str">
            <v>US35P01560</v>
          </cell>
          <cell r="C701">
            <v>3921200037</v>
          </cell>
          <cell r="D701" t="str">
            <v>EXHAUSTIVE EQUIPMENT</v>
          </cell>
          <cell r="E701">
            <v>-1092</v>
          </cell>
          <cell r="F701">
            <v>1114</v>
          </cell>
          <cell r="G701">
            <v>-259</v>
          </cell>
          <cell r="H701">
            <v>0</v>
          </cell>
          <cell r="I701">
            <v>0</v>
          </cell>
          <cell r="J701">
            <v>0</v>
          </cell>
          <cell r="K701">
            <v>0</v>
          </cell>
          <cell r="L701">
            <v>0</v>
          </cell>
          <cell r="M701">
            <v>0</v>
          </cell>
          <cell r="N701">
            <v>0</v>
          </cell>
          <cell r="O701">
            <v>0</v>
          </cell>
          <cell r="P701">
            <v>0</v>
          </cell>
          <cell r="Q701">
            <v>-237</v>
          </cell>
        </row>
        <row r="702">
          <cell r="A702" t="str">
            <v>US35P015903921200037</v>
          </cell>
          <cell r="B702" t="str">
            <v>US35P01590</v>
          </cell>
          <cell r="C702">
            <v>3921200037</v>
          </cell>
          <cell r="D702" t="str">
            <v>EXHAUSTIVE EQUIPMENT</v>
          </cell>
          <cell r="E702">
            <v>0</v>
          </cell>
          <cell r="F702">
            <v>76</v>
          </cell>
          <cell r="G702">
            <v>0</v>
          </cell>
          <cell r="H702">
            <v>0</v>
          </cell>
          <cell r="I702">
            <v>0</v>
          </cell>
          <cell r="J702">
            <v>0</v>
          </cell>
          <cell r="K702">
            <v>0</v>
          </cell>
          <cell r="L702">
            <v>0</v>
          </cell>
          <cell r="M702">
            <v>0</v>
          </cell>
          <cell r="N702">
            <v>0</v>
          </cell>
          <cell r="O702">
            <v>0</v>
          </cell>
          <cell r="P702">
            <v>0</v>
          </cell>
          <cell r="Q702">
            <v>76</v>
          </cell>
        </row>
        <row r="703">
          <cell r="A703" t="str">
            <v>US59MZA1503921200037</v>
          </cell>
          <cell r="B703" t="str">
            <v>US59MZA150</v>
          </cell>
          <cell r="C703">
            <v>3921200037</v>
          </cell>
          <cell r="D703" t="str">
            <v>EXHAUSTIVE EQUIPMENT</v>
          </cell>
          <cell r="E703">
            <v>206</v>
          </cell>
          <cell r="F703">
            <v>481</v>
          </cell>
          <cell r="G703">
            <v>1000</v>
          </cell>
          <cell r="H703">
            <v>0</v>
          </cell>
          <cell r="I703">
            <v>0</v>
          </cell>
          <cell r="J703">
            <v>0</v>
          </cell>
          <cell r="K703">
            <v>0</v>
          </cell>
          <cell r="L703">
            <v>0</v>
          </cell>
          <cell r="M703">
            <v>0</v>
          </cell>
          <cell r="N703">
            <v>0</v>
          </cell>
          <cell r="O703">
            <v>0</v>
          </cell>
          <cell r="P703">
            <v>0</v>
          </cell>
          <cell r="Q703">
            <v>1687</v>
          </cell>
        </row>
        <row r="704">
          <cell r="A704" t="str">
            <v>US59P015013921200037</v>
          </cell>
          <cell r="B704" t="str">
            <v>US59P01501</v>
          </cell>
          <cell r="C704">
            <v>3921200037</v>
          </cell>
          <cell r="D704" t="str">
            <v>EXHAUSTIVE EQUIPMENT</v>
          </cell>
          <cell r="E704">
            <v>0</v>
          </cell>
          <cell r="F704">
            <v>0</v>
          </cell>
          <cell r="G704">
            <v>0</v>
          </cell>
          <cell r="H704">
            <v>0</v>
          </cell>
          <cell r="I704">
            <v>0</v>
          </cell>
          <cell r="J704">
            <v>0</v>
          </cell>
          <cell r="K704">
            <v>0</v>
          </cell>
          <cell r="L704">
            <v>0</v>
          </cell>
          <cell r="M704">
            <v>0</v>
          </cell>
          <cell r="N704">
            <v>0</v>
          </cell>
          <cell r="O704">
            <v>0</v>
          </cell>
          <cell r="P704">
            <v>0</v>
          </cell>
          <cell r="Q704">
            <v>0</v>
          </cell>
        </row>
        <row r="705">
          <cell r="A705" t="str">
            <v>US59P015503921200037</v>
          </cell>
          <cell r="B705" t="str">
            <v>US59P01550</v>
          </cell>
          <cell r="C705">
            <v>3921200037</v>
          </cell>
          <cell r="D705" t="str">
            <v>EXHAUSTIVE EQUIPMENT</v>
          </cell>
          <cell r="E705">
            <v>0</v>
          </cell>
          <cell r="F705">
            <v>108</v>
          </cell>
          <cell r="G705">
            <v>3009</v>
          </cell>
          <cell r="H705">
            <v>0</v>
          </cell>
          <cell r="I705">
            <v>0</v>
          </cell>
          <cell r="J705">
            <v>0</v>
          </cell>
          <cell r="K705">
            <v>0</v>
          </cell>
          <cell r="L705">
            <v>0</v>
          </cell>
          <cell r="M705">
            <v>0</v>
          </cell>
          <cell r="N705">
            <v>0</v>
          </cell>
          <cell r="O705">
            <v>0</v>
          </cell>
          <cell r="P705">
            <v>0</v>
          </cell>
          <cell r="Q705">
            <v>3117</v>
          </cell>
        </row>
        <row r="706">
          <cell r="A706" t="str">
            <v>US59P015533921200037</v>
          </cell>
          <cell r="B706" t="str">
            <v>US59P01553</v>
          </cell>
          <cell r="C706">
            <v>3921200037</v>
          </cell>
          <cell r="D706" t="str">
            <v>EXHAUSTIVE EQUIPMENT</v>
          </cell>
          <cell r="E706">
            <v>0</v>
          </cell>
          <cell r="F706">
            <v>77</v>
          </cell>
          <cell r="G706">
            <v>0</v>
          </cell>
          <cell r="H706">
            <v>0</v>
          </cell>
          <cell r="I706">
            <v>0</v>
          </cell>
          <cell r="J706">
            <v>0</v>
          </cell>
          <cell r="K706">
            <v>0</v>
          </cell>
          <cell r="L706">
            <v>0</v>
          </cell>
          <cell r="M706">
            <v>0</v>
          </cell>
          <cell r="N706">
            <v>0</v>
          </cell>
          <cell r="O706">
            <v>0</v>
          </cell>
          <cell r="P706">
            <v>0</v>
          </cell>
          <cell r="Q706">
            <v>77</v>
          </cell>
        </row>
        <row r="707">
          <cell r="A707" t="str">
            <v>US59P015603921200037</v>
          </cell>
          <cell r="B707" t="str">
            <v>US59P01560</v>
          </cell>
          <cell r="C707">
            <v>3921200037</v>
          </cell>
          <cell r="D707" t="str">
            <v>EXHAUSTIVE EQUIPMENT</v>
          </cell>
          <cell r="E707">
            <v>0</v>
          </cell>
          <cell r="F707">
            <v>253</v>
          </cell>
          <cell r="G707">
            <v>374</v>
          </cell>
          <cell r="H707">
            <v>0</v>
          </cell>
          <cell r="I707">
            <v>0</v>
          </cell>
          <cell r="J707">
            <v>0</v>
          </cell>
          <cell r="K707">
            <v>0</v>
          </cell>
          <cell r="L707">
            <v>0</v>
          </cell>
          <cell r="M707">
            <v>0</v>
          </cell>
          <cell r="N707">
            <v>0</v>
          </cell>
          <cell r="O707">
            <v>0</v>
          </cell>
          <cell r="P707">
            <v>0</v>
          </cell>
          <cell r="Q707">
            <v>627</v>
          </cell>
        </row>
        <row r="708">
          <cell r="A708" t="str">
            <v>US59P015643921200037</v>
          </cell>
          <cell r="B708" t="str">
            <v>US59P01564</v>
          </cell>
          <cell r="C708">
            <v>3921200037</v>
          </cell>
          <cell r="D708" t="str">
            <v>EXHAUSTIVE EQUIPMENT</v>
          </cell>
          <cell r="E708">
            <v>48</v>
          </cell>
          <cell r="F708">
            <v>0</v>
          </cell>
          <cell r="G708">
            <v>43</v>
          </cell>
          <cell r="H708">
            <v>0</v>
          </cell>
          <cell r="I708">
            <v>0</v>
          </cell>
          <cell r="J708">
            <v>0</v>
          </cell>
          <cell r="K708">
            <v>0</v>
          </cell>
          <cell r="L708">
            <v>0</v>
          </cell>
          <cell r="M708">
            <v>0</v>
          </cell>
          <cell r="N708">
            <v>0</v>
          </cell>
          <cell r="O708">
            <v>0</v>
          </cell>
          <cell r="P708">
            <v>0</v>
          </cell>
          <cell r="Q708">
            <v>91</v>
          </cell>
        </row>
        <row r="709">
          <cell r="A709" t="str">
            <v>US59P3C5603921200037</v>
          </cell>
          <cell r="B709" t="str">
            <v>US59P3C560</v>
          </cell>
          <cell r="C709">
            <v>3921200037</v>
          </cell>
          <cell r="D709" t="str">
            <v>EXHAUSTIVE EQUIPMENT</v>
          </cell>
          <cell r="E709">
            <v>113</v>
          </cell>
          <cell r="F709">
            <v>230</v>
          </cell>
          <cell r="G709">
            <v>677</v>
          </cell>
          <cell r="H709">
            <v>0</v>
          </cell>
          <cell r="I709">
            <v>0</v>
          </cell>
          <cell r="J709">
            <v>0</v>
          </cell>
          <cell r="K709">
            <v>0</v>
          </cell>
          <cell r="L709">
            <v>0</v>
          </cell>
          <cell r="M709">
            <v>0</v>
          </cell>
          <cell r="N709">
            <v>0</v>
          </cell>
          <cell r="O709">
            <v>0</v>
          </cell>
          <cell r="P709">
            <v>0</v>
          </cell>
          <cell r="Q709">
            <v>1020</v>
          </cell>
        </row>
        <row r="710">
          <cell r="A710" t="str">
            <v>USCRMZA1503921200037</v>
          </cell>
          <cell r="B710" t="str">
            <v>USCRMZA150</v>
          </cell>
          <cell r="C710">
            <v>3921200037</v>
          </cell>
          <cell r="D710" t="str">
            <v>EXHAUSTIVE EQUIPMENT</v>
          </cell>
          <cell r="E710">
            <v>325</v>
          </cell>
          <cell r="F710">
            <v>333</v>
          </cell>
          <cell r="G710">
            <v>-77</v>
          </cell>
          <cell r="H710">
            <v>0</v>
          </cell>
          <cell r="I710">
            <v>0</v>
          </cell>
          <cell r="J710">
            <v>0</v>
          </cell>
          <cell r="K710">
            <v>0</v>
          </cell>
          <cell r="L710">
            <v>0</v>
          </cell>
          <cell r="M710">
            <v>0</v>
          </cell>
          <cell r="N710">
            <v>0</v>
          </cell>
          <cell r="O710">
            <v>0</v>
          </cell>
          <cell r="P710">
            <v>0</v>
          </cell>
          <cell r="Q710">
            <v>581</v>
          </cell>
        </row>
        <row r="711">
          <cell r="A711" t="str">
            <v>USCRP015013921200037</v>
          </cell>
          <cell r="B711" t="str">
            <v>USCRP01501</v>
          </cell>
          <cell r="C711">
            <v>3921200037</v>
          </cell>
          <cell r="D711" t="str">
            <v>EXHAUSTIVE EQUIPMENT</v>
          </cell>
          <cell r="E711">
            <v>13</v>
          </cell>
          <cell r="F711">
            <v>7</v>
          </cell>
          <cell r="G711">
            <v>150</v>
          </cell>
          <cell r="H711">
            <v>0</v>
          </cell>
          <cell r="I711">
            <v>0</v>
          </cell>
          <cell r="J711">
            <v>0</v>
          </cell>
          <cell r="K711">
            <v>0</v>
          </cell>
          <cell r="L711">
            <v>0</v>
          </cell>
          <cell r="M711">
            <v>0</v>
          </cell>
          <cell r="N711">
            <v>0</v>
          </cell>
          <cell r="O711">
            <v>0</v>
          </cell>
          <cell r="P711">
            <v>0</v>
          </cell>
          <cell r="Q711">
            <v>170</v>
          </cell>
        </row>
        <row r="712">
          <cell r="A712" t="str">
            <v>USCRP015603921200037</v>
          </cell>
          <cell r="B712" t="str">
            <v>USCRP01560</v>
          </cell>
          <cell r="C712">
            <v>3921200037</v>
          </cell>
          <cell r="D712" t="str">
            <v>EXHAUSTIVE EQUIPMENT</v>
          </cell>
          <cell r="E712">
            <v>0</v>
          </cell>
          <cell r="F712">
            <v>88</v>
          </cell>
          <cell r="G712">
            <v>243</v>
          </cell>
          <cell r="H712">
            <v>0</v>
          </cell>
          <cell r="I712">
            <v>0</v>
          </cell>
          <cell r="J712">
            <v>0</v>
          </cell>
          <cell r="K712">
            <v>0</v>
          </cell>
          <cell r="L712">
            <v>0</v>
          </cell>
          <cell r="M712">
            <v>0</v>
          </cell>
          <cell r="N712">
            <v>0</v>
          </cell>
          <cell r="O712">
            <v>0</v>
          </cell>
          <cell r="P712">
            <v>0</v>
          </cell>
          <cell r="Q712">
            <v>331</v>
          </cell>
        </row>
        <row r="713">
          <cell r="A713" t="str">
            <v>USCRP015753921200037</v>
          </cell>
          <cell r="B713" t="str">
            <v>USCRP01575</v>
          </cell>
          <cell r="C713">
            <v>3921200037</v>
          </cell>
          <cell r="D713" t="str">
            <v>EXHAUSTIVE EQUIPMENT</v>
          </cell>
          <cell r="E713">
            <v>0</v>
          </cell>
          <cell r="F713">
            <v>0</v>
          </cell>
          <cell r="G713">
            <v>0</v>
          </cell>
          <cell r="H713">
            <v>0</v>
          </cell>
          <cell r="I713">
            <v>0</v>
          </cell>
          <cell r="J713">
            <v>0</v>
          </cell>
          <cell r="K713">
            <v>0</v>
          </cell>
          <cell r="L713">
            <v>0</v>
          </cell>
          <cell r="M713">
            <v>0</v>
          </cell>
          <cell r="N713">
            <v>0</v>
          </cell>
          <cell r="O713">
            <v>0</v>
          </cell>
          <cell r="P713">
            <v>0</v>
          </cell>
          <cell r="Q713">
            <v>0</v>
          </cell>
        </row>
        <row r="714">
          <cell r="A714" t="str">
            <v>USWOP015013921200037</v>
          </cell>
          <cell r="B714" t="str">
            <v>USWOP01501</v>
          </cell>
          <cell r="C714">
            <v>3921200037</v>
          </cell>
          <cell r="D714" t="str">
            <v>EXHAUSTIVE EQUIPMENT</v>
          </cell>
          <cell r="E714">
            <v>0</v>
          </cell>
          <cell r="F714">
            <v>672</v>
          </cell>
          <cell r="G714">
            <v>319</v>
          </cell>
          <cell r="H714">
            <v>0</v>
          </cell>
          <cell r="I714">
            <v>0</v>
          </cell>
          <cell r="J714">
            <v>0</v>
          </cell>
          <cell r="K714">
            <v>0</v>
          </cell>
          <cell r="L714">
            <v>0</v>
          </cell>
          <cell r="M714">
            <v>0</v>
          </cell>
          <cell r="N714">
            <v>0</v>
          </cell>
          <cell r="O714">
            <v>0</v>
          </cell>
          <cell r="P714">
            <v>0</v>
          </cell>
          <cell r="Q714">
            <v>991</v>
          </cell>
        </row>
        <row r="715">
          <cell r="A715" t="str">
            <v>USWOP015503921200037</v>
          </cell>
          <cell r="B715" t="str">
            <v>USWOP01550</v>
          </cell>
          <cell r="C715">
            <v>3921200037</v>
          </cell>
          <cell r="D715" t="str">
            <v>EXHAUSTIVE EQUIPMENT</v>
          </cell>
          <cell r="E715">
            <v>0</v>
          </cell>
          <cell r="F715">
            <v>0</v>
          </cell>
          <cell r="G715">
            <v>7</v>
          </cell>
          <cell r="H715">
            <v>0</v>
          </cell>
          <cell r="I715">
            <v>0</v>
          </cell>
          <cell r="J715">
            <v>0</v>
          </cell>
          <cell r="K715">
            <v>0</v>
          </cell>
          <cell r="L715">
            <v>0</v>
          </cell>
          <cell r="M715">
            <v>0</v>
          </cell>
          <cell r="N715">
            <v>0</v>
          </cell>
          <cell r="O715">
            <v>0</v>
          </cell>
          <cell r="P715">
            <v>0</v>
          </cell>
          <cell r="Q715">
            <v>7</v>
          </cell>
        </row>
        <row r="716">
          <cell r="A716" t="str">
            <v>USWOP015603921200037</v>
          </cell>
          <cell r="B716" t="str">
            <v>USWOP01560</v>
          </cell>
          <cell r="C716">
            <v>3921200037</v>
          </cell>
          <cell r="D716" t="str">
            <v>EXHAUSTIVE EQUIPMENT</v>
          </cell>
          <cell r="E716">
            <v>99</v>
          </cell>
          <cell r="F716">
            <v>317</v>
          </cell>
          <cell r="G716">
            <v>307</v>
          </cell>
          <cell r="H716">
            <v>0</v>
          </cell>
          <cell r="I716">
            <v>0</v>
          </cell>
          <cell r="J716">
            <v>0</v>
          </cell>
          <cell r="K716">
            <v>0</v>
          </cell>
          <cell r="L716">
            <v>0</v>
          </cell>
          <cell r="M716">
            <v>0</v>
          </cell>
          <cell r="N716">
            <v>0</v>
          </cell>
          <cell r="O716">
            <v>0</v>
          </cell>
          <cell r="P716">
            <v>0</v>
          </cell>
          <cell r="Q716">
            <v>723</v>
          </cell>
        </row>
        <row r="717">
          <cell r="A717" t="str">
            <v>US22MZA1503921200050</v>
          </cell>
          <cell r="B717" t="str">
            <v>US22MZA150</v>
          </cell>
          <cell r="C717">
            <v>3921200050</v>
          </cell>
          <cell r="D717" t="str">
            <v>SAFETY EQUIPMENT - SUPPLIES</v>
          </cell>
          <cell r="E717">
            <v>1011</v>
          </cell>
          <cell r="F717">
            <v>1886</v>
          </cell>
          <cell r="G717">
            <v>1308</v>
          </cell>
          <cell r="H717">
            <v>0</v>
          </cell>
          <cell r="I717">
            <v>0</v>
          </cell>
          <cell r="J717">
            <v>0</v>
          </cell>
          <cell r="K717">
            <v>0</v>
          </cell>
          <cell r="L717">
            <v>0</v>
          </cell>
          <cell r="M717">
            <v>0</v>
          </cell>
          <cell r="N717">
            <v>0</v>
          </cell>
          <cell r="O717">
            <v>0</v>
          </cell>
          <cell r="P717">
            <v>0</v>
          </cell>
          <cell r="Q717">
            <v>4205</v>
          </cell>
        </row>
        <row r="718">
          <cell r="A718" t="str">
            <v>US22P015013921200050</v>
          </cell>
          <cell r="B718" t="str">
            <v>US22P01501</v>
          </cell>
          <cell r="C718">
            <v>3921200050</v>
          </cell>
          <cell r="D718" t="str">
            <v>SAFETY EQUIPMENT - SUPPLIES</v>
          </cell>
          <cell r="E718">
            <v>128</v>
          </cell>
          <cell r="F718">
            <v>1776</v>
          </cell>
          <cell r="G718">
            <v>2260</v>
          </cell>
          <cell r="H718">
            <v>0</v>
          </cell>
          <cell r="I718">
            <v>0</v>
          </cell>
          <cell r="J718">
            <v>0</v>
          </cell>
          <cell r="K718">
            <v>0</v>
          </cell>
          <cell r="L718">
            <v>0</v>
          </cell>
          <cell r="M718">
            <v>0</v>
          </cell>
          <cell r="N718">
            <v>0</v>
          </cell>
          <cell r="O718">
            <v>0</v>
          </cell>
          <cell r="P718">
            <v>0</v>
          </cell>
          <cell r="Q718">
            <v>4164</v>
          </cell>
        </row>
        <row r="719">
          <cell r="A719" t="str">
            <v>US22P015503921200050</v>
          </cell>
          <cell r="B719" t="str">
            <v>US22P01550</v>
          </cell>
          <cell r="C719">
            <v>3921200050</v>
          </cell>
          <cell r="D719" t="str">
            <v>SAFETY EQUIPMENT - SUPPLIES</v>
          </cell>
          <cell r="E719">
            <v>433</v>
          </cell>
          <cell r="F719">
            <v>125</v>
          </cell>
          <cell r="G719">
            <v>0</v>
          </cell>
          <cell r="H719">
            <v>0</v>
          </cell>
          <cell r="I719">
            <v>0</v>
          </cell>
          <cell r="J719">
            <v>0</v>
          </cell>
          <cell r="K719">
            <v>0</v>
          </cell>
          <cell r="L719">
            <v>0</v>
          </cell>
          <cell r="M719">
            <v>0</v>
          </cell>
          <cell r="N719">
            <v>0</v>
          </cell>
          <cell r="O719">
            <v>0</v>
          </cell>
          <cell r="P719">
            <v>0</v>
          </cell>
          <cell r="Q719">
            <v>558</v>
          </cell>
        </row>
        <row r="720">
          <cell r="A720" t="str">
            <v>US22P015603921200050</v>
          </cell>
          <cell r="B720" t="str">
            <v>US22P01560</v>
          </cell>
          <cell r="C720">
            <v>3921200050</v>
          </cell>
          <cell r="D720" t="str">
            <v>SAFETY EQUIPMENT - SUPPLIES</v>
          </cell>
          <cell r="E720">
            <v>0</v>
          </cell>
          <cell r="F720">
            <v>96</v>
          </cell>
          <cell r="G720">
            <v>0</v>
          </cell>
          <cell r="H720">
            <v>0</v>
          </cell>
          <cell r="I720">
            <v>0</v>
          </cell>
          <cell r="J720">
            <v>0</v>
          </cell>
          <cell r="K720">
            <v>0</v>
          </cell>
          <cell r="L720">
            <v>0</v>
          </cell>
          <cell r="M720">
            <v>0</v>
          </cell>
          <cell r="N720">
            <v>0</v>
          </cell>
          <cell r="O720">
            <v>0</v>
          </cell>
          <cell r="P720">
            <v>0</v>
          </cell>
          <cell r="Q720">
            <v>96</v>
          </cell>
        </row>
        <row r="721">
          <cell r="A721" t="str">
            <v>US22P015903921200050</v>
          </cell>
          <cell r="B721" t="str">
            <v>US22P01590</v>
          </cell>
          <cell r="C721">
            <v>3921200050</v>
          </cell>
          <cell r="D721" t="str">
            <v>SAFETY EQUIPMENT - SUPPLIES</v>
          </cell>
          <cell r="E721">
            <v>0</v>
          </cell>
          <cell r="F721">
            <v>0</v>
          </cell>
          <cell r="G721">
            <v>0</v>
          </cell>
          <cell r="H721">
            <v>0</v>
          </cell>
          <cell r="I721">
            <v>0</v>
          </cell>
          <cell r="J721">
            <v>0</v>
          </cell>
          <cell r="K721">
            <v>0</v>
          </cell>
          <cell r="L721">
            <v>0</v>
          </cell>
          <cell r="M721">
            <v>0</v>
          </cell>
          <cell r="N721">
            <v>0</v>
          </cell>
          <cell r="O721">
            <v>0</v>
          </cell>
          <cell r="P721">
            <v>0</v>
          </cell>
          <cell r="Q721">
            <v>0</v>
          </cell>
        </row>
        <row r="722">
          <cell r="A722" t="str">
            <v>US28MZA1503921200050</v>
          </cell>
          <cell r="B722" t="str">
            <v>US28MZA150</v>
          </cell>
          <cell r="C722">
            <v>3921200050</v>
          </cell>
          <cell r="D722" t="str">
            <v>SAFETY EQUIPMENT - SUPPLIES</v>
          </cell>
          <cell r="E722">
            <v>507</v>
          </cell>
          <cell r="F722">
            <v>255</v>
          </cell>
          <cell r="G722">
            <v>85</v>
          </cell>
          <cell r="H722">
            <v>0</v>
          </cell>
          <cell r="I722">
            <v>0</v>
          </cell>
          <cell r="J722">
            <v>0</v>
          </cell>
          <cell r="K722">
            <v>0</v>
          </cell>
          <cell r="L722">
            <v>0</v>
          </cell>
          <cell r="M722">
            <v>0</v>
          </cell>
          <cell r="N722">
            <v>0</v>
          </cell>
          <cell r="O722">
            <v>0</v>
          </cell>
          <cell r="P722">
            <v>0</v>
          </cell>
          <cell r="Q722">
            <v>847</v>
          </cell>
        </row>
        <row r="723">
          <cell r="A723" t="str">
            <v>US28P015013921200050</v>
          </cell>
          <cell r="B723" t="str">
            <v>US28P01501</v>
          </cell>
          <cell r="C723">
            <v>3921200050</v>
          </cell>
          <cell r="D723" t="str">
            <v>SAFETY EQUIPMENT - SUPPLIES</v>
          </cell>
          <cell r="E723">
            <v>1142</v>
          </cell>
          <cell r="F723">
            <v>0</v>
          </cell>
          <cell r="G723">
            <v>923</v>
          </cell>
          <cell r="H723">
            <v>0</v>
          </cell>
          <cell r="I723">
            <v>0</v>
          </cell>
          <cell r="J723">
            <v>0</v>
          </cell>
          <cell r="K723">
            <v>0</v>
          </cell>
          <cell r="L723">
            <v>0</v>
          </cell>
          <cell r="M723">
            <v>0</v>
          </cell>
          <cell r="N723">
            <v>0</v>
          </cell>
          <cell r="O723">
            <v>0</v>
          </cell>
          <cell r="P723">
            <v>0</v>
          </cell>
          <cell r="Q723">
            <v>2065</v>
          </cell>
        </row>
        <row r="724">
          <cell r="A724" t="str">
            <v>US28P015503921200050</v>
          </cell>
          <cell r="B724" t="str">
            <v>US28P01550</v>
          </cell>
          <cell r="C724">
            <v>3921200050</v>
          </cell>
          <cell r="D724" t="str">
            <v>SAFETY EQUIPMENT - SUPPLIES</v>
          </cell>
          <cell r="E724">
            <v>0</v>
          </cell>
          <cell r="F724">
            <v>0</v>
          </cell>
          <cell r="G724">
            <v>0</v>
          </cell>
          <cell r="H724">
            <v>0</v>
          </cell>
          <cell r="I724">
            <v>0</v>
          </cell>
          <cell r="J724">
            <v>0</v>
          </cell>
          <cell r="K724">
            <v>0</v>
          </cell>
          <cell r="L724">
            <v>0</v>
          </cell>
          <cell r="M724">
            <v>0</v>
          </cell>
          <cell r="N724">
            <v>0</v>
          </cell>
          <cell r="O724">
            <v>0</v>
          </cell>
          <cell r="P724">
            <v>0</v>
          </cell>
          <cell r="Q724">
            <v>0</v>
          </cell>
        </row>
        <row r="725">
          <cell r="A725" t="str">
            <v>US28P015603921200050</v>
          </cell>
          <cell r="B725" t="str">
            <v>US28P01560</v>
          </cell>
          <cell r="C725">
            <v>3921200050</v>
          </cell>
          <cell r="D725" t="str">
            <v>SAFETY EQUIPMENT - SUPPLIES</v>
          </cell>
          <cell r="E725">
            <v>0</v>
          </cell>
          <cell r="F725">
            <v>-37</v>
          </cell>
          <cell r="G725">
            <v>2321</v>
          </cell>
          <cell r="H725">
            <v>0</v>
          </cell>
          <cell r="I725">
            <v>0</v>
          </cell>
          <cell r="J725">
            <v>0</v>
          </cell>
          <cell r="K725">
            <v>0</v>
          </cell>
          <cell r="L725">
            <v>0</v>
          </cell>
          <cell r="M725">
            <v>0</v>
          </cell>
          <cell r="N725">
            <v>0</v>
          </cell>
          <cell r="O725">
            <v>0</v>
          </cell>
          <cell r="P725">
            <v>0</v>
          </cell>
          <cell r="Q725">
            <v>2284</v>
          </cell>
        </row>
        <row r="726">
          <cell r="A726" t="str">
            <v>US28P015643921200050</v>
          </cell>
          <cell r="B726" t="str">
            <v>US28P01564</v>
          </cell>
          <cell r="C726">
            <v>3921200050</v>
          </cell>
          <cell r="D726" t="str">
            <v>SAFETY EQUIPMENT - SUPPLIES</v>
          </cell>
          <cell r="E726">
            <v>0</v>
          </cell>
          <cell r="F726">
            <v>140</v>
          </cell>
          <cell r="G726">
            <v>7982</v>
          </cell>
          <cell r="H726">
            <v>0</v>
          </cell>
          <cell r="I726">
            <v>0</v>
          </cell>
          <cell r="J726">
            <v>0</v>
          </cell>
          <cell r="K726">
            <v>0</v>
          </cell>
          <cell r="L726">
            <v>0</v>
          </cell>
          <cell r="M726">
            <v>0</v>
          </cell>
          <cell r="N726">
            <v>0</v>
          </cell>
          <cell r="O726">
            <v>0</v>
          </cell>
          <cell r="P726">
            <v>0</v>
          </cell>
          <cell r="Q726">
            <v>8122</v>
          </cell>
        </row>
        <row r="727">
          <cell r="A727" t="str">
            <v>US35MZA1503921200050</v>
          </cell>
          <cell r="B727" t="str">
            <v>US35MZA150</v>
          </cell>
          <cell r="C727">
            <v>3921200050</v>
          </cell>
          <cell r="D727" t="str">
            <v>SAFETY EQUIPMENT - SUPPLIES</v>
          </cell>
          <cell r="E727">
            <v>811</v>
          </cell>
          <cell r="F727">
            <v>1094</v>
          </cell>
          <cell r="G727">
            <v>50</v>
          </cell>
          <cell r="H727">
            <v>0</v>
          </cell>
          <cell r="I727">
            <v>0</v>
          </cell>
          <cell r="J727">
            <v>0</v>
          </cell>
          <cell r="K727">
            <v>0</v>
          </cell>
          <cell r="L727">
            <v>0</v>
          </cell>
          <cell r="M727">
            <v>0</v>
          </cell>
          <cell r="N727">
            <v>0</v>
          </cell>
          <cell r="O727">
            <v>0</v>
          </cell>
          <cell r="P727">
            <v>0</v>
          </cell>
          <cell r="Q727">
            <v>1955</v>
          </cell>
        </row>
        <row r="728">
          <cell r="A728" t="str">
            <v>US35P015013921200050</v>
          </cell>
          <cell r="B728" t="str">
            <v>US35P01501</v>
          </cell>
          <cell r="C728">
            <v>3921200050</v>
          </cell>
          <cell r="D728" t="str">
            <v>SAFETY EQUIPMENT - SUPPLIES</v>
          </cell>
          <cell r="E728">
            <v>1083</v>
          </cell>
          <cell r="F728">
            <v>2091</v>
          </cell>
          <cell r="G728">
            <v>90</v>
          </cell>
          <cell r="H728">
            <v>0</v>
          </cell>
          <cell r="I728">
            <v>0</v>
          </cell>
          <cell r="J728">
            <v>0</v>
          </cell>
          <cell r="K728">
            <v>0</v>
          </cell>
          <cell r="L728">
            <v>0</v>
          </cell>
          <cell r="M728">
            <v>0</v>
          </cell>
          <cell r="N728">
            <v>0</v>
          </cell>
          <cell r="O728">
            <v>0</v>
          </cell>
          <cell r="P728">
            <v>0</v>
          </cell>
          <cell r="Q728">
            <v>3264</v>
          </cell>
        </row>
        <row r="729">
          <cell r="A729" t="str">
            <v>US35P015503921200050</v>
          </cell>
          <cell r="B729" t="str">
            <v>US35P01550</v>
          </cell>
          <cell r="C729">
            <v>3921200050</v>
          </cell>
          <cell r="D729" t="str">
            <v>SAFETY EQUIPMENT - SUPPLIES</v>
          </cell>
          <cell r="E729">
            <v>0</v>
          </cell>
          <cell r="F729">
            <v>0</v>
          </cell>
          <cell r="G729">
            <v>0</v>
          </cell>
          <cell r="H729">
            <v>0</v>
          </cell>
          <cell r="I729">
            <v>0</v>
          </cell>
          <cell r="J729">
            <v>0</v>
          </cell>
          <cell r="K729">
            <v>0</v>
          </cell>
          <cell r="L729">
            <v>0</v>
          </cell>
          <cell r="M729">
            <v>0</v>
          </cell>
          <cell r="N729">
            <v>0</v>
          </cell>
          <cell r="O729">
            <v>0</v>
          </cell>
          <cell r="P729">
            <v>0</v>
          </cell>
          <cell r="Q729">
            <v>0</v>
          </cell>
        </row>
        <row r="730">
          <cell r="A730" t="str">
            <v>US35P015603921200050</v>
          </cell>
          <cell r="B730" t="str">
            <v>US35P01560</v>
          </cell>
          <cell r="C730">
            <v>3921200050</v>
          </cell>
          <cell r="D730" t="str">
            <v>SAFETY EQUIPMENT - SUPPLIES</v>
          </cell>
          <cell r="E730">
            <v>255</v>
          </cell>
          <cell r="F730">
            <v>2434</v>
          </cell>
          <cell r="G730">
            <v>1279</v>
          </cell>
          <cell r="H730">
            <v>0</v>
          </cell>
          <cell r="I730">
            <v>0</v>
          </cell>
          <cell r="J730">
            <v>0</v>
          </cell>
          <cell r="K730">
            <v>0</v>
          </cell>
          <cell r="L730">
            <v>0</v>
          </cell>
          <cell r="M730">
            <v>0</v>
          </cell>
          <cell r="N730">
            <v>0</v>
          </cell>
          <cell r="O730">
            <v>0</v>
          </cell>
          <cell r="P730">
            <v>0</v>
          </cell>
          <cell r="Q730">
            <v>3968</v>
          </cell>
        </row>
        <row r="731">
          <cell r="A731" t="str">
            <v>US35P015643921200050</v>
          </cell>
          <cell r="B731" t="str">
            <v>US35P01564</v>
          </cell>
          <cell r="C731">
            <v>3921200050</v>
          </cell>
          <cell r="D731" t="str">
            <v>SAFETY EQUIPMENT - SUPPLIES</v>
          </cell>
          <cell r="E731">
            <v>0</v>
          </cell>
          <cell r="F731">
            <v>3658</v>
          </cell>
          <cell r="G731">
            <v>0</v>
          </cell>
          <cell r="H731">
            <v>0</v>
          </cell>
          <cell r="I731">
            <v>0</v>
          </cell>
          <cell r="J731">
            <v>0</v>
          </cell>
          <cell r="K731">
            <v>0</v>
          </cell>
          <cell r="L731">
            <v>0</v>
          </cell>
          <cell r="M731">
            <v>0</v>
          </cell>
          <cell r="N731">
            <v>0</v>
          </cell>
          <cell r="O731">
            <v>0</v>
          </cell>
          <cell r="P731">
            <v>0</v>
          </cell>
          <cell r="Q731">
            <v>3658</v>
          </cell>
        </row>
        <row r="732">
          <cell r="A732" t="str">
            <v>US35P015853921200050</v>
          </cell>
          <cell r="B732" t="str">
            <v>US35P01585</v>
          </cell>
          <cell r="C732">
            <v>3921200050</v>
          </cell>
          <cell r="D732" t="str">
            <v>SAFETY EQUIPMENT - SUPPLIES</v>
          </cell>
          <cell r="E732">
            <v>35</v>
          </cell>
          <cell r="F732">
            <v>0</v>
          </cell>
          <cell r="G732">
            <v>0</v>
          </cell>
          <cell r="H732">
            <v>0</v>
          </cell>
          <cell r="I732">
            <v>0</v>
          </cell>
          <cell r="J732">
            <v>0</v>
          </cell>
          <cell r="K732">
            <v>0</v>
          </cell>
          <cell r="L732">
            <v>0</v>
          </cell>
          <cell r="M732">
            <v>0</v>
          </cell>
          <cell r="N732">
            <v>0</v>
          </cell>
          <cell r="O732">
            <v>0</v>
          </cell>
          <cell r="P732">
            <v>0</v>
          </cell>
          <cell r="Q732">
            <v>35</v>
          </cell>
        </row>
        <row r="733">
          <cell r="A733" t="str">
            <v>US35P015903921200050</v>
          </cell>
          <cell r="B733" t="str">
            <v>US35P01590</v>
          </cell>
          <cell r="C733">
            <v>3921200050</v>
          </cell>
          <cell r="D733" t="str">
            <v>SAFETY EQUIPMENT - SUPPLIES</v>
          </cell>
          <cell r="E733">
            <v>0</v>
          </cell>
          <cell r="F733">
            <v>0</v>
          </cell>
          <cell r="G733">
            <v>0</v>
          </cell>
          <cell r="H733">
            <v>0</v>
          </cell>
          <cell r="I733">
            <v>0</v>
          </cell>
          <cell r="J733">
            <v>0</v>
          </cell>
          <cell r="K733">
            <v>0</v>
          </cell>
          <cell r="L733">
            <v>0</v>
          </cell>
          <cell r="M733">
            <v>0</v>
          </cell>
          <cell r="N733">
            <v>0</v>
          </cell>
          <cell r="O733">
            <v>0</v>
          </cell>
          <cell r="P733">
            <v>0</v>
          </cell>
          <cell r="Q733">
            <v>0</v>
          </cell>
        </row>
        <row r="734">
          <cell r="A734" t="str">
            <v>US59MZA1503921200050</v>
          </cell>
          <cell r="B734" t="str">
            <v>US59MZA150</v>
          </cell>
          <cell r="C734">
            <v>3921200050</v>
          </cell>
          <cell r="D734" t="str">
            <v>SAFETY EQUIPMENT - SUPPLIES</v>
          </cell>
          <cell r="E734">
            <v>0</v>
          </cell>
          <cell r="F734">
            <v>168</v>
          </cell>
          <cell r="G734">
            <v>247</v>
          </cell>
          <cell r="H734">
            <v>0</v>
          </cell>
          <cell r="I734">
            <v>0</v>
          </cell>
          <cell r="J734">
            <v>0</v>
          </cell>
          <cell r="K734">
            <v>0</v>
          </cell>
          <cell r="L734">
            <v>0</v>
          </cell>
          <cell r="M734">
            <v>0</v>
          </cell>
          <cell r="N734">
            <v>0</v>
          </cell>
          <cell r="O734">
            <v>0</v>
          </cell>
          <cell r="P734">
            <v>0</v>
          </cell>
          <cell r="Q734">
            <v>415</v>
          </cell>
        </row>
        <row r="735">
          <cell r="A735" t="str">
            <v>US59P015013921200050</v>
          </cell>
          <cell r="B735" t="str">
            <v>US59P01501</v>
          </cell>
          <cell r="C735">
            <v>3921200050</v>
          </cell>
          <cell r="D735" t="str">
            <v>SAFETY EQUIPMENT - SUPPLIES</v>
          </cell>
          <cell r="E735">
            <v>0</v>
          </cell>
          <cell r="F735">
            <v>282</v>
          </cell>
          <cell r="G735">
            <v>247</v>
          </cell>
          <cell r="H735">
            <v>0</v>
          </cell>
          <cell r="I735">
            <v>0</v>
          </cell>
          <cell r="J735">
            <v>0</v>
          </cell>
          <cell r="K735">
            <v>0</v>
          </cell>
          <cell r="L735">
            <v>0</v>
          </cell>
          <cell r="M735">
            <v>0</v>
          </cell>
          <cell r="N735">
            <v>0</v>
          </cell>
          <cell r="O735">
            <v>0</v>
          </cell>
          <cell r="P735">
            <v>0</v>
          </cell>
          <cell r="Q735">
            <v>529</v>
          </cell>
        </row>
        <row r="736">
          <cell r="A736" t="str">
            <v>US59P015503921200050</v>
          </cell>
          <cell r="B736" t="str">
            <v>US59P01550</v>
          </cell>
          <cell r="C736">
            <v>3921200050</v>
          </cell>
          <cell r="D736" t="str">
            <v>SAFETY EQUIPMENT - SUPPLIES</v>
          </cell>
          <cell r="E736">
            <v>0</v>
          </cell>
          <cell r="F736">
            <v>0</v>
          </cell>
          <cell r="G736">
            <v>257</v>
          </cell>
          <cell r="H736">
            <v>0</v>
          </cell>
          <cell r="I736">
            <v>0</v>
          </cell>
          <cell r="J736">
            <v>0</v>
          </cell>
          <cell r="K736">
            <v>0</v>
          </cell>
          <cell r="L736">
            <v>0</v>
          </cell>
          <cell r="M736">
            <v>0</v>
          </cell>
          <cell r="N736">
            <v>0</v>
          </cell>
          <cell r="O736">
            <v>0</v>
          </cell>
          <cell r="P736">
            <v>0</v>
          </cell>
          <cell r="Q736">
            <v>257</v>
          </cell>
        </row>
        <row r="737">
          <cell r="A737" t="str">
            <v>US59P015603921200050</v>
          </cell>
          <cell r="B737" t="str">
            <v>US59P01560</v>
          </cell>
          <cell r="C737">
            <v>3921200050</v>
          </cell>
          <cell r="D737" t="str">
            <v>SAFETY EQUIPMENT - SUPPLIES</v>
          </cell>
          <cell r="E737">
            <v>0</v>
          </cell>
          <cell r="F737">
            <v>521</v>
          </cell>
          <cell r="G737">
            <v>0</v>
          </cell>
          <cell r="H737">
            <v>0</v>
          </cell>
          <cell r="I737">
            <v>0</v>
          </cell>
          <cell r="J737">
            <v>0</v>
          </cell>
          <cell r="K737">
            <v>0</v>
          </cell>
          <cell r="L737">
            <v>0</v>
          </cell>
          <cell r="M737">
            <v>0</v>
          </cell>
          <cell r="N737">
            <v>0</v>
          </cell>
          <cell r="O737">
            <v>0</v>
          </cell>
          <cell r="P737">
            <v>0</v>
          </cell>
          <cell r="Q737">
            <v>521</v>
          </cell>
        </row>
        <row r="738">
          <cell r="A738" t="str">
            <v>US59P3C5013921200050</v>
          </cell>
          <cell r="B738" t="str">
            <v>US59P3C501</v>
          </cell>
          <cell r="C738">
            <v>3921200050</v>
          </cell>
          <cell r="D738" t="str">
            <v>SAFETY EQUIPMENT - SUPPLIES</v>
          </cell>
          <cell r="E738">
            <v>0</v>
          </cell>
          <cell r="F738">
            <v>319</v>
          </cell>
          <cell r="G738">
            <v>392</v>
          </cell>
          <cell r="H738">
            <v>0</v>
          </cell>
          <cell r="I738">
            <v>0</v>
          </cell>
          <cell r="J738">
            <v>0</v>
          </cell>
          <cell r="K738">
            <v>0</v>
          </cell>
          <cell r="L738">
            <v>0</v>
          </cell>
          <cell r="M738">
            <v>0</v>
          </cell>
          <cell r="N738">
            <v>0</v>
          </cell>
          <cell r="O738">
            <v>0</v>
          </cell>
          <cell r="P738">
            <v>0</v>
          </cell>
          <cell r="Q738">
            <v>711</v>
          </cell>
        </row>
        <row r="739">
          <cell r="A739" t="str">
            <v>US59P3C5603921200050</v>
          </cell>
          <cell r="B739" t="str">
            <v>US59P3C560</v>
          </cell>
          <cell r="C739">
            <v>3921200050</v>
          </cell>
          <cell r="D739" t="str">
            <v>SAFETY EQUIPMENT - SUPPLIES</v>
          </cell>
          <cell r="E739">
            <v>120</v>
          </cell>
          <cell r="F739">
            <v>324</v>
          </cell>
          <cell r="G739">
            <v>0</v>
          </cell>
          <cell r="H739">
            <v>0</v>
          </cell>
          <cell r="I739">
            <v>0</v>
          </cell>
          <cell r="J739">
            <v>0</v>
          </cell>
          <cell r="K739">
            <v>0</v>
          </cell>
          <cell r="L739">
            <v>0</v>
          </cell>
          <cell r="M739">
            <v>0</v>
          </cell>
          <cell r="N739">
            <v>0</v>
          </cell>
          <cell r="O739">
            <v>0</v>
          </cell>
          <cell r="P739">
            <v>0</v>
          </cell>
          <cell r="Q739">
            <v>444</v>
          </cell>
        </row>
        <row r="740">
          <cell r="A740" t="str">
            <v>USCRMZA1503921200050</v>
          </cell>
          <cell r="B740" t="str">
            <v>USCRMZA150</v>
          </cell>
          <cell r="C740">
            <v>3921200050</v>
          </cell>
          <cell r="D740" t="str">
            <v>SAFETY EQUIPMENT - SUPPLIES</v>
          </cell>
          <cell r="E740">
            <v>89</v>
          </cell>
          <cell r="F740">
            <v>0</v>
          </cell>
          <cell r="G740">
            <v>0</v>
          </cell>
          <cell r="H740">
            <v>0</v>
          </cell>
          <cell r="I740">
            <v>0</v>
          </cell>
          <cell r="J740">
            <v>0</v>
          </cell>
          <cell r="K740">
            <v>0</v>
          </cell>
          <cell r="L740">
            <v>0</v>
          </cell>
          <cell r="M740">
            <v>0</v>
          </cell>
          <cell r="N740">
            <v>0</v>
          </cell>
          <cell r="O740">
            <v>0</v>
          </cell>
          <cell r="P740">
            <v>0</v>
          </cell>
          <cell r="Q740">
            <v>89</v>
          </cell>
        </row>
        <row r="741">
          <cell r="A741" t="str">
            <v>USCRP015013921200050</v>
          </cell>
          <cell r="B741" t="str">
            <v>USCRP01501</v>
          </cell>
          <cell r="C741">
            <v>3921200050</v>
          </cell>
          <cell r="D741" t="str">
            <v>SAFETY EQUIPMENT - SUPPLIES</v>
          </cell>
          <cell r="E741">
            <v>616</v>
          </cell>
          <cell r="F741">
            <v>80</v>
          </cell>
          <cell r="G741">
            <v>68</v>
          </cell>
          <cell r="H741">
            <v>0</v>
          </cell>
          <cell r="I741">
            <v>0</v>
          </cell>
          <cell r="J741">
            <v>0</v>
          </cell>
          <cell r="K741">
            <v>0</v>
          </cell>
          <cell r="L741">
            <v>0</v>
          </cell>
          <cell r="M741">
            <v>0</v>
          </cell>
          <cell r="N741">
            <v>0</v>
          </cell>
          <cell r="O741">
            <v>0</v>
          </cell>
          <cell r="P741">
            <v>0</v>
          </cell>
          <cell r="Q741">
            <v>764</v>
          </cell>
        </row>
        <row r="742">
          <cell r="A742" t="str">
            <v>USCRP015503921200050</v>
          </cell>
          <cell r="B742" t="str">
            <v>USCRP01550</v>
          </cell>
          <cell r="C742">
            <v>3921200050</v>
          </cell>
          <cell r="D742" t="str">
            <v>SAFETY EQUIPMENT - SUPPLIES</v>
          </cell>
          <cell r="E742">
            <v>84</v>
          </cell>
          <cell r="F742">
            <v>0</v>
          </cell>
          <cell r="G742">
            <v>0</v>
          </cell>
          <cell r="H742">
            <v>0</v>
          </cell>
          <cell r="I742">
            <v>0</v>
          </cell>
          <cell r="J742">
            <v>0</v>
          </cell>
          <cell r="K742">
            <v>0</v>
          </cell>
          <cell r="L742">
            <v>0</v>
          </cell>
          <cell r="M742">
            <v>0</v>
          </cell>
          <cell r="N742">
            <v>0</v>
          </cell>
          <cell r="O742">
            <v>0</v>
          </cell>
          <cell r="P742">
            <v>0</v>
          </cell>
          <cell r="Q742">
            <v>84</v>
          </cell>
        </row>
        <row r="743">
          <cell r="A743" t="str">
            <v>USCRP015603921200050</v>
          </cell>
          <cell r="B743" t="str">
            <v>USCRP01560</v>
          </cell>
          <cell r="C743">
            <v>3921200050</v>
          </cell>
          <cell r="D743" t="str">
            <v>SAFETY EQUIPMENT - SUPPLIES</v>
          </cell>
          <cell r="E743">
            <v>0</v>
          </cell>
          <cell r="F743">
            <v>0</v>
          </cell>
          <cell r="G743">
            <v>0</v>
          </cell>
          <cell r="H743">
            <v>0</v>
          </cell>
          <cell r="I743">
            <v>0</v>
          </cell>
          <cell r="J743">
            <v>0</v>
          </cell>
          <cell r="K743">
            <v>0</v>
          </cell>
          <cell r="L743">
            <v>0</v>
          </cell>
          <cell r="M743">
            <v>0</v>
          </cell>
          <cell r="N743">
            <v>0</v>
          </cell>
          <cell r="O743">
            <v>0</v>
          </cell>
          <cell r="P743">
            <v>0</v>
          </cell>
          <cell r="Q743">
            <v>0</v>
          </cell>
        </row>
        <row r="744">
          <cell r="A744" t="str">
            <v>USWOMZA1503921200050</v>
          </cell>
          <cell r="B744" t="str">
            <v>USWOMZA150</v>
          </cell>
          <cell r="C744">
            <v>3921200050</v>
          </cell>
          <cell r="D744" t="str">
            <v>SAFETY EQUIPMENT - SUPPLIES</v>
          </cell>
          <cell r="E744">
            <v>0</v>
          </cell>
          <cell r="F744">
            <v>0</v>
          </cell>
          <cell r="G744">
            <v>193</v>
          </cell>
          <cell r="H744">
            <v>0</v>
          </cell>
          <cell r="I744">
            <v>0</v>
          </cell>
          <cell r="J744">
            <v>0</v>
          </cell>
          <cell r="K744">
            <v>0</v>
          </cell>
          <cell r="L744">
            <v>0</v>
          </cell>
          <cell r="M744">
            <v>0</v>
          </cell>
          <cell r="N744">
            <v>0</v>
          </cell>
          <cell r="O744">
            <v>0</v>
          </cell>
          <cell r="P744">
            <v>0</v>
          </cell>
          <cell r="Q744">
            <v>193</v>
          </cell>
        </row>
        <row r="745">
          <cell r="A745" t="str">
            <v>USWOP015013921200050</v>
          </cell>
          <cell r="B745" t="str">
            <v>USWOP01501</v>
          </cell>
          <cell r="C745">
            <v>3921200050</v>
          </cell>
          <cell r="D745" t="str">
            <v>SAFETY EQUIPMENT - SUPPLIES</v>
          </cell>
          <cell r="E745">
            <v>1538</v>
          </cell>
          <cell r="F745">
            <v>977</v>
          </cell>
          <cell r="G745">
            <v>263</v>
          </cell>
          <cell r="H745">
            <v>0</v>
          </cell>
          <cell r="I745">
            <v>0</v>
          </cell>
          <cell r="J745">
            <v>0</v>
          </cell>
          <cell r="K745">
            <v>0</v>
          </cell>
          <cell r="L745">
            <v>0</v>
          </cell>
          <cell r="M745">
            <v>0</v>
          </cell>
          <cell r="N745">
            <v>0</v>
          </cell>
          <cell r="O745">
            <v>0</v>
          </cell>
          <cell r="P745">
            <v>0</v>
          </cell>
          <cell r="Q745">
            <v>2778</v>
          </cell>
        </row>
        <row r="746">
          <cell r="A746" t="str">
            <v>USWOP015503921200050</v>
          </cell>
          <cell r="B746" t="str">
            <v>USWOP01550</v>
          </cell>
          <cell r="C746">
            <v>3921200050</v>
          </cell>
          <cell r="D746" t="str">
            <v>SAFETY EQUIPMENT - SUPPLIES</v>
          </cell>
          <cell r="E746">
            <v>0</v>
          </cell>
          <cell r="F746">
            <v>0</v>
          </cell>
          <cell r="G746">
            <v>0</v>
          </cell>
          <cell r="H746">
            <v>0</v>
          </cell>
          <cell r="I746">
            <v>0</v>
          </cell>
          <cell r="J746">
            <v>0</v>
          </cell>
          <cell r="K746">
            <v>0</v>
          </cell>
          <cell r="L746">
            <v>0</v>
          </cell>
          <cell r="M746">
            <v>0</v>
          </cell>
          <cell r="N746">
            <v>0</v>
          </cell>
          <cell r="O746">
            <v>0</v>
          </cell>
          <cell r="P746">
            <v>0</v>
          </cell>
          <cell r="Q746">
            <v>0</v>
          </cell>
        </row>
        <row r="747">
          <cell r="A747" t="str">
            <v>USWOP015643921200050</v>
          </cell>
          <cell r="B747" t="str">
            <v>USWOP01564</v>
          </cell>
          <cell r="C747">
            <v>3921200050</v>
          </cell>
          <cell r="D747" t="str">
            <v>SAFETY EQUIPMENT - SUPPLIES</v>
          </cell>
          <cell r="E747">
            <v>0</v>
          </cell>
          <cell r="F747">
            <v>260</v>
          </cell>
          <cell r="G747">
            <v>2079</v>
          </cell>
          <cell r="H747">
            <v>0</v>
          </cell>
          <cell r="I747">
            <v>0</v>
          </cell>
          <cell r="J747">
            <v>0</v>
          </cell>
          <cell r="K747">
            <v>0</v>
          </cell>
          <cell r="L747">
            <v>0</v>
          </cell>
          <cell r="M747">
            <v>0</v>
          </cell>
          <cell r="N747">
            <v>0</v>
          </cell>
          <cell r="O747">
            <v>0</v>
          </cell>
          <cell r="P747">
            <v>0</v>
          </cell>
          <cell r="Q747">
            <v>2339</v>
          </cell>
        </row>
        <row r="748">
          <cell r="A748" t="str">
            <v>US22P015603921200051</v>
          </cell>
          <cell r="B748" t="str">
            <v>US22P01560</v>
          </cell>
          <cell r="C748">
            <v>3921200051</v>
          </cell>
          <cell r="D748" t="str">
            <v>PALLETS</v>
          </cell>
          <cell r="E748">
            <v>0</v>
          </cell>
          <cell r="F748">
            <v>0</v>
          </cell>
          <cell r="G748">
            <v>630</v>
          </cell>
          <cell r="H748">
            <v>0</v>
          </cell>
          <cell r="I748">
            <v>0</v>
          </cell>
          <cell r="J748">
            <v>0</v>
          </cell>
          <cell r="K748">
            <v>0</v>
          </cell>
          <cell r="L748">
            <v>0</v>
          </cell>
          <cell r="M748">
            <v>0</v>
          </cell>
          <cell r="N748">
            <v>0</v>
          </cell>
          <cell r="O748">
            <v>0</v>
          </cell>
          <cell r="P748">
            <v>0</v>
          </cell>
          <cell r="Q748">
            <v>630</v>
          </cell>
        </row>
        <row r="749">
          <cell r="A749" t="str">
            <v>US22MZA1503921200100</v>
          </cell>
          <cell r="B749" t="str">
            <v>US22MZA150</v>
          </cell>
          <cell r="C749">
            <v>3921200100</v>
          </cell>
          <cell r="D749" t="str">
            <v>FIELD &amp; PRODUCTION SUPPLIES</v>
          </cell>
          <cell r="E749">
            <v>0</v>
          </cell>
          <cell r="F749">
            <v>53</v>
          </cell>
          <cell r="G749">
            <v>0</v>
          </cell>
          <cell r="H749">
            <v>0</v>
          </cell>
          <cell r="I749">
            <v>0</v>
          </cell>
          <cell r="J749">
            <v>0</v>
          </cell>
          <cell r="K749">
            <v>0</v>
          </cell>
          <cell r="L749">
            <v>0</v>
          </cell>
          <cell r="M749">
            <v>0</v>
          </cell>
          <cell r="N749">
            <v>0</v>
          </cell>
          <cell r="O749">
            <v>0</v>
          </cell>
          <cell r="P749">
            <v>0</v>
          </cell>
          <cell r="Q749">
            <v>53</v>
          </cell>
        </row>
        <row r="750">
          <cell r="A750" t="str">
            <v>US22P015603921200100</v>
          </cell>
          <cell r="B750" t="str">
            <v>US22P01560</v>
          </cell>
          <cell r="C750">
            <v>3921200100</v>
          </cell>
          <cell r="D750" t="str">
            <v>FIELD &amp; PRODUCTION SUPPLIES</v>
          </cell>
          <cell r="E750">
            <v>5390</v>
          </cell>
          <cell r="F750">
            <v>14797</v>
          </cell>
          <cell r="G750">
            <v>123</v>
          </cell>
          <cell r="H750">
            <v>0</v>
          </cell>
          <cell r="I750">
            <v>0</v>
          </cell>
          <cell r="J750">
            <v>0</v>
          </cell>
          <cell r="K750">
            <v>0</v>
          </cell>
          <cell r="L750">
            <v>0</v>
          </cell>
          <cell r="M750">
            <v>0</v>
          </cell>
          <cell r="N750">
            <v>0</v>
          </cell>
          <cell r="O750">
            <v>0</v>
          </cell>
          <cell r="P750">
            <v>0</v>
          </cell>
          <cell r="Q750">
            <v>20310</v>
          </cell>
        </row>
        <row r="751">
          <cell r="A751" t="str">
            <v>US28MZA1503921200100</v>
          </cell>
          <cell r="B751" t="str">
            <v>US28MZA150</v>
          </cell>
          <cell r="C751">
            <v>3921200100</v>
          </cell>
          <cell r="D751" t="str">
            <v>FIELD &amp; PRODUCTION SUPPLIES</v>
          </cell>
          <cell r="E751">
            <v>433</v>
          </cell>
          <cell r="F751">
            <v>1408</v>
          </cell>
          <cell r="G751">
            <v>255</v>
          </cell>
          <cell r="H751">
            <v>0</v>
          </cell>
          <cell r="I751">
            <v>0</v>
          </cell>
          <cell r="J751">
            <v>0</v>
          </cell>
          <cell r="K751">
            <v>0</v>
          </cell>
          <cell r="L751">
            <v>0</v>
          </cell>
          <cell r="M751">
            <v>0</v>
          </cell>
          <cell r="N751">
            <v>0</v>
          </cell>
          <cell r="O751">
            <v>0</v>
          </cell>
          <cell r="P751">
            <v>0</v>
          </cell>
          <cell r="Q751">
            <v>2096</v>
          </cell>
        </row>
        <row r="752">
          <cell r="A752" t="str">
            <v>US28P015603921200100</v>
          </cell>
          <cell r="B752" t="str">
            <v>US28P01560</v>
          </cell>
          <cell r="C752">
            <v>3921200100</v>
          </cell>
          <cell r="D752" t="str">
            <v>FIELD &amp; PRODUCTION SUPPLIES</v>
          </cell>
          <cell r="E752">
            <v>1507</v>
          </cell>
          <cell r="F752">
            <v>4357</v>
          </cell>
          <cell r="G752">
            <v>589</v>
          </cell>
          <cell r="H752">
            <v>0</v>
          </cell>
          <cell r="I752">
            <v>0</v>
          </cell>
          <cell r="J752">
            <v>0</v>
          </cell>
          <cell r="K752">
            <v>0</v>
          </cell>
          <cell r="L752">
            <v>0</v>
          </cell>
          <cell r="M752">
            <v>0</v>
          </cell>
          <cell r="N752">
            <v>0</v>
          </cell>
          <cell r="O752">
            <v>0</v>
          </cell>
          <cell r="P752">
            <v>0</v>
          </cell>
          <cell r="Q752">
            <v>6453</v>
          </cell>
        </row>
        <row r="753">
          <cell r="A753" t="str">
            <v>US28P015903921200100</v>
          </cell>
          <cell r="B753" t="str">
            <v>US28P01590</v>
          </cell>
          <cell r="C753">
            <v>3921200100</v>
          </cell>
          <cell r="D753" t="str">
            <v>FIELD &amp; PRODUCTION SUPPLIES</v>
          </cell>
          <cell r="E753">
            <v>0</v>
          </cell>
          <cell r="F753">
            <v>0</v>
          </cell>
          <cell r="G753">
            <v>-4728</v>
          </cell>
          <cell r="H753">
            <v>0</v>
          </cell>
          <cell r="I753">
            <v>0</v>
          </cell>
          <cell r="J753">
            <v>0</v>
          </cell>
          <cell r="K753">
            <v>0</v>
          </cell>
          <cell r="L753">
            <v>0</v>
          </cell>
          <cell r="M753">
            <v>0</v>
          </cell>
          <cell r="N753">
            <v>0</v>
          </cell>
          <cell r="O753">
            <v>0</v>
          </cell>
          <cell r="P753">
            <v>0</v>
          </cell>
          <cell r="Q753">
            <v>-4728</v>
          </cell>
        </row>
        <row r="754">
          <cell r="A754" t="str">
            <v>US35MZA1503921200100</v>
          </cell>
          <cell r="B754" t="str">
            <v>US35MZA150</v>
          </cell>
          <cell r="C754">
            <v>3921200100</v>
          </cell>
          <cell r="D754" t="str">
            <v>FIELD &amp; PRODUCTION SUPPLIES</v>
          </cell>
          <cell r="E754">
            <v>4357</v>
          </cell>
          <cell r="F754">
            <v>0</v>
          </cell>
          <cell r="G754">
            <v>470</v>
          </cell>
          <cell r="H754">
            <v>0</v>
          </cell>
          <cell r="I754">
            <v>0</v>
          </cell>
          <cell r="J754">
            <v>0</v>
          </cell>
          <cell r="K754">
            <v>0</v>
          </cell>
          <cell r="L754">
            <v>0</v>
          </cell>
          <cell r="M754">
            <v>0</v>
          </cell>
          <cell r="N754">
            <v>0</v>
          </cell>
          <cell r="O754">
            <v>0</v>
          </cell>
          <cell r="P754">
            <v>0</v>
          </cell>
          <cell r="Q754">
            <v>4827</v>
          </cell>
        </row>
        <row r="755">
          <cell r="A755" t="str">
            <v>US35P015603921200100</v>
          </cell>
          <cell r="B755" t="str">
            <v>US35P01560</v>
          </cell>
          <cell r="C755">
            <v>3921200100</v>
          </cell>
          <cell r="D755" t="str">
            <v>FIELD &amp; PRODUCTION SUPPLIES</v>
          </cell>
          <cell r="E755">
            <v>0</v>
          </cell>
          <cell r="F755">
            <v>1346</v>
          </cell>
          <cell r="G755">
            <v>148</v>
          </cell>
          <cell r="H755">
            <v>0</v>
          </cell>
          <cell r="I755">
            <v>0</v>
          </cell>
          <cell r="J755">
            <v>0</v>
          </cell>
          <cell r="K755">
            <v>0</v>
          </cell>
          <cell r="L755">
            <v>0</v>
          </cell>
          <cell r="M755">
            <v>0</v>
          </cell>
          <cell r="N755">
            <v>0</v>
          </cell>
          <cell r="O755">
            <v>0</v>
          </cell>
          <cell r="P755">
            <v>0</v>
          </cell>
          <cell r="Q755">
            <v>1494</v>
          </cell>
        </row>
        <row r="756">
          <cell r="A756" t="str">
            <v>US59P015533921200100</v>
          </cell>
          <cell r="B756" t="str">
            <v>US59P01553</v>
          </cell>
          <cell r="C756">
            <v>3921200100</v>
          </cell>
          <cell r="D756" t="str">
            <v>FIELD &amp; PRODUCTION SUPPLIES</v>
          </cell>
          <cell r="E756">
            <v>0</v>
          </cell>
          <cell r="F756">
            <v>1875</v>
          </cell>
          <cell r="G756">
            <v>0</v>
          </cell>
          <cell r="H756">
            <v>0</v>
          </cell>
          <cell r="I756">
            <v>0</v>
          </cell>
          <cell r="J756">
            <v>0</v>
          </cell>
          <cell r="K756">
            <v>0</v>
          </cell>
          <cell r="L756">
            <v>0</v>
          </cell>
          <cell r="M756">
            <v>0</v>
          </cell>
          <cell r="N756">
            <v>0</v>
          </cell>
          <cell r="O756">
            <v>0</v>
          </cell>
          <cell r="P756">
            <v>0</v>
          </cell>
          <cell r="Q756">
            <v>1875</v>
          </cell>
        </row>
        <row r="757">
          <cell r="A757" t="str">
            <v>US59P015603921200100</v>
          </cell>
          <cell r="B757" t="str">
            <v>US59P01560</v>
          </cell>
          <cell r="C757">
            <v>3921200100</v>
          </cell>
          <cell r="D757" t="str">
            <v>FIELD &amp; PRODUCTION SUPPLIES</v>
          </cell>
          <cell r="E757">
            <v>0</v>
          </cell>
          <cell r="F757">
            <v>0</v>
          </cell>
          <cell r="G757">
            <v>-156</v>
          </cell>
          <cell r="H757">
            <v>0</v>
          </cell>
          <cell r="I757">
            <v>0</v>
          </cell>
          <cell r="J757">
            <v>0</v>
          </cell>
          <cell r="K757">
            <v>0</v>
          </cell>
          <cell r="L757">
            <v>0</v>
          </cell>
          <cell r="M757">
            <v>0</v>
          </cell>
          <cell r="N757">
            <v>0</v>
          </cell>
          <cell r="O757">
            <v>0</v>
          </cell>
          <cell r="P757">
            <v>0</v>
          </cell>
          <cell r="Q757">
            <v>-156</v>
          </cell>
        </row>
        <row r="758">
          <cell r="A758" t="str">
            <v>US59P3C5013921200100</v>
          </cell>
          <cell r="B758" t="str">
            <v>US59P3C501</v>
          </cell>
          <cell r="C758">
            <v>3921200100</v>
          </cell>
          <cell r="D758" t="str">
            <v>FIELD &amp; PRODUCTION SUPPLIES</v>
          </cell>
          <cell r="E758">
            <v>8</v>
          </cell>
          <cell r="F758">
            <v>8</v>
          </cell>
          <cell r="G758">
            <v>94</v>
          </cell>
          <cell r="H758">
            <v>0</v>
          </cell>
          <cell r="I758">
            <v>0</v>
          </cell>
          <cell r="J758">
            <v>0</v>
          </cell>
          <cell r="K758">
            <v>0</v>
          </cell>
          <cell r="L758">
            <v>0</v>
          </cell>
          <cell r="M758">
            <v>0</v>
          </cell>
          <cell r="N758">
            <v>0</v>
          </cell>
          <cell r="O758">
            <v>0</v>
          </cell>
          <cell r="P758">
            <v>0</v>
          </cell>
          <cell r="Q758">
            <v>110</v>
          </cell>
        </row>
        <row r="759">
          <cell r="A759" t="str">
            <v>US59P3C5603921200100</v>
          </cell>
          <cell r="B759" t="str">
            <v>US59P3C560</v>
          </cell>
          <cell r="C759">
            <v>3921200100</v>
          </cell>
          <cell r="D759" t="str">
            <v>FIELD &amp; PRODUCTION SUPPLIES</v>
          </cell>
          <cell r="E759">
            <v>0</v>
          </cell>
          <cell r="F759">
            <v>256</v>
          </cell>
          <cell r="G759">
            <v>-516</v>
          </cell>
          <cell r="H759">
            <v>0</v>
          </cell>
          <cell r="I759">
            <v>0</v>
          </cell>
          <cell r="J759">
            <v>0</v>
          </cell>
          <cell r="K759">
            <v>0</v>
          </cell>
          <cell r="L759">
            <v>0</v>
          </cell>
          <cell r="M759">
            <v>0</v>
          </cell>
          <cell r="N759">
            <v>0</v>
          </cell>
          <cell r="O759">
            <v>0</v>
          </cell>
          <cell r="P759">
            <v>0</v>
          </cell>
          <cell r="Q759">
            <v>-260</v>
          </cell>
        </row>
        <row r="760">
          <cell r="A760" t="str">
            <v>USCRMZA1503921200100</v>
          </cell>
          <cell r="B760" t="str">
            <v>USCRMZA150</v>
          </cell>
          <cell r="C760">
            <v>3921200100</v>
          </cell>
          <cell r="D760" t="str">
            <v>FIELD &amp; PRODUCTION SUPPLIES</v>
          </cell>
          <cell r="E760">
            <v>1486</v>
          </cell>
          <cell r="F760">
            <v>0</v>
          </cell>
          <cell r="G760">
            <v>50</v>
          </cell>
          <cell r="H760">
            <v>0</v>
          </cell>
          <cell r="I760">
            <v>0</v>
          </cell>
          <cell r="J760">
            <v>0</v>
          </cell>
          <cell r="K760">
            <v>0</v>
          </cell>
          <cell r="L760">
            <v>0</v>
          </cell>
          <cell r="M760">
            <v>0</v>
          </cell>
          <cell r="N760">
            <v>0</v>
          </cell>
          <cell r="O760">
            <v>0</v>
          </cell>
          <cell r="P760">
            <v>0</v>
          </cell>
          <cell r="Q760">
            <v>1536</v>
          </cell>
        </row>
        <row r="761">
          <cell r="A761" t="str">
            <v>USCRP015603921200100</v>
          </cell>
          <cell r="B761" t="str">
            <v>USCRP01560</v>
          </cell>
          <cell r="C761">
            <v>3921200100</v>
          </cell>
          <cell r="D761" t="str">
            <v>FIELD &amp; PRODUCTION SUPPLIES</v>
          </cell>
          <cell r="E761">
            <v>1546</v>
          </cell>
          <cell r="F761">
            <v>1136</v>
          </cell>
          <cell r="G761">
            <v>48</v>
          </cell>
          <cell r="H761">
            <v>0</v>
          </cell>
          <cell r="I761">
            <v>0</v>
          </cell>
          <cell r="J761">
            <v>0</v>
          </cell>
          <cell r="K761">
            <v>0</v>
          </cell>
          <cell r="L761">
            <v>0</v>
          </cell>
          <cell r="M761">
            <v>0</v>
          </cell>
          <cell r="N761">
            <v>0</v>
          </cell>
          <cell r="O761">
            <v>0</v>
          </cell>
          <cell r="P761">
            <v>0</v>
          </cell>
          <cell r="Q761">
            <v>2730</v>
          </cell>
        </row>
        <row r="762">
          <cell r="A762" t="str">
            <v>USWOMZA1503921200100</v>
          </cell>
          <cell r="B762" t="str">
            <v>USWOMZA150</v>
          </cell>
          <cell r="C762">
            <v>3921200100</v>
          </cell>
          <cell r="D762" t="str">
            <v>FIELD &amp; PRODUCTION SUPPLIES</v>
          </cell>
          <cell r="E762">
            <v>0</v>
          </cell>
          <cell r="F762">
            <v>0</v>
          </cell>
          <cell r="G762">
            <v>0</v>
          </cell>
          <cell r="H762">
            <v>0</v>
          </cell>
          <cell r="I762">
            <v>0</v>
          </cell>
          <cell r="J762">
            <v>0</v>
          </cell>
          <cell r="K762">
            <v>0</v>
          </cell>
          <cell r="L762">
            <v>0</v>
          </cell>
          <cell r="M762">
            <v>0</v>
          </cell>
          <cell r="N762">
            <v>0</v>
          </cell>
          <cell r="O762">
            <v>0</v>
          </cell>
          <cell r="P762">
            <v>0</v>
          </cell>
          <cell r="Q762">
            <v>0</v>
          </cell>
        </row>
        <row r="763">
          <cell r="A763" t="str">
            <v>USWOP015503921200100</v>
          </cell>
          <cell r="B763" t="str">
            <v>USWOP01550</v>
          </cell>
          <cell r="C763">
            <v>3921200100</v>
          </cell>
          <cell r="D763" t="str">
            <v>FIELD &amp; PRODUCTION SUPPLIES</v>
          </cell>
          <cell r="E763">
            <v>0</v>
          </cell>
          <cell r="F763">
            <v>0</v>
          </cell>
          <cell r="G763">
            <v>0</v>
          </cell>
          <cell r="H763">
            <v>0</v>
          </cell>
          <cell r="I763">
            <v>0</v>
          </cell>
          <cell r="J763">
            <v>0</v>
          </cell>
          <cell r="K763">
            <v>0</v>
          </cell>
          <cell r="L763">
            <v>0</v>
          </cell>
          <cell r="M763">
            <v>0</v>
          </cell>
          <cell r="N763">
            <v>0</v>
          </cell>
          <cell r="O763">
            <v>0</v>
          </cell>
          <cell r="P763">
            <v>0</v>
          </cell>
          <cell r="Q763">
            <v>0</v>
          </cell>
        </row>
        <row r="764">
          <cell r="A764" t="str">
            <v>USWOP015603921200100</v>
          </cell>
          <cell r="B764" t="str">
            <v>USWOP01560</v>
          </cell>
          <cell r="C764">
            <v>3921200100</v>
          </cell>
          <cell r="D764" t="str">
            <v>FIELD &amp; PRODUCTION SUPPLIES</v>
          </cell>
          <cell r="E764">
            <v>0</v>
          </cell>
          <cell r="F764">
            <v>1768</v>
          </cell>
          <cell r="G764">
            <v>664</v>
          </cell>
          <cell r="H764">
            <v>0</v>
          </cell>
          <cell r="I764">
            <v>0</v>
          </cell>
          <cell r="J764">
            <v>0</v>
          </cell>
          <cell r="K764">
            <v>0</v>
          </cell>
          <cell r="L764">
            <v>0</v>
          </cell>
          <cell r="M764">
            <v>0</v>
          </cell>
          <cell r="N764">
            <v>0</v>
          </cell>
          <cell r="O764">
            <v>0</v>
          </cell>
          <cell r="P764">
            <v>0</v>
          </cell>
          <cell r="Q764">
            <v>2432</v>
          </cell>
        </row>
        <row r="765">
          <cell r="A765" t="str">
            <v>US35MZA1503941100001</v>
          </cell>
          <cell r="B765" t="str">
            <v>US35MZA150</v>
          </cell>
          <cell r="C765">
            <v>3941100001</v>
          </cell>
          <cell r="D765" t="str">
            <v>FREIGHT ON SALES</v>
          </cell>
          <cell r="E765">
            <v>81669</v>
          </cell>
          <cell r="F765">
            <v>30954</v>
          </cell>
          <cell r="G765">
            <v>16173</v>
          </cell>
          <cell r="H765">
            <v>0</v>
          </cell>
          <cell r="I765">
            <v>0</v>
          </cell>
          <cell r="J765">
            <v>0</v>
          </cell>
          <cell r="K765">
            <v>0</v>
          </cell>
          <cell r="L765">
            <v>0</v>
          </cell>
          <cell r="M765">
            <v>0</v>
          </cell>
          <cell r="N765">
            <v>0</v>
          </cell>
          <cell r="O765">
            <v>0</v>
          </cell>
          <cell r="P765">
            <v>0</v>
          </cell>
          <cell r="Q765">
            <v>128796</v>
          </cell>
        </row>
        <row r="766">
          <cell r="A766" t="str">
            <v>USCRMZA1503941100001</v>
          </cell>
          <cell r="B766" t="str">
            <v>USCRMZA150</v>
          </cell>
          <cell r="C766">
            <v>3941100001</v>
          </cell>
          <cell r="D766" t="str">
            <v>FREIGHT ON SALES</v>
          </cell>
          <cell r="E766">
            <v>7225</v>
          </cell>
          <cell r="F766">
            <v>0</v>
          </cell>
          <cell r="G766">
            <v>0</v>
          </cell>
          <cell r="H766">
            <v>0</v>
          </cell>
          <cell r="I766">
            <v>0</v>
          </cell>
          <cell r="J766">
            <v>0</v>
          </cell>
          <cell r="K766">
            <v>0</v>
          </cell>
          <cell r="L766">
            <v>0</v>
          </cell>
          <cell r="M766">
            <v>0</v>
          </cell>
          <cell r="N766">
            <v>0</v>
          </cell>
          <cell r="O766">
            <v>0</v>
          </cell>
          <cell r="P766">
            <v>0</v>
          </cell>
          <cell r="Q766">
            <v>7225</v>
          </cell>
        </row>
        <row r="767">
          <cell r="A767" t="str">
            <v>US22MZA1503941100002</v>
          </cell>
          <cell r="B767" t="str">
            <v>US22MZA150</v>
          </cell>
          <cell r="C767">
            <v>3941100002</v>
          </cell>
          <cell r="D767" t="str">
            <v>FREIGHT BETWEEN PLANTS</v>
          </cell>
          <cell r="E767">
            <v>4692</v>
          </cell>
          <cell r="F767">
            <v>6281</v>
          </cell>
          <cell r="G767">
            <v>580</v>
          </cell>
          <cell r="H767">
            <v>0</v>
          </cell>
          <cell r="I767">
            <v>0</v>
          </cell>
          <cell r="J767">
            <v>0</v>
          </cell>
          <cell r="K767">
            <v>0</v>
          </cell>
          <cell r="L767">
            <v>0</v>
          </cell>
          <cell r="M767">
            <v>0</v>
          </cell>
          <cell r="N767">
            <v>0</v>
          </cell>
          <cell r="O767">
            <v>0</v>
          </cell>
          <cell r="P767">
            <v>0</v>
          </cell>
          <cell r="Q767">
            <v>11553</v>
          </cell>
        </row>
        <row r="768">
          <cell r="A768" t="str">
            <v>US28MZA1503941100002</v>
          </cell>
          <cell r="B768" t="str">
            <v>US28MZA150</v>
          </cell>
          <cell r="C768">
            <v>3941100002</v>
          </cell>
          <cell r="D768" t="str">
            <v>FREIGHT BETWEEN PLANTS</v>
          </cell>
          <cell r="E768">
            <v>0</v>
          </cell>
          <cell r="F768">
            <v>0</v>
          </cell>
          <cell r="G768">
            <v>71</v>
          </cell>
          <cell r="H768">
            <v>0</v>
          </cell>
          <cell r="I768">
            <v>0</v>
          </cell>
          <cell r="J768">
            <v>0</v>
          </cell>
          <cell r="K768">
            <v>0</v>
          </cell>
          <cell r="L768">
            <v>0</v>
          </cell>
          <cell r="M768">
            <v>0</v>
          </cell>
          <cell r="N768">
            <v>0</v>
          </cell>
          <cell r="O768">
            <v>0</v>
          </cell>
          <cell r="P768">
            <v>0</v>
          </cell>
          <cell r="Q768">
            <v>71</v>
          </cell>
        </row>
        <row r="769">
          <cell r="A769" t="str">
            <v>US28P015503941100002</v>
          </cell>
          <cell r="B769" t="str">
            <v>US28P01550</v>
          </cell>
          <cell r="C769">
            <v>3941100002</v>
          </cell>
          <cell r="D769" t="str">
            <v>FREIGHT BETWEEN PLANTS</v>
          </cell>
          <cell r="E769">
            <v>2490</v>
          </cell>
          <cell r="F769">
            <v>1245</v>
          </cell>
          <cell r="G769">
            <v>0</v>
          </cell>
          <cell r="H769">
            <v>0</v>
          </cell>
          <cell r="I769">
            <v>0</v>
          </cell>
          <cell r="J769">
            <v>0</v>
          </cell>
          <cell r="K769">
            <v>0</v>
          </cell>
          <cell r="L769">
            <v>0</v>
          </cell>
          <cell r="M769">
            <v>0</v>
          </cell>
          <cell r="N769">
            <v>0</v>
          </cell>
          <cell r="O769">
            <v>0</v>
          </cell>
          <cell r="P769">
            <v>0</v>
          </cell>
          <cell r="Q769">
            <v>3735</v>
          </cell>
        </row>
        <row r="770">
          <cell r="A770" t="str">
            <v>US35MZA1503941100002</v>
          </cell>
          <cell r="B770" t="str">
            <v>US35MZA150</v>
          </cell>
          <cell r="C770">
            <v>3941100002</v>
          </cell>
          <cell r="D770" t="str">
            <v>FREIGHT BETWEEN PLANTS</v>
          </cell>
          <cell r="E770">
            <v>0</v>
          </cell>
          <cell r="F770">
            <v>6315</v>
          </cell>
          <cell r="G770">
            <v>14963</v>
          </cell>
          <cell r="H770">
            <v>0</v>
          </cell>
          <cell r="I770">
            <v>0</v>
          </cell>
          <cell r="J770">
            <v>0</v>
          </cell>
          <cell r="K770">
            <v>0</v>
          </cell>
          <cell r="L770">
            <v>0</v>
          </cell>
          <cell r="M770">
            <v>0</v>
          </cell>
          <cell r="N770">
            <v>0</v>
          </cell>
          <cell r="O770">
            <v>0</v>
          </cell>
          <cell r="P770">
            <v>0</v>
          </cell>
          <cell r="Q770">
            <v>21278</v>
          </cell>
        </row>
        <row r="771">
          <cell r="A771" t="str">
            <v>US59P015503941100002</v>
          </cell>
          <cell r="B771" t="str">
            <v>US59P01550</v>
          </cell>
          <cell r="C771">
            <v>3941100002</v>
          </cell>
          <cell r="D771" t="str">
            <v>FREIGHT BETWEEN PLANTS</v>
          </cell>
          <cell r="E771">
            <v>0</v>
          </cell>
          <cell r="F771">
            <v>15566</v>
          </cell>
          <cell r="G771">
            <v>26591</v>
          </cell>
          <cell r="H771">
            <v>0</v>
          </cell>
          <cell r="I771">
            <v>0</v>
          </cell>
          <cell r="J771">
            <v>0</v>
          </cell>
          <cell r="K771">
            <v>0</v>
          </cell>
          <cell r="L771">
            <v>0</v>
          </cell>
          <cell r="M771">
            <v>0</v>
          </cell>
          <cell r="N771">
            <v>0</v>
          </cell>
          <cell r="O771">
            <v>0</v>
          </cell>
          <cell r="P771">
            <v>0</v>
          </cell>
          <cell r="Q771">
            <v>42157</v>
          </cell>
        </row>
        <row r="772">
          <cell r="A772" t="str">
            <v>US59P015603941100002</v>
          </cell>
          <cell r="B772" t="str">
            <v>US59P01560</v>
          </cell>
          <cell r="C772">
            <v>3941100002</v>
          </cell>
          <cell r="D772" t="str">
            <v>FREIGHT BETWEEN PLANTS</v>
          </cell>
          <cell r="E772">
            <v>6238</v>
          </cell>
          <cell r="F772">
            <v>4631</v>
          </cell>
          <cell r="G772">
            <v>0</v>
          </cell>
          <cell r="H772">
            <v>0</v>
          </cell>
          <cell r="I772">
            <v>0</v>
          </cell>
          <cell r="J772">
            <v>0</v>
          </cell>
          <cell r="K772">
            <v>0</v>
          </cell>
          <cell r="L772">
            <v>0</v>
          </cell>
          <cell r="M772">
            <v>0</v>
          </cell>
          <cell r="N772">
            <v>0</v>
          </cell>
          <cell r="O772">
            <v>0</v>
          </cell>
          <cell r="P772">
            <v>0</v>
          </cell>
          <cell r="Q772">
            <v>10869</v>
          </cell>
        </row>
        <row r="773">
          <cell r="A773" t="str">
            <v>US59P3C5603941100002</v>
          </cell>
          <cell r="B773" t="str">
            <v>US59P3C560</v>
          </cell>
          <cell r="C773">
            <v>3941100002</v>
          </cell>
          <cell r="D773" t="str">
            <v>FREIGHT BETWEEN PLANTS</v>
          </cell>
          <cell r="E773">
            <v>0</v>
          </cell>
          <cell r="F773">
            <v>2949</v>
          </cell>
          <cell r="G773">
            <v>2431</v>
          </cell>
          <cell r="H773">
            <v>0</v>
          </cell>
          <cell r="I773">
            <v>0</v>
          </cell>
          <cell r="J773">
            <v>0</v>
          </cell>
          <cell r="K773">
            <v>0</v>
          </cell>
          <cell r="L773">
            <v>0</v>
          </cell>
          <cell r="M773">
            <v>0</v>
          </cell>
          <cell r="N773">
            <v>0</v>
          </cell>
          <cell r="O773">
            <v>0</v>
          </cell>
          <cell r="P773">
            <v>0</v>
          </cell>
          <cell r="Q773">
            <v>5380</v>
          </cell>
        </row>
        <row r="774">
          <cell r="A774" t="str">
            <v>USCRMZA1503941100002</v>
          </cell>
          <cell r="B774" t="str">
            <v>USCRMZA150</v>
          </cell>
          <cell r="C774">
            <v>3941100002</v>
          </cell>
          <cell r="D774" t="str">
            <v>FREIGHT BETWEEN PLANTS</v>
          </cell>
          <cell r="E774">
            <v>698</v>
          </cell>
          <cell r="F774">
            <v>325</v>
          </cell>
          <cell r="G774">
            <v>0</v>
          </cell>
          <cell r="H774">
            <v>0</v>
          </cell>
          <cell r="I774">
            <v>0</v>
          </cell>
          <cell r="J774">
            <v>0</v>
          </cell>
          <cell r="K774">
            <v>0</v>
          </cell>
          <cell r="L774">
            <v>0</v>
          </cell>
          <cell r="M774">
            <v>0</v>
          </cell>
          <cell r="N774">
            <v>0</v>
          </cell>
          <cell r="O774">
            <v>0</v>
          </cell>
          <cell r="P774">
            <v>0</v>
          </cell>
          <cell r="Q774">
            <v>1023</v>
          </cell>
        </row>
        <row r="775">
          <cell r="A775" t="str">
            <v>US28MZA1503941100013</v>
          </cell>
          <cell r="B775" t="str">
            <v>US28MZA150</v>
          </cell>
          <cell r="C775">
            <v>3941100013</v>
          </cell>
          <cell r="D775" t="str">
            <v>FREIGHT IN</v>
          </cell>
          <cell r="E775">
            <v>768</v>
          </cell>
          <cell r="F775">
            <v>0</v>
          </cell>
          <cell r="G775">
            <v>915</v>
          </cell>
          <cell r="H775">
            <v>0</v>
          </cell>
          <cell r="I775">
            <v>0</v>
          </cell>
          <cell r="J775">
            <v>0</v>
          </cell>
          <cell r="K775">
            <v>0</v>
          </cell>
          <cell r="L775">
            <v>0</v>
          </cell>
          <cell r="M775">
            <v>0</v>
          </cell>
          <cell r="N775">
            <v>0</v>
          </cell>
          <cell r="O775">
            <v>0</v>
          </cell>
          <cell r="P775">
            <v>0</v>
          </cell>
          <cell r="Q775">
            <v>1683</v>
          </cell>
        </row>
        <row r="776">
          <cell r="A776" t="str">
            <v>US35MZA1503941100013</v>
          </cell>
          <cell r="B776" t="str">
            <v>US35MZA150</v>
          </cell>
          <cell r="C776">
            <v>3941100013</v>
          </cell>
          <cell r="D776" t="str">
            <v>FREIGHT IN</v>
          </cell>
          <cell r="E776">
            <v>0</v>
          </cell>
          <cell r="F776">
            <v>1000</v>
          </cell>
          <cell r="G776">
            <v>0</v>
          </cell>
          <cell r="H776">
            <v>0</v>
          </cell>
          <cell r="I776">
            <v>0</v>
          </cell>
          <cell r="J776">
            <v>0</v>
          </cell>
          <cell r="K776">
            <v>0</v>
          </cell>
          <cell r="L776">
            <v>0</v>
          </cell>
          <cell r="M776">
            <v>0</v>
          </cell>
          <cell r="N776">
            <v>0</v>
          </cell>
          <cell r="O776">
            <v>0</v>
          </cell>
          <cell r="P776">
            <v>0</v>
          </cell>
          <cell r="Q776">
            <v>1000</v>
          </cell>
        </row>
        <row r="777">
          <cell r="A777" t="str">
            <v>US59P015603941100013</v>
          </cell>
          <cell r="B777" t="str">
            <v>US59P01560</v>
          </cell>
          <cell r="C777">
            <v>3941100013</v>
          </cell>
          <cell r="D777" t="str">
            <v>FREIGHT IN</v>
          </cell>
          <cell r="E777">
            <v>0</v>
          </cell>
          <cell r="F777">
            <v>0</v>
          </cell>
          <cell r="G777">
            <v>11733</v>
          </cell>
          <cell r="H777">
            <v>0</v>
          </cell>
          <cell r="I777">
            <v>0</v>
          </cell>
          <cell r="J777">
            <v>0</v>
          </cell>
          <cell r="K777">
            <v>0</v>
          </cell>
          <cell r="L777">
            <v>0</v>
          </cell>
          <cell r="M777">
            <v>0</v>
          </cell>
          <cell r="N777">
            <v>0</v>
          </cell>
          <cell r="O777">
            <v>0</v>
          </cell>
          <cell r="P777">
            <v>0</v>
          </cell>
          <cell r="Q777">
            <v>11733</v>
          </cell>
        </row>
        <row r="778">
          <cell r="A778" t="str">
            <v>US59P3C5503941100013</v>
          </cell>
          <cell r="B778" t="str">
            <v>US59P3C550</v>
          </cell>
          <cell r="C778">
            <v>3941100013</v>
          </cell>
          <cell r="D778" t="str">
            <v>FREIGHT IN</v>
          </cell>
          <cell r="E778">
            <v>30080</v>
          </cell>
          <cell r="F778">
            <v>33163</v>
          </cell>
          <cell r="G778">
            <v>14384</v>
          </cell>
          <cell r="H778">
            <v>0</v>
          </cell>
          <cell r="I778">
            <v>0</v>
          </cell>
          <cell r="J778">
            <v>0</v>
          </cell>
          <cell r="K778">
            <v>0</v>
          </cell>
          <cell r="L778">
            <v>0</v>
          </cell>
          <cell r="M778">
            <v>0</v>
          </cell>
          <cell r="N778">
            <v>0</v>
          </cell>
          <cell r="O778">
            <v>0</v>
          </cell>
          <cell r="P778">
            <v>0</v>
          </cell>
          <cell r="Q778">
            <v>77627</v>
          </cell>
        </row>
        <row r="779">
          <cell r="A779" t="str">
            <v>US59P3C5603941100013</v>
          </cell>
          <cell r="B779" t="str">
            <v>US59P3C560</v>
          </cell>
          <cell r="C779">
            <v>3941100013</v>
          </cell>
          <cell r="D779" t="str">
            <v>FREIGHT IN</v>
          </cell>
          <cell r="E779">
            <v>506</v>
          </cell>
          <cell r="F779">
            <v>0</v>
          </cell>
          <cell r="G779">
            <v>0</v>
          </cell>
          <cell r="H779">
            <v>0</v>
          </cell>
          <cell r="I779">
            <v>0</v>
          </cell>
          <cell r="J779">
            <v>0</v>
          </cell>
          <cell r="K779">
            <v>0</v>
          </cell>
          <cell r="L779">
            <v>0</v>
          </cell>
          <cell r="M779">
            <v>0</v>
          </cell>
          <cell r="N779">
            <v>0</v>
          </cell>
          <cell r="O779">
            <v>0</v>
          </cell>
          <cell r="P779">
            <v>0</v>
          </cell>
          <cell r="Q779">
            <v>506</v>
          </cell>
        </row>
        <row r="780">
          <cell r="A780" t="str">
            <v>USCLMZA1503941100013</v>
          </cell>
          <cell r="B780" t="str">
            <v>USCLMZA150</v>
          </cell>
          <cell r="C780">
            <v>3941100013</v>
          </cell>
          <cell r="D780" t="str">
            <v>FREIGHT IN</v>
          </cell>
          <cell r="E780">
            <v>4616</v>
          </cell>
          <cell r="F780">
            <v>0</v>
          </cell>
          <cell r="G780">
            <v>0</v>
          </cell>
          <cell r="H780">
            <v>0</v>
          </cell>
          <cell r="I780">
            <v>0</v>
          </cell>
          <cell r="J780">
            <v>0</v>
          </cell>
          <cell r="K780">
            <v>0</v>
          </cell>
          <cell r="L780">
            <v>0</v>
          </cell>
          <cell r="M780">
            <v>0</v>
          </cell>
          <cell r="N780">
            <v>0</v>
          </cell>
          <cell r="O780">
            <v>0</v>
          </cell>
          <cell r="P780">
            <v>0</v>
          </cell>
          <cell r="Q780">
            <v>4616</v>
          </cell>
        </row>
        <row r="781">
          <cell r="A781" t="str">
            <v>USCRMZA1503941100013</v>
          </cell>
          <cell r="B781" t="str">
            <v>USCRMZA150</v>
          </cell>
          <cell r="C781">
            <v>3941100013</v>
          </cell>
          <cell r="D781" t="str">
            <v>FREIGHT IN</v>
          </cell>
          <cell r="E781">
            <v>2616</v>
          </cell>
          <cell r="F781">
            <v>4831</v>
          </cell>
          <cell r="G781">
            <v>2218</v>
          </cell>
          <cell r="H781">
            <v>0</v>
          </cell>
          <cell r="I781">
            <v>0</v>
          </cell>
          <cell r="J781">
            <v>0</v>
          </cell>
          <cell r="K781">
            <v>0</v>
          </cell>
          <cell r="L781">
            <v>0</v>
          </cell>
          <cell r="M781">
            <v>0</v>
          </cell>
          <cell r="N781">
            <v>0</v>
          </cell>
          <cell r="O781">
            <v>0</v>
          </cell>
          <cell r="P781">
            <v>0</v>
          </cell>
          <cell r="Q781">
            <v>9665</v>
          </cell>
        </row>
        <row r="782">
          <cell r="A782" t="str">
            <v>USWOMZA1503941100013</v>
          </cell>
          <cell r="B782" t="str">
            <v>USWOMZA150</v>
          </cell>
          <cell r="C782">
            <v>3941100013</v>
          </cell>
          <cell r="D782" t="str">
            <v>FREIGHT IN</v>
          </cell>
          <cell r="E782">
            <v>0</v>
          </cell>
          <cell r="F782">
            <v>0</v>
          </cell>
          <cell r="G782">
            <v>1714</v>
          </cell>
          <cell r="H782">
            <v>0</v>
          </cell>
          <cell r="I782">
            <v>0</v>
          </cell>
          <cell r="J782">
            <v>0</v>
          </cell>
          <cell r="K782">
            <v>0</v>
          </cell>
          <cell r="L782">
            <v>0</v>
          </cell>
          <cell r="M782">
            <v>0</v>
          </cell>
          <cell r="N782">
            <v>0</v>
          </cell>
          <cell r="O782">
            <v>0</v>
          </cell>
          <cell r="P782">
            <v>0</v>
          </cell>
          <cell r="Q782">
            <v>1714</v>
          </cell>
        </row>
        <row r="783">
          <cell r="A783" t="str">
            <v>US28P015603941200000</v>
          </cell>
          <cell r="B783" t="str">
            <v>US28P01560</v>
          </cell>
          <cell r="C783">
            <v>3941200000</v>
          </cell>
          <cell r="D783" t="str">
            <v>PACKING MATERIAL (FOR DISPATCH)</v>
          </cell>
          <cell r="E783">
            <v>0</v>
          </cell>
          <cell r="F783">
            <v>0</v>
          </cell>
          <cell r="G783">
            <v>2350</v>
          </cell>
          <cell r="H783">
            <v>0</v>
          </cell>
          <cell r="I783">
            <v>0</v>
          </cell>
          <cell r="J783">
            <v>0</v>
          </cell>
          <cell r="K783">
            <v>0</v>
          </cell>
          <cell r="L783">
            <v>0</v>
          </cell>
          <cell r="M783">
            <v>0</v>
          </cell>
          <cell r="N783">
            <v>0</v>
          </cell>
          <cell r="O783">
            <v>0</v>
          </cell>
          <cell r="P783">
            <v>0</v>
          </cell>
          <cell r="Q783">
            <v>2350</v>
          </cell>
        </row>
        <row r="784">
          <cell r="A784" t="str">
            <v>US22MZA1503951100002</v>
          </cell>
          <cell r="B784" t="str">
            <v>US22MZA150</v>
          </cell>
          <cell r="C784">
            <v>3951100002</v>
          </cell>
          <cell r="D784" t="str">
            <v>RENTALS - REAL ESTATE</v>
          </cell>
          <cell r="E784">
            <v>24500</v>
          </cell>
          <cell r="F784">
            <v>24500</v>
          </cell>
          <cell r="G784">
            <v>24500</v>
          </cell>
          <cell r="H784">
            <v>0</v>
          </cell>
          <cell r="I784">
            <v>0</v>
          </cell>
          <cell r="J784">
            <v>0</v>
          </cell>
          <cell r="K784">
            <v>0</v>
          </cell>
          <cell r="L784">
            <v>0</v>
          </cell>
          <cell r="M784">
            <v>0</v>
          </cell>
          <cell r="N784">
            <v>0</v>
          </cell>
          <cell r="O784">
            <v>0</v>
          </cell>
          <cell r="P784">
            <v>0</v>
          </cell>
          <cell r="Q784">
            <v>73500</v>
          </cell>
        </row>
        <row r="785">
          <cell r="A785" t="str">
            <v>US22P015503951100002</v>
          </cell>
          <cell r="B785" t="str">
            <v>US22P01550</v>
          </cell>
          <cell r="C785">
            <v>3951100002</v>
          </cell>
          <cell r="D785" t="str">
            <v>RENTALS - REAL ESTATE</v>
          </cell>
          <cell r="E785">
            <v>2550</v>
          </cell>
          <cell r="F785">
            <v>1600</v>
          </cell>
          <cell r="G785">
            <v>3500</v>
          </cell>
          <cell r="H785">
            <v>0</v>
          </cell>
          <cell r="I785">
            <v>0</v>
          </cell>
          <cell r="J785">
            <v>0</v>
          </cell>
          <cell r="K785">
            <v>0</v>
          </cell>
          <cell r="L785">
            <v>0</v>
          </cell>
          <cell r="M785">
            <v>0</v>
          </cell>
          <cell r="N785">
            <v>0</v>
          </cell>
          <cell r="O785">
            <v>0</v>
          </cell>
          <cell r="P785">
            <v>0</v>
          </cell>
          <cell r="Q785">
            <v>7650</v>
          </cell>
        </row>
        <row r="786">
          <cell r="A786" t="str">
            <v>US22P015533951100002</v>
          </cell>
          <cell r="B786" t="str">
            <v>US22P01553</v>
          </cell>
          <cell r="C786">
            <v>3951100002</v>
          </cell>
          <cell r="D786" t="str">
            <v>RENTALS - REAL ESTATE</v>
          </cell>
          <cell r="E786">
            <v>950</v>
          </cell>
          <cell r="F786">
            <v>0</v>
          </cell>
          <cell r="G786">
            <v>1900</v>
          </cell>
          <cell r="H786">
            <v>0</v>
          </cell>
          <cell r="I786">
            <v>0</v>
          </cell>
          <cell r="J786">
            <v>0</v>
          </cell>
          <cell r="K786">
            <v>0</v>
          </cell>
          <cell r="L786">
            <v>0</v>
          </cell>
          <cell r="M786">
            <v>0</v>
          </cell>
          <cell r="N786">
            <v>0</v>
          </cell>
          <cell r="O786">
            <v>0</v>
          </cell>
          <cell r="P786">
            <v>0</v>
          </cell>
          <cell r="Q786">
            <v>2850</v>
          </cell>
        </row>
        <row r="787">
          <cell r="A787" t="str">
            <v>US28MZA1503951100002</v>
          </cell>
          <cell r="B787" t="str">
            <v>US28MZA150</v>
          </cell>
          <cell r="C787">
            <v>3951100002</v>
          </cell>
          <cell r="D787" t="str">
            <v>RENTALS - REAL ESTATE</v>
          </cell>
          <cell r="E787">
            <v>20084</v>
          </cell>
          <cell r="F787">
            <v>20084</v>
          </cell>
          <cell r="G787">
            <v>20084</v>
          </cell>
          <cell r="H787">
            <v>0</v>
          </cell>
          <cell r="I787">
            <v>0</v>
          </cell>
          <cell r="J787">
            <v>0</v>
          </cell>
          <cell r="K787">
            <v>0</v>
          </cell>
          <cell r="L787">
            <v>0</v>
          </cell>
          <cell r="M787">
            <v>0</v>
          </cell>
          <cell r="N787">
            <v>0</v>
          </cell>
          <cell r="O787">
            <v>0</v>
          </cell>
          <cell r="P787">
            <v>0</v>
          </cell>
          <cell r="Q787">
            <v>60252</v>
          </cell>
        </row>
        <row r="788">
          <cell r="A788" t="str">
            <v>US35MZA1503951100002</v>
          </cell>
          <cell r="B788" t="str">
            <v>US35MZA150</v>
          </cell>
          <cell r="C788">
            <v>3951100002</v>
          </cell>
          <cell r="D788" t="str">
            <v>RENTALS - REAL ESTATE</v>
          </cell>
          <cell r="E788">
            <v>0</v>
          </cell>
          <cell r="F788">
            <v>30188</v>
          </cell>
          <cell r="G788">
            <v>30188</v>
          </cell>
          <cell r="H788">
            <v>0</v>
          </cell>
          <cell r="I788">
            <v>0</v>
          </cell>
          <cell r="J788">
            <v>0</v>
          </cell>
          <cell r="K788">
            <v>0</v>
          </cell>
          <cell r="L788">
            <v>0</v>
          </cell>
          <cell r="M788">
            <v>0</v>
          </cell>
          <cell r="N788">
            <v>0</v>
          </cell>
          <cell r="O788">
            <v>0</v>
          </cell>
          <cell r="P788">
            <v>0</v>
          </cell>
          <cell r="Q788">
            <v>60376</v>
          </cell>
        </row>
        <row r="789">
          <cell r="A789" t="str">
            <v>US59P3C5503951100002</v>
          </cell>
          <cell r="B789" t="str">
            <v>US59P3C550</v>
          </cell>
          <cell r="C789">
            <v>3951100002</v>
          </cell>
          <cell r="D789" t="str">
            <v>RENTALS - REAL ESTATE</v>
          </cell>
          <cell r="E789">
            <v>750</v>
          </cell>
          <cell r="F789">
            <v>0</v>
          </cell>
          <cell r="G789">
            <v>0</v>
          </cell>
          <cell r="H789">
            <v>0</v>
          </cell>
          <cell r="I789">
            <v>0</v>
          </cell>
          <cell r="J789">
            <v>0</v>
          </cell>
          <cell r="K789">
            <v>0</v>
          </cell>
          <cell r="L789">
            <v>0</v>
          </cell>
          <cell r="M789">
            <v>0</v>
          </cell>
          <cell r="N789">
            <v>0</v>
          </cell>
          <cell r="O789">
            <v>0</v>
          </cell>
          <cell r="P789">
            <v>0</v>
          </cell>
          <cell r="Q789">
            <v>750</v>
          </cell>
        </row>
        <row r="790">
          <cell r="A790" t="str">
            <v>USCRMZA1503951100002</v>
          </cell>
          <cell r="B790" t="str">
            <v>USCRMZA150</v>
          </cell>
          <cell r="C790">
            <v>3951100002</v>
          </cell>
          <cell r="D790" t="str">
            <v>RENTALS - REAL ESTATE</v>
          </cell>
          <cell r="E790">
            <v>3000</v>
          </cell>
          <cell r="F790">
            <v>3000</v>
          </cell>
          <cell r="G790">
            <v>3000</v>
          </cell>
          <cell r="H790">
            <v>0</v>
          </cell>
          <cell r="I790">
            <v>0</v>
          </cell>
          <cell r="J790">
            <v>0</v>
          </cell>
          <cell r="K790">
            <v>0</v>
          </cell>
          <cell r="L790">
            <v>0</v>
          </cell>
          <cell r="M790">
            <v>0</v>
          </cell>
          <cell r="N790">
            <v>0</v>
          </cell>
          <cell r="O790">
            <v>0</v>
          </cell>
          <cell r="P790">
            <v>0</v>
          </cell>
          <cell r="Q790">
            <v>9000</v>
          </cell>
        </row>
        <row r="791">
          <cell r="A791" t="str">
            <v>US22MZA1503951100005</v>
          </cell>
          <cell r="B791" t="str">
            <v>US22MZA150</v>
          </cell>
          <cell r="C791">
            <v>3951100005</v>
          </cell>
          <cell r="D791" t="str">
            <v>OTHER RENTALS</v>
          </cell>
          <cell r="E791">
            <v>4911</v>
          </cell>
          <cell r="F791">
            <v>2614</v>
          </cell>
          <cell r="G791">
            <v>1910</v>
          </cell>
          <cell r="H791">
            <v>0</v>
          </cell>
          <cell r="I791">
            <v>0</v>
          </cell>
          <cell r="J791">
            <v>0</v>
          </cell>
          <cell r="K791">
            <v>0</v>
          </cell>
          <cell r="L791">
            <v>0</v>
          </cell>
          <cell r="M791">
            <v>0</v>
          </cell>
          <cell r="N791">
            <v>0</v>
          </cell>
          <cell r="O791">
            <v>0</v>
          </cell>
          <cell r="P791">
            <v>0</v>
          </cell>
          <cell r="Q791">
            <v>9435</v>
          </cell>
        </row>
        <row r="792">
          <cell r="A792" t="str">
            <v>US22P015013951100005</v>
          </cell>
          <cell r="B792" t="str">
            <v>US22P01501</v>
          </cell>
          <cell r="C792">
            <v>3951100005</v>
          </cell>
          <cell r="D792" t="str">
            <v>OTHER RENTALS</v>
          </cell>
          <cell r="E792">
            <v>1635</v>
          </cell>
          <cell r="F792">
            <v>1530</v>
          </cell>
          <cell r="G792">
            <v>2354</v>
          </cell>
          <cell r="H792">
            <v>0</v>
          </cell>
          <cell r="I792">
            <v>0</v>
          </cell>
          <cell r="J792">
            <v>0</v>
          </cell>
          <cell r="K792">
            <v>0</v>
          </cell>
          <cell r="L792">
            <v>0</v>
          </cell>
          <cell r="M792">
            <v>0</v>
          </cell>
          <cell r="N792">
            <v>0</v>
          </cell>
          <cell r="O792">
            <v>0</v>
          </cell>
          <cell r="P792">
            <v>0</v>
          </cell>
          <cell r="Q792">
            <v>5519</v>
          </cell>
        </row>
        <row r="793">
          <cell r="A793" t="str">
            <v>US22P015603951100005</v>
          </cell>
          <cell r="B793" t="str">
            <v>US22P01560</v>
          </cell>
          <cell r="C793">
            <v>3951100005</v>
          </cell>
          <cell r="D793" t="str">
            <v>OTHER RENTALS</v>
          </cell>
          <cell r="E793">
            <v>0</v>
          </cell>
          <cell r="F793">
            <v>326</v>
          </cell>
          <cell r="G793">
            <v>0</v>
          </cell>
          <cell r="H793">
            <v>0</v>
          </cell>
          <cell r="I793">
            <v>0</v>
          </cell>
          <cell r="J793">
            <v>0</v>
          </cell>
          <cell r="K793">
            <v>0</v>
          </cell>
          <cell r="L793">
            <v>0</v>
          </cell>
          <cell r="M793">
            <v>0</v>
          </cell>
          <cell r="N793">
            <v>0</v>
          </cell>
          <cell r="O793">
            <v>0</v>
          </cell>
          <cell r="P793">
            <v>0</v>
          </cell>
          <cell r="Q793">
            <v>326</v>
          </cell>
        </row>
        <row r="794">
          <cell r="A794" t="str">
            <v>US22P015753951100005</v>
          </cell>
          <cell r="B794" t="str">
            <v>US22P01575</v>
          </cell>
          <cell r="C794">
            <v>3951100005</v>
          </cell>
          <cell r="D794" t="str">
            <v>OTHER RENTALS</v>
          </cell>
          <cell r="E794">
            <v>0</v>
          </cell>
          <cell r="F794">
            <v>330</v>
          </cell>
          <cell r="G794">
            <v>0</v>
          </cell>
          <cell r="H794">
            <v>0</v>
          </cell>
          <cell r="I794">
            <v>0</v>
          </cell>
          <cell r="J794">
            <v>0</v>
          </cell>
          <cell r="K794">
            <v>0</v>
          </cell>
          <cell r="L794">
            <v>0</v>
          </cell>
          <cell r="M794">
            <v>0</v>
          </cell>
          <cell r="N794">
            <v>0</v>
          </cell>
          <cell r="O794">
            <v>0</v>
          </cell>
          <cell r="P794">
            <v>0</v>
          </cell>
          <cell r="Q794">
            <v>330</v>
          </cell>
        </row>
        <row r="795">
          <cell r="A795" t="str">
            <v>US28MZA1503951100005</v>
          </cell>
          <cell r="B795" t="str">
            <v>US28MZA150</v>
          </cell>
          <cell r="C795">
            <v>3951100005</v>
          </cell>
          <cell r="D795" t="str">
            <v>OTHER RENTALS</v>
          </cell>
          <cell r="E795">
            <v>554</v>
          </cell>
          <cell r="F795">
            <v>1948</v>
          </cell>
          <cell r="G795">
            <v>554</v>
          </cell>
          <cell r="H795">
            <v>0</v>
          </cell>
          <cell r="I795">
            <v>0</v>
          </cell>
          <cell r="J795">
            <v>0</v>
          </cell>
          <cell r="K795">
            <v>0</v>
          </cell>
          <cell r="L795">
            <v>0</v>
          </cell>
          <cell r="M795">
            <v>0</v>
          </cell>
          <cell r="N795">
            <v>0</v>
          </cell>
          <cell r="O795">
            <v>0</v>
          </cell>
          <cell r="P795">
            <v>0</v>
          </cell>
          <cell r="Q795">
            <v>3056</v>
          </cell>
        </row>
        <row r="796">
          <cell r="A796" t="str">
            <v>US28P015013951100005</v>
          </cell>
          <cell r="B796" t="str">
            <v>US28P01501</v>
          </cell>
          <cell r="C796">
            <v>3951100005</v>
          </cell>
          <cell r="D796" t="str">
            <v>OTHER RENTALS</v>
          </cell>
          <cell r="E796">
            <v>0</v>
          </cell>
          <cell r="F796">
            <v>2583</v>
          </cell>
          <cell r="G796">
            <v>2433</v>
          </cell>
          <cell r="H796">
            <v>0</v>
          </cell>
          <cell r="I796">
            <v>0</v>
          </cell>
          <cell r="J796">
            <v>0</v>
          </cell>
          <cell r="K796">
            <v>0</v>
          </cell>
          <cell r="L796">
            <v>0</v>
          </cell>
          <cell r="M796">
            <v>0</v>
          </cell>
          <cell r="N796">
            <v>0</v>
          </cell>
          <cell r="O796">
            <v>0</v>
          </cell>
          <cell r="P796">
            <v>0</v>
          </cell>
          <cell r="Q796">
            <v>5016</v>
          </cell>
        </row>
        <row r="797">
          <cell r="A797" t="str">
            <v>US28P015503951100005</v>
          </cell>
          <cell r="B797" t="str">
            <v>US28P01550</v>
          </cell>
          <cell r="C797">
            <v>3951100005</v>
          </cell>
          <cell r="D797" t="str">
            <v>OTHER RENTALS</v>
          </cell>
          <cell r="E797">
            <v>100</v>
          </cell>
          <cell r="F797">
            <v>2072</v>
          </cell>
          <cell r="G797">
            <v>100</v>
          </cell>
          <cell r="H797">
            <v>0</v>
          </cell>
          <cell r="I797">
            <v>0</v>
          </cell>
          <cell r="J797">
            <v>0</v>
          </cell>
          <cell r="K797">
            <v>0</v>
          </cell>
          <cell r="L797">
            <v>0</v>
          </cell>
          <cell r="M797">
            <v>0</v>
          </cell>
          <cell r="N797">
            <v>0</v>
          </cell>
          <cell r="O797">
            <v>0</v>
          </cell>
          <cell r="P797">
            <v>0</v>
          </cell>
          <cell r="Q797">
            <v>2272</v>
          </cell>
        </row>
        <row r="798">
          <cell r="A798" t="str">
            <v>US35MZA1503951100005</v>
          </cell>
          <cell r="B798" t="str">
            <v>US35MZA150</v>
          </cell>
          <cell r="C798">
            <v>3951100005</v>
          </cell>
          <cell r="D798" t="str">
            <v>OTHER RENTALS</v>
          </cell>
          <cell r="E798">
            <v>17375</v>
          </cell>
          <cell r="F798">
            <v>8163</v>
          </cell>
          <cell r="G798">
            <v>8305</v>
          </cell>
          <cell r="H798">
            <v>0</v>
          </cell>
          <cell r="I798">
            <v>0</v>
          </cell>
          <cell r="J798">
            <v>0</v>
          </cell>
          <cell r="K798">
            <v>0</v>
          </cell>
          <cell r="L798">
            <v>0</v>
          </cell>
          <cell r="M798">
            <v>0</v>
          </cell>
          <cell r="N798">
            <v>0</v>
          </cell>
          <cell r="O798">
            <v>0</v>
          </cell>
          <cell r="P798">
            <v>0</v>
          </cell>
          <cell r="Q798">
            <v>33843</v>
          </cell>
        </row>
        <row r="799">
          <cell r="A799" t="str">
            <v>US35P015013951100005</v>
          </cell>
          <cell r="B799" t="str">
            <v>US35P01501</v>
          </cell>
          <cell r="C799">
            <v>3951100005</v>
          </cell>
          <cell r="D799" t="str">
            <v>OTHER RENTALS</v>
          </cell>
          <cell r="E799">
            <v>240</v>
          </cell>
          <cell r="F799">
            <v>240</v>
          </cell>
          <cell r="G799">
            <v>712</v>
          </cell>
          <cell r="H799">
            <v>0</v>
          </cell>
          <cell r="I799">
            <v>0</v>
          </cell>
          <cell r="J799">
            <v>0</v>
          </cell>
          <cell r="K799">
            <v>0</v>
          </cell>
          <cell r="L799">
            <v>0</v>
          </cell>
          <cell r="M799">
            <v>0</v>
          </cell>
          <cell r="N799">
            <v>0</v>
          </cell>
          <cell r="O799">
            <v>0</v>
          </cell>
          <cell r="P799">
            <v>0</v>
          </cell>
          <cell r="Q799">
            <v>1192</v>
          </cell>
        </row>
        <row r="800">
          <cell r="A800" t="str">
            <v>US35P015503951100005</v>
          </cell>
          <cell r="B800" t="str">
            <v>US35P01550</v>
          </cell>
          <cell r="C800">
            <v>3951100005</v>
          </cell>
          <cell r="D800" t="str">
            <v>OTHER RENTALS</v>
          </cell>
          <cell r="E800">
            <v>0</v>
          </cell>
          <cell r="F800">
            <v>11290</v>
          </cell>
          <cell r="G800">
            <v>0</v>
          </cell>
          <cell r="H800">
            <v>0</v>
          </cell>
          <cell r="I800">
            <v>0</v>
          </cell>
          <cell r="J800">
            <v>0</v>
          </cell>
          <cell r="K800">
            <v>0</v>
          </cell>
          <cell r="L800">
            <v>0</v>
          </cell>
          <cell r="M800">
            <v>0</v>
          </cell>
          <cell r="N800">
            <v>0</v>
          </cell>
          <cell r="O800">
            <v>0</v>
          </cell>
          <cell r="P800">
            <v>0</v>
          </cell>
          <cell r="Q800">
            <v>11290</v>
          </cell>
        </row>
        <row r="801">
          <cell r="A801" t="str">
            <v>US35P015603951100005</v>
          </cell>
          <cell r="B801" t="str">
            <v>US35P01560</v>
          </cell>
          <cell r="C801">
            <v>3951100005</v>
          </cell>
          <cell r="D801" t="str">
            <v>OTHER RENTALS</v>
          </cell>
          <cell r="E801">
            <v>7790</v>
          </cell>
          <cell r="F801">
            <v>5649</v>
          </cell>
          <cell r="G801">
            <v>4465</v>
          </cell>
          <cell r="H801">
            <v>0</v>
          </cell>
          <cell r="I801">
            <v>0</v>
          </cell>
          <cell r="J801">
            <v>0</v>
          </cell>
          <cell r="K801">
            <v>0</v>
          </cell>
          <cell r="L801">
            <v>0</v>
          </cell>
          <cell r="M801">
            <v>0</v>
          </cell>
          <cell r="N801">
            <v>0</v>
          </cell>
          <cell r="O801">
            <v>0</v>
          </cell>
          <cell r="P801">
            <v>0</v>
          </cell>
          <cell r="Q801">
            <v>17904</v>
          </cell>
        </row>
        <row r="802">
          <cell r="A802" t="str">
            <v>US35P015753951100005</v>
          </cell>
          <cell r="B802" t="str">
            <v>US35P01575</v>
          </cell>
          <cell r="C802">
            <v>3951100005</v>
          </cell>
          <cell r="D802" t="str">
            <v>OTHER RENTALS</v>
          </cell>
          <cell r="E802">
            <v>23</v>
          </cell>
          <cell r="F802">
            <v>23</v>
          </cell>
          <cell r="G802">
            <v>23</v>
          </cell>
          <cell r="H802">
            <v>0</v>
          </cell>
          <cell r="I802">
            <v>0</v>
          </cell>
          <cell r="J802">
            <v>0</v>
          </cell>
          <cell r="K802">
            <v>0</v>
          </cell>
          <cell r="L802">
            <v>0</v>
          </cell>
          <cell r="M802">
            <v>0</v>
          </cell>
          <cell r="N802">
            <v>0</v>
          </cell>
          <cell r="O802">
            <v>0</v>
          </cell>
          <cell r="P802">
            <v>0</v>
          </cell>
          <cell r="Q802">
            <v>69</v>
          </cell>
        </row>
        <row r="803">
          <cell r="A803" t="str">
            <v>US59MZA1503951100005</v>
          </cell>
          <cell r="B803" t="str">
            <v>US59MZA150</v>
          </cell>
          <cell r="C803">
            <v>3951100005</v>
          </cell>
          <cell r="D803" t="str">
            <v>OTHER RENTALS</v>
          </cell>
          <cell r="E803">
            <v>981</v>
          </cell>
          <cell r="F803">
            <v>800</v>
          </cell>
          <cell r="G803">
            <v>1600</v>
          </cell>
          <cell r="H803">
            <v>0</v>
          </cell>
          <cell r="I803">
            <v>0</v>
          </cell>
          <cell r="J803">
            <v>0</v>
          </cell>
          <cell r="K803">
            <v>0</v>
          </cell>
          <cell r="L803">
            <v>0</v>
          </cell>
          <cell r="M803">
            <v>0</v>
          </cell>
          <cell r="N803">
            <v>0</v>
          </cell>
          <cell r="O803">
            <v>0</v>
          </cell>
          <cell r="P803">
            <v>0</v>
          </cell>
          <cell r="Q803">
            <v>3381</v>
          </cell>
        </row>
        <row r="804">
          <cell r="A804" t="str">
            <v>US59P015503951100005</v>
          </cell>
          <cell r="B804" t="str">
            <v>US59P01550</v>
          </cell>
          <cell r="C804">
            <v>3951100005</v>
          </cell>
          <cell r="D804" t="str">
            <v>OTHER RENTALS</v>
          </cell>
          <cell r="E804">
            <v>0</v>
          </cell>
          <cell r="F804">
            <v>7400</v>
          </cell>
          <cell r="G804">
            <v>0</v>
          </cell>
          <cell r="H804">
            <v>0</v>
          </cell>
          <cell r="I804">
            <v>0</v>
          </cell>
          <cell r="J804">
            <v>0</v>
          </cell>
          <cell r="K804">
            <v>0</v>
          </cell>
          <cell r="L804">
            <v>0</v>
          </cell>
          <cell r="M804">
            <v>0</v>
          </cell>
          <cell r="N804">
            <v>0</v>
          </cell>
          <cell r="O804">
            <v>0</v>
          </cell>
          <cell r="P804">
            <v>0</v>
          </cell>
          <cell r="Q804">
            <v>7400</v>
          </cell>
        </row>
        <row r="805">
          <cell r="A805" t="str">
            <v>US59P015603951100005</v>
          </cell>
          <cell r="B805" t="str">
            <v>US59P01560</v>
          </cell>
          <cell r="C805">
            <v>3951100005</v>
          </cell>
          <cell r="D805" t="str">
            <v>OTHER RENTALS</v>
          </cell>
          <cell r="E805">
            <v>2414</v>
          </cell>
          <cell r="F805">
            <v>2109</v>
          </cell>
          <cell r="G805">
            <v>2109</v>
          </cell>
          <cell r="H805">
            <v>0</v>
          </cell>
          <cell r="I805">
            <v>0</v>
          </cell>
          <cell r="J805">
            <v>0</v>
          </cell>
          <cell r="K805">
            <v>0</v>
          </cell>
          <cell r="L805">
            <v>0</v>
          </cell>
          <cell r="M805">
            <v>0</v>
          </cell>
          <cell r="N805">
            <v>0</v>
          </cell>
          <cell r="O805">
            <v>0</v>
          </cell>
          <cell r="P805">
            <v>0</v>
          </cell>
          <cell r="Q805">
            <v>6632</v>
          </cell>
        </row>
        <row r="806">
          <cell r="A806" t="str">
            <v>US59P3C5503951100005</v>
          </cell>
          <cell r="B806" t="str">
            <v>US59P3C550</v>
          </cell>
          <cell r="C806">
            <v>3951100005</v>
          </cell>
          <cell r="D806" t="str">
            <v>OTHER RENTALS</v>
          </cell>
          <cell r="E806">
            <v>2699</v>
          </cell>
          <cell r="F806">
            <v>1080</v>
          </cell>
          <cell r="G806">
            <v>0</v>
          </cell>
          <cell r="H806">
            <v>0</v>
          </cell>
          <cell r="I806">
            <v>0</v>
          </cell>
          <cell r="J806">
            <v>0</v>
          </cell>
          <cell r="K806">
            <v>0</v>
          </cell>
          <cell r="L806">
            <v>0</v>
          </cell>
          <cell r="M806">
            <v>0</v>
          </cell>
          <cell r="N806">
            <v>0</v>
          </cell>
          <cell r="O806">
            <v>0</v>
          </cell>
          <cell r="P806">
            <v>0</v>
          </cell>
          <cell r="Q806">
            <v>3779</v>
          </cell>
        </row>
        <row r="807">
          <cell r="A807" t="str">
            <v>USCRMZA1503951100005</v>
          </cell>
          <cell r="B807" t="str">
            <v>USCRMZA150</v>
          </cell>
          <cell r="C807">
            <v>3951100005</v>
          </cell>
          <cell r="D807" t="str">
            <v>OTHER RENTALS</v>
          </cell>
          <cell r="E807">
            <v>0</v>
          </cell>
          <cell r="F807">
            <v>0</v>
          </cell>
          <cell r="G807">
            <v>850</v>
          </cell>
          <cell r="H807">
            <v>0</v>
          </cell>
          <cell r="I807">
            <v>0</v>
          </cell>
          <cell r="J807">
            <v>0</v>
          </cell>
          <cell r="K807">
            <v>0</v>
          </cell>
          <cell r="L807">
            <v>0</v>
          </cell>
          <cell r="M807">
            <v>0</v>
          </cell>
          <cell r="N807">
            <v>0</v>
          </cell>
          <cell r="O807">
            <v>0</v>
          </cell>
          <cell r="P807">
            <v>0</v>
          </cell>
          <cell r="Q807">
            <v>850</v>
          </cell>
        </row>
        <row r="808">
          <cell r="A808" t="str">
            <v>USCRP015013951100005</v>
          </cell>
          <cell r="B808" t="str">
            <v>USCRP01501</v>
          </cell>
          <cell r="C808">
            <v>3951100005</v>
          </cell>
          <cell r="D808" t="str">
            <v>OTHER RENTALS</v>
          </cell>
          <cell r="E808">
            <v>3050</v>
          </cell>
          <cell r="F808">
            <v>0</v>
          </cell>
          <cell r="G808">
            <v>850</v>
          </cell>
          <cell r="H808">
            <v>0</v>
          </cell>
          <cell r="I808">
            <v>0</v>
          </cell>
          <cell r="J808">
            <v>0</v>
          </cell>
          <cell r="K808">
            <v>0</v>
          </cell>
          <cell r="L808">
            <v>0</v>
          </cell>
          <cell r="M808">
            <v>0</v>
          </cell>
          <cell r="N808">
            <v>0</v>
          </cell>
          <cell r="O808">
            <v>0</v>
          </cell>
          <cell r="P808">
            <v>0</v>
          </cell>
          <cell r="Q808">
            <v>3900</v>
          </cell>
        </row>
        <row r="809">
          <cell r="A809" t="str">
            <v>USWOMZA1503951100005</v>
          </cell>
          <cell r="B809" t="str">
            <v>USWOMZA150</v>
          </cell>
          <cell r="C809">
            <v>3951100005</v>
          </cell>
          <cell r="D809" t="str">
            <v>OTHER RENTALS</v>
          </cell>
          <cell r="E809">
            <v>2611</v>
          </cell>
          <cell r="F809">
            <v>701</v>
          </cell>
          <cell r="G809">
            <v>4933</v>
          </cell>
          <cell r="H809">
            <v>0</v>
          </cell>
          <cell r="I809">
            <v>0</v>
          </cell>
          <cell r="J809">
            <v>0</v>
          </cell>
          <cell r="K809">
            <v>0</v>
          </cell>
          <cell r="L809">
            <v>0</v>
          </cell>
          <cell r="M809">
            <v>0</v>
          </cell>
          <cell r="N809">
            <v>0</v>
          </cell>
          <cell r="O809">
            <v>0</v>
          </cell>
          <cell r="P809">
            <v>0</v>
          </cell>
          <cell r="Q809">
            <v>8245</v>
          </cell>
        </row>
        <row r="810">
          <cell r="A810" t="str">
            <v>USWOP015013951100005</v>
          </cell>
          <cell r="B810" t="str">
            <v>USWOP01501</v>
          </cell>
          <cell r="C810">
            <v>3951100005</v>
          </cell>
          <cell r="D810" t="str">
            <v>OTHER RENTALS</v>
          </cell>
          <cell r="E810">
            <v>388</v>
          </cell>
          <cell r="F810">
            <v>155</v>
          </cell>
          <cell r="G810">
            <v>106</v>
          </cell>
          <cell r="H810">
            <v>0</v>
          </cell>
          <cell r="I810">
            <v>0</v>
          </cell>
          <cell r="J810">
            <v>0</v>
          </cell>
          <cell r="K810">
            <v>0</v>
          </cell>
          <cell r="L810">
            <v>0</v>
          </cell>
          <cell r="M810">
            <v>0</v>
          </cell>
          <cell r="N810">
            <v>0</v>
          </cell>
          <cell r="O810">
            <v>0</v>
          </cell>
          <cell r="P810">
            <v>0</v>
          </cell>
          <cell r="Q810">
            <v>649</v>
          </cell>
        </row>
        <row r="811">
          <cell r="A811" t="str">
            <v>USWOP015503951100005</v>
          </cell>
          <cell r="B811" t="str">
            <v>USWOP01550</v>
          </cell>
          <cell r="C811">
            <v>3951100005</v>
          </cell>
          <cell r="D811" t="str">
            <v>OTHER RENTALS</v>
          </cell>
          <cell r="E811">
            <v>0</v>
          </cell>
          <cell r="F811">
            <v>4109</v>
          </cell>
          <cell r="G811">
            <v>0</v>
          </cell>
          <cell r="H811">
            <v>0</v>
          </cell>
          <cell r="I811">
            <v>0</v>
          </cell>
          <cell r="J811">
            <v>0</v>
          </cell>
          <cell r="K811">
            <v>0</v>
          </cell>
          <cell r="L811">
            <v>0</v>
          </cell>
          <cell r="M811">
            <v>0</v>
          </cell>
          <cell r="N811">
            <v>0</v>
          </cell>
          <cell r="O811">
            <v>0</v>
          </cell>
          <cell r="P811">
            <v>0</v>
          </cell>
          <cell r="Q811">
            <v>4109</v>
          </cell>
        </row>
        <row r="812">
          <cell r="A812" t="str">
            <v>US22MZA1503951200002</v>
          </cell>
          <cell r="B812" t="str">
            <v>US22MZA150</v>
          </cell>
          <cell r="C812">
            <v>3951200002</v>
          </cell>
          <cell r="D812" t="str">
            <v>OPERATING LEASES - VEHICLES (SHORT DURAT</v>
          </cell>
          <cell r="E812">
            <v>4700</v>
          </cell>
          <cell r="F812">
            <v>4559</v>
          </cell>
          <cell r="G812">
            <v>4365</v>
          </cell>
          <cell r="H812">
            <v>0</v>
          </cell>
          <cell r="I812">
            <v>0</v>
          </cell>
          <cell r="J812">
            <v>0</v>
          </cell>
          <cell r="K812">
            <v>0</v>
          </cell>
          <cell r="L812">
            <v>0</v>
          </cell>
          <cell r="M812">
            <v>0</v>
          </cell>
          <cell r="N812">
            <v>0</v>
          </cell>
          <cell r="O812">
            <v>0</v>
          </cell>
          <cell r="P812">
            <v>0</v>
          </cell>
          <cell r="Q812">
            <v>13624</v>
          </cell>
        </row>
        <row r="813">
          <cell r="A813" t="str">
            <v>US22P015013951200002</v>
          </cell>
          <cell r="B813" t="str">
            <v>US22P01501</v>
          </cell>
          <cell r="C813">
            <v>3951200002</v>
          </cell>
          <cell r="D813" t="str">
            <v>OPERATING LEASES - VEHICLES (SHORT DURAT</v>
          </cell>
          <cell r="E813">
            <v>-160</v>
          </cell>
          <cell r="F813">
            <v>-160</v>
          </cell>
          <cell r="G813">
            <v>-80</v>
          </cell>
          <cell r="H813">
            <v>0</v>
          </cell>
          <cell r="I813">
            <v>0</v>
          </cell>
          <cell r="J813">
            <v>0</v>
          </cell>
          <cell r="K813">
            <v>0</v>
          </cell>
          <cell r="L813">
            <v>0</v>
          </cell>
          <cell r="M813">
            <v>0</v>
          </cell>
          <cell r="N813">
            <v>0</v>
          </cell>
          <cell r="O813">
            <v>0</v>
          </cell>
          <cell r="P813">
            <v>0</v>
          </cell>
          <cell r="Q813">
            <v>-400</v>
          </cell>
        </row>
        <row r="814">
          <cell r="A814" t="str">
            <v>US22P015503951200002</v>
          </cell>
          <cell r="B814" t="str">
            <v>US22P01550</v>
          </cell>
          <cell r="C814">
            <v>3951200002</v>
          </cell>
          <cell r="D814" t="str">
            <v>OPERATING LEASES - VEHICLES (SHORT DURAT</v>
          </cell>
          <cell r="E814">
            <v>3727</v>
          </cell>
          <cell r="F814">
            <v>3728</v>
          </cell>
          <cell r="G814">
            <v>6527</v>
          </cell>
          <cell r="H814">
            <v>0</v>
          </cell>
          <cell r="I814">
            <v>0</v>
          </cell>
          <cell r="J814">
            <v>0</v>
          </cell>
          <cell r="K814">
            <v>0</v>
          </cell>
          <cell r="L814">
            <v>0</v>
          </cell>
          <cell r="M814">
            <v>0</v>
          </cell>
          <cell r="N814">
            <v>0</v>
          </cell>
          <cell r="O814">
            <v>0</v>
          </cell>
          <cell r="P814">
            <v>0</v>
          </cell>
          <cell r="Q814">
            <v>13982</v>
          </cell>
        </row>
        <row r="815">
          <cell r="A815" t="str">
            <v>US28MZA1503951200002</v>
          </cell>
          <cell r="B815" t="str">
            <v>US28MZA150</v>
          </cell>
          <cell r="C815">
            <v>3951200002</v>
          </cell>
          <cell r="D815" t="str">
            <v>OPERATING LEASES - VEHICLES (SHORT DURAT</v>
          </cell>
          <cell r="E815">
            <v>75</v>
          </cell>
          <cell r="F815">
            <v>75</v>
          </cell>
          <cell r="G815">
            <v>75</v>
          </cell>
          <cell r="H815">
            <v>0</v>
          </cell>
          <cell r="I815">
            <v>0</v>
          </cell>
          <cell r="J815">
            <v>0</v>
          </cell>
          <cell r="K815">
            <v>0</v>
          </cell>
          <cell r="L815">
            <v>0</v>
          </cell>
          <cell r="M815">
            <v>0</v>
          </cell>
          <cell r="N815">
            <v>0</v>
          </cell>
          <cell r="O815">
            <v>0</v>
          </cell>
          <cell r="P815">
            <v>0</v>
          </cell>
          <cell r="Q815">
            <v>225</v>
          </cell>
        </row>
        <row r="816">
          <cell r="A816" t="str">
            <v>US28P015013951200002</v>
          </cell>
          <cell r="B816" t="str">
            <v>US28P01501</v>
          </cell>
          <cell r="C816">
            <v>3951200002</v>
          </cell>
          <cell r="D816" t="str">
            <v>OPERATING LEASES - VEHICLES (SHORT DURAT</v>
          </cell>
          <cell r="E816">
            <v>427</v>
          </cell>
          <cell r="F816">
            <v>1754</v>
          </cell>
          <cell r="G816">
            <v>952</v>
          </cell>
          <cell r="H816">
            <v>0</v>
          </cell>
          <cell r="I816">
            <v>0</v>
          </cell>
          <cell r="J816">
            <v>0</v>
          </cell>
          <cell r="K816">
            <v>0</v>
          </cell>
          <cell r="L816">
            <v>0</v>
          </cell>
          <cell r="M816">
            <v>0</v>
          </cell>
          <cell r="N816">
            <v>0</v>
          </cell>
          <cell r="O816">
            <v>0</v>
          </cell>
          <cell r="P816">
            <v>0</v>
          </cell>
          <cell r="Q816">
            <v>3133</v>
          </cell>
        </row>
        <row r="817">
          <cell r="A817" t="str">
            <v>US28P015503951200002</v>
          </cell>
          <cell r="B817" t="str">
            <v>US28P01550</v>
          </cell>
          <cell r="C817">
            <v>3951200002</v>
          </cell>
          <cell r="D817" t="str">
            <v>OPERATING LEASES - VEHICLES (SHORT DURAT</v>
          </cell>
          <cell r="E817">
            <v>1221</v>
          </cell>
          <cell r="F817">
            <v>1186</v>
          </cell>
          <cell r="G817">
            <v>1160</v>
          </cell>
          <cell r="H817">
            <v>0</v>
          </cell>
          <cell r="I817">
            <v>0</v>
          </cell>
          <cell r="J817">
            <v>0</v>
          </cell>
          <cell r="K817">
            <v>0</v>
          </cell>
          <cell r="L817">
            <v>0</v>
          </cell>
          <cell r="M817">
            <v>0</v>
          </cell>
          <cell r="N817">
            <v>0</v>
          </cell>
          <cell r="O817">
            <v>0</v>
          </cell>
          <cell r="P817">
            <v>0</v>
          </cell>
          <cell r="Q817">
            <v>3567</v>
          </cell>
        </row>
        <row r="818">
          <cell r="A818" t="str">
            <v>US35MZA1503951200002</v>
          </cell>
          <cell r="B818" t="str">
            <v>US35MZA150</v>
          </cell>
          <cell r="C818">
            <v>3951200002</v>
          </cell>
          <cell r="D818" t="str">
            <v>OPERATING LEASES - VEHICLES (SHORT DURAT</v>
          </cell>
          <cell r="E818">
            <v>1090</v>
          </cell>
          <cell r="F818">
            <v>1069</v>
          </cell>
          <cell r="G818">
            <v>1054</v>
          </cell>
          <cell r="H818">
            <v>0</v>
          </cell>
          <cell r="I818">
            <v>0</v>
          </cell>
          <cell r="J818">
            <v>0</v>
          </cell>
          <cell r="K818">
            <v>0</v>
          </cell>
          <cell r="L818">
            <v>0</v>
          </cell>
          <cell r="M818">
            <v>0</v>
          </cell>
          <cell r="N818">
            <v>0</v>
          </cell>
          <cell r="O818">
            <v>0</v>
          </cell>
          <cell r="P818">
            <v>0</v>
          </cell>
          <cell r="Q818">
            <v>3213</v>
          </cell>
        </row>
        <row r="819">
          <cell r="A819" t="str">
            <v>US35P015013951200002</v>
          </cell>
          <cell r="B819" t="str">
            <v>US35P01501</v>
          </cell>
          <cell r="C819">
            <v>3951200002</v>
          </cell>
          <cell r="D819" t="str">
            <v>OPERATING LEASES - VEHICLES (SHORT DURAT</v>
          </cell>
          <cell r="E819">
            <v>414</v>
          </cell>
          <cell r="F819">
            <v>407</v>
          </cell>
          <cell r="G819">
            <v>401</v>
          </cell>
          <cell r="H819">
            <v>0</v>
          </cell>
          <cell r="I819">
            <v>0</v>
          </cell>
          <cell r="J819">
            <v>0</v>
          </cell>
          <cell r="K819">
            <v>0</v>
          </cell>
          <cell r="L819">
            <v>0</v>
          </cell>
          <cell r="M819">
            <v>0</v>
          </cell>
          <cell r="N819">
            <v>0</v>
          </cell>
          <cell r="O819">
            <v>0</v>
          </cell>
          <cell r="P819">
            <v>0</v>
          </cell>
          <cell r="Q819">
            <v>1222</v>
          </cell>
        </row>
        <row r="820">
          <cell r="A820" t="str">
            <v>US35P015503951200002</v>
          </cell>
          <cell r="B820" t="str">
            <v>US35P01550</v>
          </cell>
          <cell r="C820">
            <v>3951200002</v>
          </cell>
          <cell r="D820" t="str">
            <v>OPERATING LEASES - VEHICLES (SHORT DURAT</v>
          </cell>
          <cell r="E820">
            <v>3980</v>
          </cell>
          <cell r="F820">
            <v>3908</v>
          </cell>
          <cell r="G820">
            <v>4806</v>
          </cell>
          <cell r="H820">
            <v>0</v>
          </cell>
          <cell r="I820">
            <v>0</v>
          </cell>
          <cell r="J820">
            <v>0</v>
          </cell>
          <cell r="K820">
            <v>0</v>
          </cell>
          <cell r="L820">
            <v>0</v>
          </cell>
          <cell r="M820">
            <v>0</v>
          </cell>
          <cell r="N820">
            <v>0</v>
          </cell>
          <cell r="O820">
            <v>0</v>
          </cell>
          <cell r="P820">
            <v>0</v>
          </cell>
          <cell r="Q820">
            <v>12694</v>
          </cell>
        </row>
        <row r="821">
          <cell r="A821" t="str">
            <v>US59P015013951200002</v>
          </cell>
          <cell r="B821" t="str">
            <v>US59P01501</v>
          </cell>
          <cell r="C821">
            <v>3951200002</v>
          </cell>
          <cell r="D821" t="str">
            <v>OPERATING LEASES - VEHICLES (SHORT DURAT</v>
          </cell>
          <cell r="E821">
            <v>1832</v>
          </cell>
          <cell r="F821">
            <v>1779</v>
          </cell>
          <cell r="G821">
            <v>2320</v>
          </cell>
          <cell r="H821">
            <v>0</v>
          </cell>
          <cell r="I821">
            <v>0</v>
          </cell>
          <cell r="J821">
            <v>0</v>
          </cell>
          <cell r="K821">
            <v>0</v>
          </cell>
          <cell r="L821">
            <v>0</v>
          </cell>
          <cell r="M821">
            <v>0</v>
          </cell>
          <cell r="N821">
            <v>0</v>
          </cell>
          <cell r="O821">
            <v>0</v>
          </cell>
          <cell r="P821">
            <v>0</v>
          </cell>
          <cell r="Q821">
            <v>5931</v>
          </cell>
        </row>
        <row r="822">
          <cell r="A822" t="str">
            <v>US59PZA5013951200002</v>
          </cell>
          <cell r="B822" t="str">
            <v>US59PZA501</v>
          </cell>
          <cell r="C822">
            <v>3951200002</v>
          </cell>
          <cell r="D822" t="str">
            <v>OPERATING LEASES - VEHICLES (SHORT DURAT</v>
          </cell>
          <cell r="E822">
            <v>-80</v>
          </cell>
          <cell r="F822">
            <v>-80</v>
          </cell>
          <cell r="G822">
            <v>-80</v>
          </cell>
          <cell r="H822">
            <v>0</v>
          </cell>
          <cell r="I822">
            <v>0</v>
          </cell>
          <cell r="J822">
            <v>0</v>
          </cell>
          <cell r="K822">
            <v>0</v>
          </cell>
          <cell r="L822">
            <v>0</v>
          </cell>
          <cell r="M822">
            <v>0</v>
          </cell>
          <cell r="N822">
            <v>0</v>
          </cell>
          <cell r="O822">
            <v>0</v>
          </cell>
          <cell r="P822">
            <v>0</v>
          </cell>
          <cell r="Q822">
            <v>-240</v>
          </cell>
        </row>
        <row r="823">
          <cell r="A823" t="str">
            <v>USCRMZA1503951200002</v>
          </cell>
          <cell r="B823" t="str">
            <v>USCRMZA150</v>
          </cell>
          <cell r="C823">
            <v>3951200002</v>
          </cell>
          <cell r="D823" t="str">
            <v>OPERATING LEASES - VEHICLES (SHORT DURAT</v>
          </cell>
          <cell r="E823">
            <v>25</v>
          </cell>
          <cell r="F823">
            <v>25</v>
          </cell>
          <cell r="G823">
            <v>25</v>
          </cell>
          <cell r="H823">
            <v>0</v>
          </cell>
          <cell r="I823">
            <v>0</v>
          </cell>
          <cell r="J823">
            <v>0</v>
          </cell>
          <cell r="K823">
            <v>0</v>
          </cell>
          <cell r="L823">
            <v>0</v>
          </cell>
          <cell r="M823">
            <v>0</v>
          </cell>
          <cell r="N823">
            <v>0</v>
          </cell>
          <cell r="O823">
            <v>0</v>
          </cell>
          <cell r="P823">
            <v>0</v>
          </cell>
          <cell r="Q823">
            <v>75</v>
          </cell>
        </row>
        <row r="824">
          <cell r="A824" t="str">
            <v>USWOP015013951200002</v>
          </cell>
          <cell r="B824" t="str">
            <v>USWOP01501</v>
          </cell>
          <cell r="C824">
            <v>3951200002</v>
          </cell>
          <cell r="D824" t="str">
            <v>OPERATING LEASES - VEHICLES (SHORT DURAT</v>
          </cell>
          <cell r="E824">
            <v>590</v>
          </cell>
          <cell r="F824">
            <v>580</v>
          </cell>
          <cell r="G824">
            <v>10958</v>
          </cell>
          <cell r="H824">
            <v>0</v>
          </cell>
          <cell r="I824">
            <v>0</v>
          </cell>
          <cell r="J824">
            <v>0</v>
          </cell>
          <cell r="K824">
            <v>0</v>
          </cell>
          <cell r="L824">
            <v>0</v>
          </cell>
          <cell r="M824">
            <v>0</v>
          </cell>
          <cell r="N824">
            <v>0</v>
          </cell>
          <cell r="O824">
            <v>0</v>
          </cell>
          <cell r="P824">
            <v>0</v>
          </cell>
          <cell r="Q824">
            <v>12128</v>
          </cell>
        </row>
        <row r="825">
          <cell r="A825" t="str">
            <v>USWOP015503951200002</v>
          </cell>
          <cell r="B825" t="str">
            <v>USWOP01550</v>
          </cell>
          <cell r="C825">
            <v>3951200002</v>
          </cell>
          <cell r="D825" t="str">
            <v>OPERATING LEASES - VEHICLES (SHORT DURAT</v>
          </cell>
          <cell r="E825">
            <v>2726</v>
          </cell>
          <cell r="F825">
            <v>41</v>
          </cell>
          <cell r="G825">
            <v>0</v>
          </cell>
          <cell r="H825">
            <v>0</v>
          </cell>
          <cell r="I825">
            <v>0</v>
          </cell>
          <cell r="J825">
            <v>0</v>
          </cell>
          <cell r="K825">
            <v>0</v>
          </cell>
          <cell r="L825">
            <v>0</v>
          </cell>
          <cell r="M825">
            <v>0</v>
          </cell>
          <cell r="N825">
            <v>0</v>
          </cell>
          <cell r="O825">
            <v>0</v>
          </cell>
          <cell r="P825">
            <v>0</v>
          </cell>
          <cell r="Q825">
            <v>2767</v>
          </cell>
        </row>
        <row r="826">
          <cell r="A826" t="str">
            <v>USWOP015643951200008</v>
          </cell>
          <cell r="B826" t="str">
            <v>USWOP01564</v>
          </cell>
          <cell r="C826">
            <v>3951200008</v>
          </cell>
          <cell r="D826" t="str">
            <v>OPERATING LEASES - PERSONAL COMPUTER</v>
          </cell>
          <cell r="E826">
            <v>215</v>
          </cell>
          <cell r="F826">
            <v>215</v>
          </cell>
          <cell r="G826">
            <v>215</v>
          </cell>
          <cell r="H826">
            <v>0</v>
          </cell>
          <cell r="I826">
            <v>0</v>
          </cell>
          <cell r="J826">
            <v>0</v>
          </cell>
          <cell r="K826">
            <v>0</v>
          </cell>
          <cell r="L826">
            <v>0</v>
          </cell>
          <cell r="M826">
            <v>0</v>
          </cell>
          <cell r="N826">
            <v>0</v>
          </cell>
          <cell r="O826">
            <v>0</v>
          </cell>
          <cell r="P826">
            <v>0</v>
          </cell>
          <cell r="Q826">
            <v>645</v>
          </cell>
        </row>
        <row r="827">
          <cell r="A827" t="str">
            <v>US28P015533981100067</v>
          </cell>
          <cell r="B827" t="str">
            <v>US28P01553</v>
          </cell>
          <cell r="C827">
            <v>3981100067</v>
          </cell>
          <cell r="D827" t="str">
            <v>NET BOOK VALUE OF FIXED ASSETS 3RD</v>
          </cell>
          <cell r="E827">
            <v>0</v>
          </cell>
          <cell r="F827">
            <v>0</v>
          </cell>
          <cell r="G827">
            <v>0</v>
          </cell>
          <cell r="H827">
            <v>0</v>
          </cell>
          <cell r="I827">
            <v>0</v>
          </cell>
          <cell r="J827">
            <v>0</v>
          </cell>
          <cell r="K827">
            <v>0</v>
          </cell>
          <cell r="L827">
            <v>0</v>
          </cell>
          <cell r="M827">
            <v>0</v>
          </cell>
          <cell r="N827">
            <v>0</v>
          </cell>
          <cell r="O827">
            <v>0</v>
          </cell>
          <cell r="P827">
            <v>0</v>
          </cell>
          <cell r="Q827">
            <v>0</v>
          </cell>
        </row>
        <row r="828">
          <cell r="A828" t="str">
            <v>USCRMZA1503981100067</v>
          </cell>
          <cell r="B828" t="str">
            <v>USCRMZA150</v>
          </cell>
          <cell r="C828">
            <v>3981100067</v>
          </cell>
          <cell r="D828" t="str">
            <v>NET BOOK VALUE OF FIXED ASSETS 3RD</v>
          </cell>
          <cell r="E828">
            <v>0</v>
          </cell>
          <cell r="F828">
            <v>-500</v>
          </cell>
          <cell r="G828">
            <v>0</v>
          </cell>
          <cell r="H828">
            <v>0</v>
          </cell>
          <cell r="I828">
            <v>0</v>
          </cell>
          <cell r="J828">
            <v>0</v>
          </cell>
          <cell r="K828">
            <v>0</v>
          </cell>
          <cell r="L828">
            <v>0</v>
          </cell>
          <cell r="M828">
            <v>0</v>
          </cell>
          <cell r="N828">
            <v>0</v>
          </cell>
          <cell r="O828">
            <v>0</v>
          </cell>
          <cell r="P828">
            <v>0</v>
          </cell>
          <cell r="Q828">
            <v>-500</v>
          </cell>
        </row>
        <row r="829">
          <cell r="A829" t="str">
            <v>USCRP015013981100067</v>
          </cell>
          <cell r="B829" t="str">
            <v>USCRP01501</v>
          </cell>
          <cell r="C829">
            <v>3981100067</v>
          </cell>
          <cell r="D829" t="str">
            <v>NET BOOK VALUE OF FIXED ASSETS 3RD</v>
          </cell>
          <cell r="E829">
            <v>0</v>
          </cell>
          <cell r="F829">
            <v>500</v>
          </cell>
          <cell r="G829">
            <v>0</v>
          </cell>
          <cell r="H829">
            <v>0</v>
          </cell>
          <cell r="I829">
            <v>0</v>
          </cell>
          <cell r="J829">
            <v>0</v>
          </cell>
          <cell r="K829">
            <v>0</v>
          </cell>
          <cell r="L829">
            <v>0</v>
          </cell>
          <cell r="M829">
            <v>0</v>
          </cell>
          <cell r="N829">
            <v>0</v>
          </cell>
          <cell r="O829">
            <v>0</v>
          </cell>
          <cell r="P829">
            <v>0</v>
          </cell>
          <cell r="Q829">
            <v>500</v>
          </cell>
        </row>
        <row r="830">
          <cell r="A830" t="str">
            <v>USWOP015013981100067</v>
          </cell>
          <cell r="B830" t="str">
            <v>USWOP01501</v>
          </cell>
          <cell r="C830">
            <v>3981100067</v>
          </cell>
          <cell r="D830" t="str">
            <v>NET BOOK VALUE OF FIXED ASSETS 3RD</v>
          </cell>
          <cell r="E830">
            <v>0</v>
          </cell>
          <cell r="F830">
            <v>0</v>
          </cell>
          <cell r="G830">
            <v>0</v>
          </cell>
          <cell r="H830">
            <v>0</v>
          </cell>
          <cell r="I830">
            <v>0</v>
          </cell>
          <cell r="J830">
            <v>0</v>
          </cell>
          <cell r="K830">
            <v>0</v>
          </cell>
          <cell r="L830">
            <v>0</v>
          </cell>
          <cell r="M830">
            <v>0</v>
          </cell>
          <cell r="N830">
            <v>0</v>
          </cell>
          <cell r="O830">
            <v>0</v>
          </cell>
          <cell r="P830">
            <v>0</v>
          </cell>
          <cell r="Q830">
            <v>0</v>
          </cell>
        </row>
        <row r="831">
          <cell r="A831" t="str">
            <v>US28P015533981100078</v>
          </cell>
          <cell r="B831" t="str">
            <v>US28P01553</v>
          </cell>
          <cell r="C831">
            <v>3981100078</v>
          </cell>
          <cell r="D831" t="str">
            <v>GAIN ON FIXED ASSET</v>
          </cell>
          <cell r="E831">
            <v>0</v>
          </cell>
          <cell r="F831">
            <v>0</v>
          </cell>
          <cell r="G831">
            <v>-3000</v>
          </cell>
          <cell r="H831">
            <v>0</v>
          </cell>
          <cell r="I831">
            <v>0</v>
          </cell>
          <cell r="J831">
            <v>0</v>
          </cell>
          <cell r="K831">
            <v>0</v>
          </cell>
          <cell r="L831">
            <v>0</v>
          </cell>
          <cell r="M831">
            <v>0</v>
          </cell>
          <cell r="N831">
            <v>0</v>
          </cell>
          <cell r="O831">
            <v>0</v>
          </cell>
          <cell r="P831">
            <v>0</v>
          </cell>
          <cell r="Q831">
            <v>-3000</v>
          </cell>
        </row>
        <row r="832">
          <cell r="A832" t="str">
            <v>USCOP015013981100078</v>
          </cell>
          <cell r="B832" t="str">
            <v>USCOP01501</v>
          </cell>
          <cell r="C832">
            <v>3981100078</v>
          </cell>
          <cell r="D832" t="str">
            <v>GAIN ON FIXED ASSET</v>
          </cell>
          <cell r="E832">
            <v>0</v>
          </cell>
          <cell r="F832">
            <v>0</v>
          </cell>
          <cell r="G832">
            <v>13739</v>
          </cell>
          <cell r="H832">
            <v>0</v>
          </cell>
          <cell r="I832">
            <v>0</v>
          </cell>
          <cell r="J832">
            <v>0</v>
          </cell>
          <cell r="K832">
            <v>0</v>
          </cell>
          <cell r="L832">
            <v>0</v>
          </cell>
          <cell r="M832">
            <v>0</v>
          </cell>
          <cell r="N832">
            <v>0</v>
          </cell>
          <cell r="O832">
            <v>0</v>
          </cell>
          <cell r="P832">
            <v>0</v>
          </cell>
          <cell r="Q832">
            <v>13739</v>
          </cell>
        </row>
        <row r="833">
          <cell r="A833" t="str">
            <v>USCRP015013981100078</v>
          </cell>
          <cell r="B833" t="str">
            <v>USCRP01501</v>
          </cell>
          <cell r="C833">
            <v>3981100078</v>
          </cell>
          <cell r="D833" t="str">
            <v>GAIN ON FIXED ASSET</v>
          </cell>
          <cell r="E833">
            <v>0</v>
          </cell>
          <cell r="F833">
            <v>-2493</v>
          </cell>
          <cell r="G833">
            <v>0</v>
          </cell>
          <cell r="H833">
            <v>0</v>
          </cell>
          <cell r="I833">
            <v>0</v>
          </cell>
          <cell r="J833">
            <v>0</v>
          </cell>
          <cell r="K833">
            <v>0</v>
          </cell>
          <cell r="L833">
            <v>0</v>
          </cell>
          <cell r="M833">
            <v>0</v>
          </cell>
          <cell r="N833">
            <v>0</v>
          </cell>
          <cell r="O833">
            <v>0</v>
          </cell>
          <cell r="P833">
            <v>0</v>
          </cell>
          <cell r="Q833">
            <v>-2493</v>
          </cell>
        </row>
        <row r="834">
          <cell r="A834" t="str">
            <v>US22P015013991200001</v>
          </cell>
          <cell r="B834" t="str">
            <v>US22P01501</v>
          </cell>
          <cell r="C834">
            <v>3991200001</v>
          </cell>
          <cell r="D834" t="str">
            <v>POSTAGE EXPENSES</v>
          </cell>
          <cell r="E834">
            <v>519</v>
          </cell>
          <cell r="F834">
            <v>0</v>
          </cell>
          <cell r="G834">
            <v>-28</v>
          </cell>
          <cell r="H834">
            <v>0</v>
          </cell>
          <cell r="I834">
            <v>0</v>
          </cell>
          <cell r="J834">
            <v>0</v>
          </cell>
          <cell r="K834">
            <v>0</v>
          </cell>
          <cell r="L834">
            <v>0</v>
          </cell>
          <cell r="M834">
            <v>0</v>
          </cell>
          <cell r="N834">
            <v>0</v>
          </cell>
          <cell r="O834">
            <v>0</v>
          </cell>
          <cell r="P834">
            <v>0</v>
          </cell>
          <cell r="Q834">
            <v>491</v>
          </cell>
        </row>
        <row r="835">
          <cell r="A835" t="str">
            <v>US28P015013991200001</v>
          </cell>
          <cell r="B835" t="str">
            <v>US28P01501</v>
          </cell>
          <cell r="C835">
            <v>3991200001</v>
          </cell>
          <cell r="D835" t="str">
            <v>POSTAGE EXPENSES</v>
          </cell>
          <cell r="E835">
            <v>-9</v>
          </cell>
          <cell r="F835">
            <v>0</v>
          </cell>
          <cell r="G835">
            <v>-28</v>
          </cell>
          <cell r="H835">
            <v>0</v>
          </cell>
          <cell r="I835">
            <v>0</v>
          </cell>
          <cell r="J835">
            <v>0</v>
          </cell>
          <cell r="K835">
            <v>0</v>
          </cell>
          <cell r="L835">
            <v>0</v>
          </cell>
          <cell r="M835">
            <v>0</v>
          </cell>
          <cell r="N835">
            <v>0</v>
          </cell>
          <cell r="O835">
            <v>0</v>
          </cell>
          <cell r="P835">
            <v>0</v>
          </cell>
          <cell r="Q835">
            <v>-37</v>
          </cell>
        </row>
        <row r="836">
          <cell r="A836" t="str">
            <v>US35P015013991200001</v>
          </cell>
          <cell r="B836" t="str">
            <v>US35P01501</v>
          </cell>
          <cell r="C836">
            <v>3991200001</v>
          </cell>
          <cell r="D836" t="str">
            <v>POSTAGE EXPENSES</v>
          </cell>
          <cell r="E836">
            <v>0</v>
          </cell>
          <cell r="F836">
            <v>0</v>
          </cell>
          <cell r="G836">
            <v>0</v>
          </cell>
          <cell r="H836">
            <v>0</v>
          </cell>
          <cell r="I836">
            <v>0</v>
          </cell>
          <cell r="J836">
            <v>0</v>
          </cell>
          <cell r="K836">
            <v>0</v>
          </cell>
          <cell r="L836">
            <v>0</v>
          </cell>
          <cell r="M836">
            <v>0</v>
          </cell>
          <cell r="N836">
            <v>0</v>
          </cell>
          <cell r="O836">
            <v>0</v>
          </cell>
          <cell r="P836">
            <v>0</v>
          </cell>
          <cell r="Q836">
            <v>0</v>
          </cell>
        </row>
        <row r="837">
          <cell r="A837" t="str">
            <v>US59P015013991200001</v>
          </cell>
          <cell r="B837" t="str">
            <v>US59P01501</v>
          </cell>
          <cell r="C837">
            <v>3991200001</v>
          </cell>
          <cell r="D837" t="str">
            <v>POSTAGE EXPENSES</v>
          </cell>
          <cell r="E837">
            <v>484</v>
          </cell>
          <cell r="F837">
            <v>0</v>
          </cell>
          <cell r="G837">
            <v>0</v>
          </cell>
          <cell r="H837">
            <v>0</v>
          </cell>
          <cell r="I837">
            <v>0</v>
          </cell>
          <cell r="J837">
            <v>0</v>
          </cell>
          <cell r="K837">
            <v>0</v>
          </cell>
          <cell r="L837">
            <v>0</v>
          </cell>
          <cell r="M837">
            <v>0</v>
          </cell>
          <cell r="N837">
            <v>0</v>
          </cell>
          <cell r="O837">
            <v>0</v>
          </cell>
          <cell r="P837">
            <v>0</v>
          </cell>
          <cell r="Q837">
            <v>484</v>
          </cell>
        </row>
        <row r="838">
          <cell r="A838" t="str">
            <v>US59P3C5013991200001</v>
          </cell>
          <cell r="B838" t="str">
            <v>US59P3C501</v>
          </cell>
          <cell r="C838">
            <v>3991200001</v>
          </cell>
          <cell r="D838" t="str">
            <v>POSTAGE EXPENSES</v>
          </cell>
          <cell r="E838">
            <v>0</v>
          </cell>
          <cell r="F838">
            <v>0</v>
          </cell>
          <cell r="G838">
            <v>5</v>
          </cell>
          <cell r="H838">
            <v>0</v>
          </cell>
          <cell r="I838">
            <v>0</v>
          </cell>
          <cell r="J838">
            <v>0</v>
          </cell>
          <cell r="K838">
            <v>0</v>
          </cell>
          <cell r="L838">
            <v>0</v>
          </cell>
          <cell r="M838">
            <v>0</v>
          </cell>
          <cell r="N838">
            <v>0</v>
          </cell>
          <cell r="O838">
            <v>0</v>
          </cell>
          <cell r="P838">
            <v>0</v>
          </cell>
          <cell r="Q838">
            <v>5</v>
          </cell>
        </row>
        <row r="839">
          <cell r="A839" t="str">
            <v>USCRP015013991200001</v>
          </cell>
          <cell r="B839" t="str">
            <v>USCRP01501</v>
          </cell>
          <cell r="C839">
            <v>3991200001</v>
          </cell>
          <cell r="D839" t="str">
            <v>POSTAGE EXPENSES</v>
          </cell>
          <cell r="E839">
            <v>10</v>
          </cell>
          <cell r="F839">
            <v>0</v>
          </cell>
          <cell r="G839">
            <v>5</v>
          </cell>
          <cell r="H839">
            <v>0</v>
          </cell>
          <cell r="I839">
            <v>0</v>
          </cell>
          <cell r="J839">
            <v>0</v>
          </cell>
          <cell r="K839">
            <v>0</v>
          </cell>
          <cell r="L839">
            <v>0</v>
          </cell>
          <cell r="M839">
            <v>0</v>
          </cell>
          <cell r="N839">
            <v>0</v>
          </cell>
          <cell r="O839">
            <v>0</v>
          </cell>
          <cell r="P839">
            <v>0</v>
          </cell>
          <cell r="Q839">
            <v>15</v>
          </cell>
        </row>
        <row r="840">
          <cell r="A840" t="str">
            <v>USWOP015013991200001</v>
          </cell>
          <cell r="B840" t="str">
            <v>USWOP01501</v>
          </cell>
          <cell r="C840">
            <v>3991200001</v>
          </cell>
          <cell r="D840" t="str">
            <v>POSTAGE EXPENSES</v>
          </cell>
          <cell r="E840">
            <v>135</v>
          </cell>
          <cell r="F840">
            <v>177</v>
          </cell>
          <cell r="G840">
            <v>230</v>
          </cell>
          <cell r="H840">
            <v>0</v>
          </cell>
          <cell r="I840">
            <v>0</v>
          </cell>
          <cell r="J840">
            <v>0</v>
          </cell>
          <cell r="K840">
            <v>0</v>
          </cell>
          <cell r="L840">
            <v>0</v>
          </cell>
          <cell r="M840">
            <v>0</v>
          </cell>
          <cell r="N840">
            <v>0</v>
          </cell>
          <cell r="O840">
            <v>0</v>
          </cell>
          <cell r="P840">
            <v>0</v>
          </cell>
          <cell r="Q840">
            <v>542</v>
          </cell>
        </row>
        <row r="841">
          <cell r="A841" t="str">
            <v>US22MZA1503991200012</v>
          </cell>
          <cell r="B841" t="str">
            <v>US22MZA150</v>
          </cell>
          <cell r="C841">
            <v>3991200012</v>
          </cell>
          <cell r="D841" t="str">
            <v>DELIVERY SERVICES</v>
          </cell>
          <cell r="E841">
            <v>107</v>
          </cell>
          <cell r="F841">
            <v>24</v>
          </cell>
          <cell r="G841">
            <v>99</v>
          </cell>
          <cell r="H841">
            <v>0</v>
          </cell>
          <cell r="I841">
            <v>0</v>
          </cell>
          <cell r="J841">
            <v>0</v>
          </cell>
          <cell r="K841">
            <v>0</v>
          </cell>
          <cell r="L841">
            <v>0</v>
          </cell>
          <cell r="M841">
            <v>0</v>
          </cell>
          <cell r="N841">
            <v>0</v>
          </cell>
          <cell r="O841">
            <v>0</v>
          </cell>
          <cell r="P841">
            <v>0</v>
          </cell>
          <cell r="Q841">
            <v>230</v>
          </cell>
        </row>
        <row r="842">
          <cell r="A842" t="str">
            <v>US22P015013991200012</v>
          </cell>
          <cell r="B842" t="str">
            <v>US22P01501</v>
          </cell>
          <cell r="C842">
            <v>3991200012</v>
          </cell>
          <cell r="D842" t="str">
            <v>DELIVERY SERVICES</v>
          </cell>
          <cell r="E842">
            <v>442</v>
          </cell>
          <cell r="F842">
            <v>20</v>
          </cell>
          <cell r="G842">
            <v>243</v>
          </cell>
          <cell r="H842">
            <v>0</v>
          </cell>
          <cell r="I842">
            <v>0</v>
          </cell>
          <cell r="J842">
            <v>0</v>
          </cell>
          <cell r="K842">
            <v>0</v>
          </cell>
          <cell r="L842">
            <v>0</v>
          </cell>
          <cell r="M842">
            <v>0</v>
          </cell>
          <cell r="N842">
            <v>0</v>
          </cell>
          <cell r="O842">
            <v>0</v>
          </cell>
          <cell r="P842">
            <v>0</v>
          </cell>
          <cell r="Q842">
            <v>705</v>
          </cell>
        </row>
        <row r="843">
          <cell r="A843" t="str">
            <v>US22P015603991200012</v>
          </cell>
          <cell r="B843" t="str">
            <v>US22P01560</v>
          </cell>
          <cell r="C843">
            <v>3991200012</v>
          </cell>
          <cell r="D843" t="str">
            <v>DELIVERY SERVICES</v>
          </cell>
          <cell r="E843">
            <v>0</v>
          </cell>
          <cell r="F843">
            <v>0</v>
          </cell>
          <cell r="G843">
            <v>0</v>
          </cell>
          <cell r="H843">
            <v>0</v>
          </cell>
          <cell r="I843">
            <v>0</v>
          </cell>
          <cell r="J843">
            <v>0</v>
          </cell>
          <cell r="K843">
            <v>0</v>
          </cell>
          <cell r="L843">
            <v>0</v>
          </cell>
          <cell r="M843">
            <v>0</v>
          </cell>
          <cell r="N843">
            <v>0</v>
          </cell>
          <cell r="O843">
            <v>0</v>
          </cell>
          <cell r="P843">
            <v>0</v>
          </cell>
          <cell r="Q843">
            <v>0</v>
          </cell>
        </row>
        <row r="844">
          <cell r="A844" t="str">
            <v>US22P015903991200012</v>
          </cell>
          <cell r="B844" t="str">
            <v>US22P01590</v>
          </cell>
          <cell r="C844">
            <v>3991200012</v>
          </cell>
          <cell r="D844" t="str">
            <v>DELIVERY SERVICES</v>
          </cell>
          <cell r="E844">
            <v>635</v>
          </cell>
          <cell r="F844">
            <v>0</v>
          </cell>
          <cell r="G844">
            <v>0</v>
          </cell>
          <cell r="H844">
            <v>0</v>
          </cell>
          <cell r="I844">
            <v>0</v>
          </cell>
          <cell r="J844">
            <v>0</v>
          </cell>
          <cell r="K844">
            <v>0</v>
          </cell>
          <cell r="L844">
            <v>0</v>
          </cell>
          <cell r="M844">
            <v>0</v>
          </cell>
          <cell r="N844">
            <v>0</v>
          </cell>
          <cell r="O844">
            <v>0</v>
          </cell>
          <cell r="P844">
            <v>0</v>
          </cell>
          <cell r="Q844">
            <v>635</v>
          </cell>
        </row>
        <row r="845">
          <cell r="A845" t="str">
            <v>US22P015923991200012</v>
          </cell>
          <cell r="B845" t="str">
            <v>US22P01592</v>
          </cell>
          <cell r="C845">
            <v>3991200012</v>
          </cell>
          <cell r="D845" t="str">
            <v>DELIVERY SERVICES</v>
          </cell>
          <cell r="E845">
            <v>0</v>
          </cell>
          <cell r="F845">
            <v>0</v>
          </cell>
          <cell r="G845">
            <v>524</v>
          </cell>
          <cell r="H845">
            <v>0</v>
          </cell>
          <cell r="I845">
            <v>0</v>
          </cell>
          <cell r="J845">
            <v>0</v>
          </cell>
          <cell r="K845">
            <v>0</v>
          </cell>
          <cell r="L845">
            <v>0</v>
          </cell>
          <cell r="M845">
            <v>0</v>
          </cell>
          <cell r="N845">
            <v>0</v>
          </cell>
          <cell r="O845">
            <v>0</v>
          </cell>
          <cell r="P845">
            <v>0</v>
          </cell>
          <cell r="Q845">
            <v>524</v>
          </cell>
        </row>
        <row r="846">
          <cell r="A846" t="str">
            <v>US28MZA1503991200012</v>
          </cell>
          <cell r="B846" t="str">
            <v>US28MZA150</v>
          </cell>
          <cell r="C846">
            <v>3991200012</v>
          </cell>
          <cell r="D846" t="str">
            <v>DELIVERY SERVICES</v>
          </cell>
          <cell r="E846">
            <v>1130</v>
          </cell>
          <cell r="F846">
            <v>510</v>
          </cell>
          <cell r="G846">
            <v>459</v>
          </cell>
          <cell r="H846">
            <v>0</v>
          </cell>
          <cell r="I846">
            <v>0</v>
          </cell>
          <cell r="J846">
            <v>0</v>
          </cell>
          <cell r="K846">
            <v>0</v>
          </cell>
          <cell r="L846">
            <v>0</v>
          </cell>
          <cell r="M846">
            <v>0</v>
          </cell>
          <cell r="N846">
            <v>0</v>
          </cell>
          <cell r="O846">
            <v>0</v>
          </cell>
          <cell r="P846">
            <v>0</v>
          </cell>
          <cell r="Q846">
            <v>2099</v>
          </cell>
        </row>
        <row r="847">
          <cell r="A847" t="str">
            <v>US28P015013991200012</v>
          </cell>
          <cell r="B847" t="str">
            <v>US28P01501</v>
          </cell>
          <cell r="C847">
            <v>3991200012</v>
          </cell>
          <cell r="D847" t="str">
            <v>DELIVERY SERVICES</v>
          </cell>
          <cell r="E847">
            <v>86</v>
          </cell>
          <cell r="F847">
            <v>31</v>
          </cell>
          <cell r="G847">
            <v>0</v>
          </cell>
          <cell r="H847">
            <v>0</v>
          </cell>
          <cell r="I847">
            <v>0</v>
          </cell>
          <cell r="J847">
            <v>0</v>
          </cell>
          <cell r="K847">
            <v>0</v>
          </cell>
          <cell r="L847">
            <v>0</v>
          </cell>
          <cell r="M847">
            <v>0</v>
          </cell>
          <cell r="N847">
            <v>0</v>
          </cell>
          <cell r="O847">
            <v>0</v>
          </cell>
          <cell r="P847">
            <v>0</v>
          </cell>
          <cell r="Q847">
            <v>117</v>
          </cell>
        </row>
        <row r="848">
          <cell r="A848" t="str">
            <v>US28P015903991200012</v>
          </cell>
          <cell r="B848" t="str">
            <v>US28P01590</v>
          </cell>
          <cell r="C848">
            <v>3991200012</v>
          </cell>
          <cell r="D848" t="str">
            <v>DELIVERY SERVICES</v>
          </cell>
          <cell r="E848">
            <v>0</v>
          </cell>
          <cell r="F848">
            <v>0</v>
          </cell>
          <cell r="G848">
            <v>7</v>
          </cell>
          <cell r="H848">
            <v>0</v>
          </cell>
          <cell r="I848">
            <v>0</v>
          </cell>
          <cell r="J848">
            <v>0</v>
          </cell>
          <cell r="K848">
            <v>0</v>
          </cell>
          <cell r="L848">
            <v>0</v>
          </cell>
          <cell r="M848">
            <v>0</v>
          </cell>
          <cell r="N848">
            <v>0</v>
          </cell>
          <cell r="O848">
            <v>0</v>
          </cell>
          <cell r="P848">
            <v>0</v>
          </cell>
          <cell r="Q848">
            <v>7</v>
          </cell>
        </row>
        <row r="849">
          <cell r="A849" t="str">
            <v>US35MZA1503991200012</v>
          </cell>
          <cell r="B849" t="str">
            <v>US35MZA150</v>
          </cell>
          <cell r="C849">
            <v>3991200012</v>
          </cell>
          <cell r="D849" t="str">
            <v>DELIVERY SERVICES</v>
          </cell>
          <cell r="E849">
            <v>145</v>
          </cell>
          <cell r="F849">
            <v>8</v>
          </cell>
          <cell r="G849">
            <v>212</v>
          </cell>
          <cell r="H849">
            <v>0</v>
          </cell>
          <cell r="I849">
            <v>0</v>
          </cell>
          <cell r="J849">
            <v>0</v>
          </cell>
          <cell r="K849">
            <v>0</v>
          </cell>
          <cell r="L849">
            <v>0</v>
          </cell>
          <cell r="M849">
            <v>0</v>
          </cell>
          <cell r="N849">
            <v>0</v>
          </cell>
          <cell r="O849">
            <v>0</v>
          </cell>
          <cell r="P849">
            <v>0</v>
          </cell>
          <cell r="Q849">
            <v>365</v>
          </cell>
        </row>
        <row r="850">
          <cell r="A850" t="str">
            <v>US35P015013991200012</v>
          </cell>
          <cell r="B850" t="str">
            <v>US35P01501</v>
          </cell>
          <cell r="C850">
            <v>3991200012</v>
          </cell>
          <cell r="D850" t="str">
            <v>DELIVERY SERVICES</v>
          </cell>
          <cell r="E850">
            <v>287</v>
          </cell>
          <cell r="F850">
            <v>144</v>
          </cell>
          <cell r="G850">
            <v>26</v>
          </cell>
          <cell r="H850">
            <v>0</v>
          </cell>
          <cell r="I850">
            <v>0</v>
          </cell>
          <cell r="J850">
            <v>0</v>
          </cell>
          <cell r="K850">
            <v>0</v>
          </cell>
          <cell r="L850">
            <v>0</v>
          </cell>
          <cell r="M850">
            <v>0</v>
          </cell>
          <cell r="N850">
            <v>0</v>
          </cell>
          <cell r="O850">
            <v>0</v>
          </cell>
          <cell r="P850">
            <v>0</v>
          </cell>
          <cell r="Q850">
            <v>457</v>
          </cell>
        </row>
        <row r="851">
          <cell r="A851" t="str">
            <v>US35P015503991200012</v>
          </cell>
          <cell r="B851" t="str">
            <v>US35P01550</v>
          </cell>
          <cell r="C851">
            <v>3991200012</v>
          </cell>
          <cell r="D851" t="str">
            <v>DELIVERY SERVICES</v>
          </cell>
          <cell r="E851">
            <v>44</v>
          </cell>
          <cell r="F851">
            <v>0</v>
          </cell>
          <cell r="G851">
            <v>0</v>
          </cell>
          <cell r="H851">
            <v>0</v>
          </cell>
          <cell r="I851">
            <v>0</v>
          </cell>
          <cell r="J851">
            <v>0</v>
          </cell>
          <cell r="K851">
            <v>0</v>
          </cell>
          <cell r="L851">
            <v>0</v>
          </cell>
          <cell r="M851">
            <v>0</v>
          </cell>
          <cell r="N851">
            <v>0</v>
          </cell>
          <cell r="O851">
            <v>0</v>
          </cell>
          <cell r="P851">
            <v>0</v>
          </cell>
          <cell r="Q851">
            <v>44</v>
          </cell>
        </row>
        <row r="852">
          <cell r="A852" t="str">
            <v>US35P015603991200012</v>
          </cell>
          <cell r="B852" t="str">
            <v>US35P01560</v>
          </cell>
          <cell r="C852">
            <v>3991200012</v>
          </cell>
          <cell r="D852" t="str">
            <v>DELIVERY SERVICES</v>
          </cell>
          <cell r="E852">
            <v>79</v>
          </cell>
          <cell r="F852">
            <v>60</v>
          </cell>
          <cell r="G852">
            <v>0</v>
          </cell>
          <cell r="H852">
            <v>0</v>
          </cell>
          <cell r="I852">
            <v>0</v>
          </cell>
          <cell r="J852">
            <v>0</v>
          </cell>
          <cell r="K852">
            <v>0</v>
          </cell>
          <cell r="L852">
            <v>0</v>
          </cell>
          <cell r="M852">
            <v>0</v>
          </cell>
          <cell r="N852">
            <v>0</v>
          </cell>
          <cell r="O852">
            <v>0</v>
          </cell>
          <cell r="P852">
            <v>0</v>
          </cell>
          <cell r="Q852">
            <v>139</v>
          </cell>
        </row>
        <row r="853">
          <cell r="A853" t="str">
            <v>US35P015903991200012</v>
          </cell>
          <cell r="B853" t="str">
            <v>US35P01590</v>
          </cell>
          <cell r="C853">
            <v>3991200012</v>
          </cell>
          <cell r="D853" t="str">
            <v>DELIVERY SERVICES</v>
          </cell>
          <cell r="E853">
            <v>437</v>
          </cell>
          <cell r="F853">
            <v>610</v>
          </cell>
          <cell r="G853">
            <v>0</v>
          </cell>
          <cell r="H853">
            <v>0</v>
          </cell>
          <cell r="I853">
            <v>0</v>
          </cell>
          <cell r="J853">
            <v>0</v>
          </cell>
          <cell r="K853">
            <v>0</v>
          </cell>
          <cell r="L853">
            <v>0</v>
          </cell>
          <cell r="M853">
            <v>0</v>
          </cell>
          <cell r="N853">
            <v>0</v>
          </cell>
          <cell r="O853">
            <v>0</v>
          </cell>
          <cell r="P853">
            <v>0</v>
          </cell>
          <cell r="Q853">
            <v>1047</v>
          </cell>
        </row>
        <row r="854">
          <cell r="A854" t="str">
            <v>US59MZA1503991200012</v>
          </cell>
          <cell r="B854" t="str">
            <v>US59MZA150</v>
          </cell>
          <cell r="C854">
            <v>3991200012</v>
          </cell>
          <cell r="D854" t="str">
            <v>DELIVERY SERVICES</v>
          </cell>
          <cell r="E854">
            <v>0</v>
          </cell>
          <cell r="F854">
            <v>0</v>
          </cell>
          <cell r="G854">
            <v>0</v>
          </cell>
          <cell r="H854">
            <v>0</v>
          </cell>
          <cell r="I854">
            <v>0</v>
          </cell>
          <cell r="J854">
            <v>0</v>
          </cell>
          <cell r="K854">
            <v>0</v>
          </cell>
          <cell r="L854">
            <v>0</v>
          </cell>
          <cell r="M854">
            <v>0</v>
          </cell>
          <cell r="N854">
            <v>0</v>
          </cell>
          <cell r="O854">
            <v>0</v>
          </cell>
          <cell r="P854">
            <v>0</v>
          </cell>
          <cell r="Q854">
            <v>0</v>
          </cell>
        </row>
        <row r="855">
          <cell r="A855" t="str">
            <v>US59P015013991200012</v>
          </cell>
          <cell r="B855" t="str">
            <v>US59P01501</v>
          </cell>
          <cell r="C855">
            <v>3991200012</v>
          </cell>
          <cell r="D855" t="str">
            <v>DELIVERY SERVICES</v>
          </cell>
          <cell r="E855">
            <v>0</v>
          </cell>
          <cell r="F855">
            <v>0</v>
          </cell>
          <cell r="G855">
            <v>332</v>
          </cell>
          <cell r="H855">
            <v>0</v>
          </cell>
          <cell r="I855">
            <v>0</v>
          </cell>
          <cell r="J855">
            <v>0</v>
          </cell>
          <cell r="K855">
            <v>0</v>
          </cell>
          <cell r="L855">
            <v>0</v>
          </cell>
          <cell r="M855">
            <v>0</v>
          </cell>
          <cell r="N855">
            <v>0</v>
          </cell>
          <cell r="O855">
            <v>0</v>
          </cell>
          <cell r="P855">
            <v>0</v>
          </cell>
          <cell r="Q855">
            <v>332</v>
          </cell>
        </row>
        <row r="856">
          <cell r="A856" t="str">
            <v>US59P3C5013991200012</v>
          </cell>
          <cell r="B856" t="str">
            <v>US59P3C501</v>
          </cell>
          <cell r="C856">
            <v>3991200012</v>
          </cell>
          <cell r="D856" t="str">
            <v>DELIVERY SERVICES</v>
          </cell>
          <cell r="E856">
            <v>587</v>
          </cell>
          <cell r="F856">
            <v>766</v>
          </cell>
          <cell r="G856">
            <v>426</v>
          </cell>
          <cell r="H856">
            <v>0</v>
          </cell>
          <cell r="I856">
            <v>0</v>
          </cell>
          <cell r="J856">
            <v>0</v>
          </cell>
          <cell r="K856">
            <v>0</v>
          </cell>
          <cell r="L856">
            <v>0</v>
          </cell>
          <cell r="M856">
            <v>0</v>
          </cell>
          <cell r="N856">
            <v>0</v>
          </cell>
          <cell r="O856">
            <v>0</v>
          </cell>
          <cell r="P856">
            <v>0</v>
          </cell>
          <cell r="Q856">
            <v>1779</v>
          </cell>
        </row>
        <row r="857">
          <cell r="A857" t="str">
            <v>USCRMZA1503991200012</v>
          </cell>
          <cell r="B857" t="str">
            <v>USCRMZA150</v>
          </cell>
          <cell r="C857">
            <v>3991200012</v>
          </cell>
          <cell r="D857" t="str">
            <v>DELIVERY SERVICES</v>
          </cell>
          <cell r="E857">
            <v>197</v>
          </cell>
          <cell r="F857">
            <v>6</v>
          </cell>
          <cell r="G857">
            <v>226</v>
          </cell>
          <cell r="H857">
            <v>0</v>
          </cell>
          <cell r="I857">
            <v>0</v>
          </cell>
          <cell r="J857">
            <v>0</v>
          </cell>
          <cell r="K857">
            <v>0</v>
          </cell>
          <cell r="L857">
            <v>0</v>
          </cell>
          <cell r="M857">
            <v>0</v>
          </cell>
          <cell r="N857">
            <v>0</v>
          </cell>
          <cell r="O857">
            <v>0</v>
          </cell>
          <cell r="P857">
            <v>0</v>
          </cell>
          <cell r="Q857">
            <v>429</v>
          </cell>
        </row>
        <row r="858">
          <cell r="A858" t="str">
            <v>USCRP015753991200012</v>
          </cell>
          <cell r="B858" t="str">
            <v>USCRP01575</v>
          </cell>
          <cell r="C858">
            <v>3991200012</v>
          </cell>
          <cell r="D858" t="str">
            <v>DELIVERY SERVICES</v>
          </cell>
          <cell r="E858">
            <v>62</v>
          </cell>
          <cell r="F858">
            <v>0</v>
          </cell>
          <cell r="G858">
            <v>0</v>
          </cell>
          <cell r="H858">
            <v>0</v>
          </cell>
          <cell r="I858">
            <v>0</v>
          </cell>
          <cell r="J858">
            <v>0</v>
          </cell>
          <cell r="K858">
            <v>0</v>
          </cell>
          <cell r="L858">
            <v>0</v>
          </cell>
          <cell r="M858">
            <v>0</v>
          </cell>
          <cell r="N858">
            <v>0</v>
          </cell>
          <cell r="O858">
            <v>0</v>
          </cell>
          <cell r="P858">
            <v>0</v>
          </cell>
          <cell r="Q858">
            <v>62</v>
          </cell>
        </row>
        <row r="859">
          <cell r="A859" t="str">
            <v>USWOMZA1503991200012</v>
          </cell>
          <cell r="B859" t="str">
            <v>USWOMZA150</v>
          </cell>
          <cell r="C859">
            <v>3991200012</v>
          </cell>
          <cell r="D859" t="str">
            <v>DELIVERY SERVICES</v>
          </cell>
          <cell r="E859">
            <v>136</v>
          </cell>
          <cell r="F859">
            <v>64</v>
          </cell>
          <cell r="G859">
            <v>144</v>
          </cell>
          <cell r="H859">
            <v>0</v>
          </cell>
          <cell r="I859">
            <v>0</v>
          </cell>
          <cell r="J859">
            <v>0</v>
          </cell>
          <cell r="K859">
            <v>0</v>
          </cell>
          <cell r="L859">
            <v>0</v>
          </cell>
          <cell r="M859">
            <v>0</v>
          </cell>
          <cell r="N859">
            <v>0</v>
          </cell>
          <cell r="O859">
            <v>0</v>
          </cell>
          <cell r="P859">
            <v>0</v>
          </cell>
          <cell r="Q859">
            <v>344</v>
          </cell>
        </row>
        <row r="860">
          <cell r="A860" t="str">
            <v>USWOP015013991200012</v>
          </cell>
          <cell r="B860" t="str">
            <v>USWOP01501</v>
          </cell>
          <cell r="C860">
            <v>3991200012</v>
          </cell>
          <cell r="D860" t="str">
            <v>DELIVERY SERVICES</v>
          </cell>
          <cell r="E860">
            <v>0</v>
          </cell>
          <cell r="F860">
            <v>2840</v>
          </cell>
          <cell r="G860">
            <v>105</v>
          </cell>
          <cell r="H860">
            <v>0</v>
          </cell>
          <cell r="I860">
            <v>0</v>
          </cell>
          <cell r="J860">
            <v>0</v>
          </cell>
          <cell r="K860">
            <v>0</v>
          </cell>
          <cell r="L860">
            <v>0</v>
          </cell>
          <cell r="M860">
            <v>0</v>
          </cell>
          <cell r="N860">
            <v>0</v>
          </cell>
          <cell r="O860">
            <v>0</v>
          </cell>
          <cell r="P860">
            <v>0</v>
          </cell>
          <cell r="Q860">
            <v>2945</v>
          </cell>
        </row>
        <row r="861">
          <cell r="A861" t="str">
            <v>USWOP015903991200012</v>
          </cell>
          <cell r="B861" t="str">
            <v>USWOP01590</v>
          </cell>
          <cell r="C861">
            <v>3991200012</v>
          </cell>
          <cell r="D861" t="str">
            <v>DELIVERY SERVICES</v>
          </cell>
          <cell r="E861">
            <v>0</v>
          </cell>
          <cell r="F861">
            <v>0</v>
          </cell>
          <cell r="G861">
            <v>32</v>
          </cell>
          <cell r="H861">
            <v>0</v>
          </cell>
          <cell r="I861">
            <v>0</v>
          </cell>
          <cell r="J861">
            <v>0</v>
          </cell>
          <cell r="K861">
            <v>0</v>
          </cell>
          <cell r="L861">
            <v>0</v>
          </cell>
          <cell r="M861">
            <v>0</v>
          </cell>
          <cell r="N861">
            <v>0</v>
          </cell>
          <cell r="O861">
            <v>0</v>
          </cell>
          <cell r="P861">
            <v>0</v>
          </cell>
          <cell r="Q861">
            <v>32</v>
          </cell>
        </row>
        <row r="862">
          <cell r="A862" t="str">
            <v>USWOP015923991200012</v>
          </cell>
          <cell r="B862" t="str">
            <v>USWOP01592</v>
          </cell>
          <cell r="C862">
            <v>3991200012</v>
          </cell>
          <cell r="D862" t="str">
            <v>DELIVERY SERVICES</v>
          </cell>
          <cell r="E862">
            <v>9</v>
          </cell>
          <cell r="F862">
            <v>0</v>
          </cell>
          <cell r="G862">
            <v>0</v>
          </cell>
          <cell r="H862">
            <v>0</v>
          </cell>
          <cell r="I862">
            <v>0</v>
          </cell>
          <cell r="J862">
            <v>0</v>
          </cell>
          <cell r="K862">
            <v>0</v>
          </cell>
          <cell r="L862">
            <v>0</v>
          </cell>
          <cell r="M862">
            <v>0</v>
          </cell>
          <cell r="N862">
            <v>0</v>
          </cell>
          <cell r="O862">
            <v>0</v>
          </cell>
          <cell r="P862">
            <v>0</v>
          </cell>
          <cell r="Q862">
            <v>9</v>
          </cell>
        </row>
        <row r="863">
          <cell r="A863" t="str">
            <v>US35P015013991200013</v>
          </cell>
          <cell r="B863" t="str">
            <v>US35P01501</v>
          </cell>
          <cell r="C863">
            <v>3991200013</v>
          </cell>
          <cell r="D863" t="str">
            <v>CONTRIBUTIONS</v>
          </cell>
          <cell r="E863">
            <v>0</v>
          </cell>
          <cell r="F863">
            <v>100</v>
          </cell>
          <cell r="G863">
            <v>250</v>
          </cell>
          <cell r="H863">
            <v>0</v>
          </cell>
          <cell r="I863">
            <v>0</v>
          </cell>
          <cell r="J863">
            <v>0</v>
          </cell>
          <cell r="K863">
            <v>0</v>
          </cell>
          <cell r="L863">
            <v>0</v>
          </cell>
          <cell r="M863">
            <v>0</v>
          </cell>
          <cell r="N863">
            <v>0</v>
          </cell>
          <cell r="O863">
            <v>0</v>
          </cell>
          <cell r="P863">
            <v>0</v>
          </cell>
          <cell r="Q863">
            <v>350</v>
          </cell>
        </row>
        <row r="864">
          <cell r="A864" t="str">
            <v>US59P3C5013991200013</v>
          </cell>
          <cell r="B864" t="str">
            <v>US59P3C501</v>
          </cell>
          <cell r="C864">
            <v>3991200013</v>
          </cell>
          <cell r="D864" t="str">
            <v>CONTRIBUTIONS</v>
          </cell>
          <cell r="E864">
            <v>0</v>
          </cell>
          <cell r="F864">
            <v>0</v>
          </cell>
          <cell r="G864">
            <v>100</v>
          </cell>
          <cell r="H864">
            <v>0</v>
          </cell>
          <cell r="I864">
            <v>0</v>
          </cell>
          <cell r="J864">
            <v>0</v>
          </cell>
          <cell r="K864">
            <v>0</v>
          </cell>
          <cell r="L864">
            <v>0</v>
          </cell>
          <cell r="M864">
            <v>0</v>
          </cell>
          <cell r="N864">
            <v>0</v>
          </cell>
          <cell r="O864">
            <v>0</v>
          </cell>
          <cell r="P864">
            <v>0</v>
          </cell>
          <cell r="Q864">
            <v>100</v>
          </cell>
        </row>
        <row r="865">
          <cell r="A865" t="str">
            <v>US22MZA1503991200015</v>
          </cell>
          <cell r="B865" t="str">
            <v>US22MZA150</v>
          </cell>
          <cell r="C865">
            <v>3991200015</v>
          </cell>
          <cell r="D865" t="str">
            <v>TELEPHONE</v>
          </cell>
          <cell r="E865">
            <v>245</v>
          </cell>
          <cell r="F865">
            <v>254</v>
          </cell>
          <cell r="G865">
            <v>254</v>
          </cell>
          <cell r="H865">
            <v>0</v>
          </cell>
          <cell r="I865">
            <v>0</v>
          </cell>
          <cell r="J865">
            <v>0</v>
          </cell>
          <cell r="K865">
            <v>0</v>
          </cell>
          <cell r="L865">
            <v>0</v>
          </cell>
          <cell r="M865">
            <v>0</v>
          </cell>
          <cell r="N865">
            <v>0</v>
          </cell>
          <cell r="O865">
            <v>0</v>
          </cell>
          <cell r="P865">
            <v>0</v>
          </cell>
          <cell r="Q865">
            <v>753</v>
          </cell>
        </row>
        <row r="866">
          <cell r="A866" t="str">
            <v>US22P015013991200015</v>
          </cell>
          <cell r="B866" t="str">
            <v>US22P01501</v>
          </cell>
          <cell r="C866">
            <v>3991200015</v>
          </cell>
          <cell r="D866" t="str">
            <v>TELEPHONE</v>
          </cell>
          <cell r="E866">
            <v>1560</v>
          </cell>
          <cell r="F866">
            <v>2110</v>
          </cell>
          <cell r="G866">
            <v>2261</v>
          </cell>
          <cell r="H866">
            <v>0</v>
          </cell>
          <cell r="I866">
            <v>0</v>
          </cell>
          <cell r="J866">
            <v>0</v>
          </cell>
          <cell r="K866">
            <v>0</v>
          </cell>
          <cell r="L866">
            <v>0</v>
          </cell>
          <cell r="M866">
            <v>0</v>
          </cell>
          <cell r="N866">
            <v>0</v>
          </cell>
          <cell r="O866">
            <v>0</v>
          </cell>
          <cell r="P866">
            <v>0</v>
          </cell>
          <cell r="Q866">
            <v>5931</v>
          </cell>
        </row>
        <row r="867">
          <cell r="A867" t="str">
            <v>US22P015503991200015</v>
          </cell>
          <cell r="B867" t="str">
            <v>US22P01550</v>
          </cell>
          <cell r="C867">
            <v>3991200015</v>
          </cell>
          <cell r="D867" t="str">
            <v>TELEPHONE</v>
          </cell>
          <cell r="E867">
            <v>354</v>
          </cell>
          <cell r="F867">
            <v>518</v>
          </cell>
          <cell r="G867">
            <v>354</v>
          </cell>
          <cell r="H867">
            <v>0</v>
          </cell>
          <cell r="I867">
            <v>0</v>
          </cell>
          <cell r="J867">
            <v>0</v>
          </cell>
          <cell r="K867">
            <v>0</v>
          </cell>
          <cell r="L867">
            <v>0</v>
          </cell>
          <cell r="M867">
            <v>0</v>
          </cell>
          <cell r="N867">
            <v>0</v>
          </cell>
          <cell r="O867">
            <v>0</v>
          </cell>
          <cell r="P867">
            <v>0</v>
          </cell>
          <cell r="Q867">
            <v>1226</v>
          </cell>
        </row>
        <row r="868">
          <cell r="A868" t="str">
            <v>US28MZA1503991200015</v>
          </cell>
          <cell r="B868" t="str">
            <v>US28MZA150</v>
          </cell>
          <cell r="C868">
            <v>3991200015</v>
          </cell>
          <cell r="D868" t="str">
            <v>TELEPHONE</v>
          </cell>
          <cell r="E868">
            <v>0</v>
          </cell>
          <cell r="F868">
            <v>0</v>
          </cell>
          <cell r="G868">
            <v>0</v>
          </cell>
          <cell r="H868">
            <v>0</v>
          </cell>
          <cell r="I868">
            <v>0</v>
          </cell>
          <cell r="J868">
            <v>0</v>
          </cell>
          <cell r="K868">
            <v>0</v>
          </cell>
          <cell r="L868">
            <v>0</v>
          </cell>
          <cell r="M868">
            <v>0</v>
          </cell>
          <cell r="N868">
            <v>0</v>
          </cell>
          <cell r="O868">
            <v>0</v>
          </cell>
          <cell r="P868">
            <v>0</v>
          </cell>
          <cell r="Q868">
            <v>0</v>
          </cell>
        </row>
        <row r="869">
          <cell r="A869" t="str">
            <v>US28P015013991200015</v>
          </cell>
          <cell r="B869" t="str">
            <v>US28P01501</v>
          </cell>
          <cell r="C869">
            <v>3991200015</v>
          </cell>
          <cell r="D869" t="str">
            <v>TELEPHONE</v>
          </cell>
          <cell r="E869">
            <v>773</v>
          </cell>
          <cell r="F869">
            <v>1218</v>
          </cell>
          <cell r="G869">
            <v>1645</v>
          </cell>
          <cell r="H869">
            <v>0</v>
          </cell>
          <cell r="I869">
            <v>0</v>
          </cell>
          <cell r="J869">
            <v>0</v>
          </cell>
          <cell r="K869">
            <v>0</v>
          </cell>
          <cell r="L869">
            <v>0</v>
          </cell>
          <cell r="M869">
            <v>0</v>
          </cell>
          <cell r="N869">
            <v>0</v>
          </cell>
          <cell r="O869">
            <v>0</v>
          </cell>
          <cell r="P869">
            <v>0</v>
          </cell>
          <cell r="Q869">
            <v>3636</v>
          </cell>
        </row>
        <row r="870">
          <cell r="A870" t="str">
            <v>US35MZA1503991200015</v>
          </cell>
          <cell r="B870" t="str">
            <v>US35MZA150</v>
          </cell>
          <cell r="C870">
            <v>3991200015</v>
          </cell>
          <cell r="D870" t="str">
            <v>TELEPHONE</v>
          </cell>
          <cell r="E870">
            <v>0</v>
          </cell>
          <cell r="F870">
            <v>107</v>
          </cell>
          <cell r="G870">
            <v>0</v>
          </cell>
          <cell r="H870">
            <v>0</v>
          </cell>
          <cell r="I870">
            <v>0</v>
          </cell>
          <cell r="J870">
            <v>0</v>
          </cell>
          <cell r="K870">
            <v>0</v>
          </cell>
          <cell r="L870">
            <v>0</v>
          </cell>
          <cell r="M870">
            <v>0</v>
          </cell>
          <cell r="N870">
            <v>0</v>
          </cell>
          <cell r="O870">
            <v>0</v>
          </cell>
          <cell r="P870">
            <v>0</v>
          </cell>
          <cell r="Q870">
            <v>107</v>
          </cell>
        </row>
        <row r="871">
          <cell r="A871" t="str">
            <v>US35P015013991200015</v>
          </cell>
          <cell r="B871" t="str">
            <v>US35P01501</v>
          </cell>
          <cell r="C871">
            <v>3991200015</v>
          </cell>
          <cell r="D871" t="str">
            <v>TELEPHONE</v>
          </cell>
          <cell r="E871">
            <v>6003</v>
          </cell>
          <cell r="F871">
            <v>3140</v>
          </cell>
          <cell r="G871">
            <v>195</v>
          </cell>
          <cell r="H871">
            <v>0</v>
          </cell>
          <cell r="I871">
            <v>0</v>
          </cell>
          <cell r="J871">
            <v>0</v>
          </cell>
          <cell r="K871">
            <v>0</v>
          </cell>
          <cell r="L871">
            <v>0</v>
          </cell>
          <cell r="M871">
            <v>0</v>
          </cell>
          <cell r="N871">
            <v>0</v>
          </cell>
          <cell r="O871">
            <v>0</v>
          </cell>
          <cell r="P871">
            <v>0</v>
          </cell>
          <cell r="Q871">
            <v>9338</v>
          </cell>
        </row>
        <row r="872">
          <cell r="A872" t="str">
            <v>US59MZA1503991200015</v>
          </cell>
          <cell r="B872" t="str">
            <v>US59MZA150</v>
          </cell>
          <cell r="C872">
            <v>3991200015</v>
          </cell>
          <cell r="D872" t="str">
            <v>TELEPHONE</v>
          </cell>
          <cell r="E872">
            <v>0</v>
          </cell>
          <cell r="F872">
            <v>963</v>
          </cell>
          <cell r="G872">
            <v>1047</v>
          </cell>
          <cell r="H872">
            <v>0</v>
          </cell>
          <cell r="I872">
            <v>0</v>
          </cell>
          <cell r="J872">
            <v>0</v>
          </cell>
          <cell r="K872">
            <v>0</v>
          </cell>
          <cell r="L872">
            <v>0</v>
          </cell>
          <cell r="M872">
            <v>0</v>
          </cell>
          <cell r="N872">
            <v>0</v>
          </cell>
          <cell r="O872">
            <v>0</v>
          </cell>
          <cell r="P872">
            <v>0</v>
          </cell>
          <cell r="Q872">
            <v>2010</v>
          </cell>
        </row>
        <row r="873">
          <cell r="A873" t="str">
            <v>US59MZA1553991200015</v>
          </cell>
          <cell r="B873" t="str">
            <v>US59MZA155</v>
          </cell>
          <cell r="C873">
            <v>3991200015</v>
          </cell>
          <cell r="D873" t="str">
            <v>TELEPHONE</v>
          </cell>
          <cell r="E873">
            <v>1838</v>
          </cell>
          <cell r="F873">
            <v>0</v>
          </cell>
          <cell r="G873">
            <v>0</v>
          </cell>
          <cell r="H873">
            <v>0</v>
          </cell>
          <cell r="I873">
            <v>0</v>
          </cell>
          <cell r="J873">
            <v>0</v>
          </cell>
          <cell r="K873">
            <v>0</v>
          </cell>
          <cell r="L873">
            <v>0</v>
          </cell>
          <cell r="M873">
            <v>0</v>
          </cell>
          <cell r="N873">
            <v>0</v>
          </cell>
          <cell r="O873">
            <v>0</v>
          </cell>
          <cell r="P873">
            <v>0</v>
          </cell>
          <cell r="Q873">
            <v>1838</v>
          </cell>
        </row>
        <row r="874">
          <cell r="A874" t="str">
            <v>US59P015013991200015</v>
          </cell>
          <cell r="B874" t="str">
            <v>US59P01501</v>
          </cell>
          <cell r="C874">
            <v>3991200015</v>
          </cell>
          <cell r="D874" t="str">
            <v>TELEPHONE</v>
          </cell>
          <cell r="E874">
            <v>990</v>
          </cell>
          <cell r="F874">
            <v>501</v>
          </cell>
          <cell r="G874">
            <v>1074</v>
          </cell>
          <cell r="H874">
            <v>0</v>
          </cell>
          <cell r="I874">
            <v>0</v>
          </cell>
          <cell r="J874">
            <v>0</v>
          </cell>
          <cell r="K874">
            <v>0</v>
          </cell>
          <cell r="L874">
            <v>0</v>
          </cell>
          <cell r="M874">
            <v>0</v>
          </cell>
          <cell r="N874">
            <v>0</v>
          </cell>
          <cell r="O874">
            <v>0</v>
          </cell>
          <cell r="P874">
            <v>0</v>
          </cell>
          <cell r="Q874">
            <v>2565</v>
          </cell>
        </row>
        <row r="875">
          <cell r="A875" t="str">
            <v>US59P3C5013991200015</v>
          </cell>
          <cell r="B875" t="str">
            <v>US59P3C501</v>
          </cell>
          <cell r="C875">
            <v>3991200015</v>
          </cell>
          <cell r="D875" t="str">
            <v>TELEPHONE</v>
          </cell>
          <cell r="E875">
            <v>965</v>
          </cell>
          <cell r="F875">
            <v>584</v>
          </cell>
          <cell r="G875">
            <v>1047</v>
          </cell>
          <cell r="H875">
            <v>0</v>
          </cell>
          <cell r="I875">
            <v>0</v>
          </cell>
          <cell r="J875">
            <v>0</v>
          </cell>
          <cell r="K875">
            <v>0</v>
          </cell>
          <cell r="L875">
            <v>0</v>
          </cell>
          <cell r="M875">
            <v>0</v>
          </cell>
          <cell r="N875">
            <v>0</v>
          </cell>
          <cell r="O875">
            <v>0</v>
          </cell>
          <cell r="P875">
            <v>0</v>
          </cell>
          <cell r="Q875">
            <v>2596</v>
          </cell>
        </row>
        <row r="876">
          <cell r="A876" t="str">
            <v>USCRP015013991200015</v>
          </cell>
          <cell r="B876" t="str">
            <v>USCRP01501</v>
          </cell>
          <cell r="C876">
            <v>3991200015</v>
          </cell>
          <cell r="D876" t="str">
            <v>TELEPHONE</v>
          </cell>
          <cell r="E876">
            <v>0</v>
          </cell>
          <cell r="F876">
            <v>0</v>
          </cell>
          <cell r="G876">
            <v>403</v>
          </cell>
          <cell r="H876">
            <v>0</v>
          </cell>
          <cell r="I876">
            <v>0</v>
          </cell>
          <cell r="J876">
            <v>0</v>
          </cell>
          <cell r="K876">
            <v>0</v>
          </cell>
          <cell r="L876">
            <v>0</v>
          </cell>
          <cell r="M876">
            <v>0</v>
          </cell>
          <cell r="N876">
            <v>0</v>
          </cell>
          <cell r="O876">
            <v>0</v>
          </cell>
          <cell r="P876">
            <v>0</v>
          </cell>
          <cell r="Q876">
            <v>403</v>
          </cell>
        </row>
        <row r="877">
          <cell r="A877" t="str">
            <v>USWOMZA1503991200015</v>
          </cell>
          <cell r="B877" t="str">
            <v>USWOMZA150</v>
          </cell>
          <cell r="C877">
            <v>3991200015</v>
          </cell>
          <cell r="D877" t="str">
            <v>TELEPHONE</v>
          </cell>
          <cell r="E877">
            <v>0</v>
          </cell>
          <cell r="F877">
            <v>0</v>
          </cell>
          <cell r="G877">
            <v>0</v>
          </cell>
          <cell r="H877">
            <v>0</v>
          </cell>
          <cell r="I877">
            <v>0</v>
          </cell>
          <cell r="J877">
            <v>0</v>
          </cell>
          <cell r="K877">
            <v>0</v>
          </cell>
          <cell r="L877">
            <v>0</v>
          </cell>
          <cell r="M877">
            <v>0</v>
          </cell>
          <cell r="N877">
            <v>0</v>
          </cell>
          <cell r="O877">
            <v>0</v>
          </cell>
          <cell r="P877">
            <v>0</v>
          </cell>
          <cell r="Q877">
            <v>0</v>
          </cell>
        </row>
        <row r="878">
          <cell r="A878" t="str">
            <v>USWOP015013991200015</v>
          </cell>
          <cell r="B878" t="str">
            <v>USWOP01501</v>
          </cell>
          <cell r="C878">
            <v>3991200015</v>
          </cell>
          <cell r="D878" t="str">
            <v>TELEPHONE</v>
          </cell>
          <cell r="E878">
            <v>324</v>
          </cell>
          <cell r="F878">
            <v>8761</v>
          </cell>
          <cell r="G878">
            <v>489</v>
          </cell>
          <cell r="H878">
            <v>0</v>
          </cell>
          <cell r="I878">
            <v>0</v>
          </cell>
          <cell r="J878">
            <v>0</v>
          </cell>
          <cell r="K878">
            <v>0</v>
          </cell>
          <cell r="L878">
            <v>0</v>
          </cell>
          <cell r="M878">
            <v>0</v>
          </cell>
          <cell r="N878">
            <v>0</v>
          </cell>
          <cell r="O878">
            <v>0</v>
          </cell>
          <cell r="P878">
            <v>0</v>
          </cell>
          <cell r="Q878">
            <v>9574</v>
          </cell>
        </row>
        <row r="879">
          <cell r="A879" t="str">
            <v>US22P015013991200018</v>
          </cell>
          <cell r="B879" t="str">
            <v>US22P01501</v>
          </cell>
          <cell r="C879">
            <v>3991200018</v>
          </cell>
          <cell r="D879" t="str">
            <v>SUBSCRIPTIONS</v>
          </cell>
          <cell r="E879">
            <v>0</v>
          </cell>
          <cell r="F879">
            <v>0</v>
          </cell>
          <cell r="G879">
            <v>23</v>
          </cell>
          <cell r="H879">
            <v>0</v>
          </cell>
          <cell r="I879">
            <v>0</v>
          </cell>
          <cell r="J879">
            <v>0</v>
          </cell>
          <cell r="K879">
            <v>0</v>
          </cell>
          <cell r="L879">
            <v>0</v>
          </cell>
          <cell r="M879">
            <v>0</v>
          </cell>
          <cell r="N879">
            <v>0</v>
          </cell>
          <cell r="O879">
            <v>0</v>
          </cell>
          <cell r="P879">
            <v>0</v>
          </cell>
          <cell r="Q879">
            <v>23</v>
          </cell>
        </row>
        <row r="880">
          <cell r="A880" t="str">
            <v>US28P015013991200018</v>
          </cell>
          <cell r="B880" t="str">
            <v>US28P01501</v>
          </cell>
          <cell r="C880">
            <v>3991200018</v>
          </cell>
          <cell r="D880" t="str">
            <v>SUBSCRIPTIONS</v>
          </cell>
          <cell r="E880">
            <v>112</v>
          </cell>
          <cell r="F880">
            <v>0</v>
          </cell>
          <cell r="G880">
            <v>0</v>
          </cell>
          <cell r="H880">
            <v>0</v>
          </cell>
          <cell r="I880">
            <v>0</v>
          </cell>
          <cell r="J880">
            <v>0</v>
          </cell>
          <cell r="K880">
            <v>0</v>
          </cell>
          <cell r="L880">
            <v>0</v>
          </cell>
          <cell r="M880">
            <v>0</v>
          </cell>
          <cell r="N880">
            <v>0</v>
          </cell>
          <cell r="O880">
            <v>0</v>
          </cell>
          <cell r="P880">
            <v>0</v>
          </cell>
          <cell r="Q880">
            <v>112</v>
          </cell>
        </row>
        <row r="881">
          <cell r="A881" t="str">
            <v>US35MZA1503991200018</v>
          </cell>
          <cell r="B881" t="str">
            <v>US35MZA150</v>
          </cell>
          <cell r="C881">
            <v>3991200018</v>
          </cell>
          <cell r="D881" t="str">
            <v>SUBSCRIPTIONS</v>
          </cell>
          <cell r="E881">
            <v>0</v>
          </cell>
          <cell r="F881">
            <v>180</v>
          </cell>
          <cell r="G881">
            <v>0</v>
          </cell>
          <cell r="H881">
            <v>0</v>
          </cell>
          <cell r="I881">
            <v>0</v>
          </cell>
          <cell r="J881">
            <v>0</v>
          </cell>
          <cell r="K881">
            <v>0</v>
          </cell>
          <cell r="L881">
            <v>0</v>
          </cell>
          <cell r="M881">
            <v>0</v>
          </cell>
          <cell r="N881">
            <v>0</v>
          </cell>
          <cell r="O881">
            <v>0</v>
          </cell>
          <cell r="P881">
            <v>0</v>
          </cell>
          <cell r="Q881">
            <v>180</v>
          </cell>
        </row>
        <row r="882">
          <cell r="A882" t="str">
            <v>US59P015013991200018</v>
          </cell>
          <cell r="B882" t="str">
            <v>US59P01501</v>
          </cell>
          <cell r="C882">
            <v>3991200018</v>
          </cell>
          <cell r="D882" t="str">
            <v>SUBSCRIPTIONS</v>
          </cell>
          <cell r="E882">
            <v>0</v>
          </cell>
          <cell r="F882">
            <v>106</v>
          </cell>
          <cell r="G882">
            <v>318</v>
          </cell>
          <cell r="H882">
            <v>0</v>
          </cell>
          <cell r="I882">
            <v>0</v>
          </cell>
          <cell r="J882">
            <v>0</v>
          </cell>
          <cell r="K882">
            <v>0</v>
          </cell>
          <cell r="L882">
            <v>0</v>
          </cell>
          <cell r="M882">
            <v>0</v>
          </cell>
          <cell r="N882">
            <v>0</v>
          </cell>
          <cell r="O882">
            <v>0</v>
          </cell>
          <cell r="P882">
            <v>0</v>
          </cell>
          <cell r="Q882">
            <v>424</v>
          </cell>
        </row>
        <row r="883">
          <cell r="A883" t="str">
            <v>USCRP015013991200018</v>
          </cell>
          <cell r="B883" t="str">
            <v>USCRP01501</v>
          </cell>
          <cell r="C883">
            <v>3991200018</v>
          </cell>
          <cell r="D883" t="str">
            <v>SUBSCRIPTIONS</v>
          </cell>
          <cell r="E883">
            <v>0</v>
          </cell>
          <cell r="F883">
            <v>318</v>
          </cell>
          <cell r="G883">
            <v>360</v>
          </cell>
          <cell r="H883">
            <v>0</v>
          </cell>
          <cell r="I883">
            <v>0</v>
          </cell>
          <cell r="J883">
            <v>0</v>
          </cell>
          <cell r="K883">
            <v>0</v>
          </cell>
          <cell r="L883">
            <v>0</v>
          </cell>
          <cell r="M883">
            <v>0</v>
          </cell>
          <cell r="N883">
            <v>0</v>
          </cell>
          <cell r="O883">
            <v>0</v>
          </cell>
          <cell r="P883">
            <v>0</v>
          </cell>
          <cell r="Q883">
            <v>678</v>
          </cell>
        </row>
        <row r="884">
          <cell r="A884" t="str">
            <v>USWOP015013991200018</v>
          </cell>
          <cell r="B884" t="str">
            <v>USWOP01501</v>
          </cell>
          <cell r="C884">
            <v>3991200018</v>
          </cell>
          <cell r="D884" t="str">
            <v>SUBSCRIPTIONS</v>
          </cell>
          <cell r="E884">
            <v>20</v>
          </cell>
          <cell r="F884">
            <v>150</v>
          </cell>
          <cell r="G884">
            <v>0</v>
          </cell>
          <cell r="H884">
            <v>0</v>
          </cell>
          <cell r="I884">
            <v>0</v>
          </cell>
          <cell r="J884">
            <v>0</v>
          </cell>
          <cell r="K884">
            <v>0</v>
          </cell>
          <cell r="L884">
            <v>0</v>
          </cell>
          <cell r="M884">
            <v>0</v>
          </cell>
          <cell r="N884">
            <v>0</v>
          </cell>
          <cell r="O884">
            <v>0</v>
          </cell>
          <cell r="P884">
            <v>0</v>
          </cell>
          <cell r="Q884">
            <v>170</v>
          </cell>
        </row>
        <row r="885">
          <cell r="A885" t="str">
            <v>USCRP015013991200023</v>
          </cell>
          <cell r="B885" t="str">
            <v>USCRP01501</v>
          </cell>
          <cell r="C885">
            <v>3991200023</v>
          </cell>
          <cell r="D885" t="str">
            <v>OTHER COMMUNICATION MEANS</v>
          </cell>
          <cell r="E885">
            <v>268</v>
          </cell>
          <cell r="F885">
            <v>268</v>
          </cell>
          <cell r="G885">
            <v>0</v>
          </cell>
          <cell r="H885">
            <v>0</v>
          </cell>
          <cell r="I885">
            <v>0</v>
          </cell>
          <cell r="J885">
            <v>0</v>
          </cell>
          <cell r="K885">
            <v>0</v>
          </cell>
          <cell r="L885">
            <v>0</v>
          </cell>
          <cell r="M885">
            <v>0</v>
          </cell>
          <cell r="N885">
            <v>0</v>
          </cell>
          <cell r="O885">
            <v>0</v>
          </cell>
          <cell r="P885">
            <v>0</v>
          </cell>
          <cell r="Q885">
            <v>536</v>
          </cell>
        </row>
        <row r="886">
          <cell r="A886" t="str">
            <v>US35P015013991200068</v>
          </cell>
          <cell r="B886" t="str">
            <v>US35P01501</v>
          </cell>
          <cell r="C886">
            <v>3991200068</v>
          </cell>
          <cell r="D886" t="str">
            <v>ASSOCIATION AND DEVELOPMENT FUND</v>
          </cell>
          <cell r="E886">
            <v>0</v>
          </cell>
          <cell r="F886">
            <v>75</v>
          </cell>
          <cell r="G886">
            <v>0</v>
          </cell>
          <cell r="H886">
            <v>0</v>
          </cell>
          <cell r="I886">
            <v>0</v>
          </cell>
          <cell r="J886">
            <v>0</v>
          </cell>
          <cell r="K886">
            <v>0</v>
          </cell>
          <cell r="L886">
            <v>0</v>
          </cell>
          <cell r="M886">
            <v>0</v>
          </cell>
          <cell r="N886">
            <v>0</v>
          </cell>
          <cell r="O886">
            <v>0</v>
          </cell>
          <cell r="P886">
            <v>0</v>
          </cell>
          <cell r="Q886">
            <v>75</v>
          </cell>
        </row>
        <row r="887">
          <cell r="A887" t="str">
            <v>US28P015013991200069</v>
          </cell>
          <cell r="B887" t="str">
            <v>US28P01501</v>
          </cell>
          <cell r="C887">
            <v>3991200069</v>
          </cell>
          <cell r="D887" t="str">
            <v>COMPANY MEMBERSHIP DUES</v>
          </cell>
          <cell r="E887">
            <v>200</v>
          </cell>
          <cell r="F887">
            <v>0</v>
          </cell>
          <cell r="G887">
            <v>0</v>
          </cell>
          <cell r="H887">
            <v>0</v>
          </cell>
          <cell r="I887">
            <v>0</v>
          </cell>
          <cell r="J887">
            <v>0</v>
          </cell>
          <cell r="K887">
            <v>0</v>
          </cell>
          <cell r="L887">
            <v>0</v>
          </cell>
          <cell r="M887">
            <v>0</v>
          </cell>
          <cell r="N887">
            <v>0</v>
          </cell>
          <cell r="O887">
            <v>0</v>
          </cell>
          <cell r="P887">
            <v>0</v>
          </cell>
          <cell r="Q887">
            <v>200</v>
          </cell>
        </row>
        <row r="888">
          <cell r="A888" t="str">
            <v>US35P015013991200069</v>
          </cell>
          <cell r="B888" t="str">
            <v>US35P01501</v>
          </cell>
          <cell r="C888">
            <v>3991200069</v>
          </cell>
          <cell r="D888" t="str">
            <v>COMPANY MEMBERSHIP DUES</v>
          </cell>
          <cell r="E888">
            <v>160</v>
          </cell>
          <cell r="F888">
            <v>0</v>
          </cell>
          <cell r="G888">
            <v>585</v>
          </cell>
          <cell r="H888">
            <v>0</v>
          </cell>
          <cell r="I888">
            <v>0</v>
          </cell>
          <cell r="J888">
            <v>0</v>
          </cell>
          <cell r="K888">
            <v>0</v>
          </cell>
          <cell r="L888">
            <v>0</v>
          </cell>
          <cell r="M888">
            <v>0</v>
          </cell>
          <cell r="N888">
            <v>0</v>
          </cell>
          <cell r="O888">
            <v>0</v>
          </cell>
          <cell r="P888">
            <v>0</v>
          </cell>
          <cell r="Q888">
            <v>745</v>
          </cell>
        </row>
        <row r="889">
          <cell r="A889" t="str">
            <v>USWOP015013991200069</v>
          </cell>
          <cell r="B889" t="str">
            <v>USWOP01501</v>
          </cell>
          <cell r="C889">
            <v>3991200069</v>
          </cell>
          <cell r="D889" t="str">
            <v>COMPANY MEMBERSHIP DUES</v>
          </cell>
          <cell r="E889">
            <v>160</v>
          </cell>
          <cell r="F889">
            <v>0</v>
          </cell>
          <cell r="G889">
            <v>0</v>
          </cell>
          <cell r="H889">
            <v>0</v>
          </cell>
          <cell r="I889">
            <v>0</v>
          </cell>
          <cell r="J889">
            <v>0</v>
          </cell>
          <cell r="K889">
            <v>0</v>
          </cell>
          <cell r="L889">
            <v>0</v>
          </cell>
          <cell r="M889">
            <v>0</v>
          </cell>
          <cell r="N889">
            <v>0</v>
          </cell>
          <cell r="O889">
            <v>0</v>
          </cell>
          <cell r="P889">
            <v>0</v>
          </cell>
          <cell r="Q889">
            <v>160</v>
          </cell>
        </row>
        <row r="890">
          <cell r="A890" t="str">
            <v>US22MZA1503991200099</v>
          </cell>
          <cell r="B890" t="str">
            <v>US22MZA150</v>
          </cell>
          <cell r="C890">
            <v>3991200099</v>
          </cell>
          <cell r="D890" t="str">
            <v>OTHER EXPENSES TO 3RD PARTIES - ADJUSTME</v>
          </cell>
          <cell r="E890">
            <v>6</v>
          </cell>
          <cell r="F890">
            <v>0</v>
          </cell>
          <cell r="G890">
            <v>0</v>
          </cell>
          <cell r="H890">
            <v>0</v>
          </cell>
          <cell r="I890">
            <v>0</v>
          </cell>
          <cell r="J890">
            <v>0</v>
          </cell>
          <cell r="K890">
            <v>0</v>
          </cell>
          <cell r="L890">
            <v>0</v>
          </cell>
          <cell r="M890">
            <v>0</v>
          </cell>
          <cell r="N890">
            <v>0</v>
          </cell>
          <cell r="O890">
            <v>0</v>
          </cell>
          <cell r="P890">
            <v>0</v>
          </cell>
          <cell r="Q890">
            <v>6</v>
          </cell>
        </row>
        <row r="891">
          <cell r="A891" t="str">
            <v>US22P015013991200099</v>
          </cell>
          <cell r="B891" t="str">
            <v>US22P01501</v>
          </cell>
          <cell r="C891">
            <v>3991200099</v>
          </cell>
          <cell r="D891" t="str">
            <v>OTHER EXPENSES TO 3RD PARTIES - ADJUSTME</v>
          </cell>
          <cell r="E891">
            <v>50</v>
          </cell>
          <cell r="F891">
            <v>578</v>
          </cell>
          <cell r="G891">
            <v>242</v>
          </cell>
          <cell r="H891">
            <v>0</v>
          </cell>
          <cell r="I891">
            <v>0</v>
          </cell>
          <cell r="J891">
            <v>0</v>
          </cell>
          <cell r="K891">
            <v>0</v>
          </cell>
          <cell r="L891">
            <v>0</v>
          </cell>
          <cell r="M891">
            <v>0</v>
          </cell>
          <cell r="N891">
            <v>0</v>
          </cell>
          <cell r="O891">
            <v>0</v>
          </cell>
          <cell r="P891">
            <v>0</v>
          </cell>
          <cell r="Q891">
            <v>870</v>
          </cell>
        </row>
        <row r="892">
          <cell r="A892" t="str">
            <v>US22P015503991200099</v>
          </cell>
          <cell r="B892" t="str">
            <v>US22P01550</v>
          </cell>
          <cell r="C892">
            <v>3991200099</v>
          </cell>
          <cell r="D892" t="str">
            <v>OTHER EXPENSES TO 3RD PARTIES - ADJUSTME</v>
          </cell>
          <cell r="E892">
            <v>0</v>
          </cell>
          <cell r="F892">
            <v>152</v>
          </cell>
          <cell r="G892">
            <v>100</v>
          </cell>
          <cell r="H892">
            <v>0</v>
          </cell>
          <cell r="I892">
            <v>0</v>
          </cell>
          <cell r="J892">
            <v>0</v>
          </cell>
          <cell r="K892">
            <v>0</v>
          </cell>
          <cell r="L892">
            <v>0</v>
          </cell>
          <cell r="M892">
            <v>0</v>
          </cell>
          <cell r="N892">
            <v>0</v>
          </cell>
          <cell r="O892">
            <v>0</v>
          </cell>
          <cell r="P892">
            <v>0</v>
          </cell>
          <cell r="Q892">
            <v>252</v>
          </cell>
        </row>
        <row r="893">
          <cell r="A893" t="str">
            <v>US22P015603991200099</v>
          </cell>
          <cell r="B893" t="str">
            <v>US22P01560</v>
          </cell>
          <cell r="C893">
            <v>3991200099</v>
          </cell>
          <cell r="D893" t="str">
            <v>OTHER EXPENSES TO 3RD PARTIES - ADJUSTME</v>
          </cell>
          <cell r="E893">
            <v>476</v>
          </cell>
          <cell r="F893">
            <v>192</v>
          </cell>
          <cell r="G893">
            <v>0</v>
          </cell>
          <cell r="H893">
            <v>0</v>
          </cell>
          <cell r="I893">
            <v>0</v>
          </cell>
          <cell r="J893">
            <v>0</v>
          </cell>
          <cell r="K893">
            <v>0</v>
          </cell>
          <cell r="L893">
            <v>0</v>
          </cell>
          <cell r="M893">
            <v>0</v>
          </cell>
          <cell r="N893">
            <v>0</v>
          </cell>
          <cell r="O893">
            <v>0</v>
          </cell>
          <cell r="P893">
            <v>0</v>
          </cell>
          <cell r="Q893">
            <v>668</v>
          </cell>
        </row>
        <row r="894">
          <cell r="A894" t="str">
            <v>US22P015753991200099</v>
          </cell>
          <cell r="B894" t="str">
            <v>US22P01575</v>
          </cell>
          <cell r="C894">
            <v>3991200099</v>
          </cell>
          <cell r="D894" t="str">
            <v>OTHER EXPENSES TO 3RD PARTIES - ADJUSTME</v>
          </cell>
          <cell r="E894">
            <v>196</v>
          </cell>
          <cell r="F894">
            <v>885</v>
          </cell>
          <cell r="G894">
            <v>1053</v>
          </cell>
          <cell r="H894">
            <v>0</v>
          </cell>
          <cell r="I894">
            <v>0</v>
          </cell>
          <cell r="J894">
            <v>0</v>
          </cell>
          <cell r="K894">
            <v>0</v>
          </cell>
          <cell r="L894">
            <v>0</v>
          </cell>
          <cell r="M894">
            <v>0</v>
          </cell>
          <cell r="N894">
            <v>0</v>
          </cell>
          <cell r="O894">
            <v>0</v>
          </cell>
          <cell r="P894">
            <v>0</v>
          </cell>
          <cell r="Q894">
            <v>2134</v>
          </cell>
        </row>
        <row r="895">
          <cell r="A895" t="str">
            <v>US22P015903991200099</v>
          </cell>
          <cell r="B895" t="str">
            <v>US22P01590</v>
          </cell>
          <cell r="C895">
            <v>3991200099</v>
          </cell>
          <cell r="D895" t="str">
            <v>OTHER EXPENSES TO 3RD PARTIES - ADJUSTME</v>
          </cell>
          <cell r="E895">
            <v>0</v>
          </cell>
          <cell r="F895">
            <v>553</v>
          </cell>
          <cell r="G895">
            <v>0</v>
          </cell>
          <cell r="H895">
            <v>0</v>
          </cell>
          <cell r="I895">
            <v>0</v>
          </cell>
          <cell r="J895">
            <v>0</v>
          </cell>
          <cell r="K895">
            <v>0</v>
          </cell>
          <cell r="L895">
            <v>0</v>
          </cell>
          <cell r="M895">
            <v>0</v>
          </cell>
          <cell r="N895">
            <v>0</v>
          </cell>
          <cell r="O895">
            <v>0</v>
          </cell>
          <cell r="P895">
            <v>0</v>
          </cell>
          <cell r="Q895">
            <v>553</v>
          </cell>
        </row>
        <row r="896">
          <cell r="A896" t="str">
            <v>US28MZA1503991200099</v>
          </cell>
          <cell r="B896" t="str">
            <v>US28MZA150</v>
          </cell>
          <cell r="C896">
            <v>3991200099</v>
          </cell>
          <cell r="D896" t="str">
            <v>OTHER EXPENSES TO 3RD PARTIES - ADJUSTME</v>
          </cell>
          <cell r="E896">
            <v>308</v>
          </cell>
          <cell r="F896">
            <v>94</v>
          </cell>
          <cell r="G896">
            <v>0</v>
          </cell>
          <cell r="H896">
            <v>0</v>
          </cell>
          <cell r="I896">
            <v>0</v>
          </cell>
          <cell r="J896">
            <v>0</v>
          </cell>
          <cell r="K896">
            <v>0</v>
          </cell>
          <cell r="L896">
            <v>0</v>
          </cell>
          <cell r="M896">
            <v>0</v>
          </cell>
          <cell r="N896">
            <v>0</v>
          </cell>
          <cell r="O896">
            <v>0</v>
          </cell>
          <cell r="P896">
            <v>0</v>
          </cell>
          <cell r="Q896">
            <v>402</v>
          </cell>
        </row>
        <row r="897">
          <cell r="A897" t="str">
            <v>US28P015013991200099</v>
          </cell>
          <cell r="B897" t="str">
            <v>US28P01501</v>
          </cell>
          <cell r="C897">
            <v>3991200099</v>
          </cell>
          <cell r="D897" t="str">
            <v>OTHER EXPENSES TO 3RD PARTIES - ADJUSTME</v>
          </cell>
          <cell r="E897">
            <v>827</v>
          </cell>
          <cell r="F897">
            <v>252</v>
          </cell>
          <cell r="G897">
            <v>291</v>
          </cell>
          <cell r="H897">
            <v>0</v>
          </cell>
          <cell r="I897">
            <v>0</v>
          </cell>
          <cell r="J897">
            <v>0</v>
          </cell>
          <cell r="K897">
            <v>0</v>
          </cell>
          <cell r="L897">
            <v>0</v>
          </cell>
          <cell r="M897">
            <v>0</v>
          </cell>
          <cell r="N897">
            <v>0</v>
          </cell>
          <cell r="O897">
            <v>0</v>
          </cell>
          <cell r="P897">
            <v>0</v>
          </cell>
          <cell r="Q897">
            <v>1370</v>
          </cell>
        </row>
        <row r="898">
          <cell r="A898" t="str">
            <v>US28P015503991200099</v>
          </cell>
          <cell r="B898" t="str">
            <v>US28P01550</v>
          </cell>
          <cell r="C898">
            <v>3991200099</v>
          </cell>
          <cell r="D898" t="str">
            <v>OTHER EXPENSES TO 3RD PARTIES - ADJUSTME</v>
          </cell>
          <cell r="E898">
            <v>0</v>
          </cell>
          <cell r="F898">
            <v>207</v>
          </cell>
          <cell r="G898">
            <v>150</v>
          </cell>
          <cell r="H898">
            <v>0</v>
          </cell>
          <cell r="I898">
            <v>0</v>
          </cell>
          <cell r="J898">
            <v>0</v>
          </cell>
          <cell r="K898">
            <v>0</v>
          </cell>
          <cell r="L898">
            <v>0</v>
          </cell>
          <cell r="M898">
            <v>0</v>
          </cell>
          <cell r="N898">
            <v>0</v>
          </cell>
          <cell r="O898">
            <v>0</v>
          </cell>
          <cell r="P898">
            <v>0</v>
          </cell>
          <cell r="Q898">
            <v>357</v>
          </cell>
        </row>
        <row r="899">
          <cell r="A899" t="str">
            <v>US28P015533991200099</v>
          </cell>
          <cell r="B899" t="str">
            <v>US28P01553</v>
          </cell>
          <cell r="C899">
            <v>3991200099</v>
          </cell>
          <cell r="D899" t="str">
            <v>OTHER EXPENSES TO 3RD PARTIES - ADJUSTME</v>
          </cell>
          <cell r="E899">
            <v>63</v>
          </cell>
          <cell r="F899">
            <v>0</v>
          </cell>
          <cell r="G899">
            <v>0</v>
          </cell>
          <cell r="H899">
            <v>0</v>
          </cell>
          <cell r="I899">
            <v>0</v>
          </cell>
          <cell r="J899">
            <v>0</v>
          </cell>
          <cell r="K899">
            <v>0</v>
          </cell>
          <cell r="L899">
            <v>0</v>
          </cell>
          <cell r="M899">
            <v>0</v>
          </cell>
          <cell r="N899">
            <v>0</v>
          </cell>
          <cell r="O899">
            <v>0</v>
          </cell>
          <cell r="P899">
            <v>0</v>
          </cell>
          <cell r="Q899">
            <v>63</v>
          </cell>
        </row>
        <row r="900">
          <cell r="A900" t="str">
            <v>US28P015603991200099</v>
          </cell>
          <cell r="B900" t="str">
            <v>US28P01560</v>
          </cell>
          <cell r="C900">
            <v>3991200099</v>
          </cell>
          <cell r="D900" t="str">
            <v>OTHER EXPENSES TO 3RD PARTIES - ADJUSTME</v>
          </cell>
          <cell r="E900">
            <v>0</v>
          </cell>
          <cell r="F900">
            <v>306</v>
          </cell>
          <cell r="G900">
            <v>0</v>
          </cell>
          <cell r="H900">
            <v>0</v>
          </cell>
          <cell r="I900">
            <v>0</v>
          </cell>
          <cell r="J900">
            <v>0</v>
          </cell>
          <cell r="K900">
            <v>0</v>
          </cell>
          <cell r="L900">
            <v>0</v>
          </cell>
          <cell r="M900">
            <v>0</v>
          </cell>
          <cell r="N900">
            <v>0</v>
          </cell>
          <cell r="O900">
            <v>0</v>
          </cell>
          <cell r="P900">
            <v>0</v>
          </cell>
          <cell r="Q900">
            <v>306</v>
          </cell>
        </row>
        <row r="901">
          <cell r="A901" t="str">
            <v>US28P015643991200099</v>
          </cell>
          <cell r="B901" t="str">
            <v>US28P01564</v>
          </cell>
          <cell r="C901">
            <v>3991200099</v>
          </cell>
          <cell r="D901" t="str">
            <v>OTHER EXPENSES TO 3RD PARTIES - ADJUSTME</v>
          </cell>
          <cell r="E901">
            <v>0</v>
          </cell>
          <cell r="F901">
            <v>0</v>
          </cell>
          <cell r="G901">
            <v>31</v>
          </cell>
          <cell r="H901">
            <v>0</v>
          </cell>
          <cell r="I901">
            <v>0</v>
          </cell>
          <cell r="J901">
            <v>0</v>
          </cell>
          <cell r="K901">
            <v>0</v>
          </cell>
          <cell r="L901">
            <v>0</v>
          </cell>
          <cell r="M901">
            <v>0</v>
          </cell>
          <cell r="N901">
            <v>0</v>
          </cell>
          <cell r="O901">
            <v>0</v>
          </cell>
          <cell r="P901">
            <v>0</v>
          </cell>
          <cell r="Q901">
            <v>31</v>
          </cell>
        </row>
        <row r="902">
          <cell r="A902" t="str">
            <v>US28P015753991200099</v>
          </cell>
          <cell r="B902" t="str">
            <v>US28P01575</v>
          </cell>
          <cell r="C902">
            <v>3991200099</v>
          </cell>
          <cell r="D902" t="str">
            <v>OTHER EXPENSES TO 3RD PARTIES - ADJUSTME</v>
          </cell>
          <cell r="E902">
            <v>0</v>
          </cell>
          <cell r="F902">
            <v>0</v>
          </cell>
          <cell r="G902">
            <v>0</v>
          </cell>
          <cell r="H902">
            <v>0</v>
          </cell>
          <cell r="I902">
            <v>0</v>
          </cell>
          <cell r="J902">
            <v>0</v>
          </cell>
          <cell r="K902">
            <v>0</v>
          </cell>
          <cell r="L902">
            <v>0</v>
          </cell>
          <cell r="M902">
            <v>0</v>
          </cell>
          <cell r="N902">
            <v>0</v>
          </cell>
          <cell r="O902">
            <v>0</v>
          </cell>
          <cell r="P902">
            <v>0</v>
          </cell>
          <cell r="Q902">
            <v>0</v>
          </cell>
        </row>
        <row r="903">
          <cell r="A903" t="str">
            <v>US35MZA1503991200099</v>
          </cell>
          <cell r="B903" t="str">
            <v>US35MZA150</v>
          </cell>
          <cell r="C903">
            <v>3991200099</v>
          </cell>
          <cell r="D903" t="str">
            <v>OTHER EXPENSES TO 3RD PARTIES - ADJUSTME</v>
          </cell>
          <cell r="E903">
            <v>0</v>
          </cell>
          <cell r="F903">
            <v>163</v>
          </cell>
          <cell r="G903">
            <v>52</v>
          </cell>
          <cell r="H903">
            <v>0</v>
          </cell>
          <cell r="I903">
            <v>0</v>
          </cell>
          <cell r="J903">
            <v>0</v>
          </cell>
          <cell r="K903">
            <v>0</v>
          </cell>
          <cell r="L903">
            <v>0</v>
          </cell>
          <cell r="M903">
            <v>0</v>
          </cell>
          <cell r="N903">
            <v>0</v>
          </cell>
          <cell r="O903">
            <v>0</v>
          </cell>
          <cell r="P903">
            <v>0</v>
          </cell>
          <cell r="Q903">
            <v>215</v>
          </cell>
        </row>
        <row r="904">
          <cell r="A904" t="str">
            <v>US35P015013991200099</v>
          </cell>
          <cell r="B904" t="str">
            <v>US35P01501</v>
          </cell>
          <cell r="C904">
            <v>3991200099</v>
          </cell>
          <cell r="D904" t="str">
            <v>OTHER EXPENSES TO 3RD PARTIES - ADJUSTME</v>
          </cell>
          <cell r="E904">
            <v>0</v>
          </cell>
          <cell r="F904">
            <v>0</v>
          </cell>
          <cell r="G904">
            <v>0</v>
          </cell>
          <cell r="H904">
            <v>0</v>
          </cell>
          <cell r="I904">
            <v>0</v>
          </cell>
          <cell r="J904">
            <v>0</v>
          </cell>
          <cell r="K904">
            <v>0</v>
          </cell>
          <cell r="L904">
            <v>0</v>
          </cell>
          <cell r="M904">
            <v>0</v>
          </cell>
          <cell r="N904">
            <v>0</v>
          </cell>
          <cell r="O904">
            <v>0</v>
          </cell>
          <cell r="P904">
            <v>0</v>
          </cell>
          <cell r="Q904">
            <v>0</v>
          </cell>
        </row>
        <row r="905">
          <cell r="A905" t="str">
            <v>US35P015503991200099</v>
          </cell>
          <cell r="B905" t="str">
            <v>US35P01550</v>
          </cell>
          <cell r="C905">
            <v>3991200099</v>
          </cell>
          <cell r="D905" t="str">
            <v>OTHER EXPENSES TO 3RD PARTIES - ADJUSTME</v>
          </cell>
          <cell r="E905">
            <v>79</v>
          </cell>
          <cell r="F905">
            <v>0</v>
          </cell>
          <cell r="G905">
            <v>0</v>
          </cell>
          <cell r="H905">
            <v>0</v>
          </cell>
          <cell r="I905">
            <v>0</v>
          </cell>
          <cell r="J905">
            <v>0</v>
          </cell>
          <cell r="K905">
            <v>0</v>
          </cell>
          <cell r="L905">
            <v>0</v>
          </cell>
          <cell r="M905">
            <v>0</v>
          </cell>
          <cell r="N905">
            <v>0</v>
          </cell>
          <cell r="O905">
            <v>0</v>
          </cell>
          <cell r="P905">
            <v>0</v>
          </cell>
          <cell r="Q905">
            <v>79</v>
          </cell>
        </row>
        <row r="906">
          <cell r="A906" t="str">
            <v>US35P015533991200099</v>
          </cell>
          <cell r="B906" t="str">
            <v>US35P01553</v>
          </cell>
          <cell r="C906">
            <v>3991200099</v>
          </cell>
          <cell r="D906" t="str">
            <v>OTHER EXPENSES TO 3RD PARTIES - ADJUSTME</v>
          </cell>
          <cell r="E906">
            <v>0</v>
          </cell>
          <cell r="F906">
            <v>489</v>
          </cell>
          <cell r="G906">
            <v>0</v>
          </cell>
          <cell r="H906">
            <v>0</v>
          </cell>
          <cell r="I906">
            <v>0</v>
          </cell>
          <cell r="J906">
            <v>0</v>
          </cell>
          <cell r="K906">
            <v>0</v>
          </cell>
          <cell r="L906">
            <v>0</v>
          </cell>
          <cell r="M906">
            <v>0</v>
          </cell>
          <cell r="N906">
            <v>0</v>
          </cell>
          <cell r="O906">
            <v>0</v>
          </cell>
          <cell r="P906">
            <v>0</v>
          </cell>
          <cell r="Q906">
            <v>489</v>
          </cell>
        </row>
        <row r="907">
          <cell r="A907" t="str">
            <v>US35P015603991200099</v>
          </cell>
          <cell r="B907" t="str">
            <v>US35P01560</v>
          </cell>
          <cell r="C907">
            <v>3991200099</v>
          </cell>
          <cell r="D907" t="str">
            <v>OTHER EXPENSES TO 3RD PARTIES - ADJUSTME</v>
          </cell>
          <cell r="E907">
            <v>0</v>
          </cell>
          <cell r="F907">
            <v>73</v>
          </cell>
          <cell r="G907">
            <v>59</v>
          </cell>
          <cell r="H907">
            <v>0</v>
          </cell>
          <cell r="I907">
            <v>0</v>
          </cell>
          <cell r="J907">
            <v>0</v>
          </cell>
          <cell r="K907">
            <v>0</v>
          </cell>
          <cell r="L907">
            <v>0</v>
          </cell>
          <cell r="M907">
            <v>0</v>
          </cell>
          <cell r="N907">
            <v>0</v>
          </cell>
          <cell r="O907">
            <v>0</v>
          </cell>
          <cell r="P907">
            <v>0</v>
          </cell>
          <cell r="Q907">
            <v>132</v>
          </cell>
        </row>
        <row r="908">
          <cell r="A908" t="str">
            <v>US35P015903991200099</v>
          </cell>
          <cell r="B908" t="str">
            <v>US35P01590</v>
          </cell>
          <cell r="C908">
            <v>3991200099</v>
          </cell>
          <cell r="D908" t="str">
            <v>OTHER EXPENSES TO 3RD PARTIES - ADJUSTME</v>
          </cell>
          <cell r="E908">
            <v>0</v>
          </cell>
          <cell r="F908">
            <v>20</v>
          </cell>
          <cell r="G908">
            <v>27</v>
          </cell>
          <cell r="H908">
            <v>0</v>
          </cell>
          <cell r="I908">
            <v>0</v>
          </cell>
          <cell r="J908">
            <v>0</v>
          </cell>
          <cell r="K908">
            <v>0</v>
          </cell>
          <cell r="L908">
            <v>0</v>
          </cell>
          <cell r="M908">
            <v>0</v>
          </cell>
          <cell r="N908">
            <v>0</v>
          </cell>
          <cell r="O908">
            <v>0</v>
          </cell>
          <cell r="P908">
            <v>0</v>
          </cell>
          <cell r="Q908">
            <v>47</v>
          </cell>
        </row>
        <row r="909">
          <cell r="A909" t="str">
            <v>US59MZA1503991200099</v>
          </cell>
          <cell r="B909" t="str">
            <v>US59MZA150</v>
          </cell>
          <cell r="C909">
            <v>3991200099</v>
          </cell>
          <cell r="D909" t="str">
            <v>OTHER EXPENSES TO 3RD PARTIES - ADJUSTME</v>
          </cell>
          <cell r="E909">
            <v>149</v>
          </cell>
          <cell r="F909">
            <v>812</v>
          </cell>
          <cell r="G909">
            <v>259</v>
          </cell>
          <cell r="H909">
            <v>0</v>
          </cell>
          <cell r="I909">
            <v>0</v>
          </cell>
          <cell r="J909">
            <v>0</v>
          </cell>
          <cell r="K909">
            <v>0</v>
          </cell>
          <cell r="L909">
            <v>0</v>
          </cell>
          <cell r="M909">
            <v>0</v>
          </cell>
          <cell r="N909">
            <v>0</v>
          </cell>
          <cell r="O909">
            <v>0</v>
          </cell>
          <cell r="P909">
            <v>0</v>
          </cell>
          <cell r="Q909">
            <v>1220</v>
          </cell>
        </row>
        <row r="910">
          <cell r="A910" t="str">
            <v>US59P015013991200099</v>
          </cell>
          <cell r="B910" t="str">
            <v>US59P01501</v>
          </cell>
          <cell r="C910">
            <v>3991200099</v>
          </cell>
          <cell r="D910" t="str">
            <v>OTHER EXPENSES TO 3RD PARTIES - ADJUSTME</v>
          </cell>
          <cell r="E910">
            <v>187</v>
          </cell>
          <cell r="F910">
            <v>152</v>
          </cell>
          <cell r="G910">
            <v>300</v>
          </cell>
          <cell r="H910">
            <v>0</v>
          </cell>
          <cell r="I910">
            <v>0</v>
          </cell>
          <cell r="J910">
            <v>0</v>
          </cell>
          <cell r="K910">
            <v>0</v>
          </cell>
          <cell r="L910">
            <v>0</v>
          </cell>
          <cell r="M910">
            <v>0</v>
          </cell>
          <cell r="N910">
            <v>0</v>
          </cell>
          <cell r="O910">
            <v>0</v>
          </cell>
          <cell r="P910">
            <v>0</v>
          </cell>
          <cell r="Q910">
            <v>639</v>
          </cell>
        </row>
        <row r="911">
          <cell r="A911" t="str">
            <v>US59P015503991200099</v>
          </cell>
          <cell r="B911" t="str">
            <v>US59P01550</v>
          </cell>
          <cell r="C911">
            <v>3991200099</v>
          </cell>
          <cell r="D911" t="str">
            <v>OTHER EXPENSES TO 3RD PARTIES - ADJUSTME</v>
          </cell>
          <cell r="E911">
            <v>0</v>
          </cell>
          <cell r="F911">
            <v>1540</v>
          </cell>
          <cell r="G911">
            <v>1666</v>
          </cell>
          <cell r="H911">
            <v>0</v>
          </cell>
          <cell r="I911">
            <v>0</v>
          </cell>
          <cell r="J911">
            <v>0</v>
          </cell>
          <cell r="K911">
            <v>0</v>
          </cell>
          <cell r="L911">
            <v>0</v>
          </cell>
          <cell r="M911">
            <v>0</v>
          </cell>
          <cell r="N911">
            <v>0</v>
          </cell>
          <cell r="O911">
            <v>0</v>
          </cell>
          <cell r="P911">
            <v>0</v>
          </cell>
          <cell r="Q911">
            <v>3206</v>
          </cell>
        </row>
        <row r="912">
          <cell r="A912" t="str">
            <v>US59P015533991200099</v>
          </cell>
          <cell r="B912" t="str">
            <v>US59P01553</v>
          </cell>
          <cell r="C912">
            <v>3991200099</v>
          </cell>
          <cell r="D912" t="str">
            <v>OTHER EXPENSES TO 3RD PARTIES - ADJUSTME</v>
          </cell>
          <cell r="E912">
            <v>0</v>
          </cell>
          <cell r="F912">
            <v>0</v>
          </cell>
          <cell r="G912">
            <v>19</v>
          </cell>
          <cell r="H912">
            <v>0</v>
          </cell>
          <cell r="I912">
            <v>0</v>
          </cell>
          <cell r="J912">
            <v>0</v>
          </cell>
          <cell r="K912">
            <v>0</v>
          </cell>
          <cell r="L912">
            <v>0</v>
          </cell>
          <cell r="M912">
            <v>0</v>
          </cell>
          <cell r="N912">
            <v>0</v>
          </cell>
          <cell r="O912">
            <v>0</v>
          </cell>
          <cell r="P912">
            <v>0</v>
          </cell>
          <cell r="Q912">
            <v>19</v>
          </cell>
        </row>
        <row r="913">
          <cell r="A913" t="str">
            <v>US59P015603991200099</v>
          </cell>
          <cell r="B913" t="str">
            <v>US59P01560</v>
          </cell>
          <cell r="C913">
            <v>3991200099</v>
          </cell>
          <cell r="D913" t="str">
            <v>OTHER EXPENSES TO 3RD PARTIES - ADJUSTME</v>
          </cell>
          <cell r="E913">
            <v>0</v>
          </cell>
          <cell r="F913">
            <v>43</v>
          </cell>
          <cell r="G913">
            <v>0</v>
          </cell>
          <cell r="H913">
            <v>0</v>
          </cell>
          <cell r="I913">
            <v>0</v>
          </cell>
          <cell r="J913">
            <v>0</v>
          </cell>
          <cell r="K913">
            <v>0</v>
          </cell>
          <cell r="L913">
            <v>0</v>
          </cell>
          <cell r="M913">
            <v>0</v>
          </cell>
          <cell r="N913">
            <v>0</v>
          </cell>
          <cell r="O913">
            <v>0</v>
          </cell>
          <cell r="P913">
            <v>0</v>
          </cell>
          <cell r="Q913">
            <v>43</v>
          </cell>
        </row>
        <row r="914">
          <cell r="A914" t="str">
            <v>US59P3C5013991200099</v>
          </cell>
          <cell r="B914" t="str">
            <v>US59P3C501</v>
          </cell>
          <cell r="C914">
            <v>3991200099</v>
          </cell>
          <cell r="D914" t="str">
            <v>OTHER EXPENSES TO 3RD PARTIES - ADJUSTME</v>
          </cell>
          <cell r="E914">
            <v>0</v>
          </cell>
          <cell r="F914">
            <v>0</v>
          </cell>
          <cell r="G914">
            <v>0</v>
          </cell>
          <cell r="H914">
            <v>0</v>
          </cell>
          <cell r="I914">
            <v>0</v>
          </cell>
          <cell r="J914">
            <v>0</v>
          </cell>
          <cell r="K914">
            <v>0</v>
          </cell>
          <cell r="L914">
            <v>0</v>
          </cell>
          <cell r="M914">
            <v>0</v>
          </cell>
          <cell r="N914">
            <v>0</v>
          </cell>
          <cell r="O914">
            <v>0</v>
          </cell>
          <cell r="P914">
            <v>0</v>
          </cell>
          <cell r="Q914">
            <v>0</v>
          </cell>
        </row>
        <row r="915">
          <cell r="A915" t="str">
            <v>US59P3C5153991200099</v>
          </cell>
          <cell r="B915" t="str">
            <v>US59P3C515</v>
          </cell>
          <cell r="C915">
            <v>3991200099</v>
          </cell>
          <cell r="D915" t="str">
            <v>OTHER EXPENSES TO 3RD PARTIES - ADJUSTME</v>
          </cell>
          <cell r="E915">
            <v>0</v>
          </cell>
          <cell r="F915">
            <v>0</v>
          </cell>
          <cell r="G915">
            <v>0</v>
          </cell>
          <cell r="H915">
            <v>0</v>
          </cell>
          <cell r="I915">
            <v>0</v>
          </cell>
          <cell r="J915">
            <v>0</v>
          </cell>
          <cell r="K915">
            <v>0</v>
          </cell>
          <cell r="L915">
            <v>0</v>
          </cell>
          <cell r="M915">
            <v>0</v>
          </cell>
          <cell r="N915">
            <v>0</v>
          </cell>
          <cell r="O915">
            <v>0</v>
          </cell>
          <cell r="P915">
            <v>0</v>
          </cell>
          <cell r="Q915">
            <v>0</v>
          </cell>
        </row>
        <row r="916">
          <cell r="A916" t="str">
            <v>US59P3C5503991200099</v>
          </cell>
          <cell r="B916" t="str">
            <v>US59P3C550</v>
          </cell>
          <cell r="C916">
            <v>3991200099</v>
          </cell>
          <cell r="D916" t="str">
            <v>OTHER EXPENSES TO 3RD PARTIES - ADJUSTME</v>
          </cell>
          <cell r="E916">
            <v>-2277</v>
          </cell>
          <cell r="F916">
            <v>0</v>
          </cell>
          <cell r="G916">
            <v>0</v>
          </cell>
          <cell r="H916">
            <v>0</v>
          </cell>
          <cell r="I916">
            <v>0</v>
          </cell>
          <cell r="J916">
            <v>0</v>
          </cell>
          <cell r="K916">
            <v>0</v>
          </cell>
          <cell r="L916">
            <v>0</v>
          </cell>
          <cell r="M916">
            <v>0</v>
          </cell>
          <cell r="N916">
            <v>0</v>
          </cell>
          <cell r="O916">
            <v>0</v>
          </cell>
          <cell r="P916">
            <v>0</v>
          </cell>
          <cell r="Q916">
            <v>-2277</v>
          </cell>
        </row>
        <row r="917">
          <cell r="A917" t="str">
            <v>US59P3C5603991200099</v>
          </cell>
          <cell r="B917" t="str">
            <v>US59P3C560</v>
          </cell>
          <cell r="C917">
            <v>3991200099</v>
          </cell>
          <cell r="D917" t="str">
            <v>OTHER EXPENSES TO 3RD PARTIES - ADJUSTME</v>
          </cell>
          <cell r="E917">
            <v>0</v>
          </cell>
          <cell r="F917">
            <v>-673</v>
          </cell>
          <cell r="G917">
            <v>383</v>
          </cell>
          <cell r="H917">
            <v>0</v>
          </cell>
          <cell r="I917">
            <v>0</v>
          </cell>
          <cell r="J917">
            <v>0</v>
          </cell>
          <cell r="K917">
            <v>0</v>
          </cell>
          <cell r="L917">
            <v>0</v>
          </cell>
          <cell r="M917">
            <v>0</v>
          </cell>
          <cell r="N917">
            <v>0</v>
          </cell>
          <cell r="O917">
            <v>0</v>
          </cell>
          <cell r="P917">
            <v>0</v>
          </cell>
          <cell r="Q917">
            <v>-290</v>
          </cell>
        </row>
        <row r="918">
          <cell r="A918" t="str">
            <v>USCLMZA1503991200099</v>
          </cell>
          <cell r="B918" t="str">
            <v>USCLMZA150</v>
          </cell>
          <cell r="C918">
            <v>3991200099</v>
          </cell>
          <cell r="D918" t="str">
            <v>OTHER EXPENSES TO 3RD PARTIES - ADJUSTME</v>
          </cell>
          <cell r="E918">
            <v>65</v>
          </cell>
          <cell r="F918">
            <v>70</v>
          </cell>
          <cell r="G918">
            <v>70</v>
          </cell>
          <cell r="H918">
            <v>0</v>
          </cell>
          <cell r="I918">
            <v>0</v>
          </cell>
          <cell r="J918">
            <v>0</v>
          </cell>
          <cell r="K918">
            <v>0</v>
          </cell>
          <cell r="L918">
            <v>0</v>
          </cell>
          <cell r="M918">
            <v>0</v>
          </cell>
          <cell r="N918">
            <v>0</v>
          </cell>
          <cell r="O918">
            <v>0</v>
          </cell>
          <cell r="P918">
            <v>0</v>
          </cell>
          <cell r="Q918">
            <v>205</v>
          </cell>
        </row>
        <row r="919">
          <cell r="A919" t="str">
            <v>USCOP015013991200099</v>
          </cell>
          <cell r="B919" t="str">
            <v>USCOP01501</v>
          </cell>
          <cell r="C919">
            <v>3991200099</v>
          </cell>
          <cell r="D919" t="str">
            <v>OTHER EXPENSES TO 3RD PARTIES - ADJUSTME</v>
          </cell>
          <cell r="E919">
            <v>43</v>
          </cell>
          <cell r="F919">
            <v>1493</v>
          </cell>
          <cell r="G919">
            <v>49</v>
          </cell>
          <cell r="H919">
            <v>0</v>
          </cell>
          <cell r="I919">
            <v>0</v>
          </cell>
          <cell r="J919">
            <v>0</v>
          </cell>
          <cell r="K919">
            <v>0</v>
          </cell>
          <cell r="L919">
            <v>0</v>
          </cell>
          <cell r="M919">
            <v>0</v>
          </cell>
          <cell r="N919">
            <v>0</v>
          </cell>
          <cell r="O919">
            <v>0</v>
          </cell>
          <cell r="P919">
            <v>0</v>
          </cell>
          <cell r="Q919">
            <v>1585</v>
          </cell>
        </row>
        <row r="920">
          <cell r="A920" t="str">
            <v>USCRMZA1503991200099</v>
          </cell>
          <cell r="B920" t="str">
            <v>USCRMZA150</v>
          </cell>
          <cell r="C920">
            <v>3991200099</v>
          </cell>
          <cell r="D920" t="str">
            <v>OTHER EXPENSES TO 3RD PARTIES - ADJUSTME</v>
          </cell>
          <cell r="E920">
            <v>160</v>
          </cell>
          <cell r="F920">
            <v>53</v>
          </cell>
          <cell r="G920">
            <v>0</v>
          </cell>
          <cell r="H920">
            <v>0</v>
          </cell>
          <cell r="I920">
            <v>0</v>
          </cell>
          <cell r="J920">
            <v>0</v>
          </cell>
          <cell r="K920">
            <v>0</v>
          </cell>
          <cell r="L920">
            <v>0</v>
          </cell>
          <cell r="M920">
            <v>0</v>
          </cell>
          <cell r="N920">
            <v>0</v>
          </cell>
          <cell r="O920">
            <v>0</v>
          </cell>
          <cell r="P920">
            <v>0</v>
          </cell>
          <cell r="Q920">
            <v>213</v>
          </cell>
        </row>
        <row r="921">
          <cell r="A921" t="str">
            <v>USCRMZA1553991200099</v>
          </cell>
          <cell r="B921" t="str">
            <v>USCRMZA155</v>
          </cell>
          <cell r="C921">
            <v>3991200099</v>
          </cell>
          <cell r="D921" t="str">
            <v>OTHER EXPENSES TO 3RD PARTIES - ADJUSTME</v>
          </cell>
          <cell r="E921">
            <v>0</v>
          </cell>
          <cell r="F921">
            <v>71</v>
          </cell>
          <cell r="G921">
            <v>0</v>
          </cell>
          <cell r="H921">
            <v>0</v>
          </cell>
          <cell r="I921">
            <v>0</v>
          </cell>
          <cell r="J921">
            <v>0</v>
          </cell>
          <cell r="K921">
            <v>0</v>
          </cell>
          <cell r="L921">
            <v>0</v>
          </cell>
          <cell r="M921">
            <v>0</v>
          </cell>
          <cell r="N921">
            <v>0</v>
          </cell>
          <cell r="O921">
            <v>0</v>
          </cell>
          <cell r="P921">
            <v>0</v>
          </cell>
          <cell r="Q921">
            <v>71</v>
          </cell>
        </row>
        <row r="922">
          <cell r="A922" t="str">
            <v>USCRP015013991200099</v>
          </cell>
          <cell r="B922" t="str">
            <v>USCRP01501</v>
          </cell>
          <cell r="C922">
            <v>3991200099</v>
          </cell>
          <cell r="D922" t="str">
            <v>OTHER EXPENSES TO 3RD PARTIES - ADJUSTME</v>
          </cell>
          <cell r="E922">
            <v>-4</v>
          </cell>
          <cell r="F922">
            <v>991</v>
          </cell>
          <cell r="G922">
            <v>1971</v>
          </cell>
          <cell r="H922">
            <v>0</v>
          </cell>
          <cell r="I922">
            <v>0</v>
          </cell>
          <cell r="J922">
            <v>0</v>
          </cell>
          <cell r="K922">
            <v>0</v>
          </cell>
          <cell r="L922">
            <v>0</v>
          </cell>
          <cell r="M922">
            <v>0</v>
          </cell>
          <cell r="N922">
            <v>0</v>
          </cell>
          <cell r="O922">
            <v>0</v>
          </cell>
          <cell r="P922">
            <v>0</v>
          </cell>
          <cell r="Q922">
            <v>2958</v>
          </cell>
        </row>
        <row r="923">
          <cell r="A923" t="str">
            <v>USCRP015503991200099</v>
          </cell>
          <cell r="B923" t="str">
            <v>USCRP01550</v>
          </cell>
          <cell r="C923">
            <v>3991200099</v>
          </cell>
          <cell r="D923" t="str">
            <v>OTHER EXPENSES TO 3RD PARTIES - ADJUSTME</v>
          </cell>
          <cell r="E923">
            <v>0</v>
          </cell>
          <cell r="F923">
            <v>0</v>
          </cell>
          <cell r="G923">
            <v>0</v>
          </cell>
          <cell r="H923">
            <v>0</v>
          </cell>
          <cell r="I923">
            <v>0</v>
          </cell>
          <cell r="J923">
            <v>0</v>
          </cell>
          <cell r="K923">
            <v>0</v>
          </cell>
          <cell r="L923">
            <v>0</v>
          </cell>
          <cell r="M923">
            <v>0</v>
          </cell>
          <cell r="N923">
            <v>0</v>
          </cell>
          <cell r="O923">
            <v>0</v>
          </cell>
          <cell r="P923">
            <v>0</v>
          </cell>
          <cell r="Q923">
            <v>0</v>
          </cell>
        </row>
        <row r="924">
          <cell r="A924" t="str">
            <v>USCRP015603991200099</v>
          </cell>
          <cell r="B924" t="str">
            <v>USCRP01560</v>
          </cell>
          <cell r="C924">
            <v>3991200099</v>
          </cell>
          <cell r="D924" t="str">
            <v>OTHER EXPENSES TO 3RD PARTIES - ADJUSTME</v>
          </cell>
          <cell r="E924">
            <v>0</v>
          </cell>
          <cell r="F924">
            <v>0</v>
          </cell>
          <cell r="G924">
            <v>206</v>
          </cell>
          <cell r="H924">
            <v>0</v>
          </cell>
          <cell r="I924">
            <v>0</v>
          </cell>
          <cell r="J924">
            <v>0</v>
          </cell>
          <cell r="K924">
            <v>0</v>
          </cell>
          <cell r="L924">
            <v>0</v>
          </cell>
          <cell r="M924">
            <v>0</v>
          </cell>
          <cell r="N924">
            <v>0</v>
          </cell>
          <cell r="O924">
            <v>0</v>
          </cell>
          <cell r="P924">
            <v>0</v>
          </cell>
          <cell r="Q924">
            <v>206</v>
          </cell>
        </row>
        <row r="925">
          <cell r="A925" t="str">
            <v>USCRP015903991200099</v>
          </cell>
          <cell r="B925" t="str">
            <v>USCRP01590</v>
          </cell>
          <cell r="C925">
            <v>3991200099</v>
          </cell>
          <cell r="D925" t="str">
            <v>OTHER EXPENSES TO 3RD PARTIES - ADJUSTME</v>
          </cell>
          <cell r="E925">
            <v>432</v>
          </cell>
          <cell r="F925">
            <v>198</v>
          </cell>
          <cell r="G925">
            <v>170</v>
          </cell>
          <cell r="H925">
            <v>0</v>
          </cell>
          <cell r="I925">
            <v>0</v>
          </cell>
          <cell r="J925">
            <v>0</v>
          </cell>
          <cell r="K925">
            <v>0</v>
          </cell>
          <cell r="L925">
            <v>0</v>
          </cell>
          <cell r="M925">
            <v>0</v>
          </cell>
          <cell r="N925">
            <v>0</v>
          </cell>
          <cell r="O925">
            <v>0</v>
          </cell>
          <cell r="P925">
            <v>0</v>
          </cell>
          <cell r="Q925">
            <v>800</v>
          </cell>
        </row>
        <row r="926">
          <cell r="A926" t="str">
            <v>USWOP015013991200099</v>
          </cell>
          <cell r="B926" t="str">
            <v>USWOP01501</v>
          </cell>
          <cell r="C926">
            <v>3991200099</v>
          </cell>
          <cell r="D926" t="str">
            <v>OTHER EXPENSES TO 3RD PARTIES - ADJUSTME</v>
          </cell>
          <cell r="E926">
            <v>251</v>
          </cell>
          <cell r="F926">
            <v>98</v>
          </cell>
          <cell r="G926">
            <v>126</v>
          </cell>
          <cell r="H926">
            <v>0</v>
          </cell>
          <cell r="I926">
            <v>0</v>
          </cell>
          <cell r="J926">
            <v>0</v>
          </cell>
          <cell r="K926">
            <v>0</v>
          </cell>
          <cell r="L926">
            <v>0</v>
          </cell>
          <cell r="M926">
            <v>0</v>
          </cell>
          <cell r="N926">
            <v>0</v>
          </cell>
          <cell r="O926">
            <v>0</v>
          </cell>
          <cell r="P926">
            <v>0</v>
          </cell>
          <cell r="Q926">
            <v>475</v>
          </cell>
        </row>
        <row r="927">
          <cell r="A927" t="str">
            <v>USWOP015113991200099</v>
          </cell>
          <cell r="B927" t="str">
            <v>USWOP01511</v>
          </cell>
          <cell r="C927">
            <v>3991200099</v>
          </cell>
          <cell r="D927" t="str">
            <v>OTHER EXPENSES TO 3RD PARTIES - ADJUSTME</v>
          </cell>
          <cell r="E927">
            <v>0</v>
          </cell>
          <cell r="F927">
            <v>-22957</v>
          </cell>
          <cell r="G927">
            <v>0</v>
          </cell>
          <cell r="H927">
            <v>0</v>
          </cell>
          <cell r="I927">
            <v>0</v>
          </cell>
          <cell r="J927">
            <v>0</v>
          </cell>
          <cell r="K927">
            <v>0</v>
          </cell>
          <cell r="L927">
            <v>0</v>
          </cell>
          <cell r="M927">
            <v>0</v>
          </cell>
          <cell r="N927">
            <v>0</v>
          </cell>
          <cell r="O927">
            <v>0</v>
          </cell>
          <cell r="P927">
            <v>0</v>
          </cell>
          <cell r="Q927">
            <v>-22957</v>
          </cell>
        </row>
        <row r="928">
          <cell r="A928" t="str">
            <v>USWOP015903991200099</v>
          </cell>
          <cell r="B928" t="str">
            <v>USWOP01590</v>
          </cell>
          <cell r="C928">
            <v>3991200099</v>
          </cell>
          <cell r="D928" t="str">
            <v>OTHER EXPENSES TO 3RD PARTIES - ADJUSTME</v>
          </cell>
          <cell r="E928">
            <v>19</v>
          </cell>
          <cell r="F928">
            <v>215</v>
          </cell>
          <cell r="G928">
            <v>331</v>
          </cell>
          <cell r="H928">
            <v>0</v>
          </cell>
          <cell r="I928">
            <v>0</v>
          </cell>
          <cell r="J928">
            <v>0</v>
          </cell>
          <cell r="K928">
            <v>0</v>
          </cell>
          <cell r="L928">
            <v>0</v>
          </cell>
          <cell r="M928">
            <v>0</v>
          </cell>
          <cell r="N928">
            <v>0</v>
          </cell>
          <cell r="O928">
            <v>0</v>
          </cell>
          <cell r="P928">
            <v>0</v>
          </cell>
          <cell r="Q928">
            <v>565</v>
          </cell>
        </row>
        <row r="929">
          <cell r="A929" t="str">
            <v>US22P015113991200101</v>
          </cell>
          <cell r="B929" t="str">
            <v>US22P01511</v>
          </cell>
          <cell r="C929">
            <v>3991200101</v>
          </cell>
          <cell r="D929" t="str">
            <v>EXPENSE RECOVERY</v>
          </cell>
          <cell r="E929">
            <v>-52358</v>
          </cell>
          <cell r="F929">
            <v>0</v>
          </cell>
          <cell r="G929">
            <v>-16396</v>
          </cell>
          <cell r="H929">
            <v>0</v>
          </cell>
          <cell r="I929">
            <v>0</v>
          </cell>
          <cell r="J929">
            <v>0</v>
          </cell>
          <cell r="K929">
            <v>0</v>
          </cell>
          <cell r="L929">
            <v>0</v>
          </cell>
          <cell r="M929">
            <v>0</v>
          </cell>
          <cell r="N929">
            <v>0</v>
          </cell>
          <cell r="O929">
            <v>0</v>
          </cell>
          <cell r="P929">
            <v>0</v>
          </cell>
          <cell r="Q929">
            <v>-68754</v>
          </cell>
        </row>
        <row r="930">
          <cell r="A930" t="str">
            <v>US28P015113991200101</v>
          </cell>
          <cell r="B930" t="str">
            <v>US28P01511</v>
          </cell>
          <cell r="C930">
            <v>3991200101</v>
          </cell>
          <cell r="D930" t="str">
            <v>EXPENSE RECOVERY</v>
          </cell>
          <cell r="E930">
            <v>-47595</v>
          </cell>
          <cell r="F930">
            <v>-11071</v>
          </cell>
          <cell r="G930">
            <v>-6336</v>
          </cell>
          <cell r="H930">
            <v>0</v>
          </cell>
          <cell r="I930">
            <v>0</v>
          </cell>
          <cell r="J930">
            <v>0</v>
          </cell>
          <cell r="K930">
            <v>0</v>
          </cell>
          <cell r="L930">
            <v>0</v>
          </cell>
          <cell r="M930">
            <v>0</v>
          </cell>
          <cell r="N930">
            <v>0</v>
          </cell>
          <cell r="O930">
            <v>0</v>
          </cell>
          <cell r="P930">
            <v>0</v>
          </cell>
          <cell r="Q930">
            <v>-65002</v>
          </cell>
        </row>
        <row r="931">
          <cell r="A931" t="str">
            <v>US35P015113991200101</v>
          </cell>
          <cell r="B931" t="str">
            <v>US35P01511</v>
          </cell>
          <cell r="C931">
            <v>3991200101</v>
          </cell>
          <cell r="D931" t="str">
            <v>EXPENSE RECOVERY</v>
          </cell>
          <cell r="E931">
            <v>-40686</v>
          </cell>
          <cell r="F931">
            <v>-81067</v>
          </cell>
          <cell r="G931">
            <v>-52000</v>
          </cell>
          <cell r="H931">
            <v>0</v>
          </cell>
          <cell r="I931">
            <v>0</v>
          </cell>
          <cell r="J931">
            <v>0</v>
          </cell>
          <cell r="K931">
            <v>0</v>
          </cell>
          <cell r="L931">
            <v>0</v>
          </cell>
          <cell r="M931">
            <v>0</v>
          </cell>
          <cell r="N931">
            <v>0</v>
          </cell>
          <cell r="O931">
            <v>0</v>
          </cell>
          <cell r="P931">
            <v>0</v>
          </cell>
          <cell r="Q931">
            <v>-173753</v>
          </cell>
        </row>
        <row r="932">
          <cell r="A932" t="str">
            <v>US59P015113991200101</v>
          </cell>
          <cell r="B932" t="str">
            <v>US59P01511</v>
          </cell>
          <cell r="C932">
            <v>3991200101</v>
          </cell>
          <cell r="D932" t="str">
            <v>EXPENSE RECOVERY</v>
          </cell>
          <cell r="E932">
            <v>-18946</v>
          </cell>
          <cell r="F932">
            <v>-12961</v>
          </cell>
          <cell r="G932">
            <v>-16883</v>
          </cell>
          <cell r="H932">
            <v>0</v>
          </cell>
          <cell r="I932">
            <v>0</v>
          </cell>
          <cell r="J932">
            <v>0</v>
          </cell>
          <cell r="K932">
            <v>0</v>
          </cell>
          <cell r="L932">
            <v>0</v>
          </cell>
          <cell r="M932">
            <v>0</v>
          </cell>
          <cell r="N932">
            <v>0</v>
          </cell>
          <cell r="O932">
            <v>0</v>
          </cell>
          <cell r="P932">
            <v>0</v>
          </cell>
          <cell r="Q932">
            <v>-48790</v>
          </cell>
        </row>
        <row r="933">
          <cell r="A933" t="str">
            <v>US59P3C5113991200101</v>
          </cell>
          <cell r="B933" t="str">
            <v>US59P3C511</v>
          </cell>
          <cell r="C933">
            <v>3991200101</v>
          </cell>
          <cell r="D933" t="str">
            <v>EXPENSE RECOVERY</v>
          </cell>
          <cell r="E933">
            <v>-191419</v>
          </cell>
          <cell r="F933">
            <v>0</v>
          </cell>
          <cell r="G933">
            <v>-2268</v>
          </cell>
          <cell r="H933">
            <v>0</v>
          </cell>
          <cell r="I933">
            <v>0</v>
          </cell>
          <cell r="J933">
            <v>0</v>
          </cell>
          <cell r="K933">
            <v>0</v>
          </cell>
          <cell r="L933">
            <v>0</v>
          </cell>
          <cell r="M933">
            <v>0</v>
          </cell>
          <cell r="N933">
            <v>0</v>
          </cell>
          <cell r="O933">
            <v>0</v>
          </cell>
          <cell r="P933">
            <v>0</v>
          </cell>
          <cell r="Q933">
            <v>-193687</v>
          </cell>
        </row>
        <row r="934">
          <cell r="A934" t="str">
            <v>USCOP015013991200101</v>
          </cell>
          <cell r="B934" t="str">
            <v>USCOP01501</v>
          </cell>
          <cell r="C934">
            <v>3991200101</v>
          </cell>
          <cell r="D934" t="str">
            <v>EXPENSE RECOVERY</v>
          </cell>
          <cell r="E934">
            <v>0</v>
          </cell>
          <cell r="F934">
            <v>0</v>
          </cell>
          <cell r="G934">
            <v>-4267</v>
          </cell>
          <cell r="H934">
            <v>0</v>
          </cell>
          <cell r="I934">
            <v>0</v>
          </cell>
          <cell r="J934">
            <v>0</v>
          </cell>
          <cell r="K934">
            <v>0</v>
          </cell>
          <cell r="L934">
            <v>0</v>
          </cell>
          <cell r="M934">
            <v>0</v>
          </cell>
          <cell r="N934">
            <v>0</v>
          </cell>
          <cell r="O934">
            <v>0</v>
          </cell>
          <cell r="P934">
            <v>0</v>
          </cell>
          <cell r="Q934">
            <v>-4267</v>
          </cell>
        </row>
        <row r="935">
          <cell r="A935" t="str">
            <v>USCRP015113991200101</v>
          </cell>
          <cell r="B935" t="str">
            <v>USCRP01511</v>
          </cell>
          <cell r="C935">
            <v>3991200101</v>
          </cell>
          <cell r="D935" t="str">
            <v>EXPENSE RECOVERY</v>
          </cell>
          <cell r="E935">
            <v>-183500</v>
          </cell>
          <cell r="F935">
            <v>-224347</v>
          </cell>
          <cell r="G935">
            <v>-6861</v>
          </cell>
          <cell r="H935">
            <v>0</v>
          </cell>
          <cell r="I935">
            <v>0</v>
          </cell>
          <cell r="J935">
            <v>0</v>
          </cell>
          <cell r="K935">
            <v>0</v>
          </cell>
          <cell r="L935">
            <v>0</v>
          </cell>
          <cell r="M935">
            <v>0</v>
          </cell>
          <cell r="N935">
            <v>0</v>
          </cell>
          <cell r="O935">
            <v>0</v>
          </cell>
          <cell r="P935">
            <v>0</v>
          </cell>
          <cell r="Q935">
            <v>-414708</v>
          </cell>
        </row>
        <row r="936">
          <cell r="A936" t="str">
            <v>USWOP015113991200101</v>
          </cell>
          <cell r="B936" t="str">
            <v>USWOP01511</v>
          </cell>
          <cell r="C936">
            <v>3991200101</v>
          </cell>
          <cell r="D936" t="str">
            <v>EXPENSE RECOVERY</v>
          </cell>
          <cell r="E936">
            <v>-464</v>
          </cell>
          <cell r="F936">
            <v>-209</v>
          </cell>
          <cell r="G936">
            <v>-46716</v>
          </cell>
          <cell r="H936">
            <v>0</v>
          </cell>
          <cell r="I936">
            <v>0</v>
          </cell>
          <cell r="J936">
            <v>0</v>
          </cell>
          <cell r="K936">
            <v>0</v>
          </cell>
          <cell r="L936">
            <v>0</v>
          </cell>
          <cell r="M936">
            <v>0</v>
          </cell>
          <cell r="N936">
            <v>0</v>
          </cell>
          <cell r="O936">
            <v>0</v>
          </cell>
          <cell r="P936">
            <v>0</v>
          </cell>
          <cell r="Q936">
            <v>-47389</v>
          </cell>
        </row>
        <row r="937">
          <cell r="A937" t="str">
            <v>US59P015019420000002</v>
          </cell>
          <cell r="B937" t="str">
            <v>US59P01501</v>
          </cell>
          <cell r="C937">
            <v>9420000002</v>
          </cell>
          <cell r="D937" t="str">
            <v>Allocation by BA</v>
          </cell>
          <cell r="E937">
            <v>23247</v>
          </cell>
          <cell r="F937">
            <v>23254</v>
          </cell>
          <cell r="G937">
            <v>22476</v>
          </cell>
          <cell r="H937">
            <v>0</v>
          </cell>
          <cell r="I937">
            <v>0</v>
          </cell>
          <cell r="J937">
            <v>0</v>
          </cell>
          <cell r="K937">
            <v>0</v>
          </cell>
          <cell r="L937">
            <v>0</v>
          </cell>
          <cell r="M937">
            <v>0</v>
          </cell>
          <cell r="N937">
            <v>0</v>
          </cell>
          <cell r="O937">
            <v>0</v>
          </cell>
          <cell r="P937">
            <v>0</v>
          </cell>
          <cell r="Q937">
            <v>68977</v>
          </cell>
        </row>
        <row r="938">
          <cell r="A938" t="str">
            <v>US59P015509420000002</v>
          </cell>
          <cell r="B938" t="str">
            <v>US59P01550</v>
          </cell>
          <cell r="C938">
            <v>9420000002</v>
          </cell>
          <cell r="D938" t="str">
            <v>Allocation by BA</v>
          </cell>
          <cell r="E938">
            <v>483</v>
          </cell>
          <cell r="F938">
            <v>-1032</v>
          </cell>
          <cell r="G938">
            <v>3342</v>
          </cell>
          <cell r="H938">
            <v>0</v>
          </cell>
          <cell r="I938">
            <v>0</v>
          </cell>
          <cell r="J938">
            <v>0</v>
          </cell>
          <cell r="K938">
            <v>0</v>
          </cell>
          <cell r="L938">
            <v>0</v>
          </cell>
          <cell r="M938">
            <v>0</v>
          </cell>
          <cell r="N938">
            <v>0</v>
          </cell>
          <cell r="O938">
            <v>0</v>
          </cell>
          <cell r="P938">
            <v>0</v>
          </cell>
          <cell r="Q938">
            <v>2793</v>
          </cell>
        </row>
        <row r="939">
          <cell r="A939" t="str">
            <v>US59P015609420000002</v>
          </cell>
          <cell r="B939" t="str">
            <v>US59P01560</v>
          </cell>
          <cell r="C939">
            <v>9420000002</v>
          </cell>
          <cell r="D939" t="str">
            <v>Allocation by BA</v>
          </cell>
          <cell r="E939">
            <v>-1049</v>
          </cell>
          <cell r="F939">
            <v>-2441</v>
          </cell>
          <cell r="G939">
            <v>9112</v>
          </cell>
          <cell r="H939">
            <v>0</v>
          </cell>
          <cell r="I939">
            <v>0</v>
          </cell>
          <cell r="J939">
            <v>0</v>
          </cell>
          <cell r="K939">
            <v>0</v>
          </cell>
          <cell r="L939">
            <v>0</v>
          </cell>
          <cell r="M939">
            <v>0</v>
          </cell>
          <cell r="N939">
            <v>0</v>
          </cell>
          <cell r="O939">
            <v>0</v>
          </cell>
          <cell r="P939">
            <v>0</v>
          </cell>
          <cell r="Q939">
            <v>5622</v>
          </cell>
        </row>
        <row r="940">
          <cell r="A940" t="str">
            <v>US59P3C5019420000002</v>
          </cell>
          <cell r="B940" t="str">
            <v>US59P3C501</v>
          </cell>
          <cell r="C940">
            <v>9420000002</v>
          </cell>
          <cell r="D940" t="str">
            <v>Allocation by BA</v>
          </cell>
          <cell r="E940">
            <v>2583</v>
          </cell>
          <cell r="F940">
            <v>2584</v>
          </cell>
          <cell r="G940">
            <v>2497</v>
          </cell>
          <cell r="H940">
            <v>0</v>
          </cell>
          <cell r="I940">
            <v>0</v>
          </cell>
          <cell r="J940">
            <v>0</v>
          </cell>
          <cell r="K940">
            <v>0</v>
          </cell>
          <cell r="L940">
            <v>0</v>
          </cell>
          <cell r="M940">
            <v>0</v>
          </cell>
          <cell r="N940">
            <v>0</v>
          </cell>
          <cell r="O940">
            <v>0</v>
          </cell>
          <cell r="P940">
            <v>0</v>
          </cell>
          <cell r="Q940">
            <v>7664</v>
          </cell>
        </row>
        <row r="941">
          <cell r="A941" t="str">
            <v>US59P3C5509420000002</v>
          </cell>
          <cell r="B941" t="str">
            <v>US59P3C550</v>
          </cell>
          <cell r="C941">
            <v>9420000002</v>
          </cell>
          <cell r="D941" t="str">
            <v>Allocation by BA</v>
          </cell>
          <cell r="E941">
            <v>54</v>
          </cell>
          <cell r="F941">
            <v>-115</v>
          </cell>
          <cell r="G941">
            <v>371</v>
          </cell>
          <cell r="H941">
            <v>0</v>
          </cell>
          <cell r="I941">
            <v>0</v>
          </cell>
          <cell r="J941">
            <v>0</v>
          </cell>
          <cell r="K941">
            <v>0</v>
          </cell>
          <cell r="L941">
            <v>0</v>
          </cell>
          <cell r="M941">
            <v>0</v>
          </cell>
          <cell r="N941">
            <v>0</v>
          </cell>
          <cell r="O941">
            <v>0</v>
          </cell>
          <cell r="P941">
            <v>0</v>
          </cell>
          <cell r="Q941">
            <v>310</v>
          </cell>
        </row>
        <row r="942">
          <cell r="A942" t="str">
            <v>US59P3C5609420000002</v>
          </cell>
          <cell r="B942" t="str">
            <v>US59P3C560</v>
          </cell>
          <cell r="C942">
            <v>9420000002</v>
          </cell>
          <cell r="D942" t="str">
            <v>Allocation by BA</v>
          </cell>
          <cell r="E942">
            <v>-117</v>
          </cell>
          <cell r="F942">
            <v>-271</v>
          </cell>
          <cell r="G942">
            <v>1012</v>
          </cell>
          <cell r="H942">
            <v>0</v>
          </cell>
          <cell r="I942">
            <v>0</v>
          </cell>
          <cell r="J942">
            <v>0</v>
          </cell>
          <cell r="K942">
            <v>0</v>
          </cell>
          <cell r="L942">
            <v>0</v>
          </cell>
          <cell r="M942">
            <v>0</v>
          </cell>
          <cell r="N942">
            <v>0</v>
          </cell>
          <cell r="O942">
            <v>0</v>
          </cell>
          <cell r="P942">
            <v>0</v>
          </cell>
          <cell r="Q942">
            <v>624</v>
          </cell>
        </row>
      </sheetData>
      <sheetData sheetId="6">
        <row r="2">
          <cell r="A2" t="str">
            <v>Conc</v>
          </cell>
          <cell r="B2" t="str">
            <v>Cost Center</v>
          </cell>
          <cell r="C2" t="str">
            <v>Account</v>
          </cell>
          <cell r="D2" t="str">
            <v>Description</v>
          </cell>
          <cell r="E2" t="str">
            <v xml:space="preserve">      Jan</v>
          </cell>
          <cell r="F2" t="str">
            <v xml:space="preserve">      Feb</v>
          </cell>
          <cell r="G2" t="str">
            <v xml:space="preserve">      Mar</v>
          </cell>
          <cell r="H2" t="str">
            <v xml:space="preserve">      Apr</v>
          </cell>
          <cell r="I2" t="str">
            <v xml:space="preserve">      May</v>
          </cell>
          <cell r="J2" t="str">
            <v xml:space="preserve">      Jun</v>
          </cell>
          <cell r="K2" t="str">
            <v xml:space="preserve">      Jul</v>
          </cell>
          <cell r="L2" t="str">
            <v xml:space="preserve">      Aug</v>
          </cell>
          <cell r="M2" t="str">
            <v xml:space="preserve">      Sep</v>
          </cell>
          <cell r="N2" t="str">
            <v xml:space="preserve">      Oct</v>
          </cell>
          <cell r="O2" t="str">
            <v xml:space="preserve">      Nov</v>
          </cell>
          <cell r="P2" t="str">
            <v xml:space="preserve">      Dec</v>
          </cell>
          <cell r="Q2" t="str">
            <v>Total</v>
          </cell>
        </row>
        <row r="3">
          <cell r="A3" t="str">
            <v>US22P015013111100000</v>
          </cell>
          <cell r="B3" t="str">
            <v>US22P01501</v>
          </cell>
          <cell r="C3">
            <v>3111100000</v>
          </cell>
          <cell r="D3" t="str">
            <v>WAGES,SALARIES,ALLOWANCES AND COMMI/PERM</v>
          </cell>
          <cell r="E3">
            <v>43161</v>
          </cell>
          <cell r="F3">
            <v>43161</v>
          </cell>
          <cell r="G3">
            <v>43161</v>
          </cell>
          <cell r="H3">
            <v>43161</v>
          </cell>
          <cell r="I3">
            <v>43161</v>
          </cell>
          <cell r="J3">
            <v>43161</v>
          </cell>
          <cell r="K3">
            <v>43161</v>
          </cell>
          <cell r="L3">
            <v>43161</v>
          </cell>
          <cell r="M3">
            <v>43161</v>
          </cell>
          <cell r="N3">
            <v>43161</v>
          </cell>
          <cell r="O3">
            <v>43161</v>
          </cell>
          <cell r="P3">
            <v>43156</v>
          </cell>
          <cell r="Q3">
            <v>517927</v>
          </cell>
        </row>
        <row r="4">
          <cell r="A4" t="str">
            <v>US22P015013111100012</v>
          </cell>
          <cell r="B4" t="str">
            <v>US22P01501</v>
          </cell>
          <cell r="C4">
            <v>3111100012</v>
          </cell>
          <cell r="D4" t="str">
            <v>OVERTIME HOURS /PERMANENTS</v>
          </cell>
          <cell r="E4">
            <v>257</v>
          </cell>
          <cell r="F4">
            <v>257</v>
          </cell>
          <cell r="G4">
            <v>257</v>
          </cell>
          <cell r="H4">
            <v>257</v>
          </cell>
          <cell r="I4">
            <v>257</v>
          </cell>
          <cell r="J4">
            <v>257</v>
          </cell>
          <cell r="K4">
            <v>257</v>
          </cell>
          <cell r="L4">
            <v>257</v>
          </cell>
          <cell r="M4">
            <v>257</v>
          </cell>
          <cell r="N4">
            <v>257</v>
          </cell>
          <cell r="O4">
            <v>257</v>
          </cell>
          <cell r="P4">
            <v>261</v>
          </cell>
          <cell r="Q4">
            <v>3088</v>
          </cell>
        </row>
        <row r="5">
          <cell r="A5" t="str">
            <v>US22P015013111100900</v>
          </cell>
          <cell r="B5" t="str">
            <v>US22P01501</v>
          </cell>
          <cell r="C5">
            <v>3111100900</v>
          </cell>
          <cell r="D5" t="str">
            <v>WAGES &amp; SALARIES / SEASONALS</v>
          </cell>
          <cell r="E5">
            <v>0</v>
          </cell>
          <cell r="F5">
            <v>0</v>
          </cell>
          <cell r="G5">
            <v>0</v>
          </cell>
          <cell r="H5">
            <v>0</v>
          </cell>
          <cell r="I5">
            <v>0</v>
          </cell>
          <cell r="J5">
            <v>0</v>
          </cell>
          <cell r="K5">
            <v>0</v>
          </cell>
          <cell r="L5">
            <v>0</v>
          </cell>
          <cell r="M5">
            <v>0</v>
          </cell>
          <cell r="N5">
            <v>0</v>
          </cell>
          <cell r="O5">
            <v>0</v>
          </cell>
          <cell r="P5">
            <v>0</v>
          </cell>
          <cell r="Q5">
            <v>0</v>
          </cell>
        </row>
        <row r="6">
          <cell r="A6" t="str">
            <v>US22P015013121300013</v>
          </cell>
          <cell r="B6" t="str">
            <v>US22P01501</v>
          </cell>
          <cell r="C6">
            <v>3121300013</v>
          </cell>
          <cell r="D6" t="str">
            <v>FRINGE BENEFITS</v>
          </cell>
          <cell r="E6">
            <v>16412</v>
          </cell>
          <cell r="F6">
            <v>16412</v>
          </cell>
          <cell r="G6">
            <v>16412</v>
          </cell>
          <cell r="H6">
            <v>16412</v>
          </cell>
          <cell r="I6">
            <v>16412</v>
          </cell>
          <cell r="J6">
            <v>16412</v>
          </cell>
          <cell r="K6">
            <v>16412</v>
          </cell>
          <cell r="L6">
            <v>16412</v>
          </cell>
          <cell r="M6">
            <v>16412</v>
          </cell>
          <cell r="N6">
            <v>16412</v>
          </cell>
          <cell r="O6">
            <v>16412</v>
          </cell>
          <cell r="P6">
            <v>16412</v>
          </cell>
          <cell r="Q6">
            <v>196944</v>
          </cell>
        </row>
        <row r="7">
          <cell r="A7" t="str">
            <v>US22P015013131100005</v>
          </cell>
          <cell r="B7" t="str">
            <v>US22P01501</v>
          </cell>
          <cell r="C7">
            <v>3131100005</v>
          </cell>
          <cell r="D7" t="str">
            <v>MOVINGS</v>
          </cell>
          <cell r="E7">
            <v>1250</v>
          </cell>
          <cell r="F7">
            <v>1250</v>
          </cell>
          <cell r="G7">
            <v>1250</v>
          </cell>
          <cell r="H7">
            <v>1250</v>
          </cell>
          <cell r="I7">
            <v>1250</v>
          </cell>
          <cell r="J7">
            <v>1250</v>
          </cell>
          <cell r="K7">
            <v>1250</v>
          </cell>
          <cell r="L7">
            <v>1250</v>
          </cell>
          <cell r="M7">
            <v>1250</v>
          </cell>
          <cell r="N7">
            <v>1250</v>
          </cell>
          <cell r="O7">
            <v>1250</v>
          </cell>
          <cell r="P7">
            <v>1250</v>
          </cell>
          <cell r="Q7">
            <v>15000</v>
          </cell>
        </row>
        <row r="8">
          <cell r="A8" t="str">
            <v>US22P015013131100007</v>
          </cell>
          <cell r="B8" t="str">
            <v>US22P01501</v>
          </cell>
          <cell r="C8">
            <v>3131100007</v>
          </cell>
          <cell r="D8" t="str">
            <v>EXTERNAL TRAINING</v>
          </cell>
          <cell r="E8">
            <v>622</v>
          </cell>
          <cell r="F8">
            <v>622</v>
          </cell>
          <cell r="G8">
            <v>622</v>
          </cell>
          <cell r="H8">
            <v>622</v>
          </cell>
          <cell r="I8">
            <v>622</v>
          </cell>
          <cell r="J8">
            <v>622</v>
          </cell>
          <cell r="K8">
            <v>622</v>
          </cell>
          <cell r="L8">
            <v>622</v>
          </cell>
          <cell r="M8">
            <v>622</v>
          </cell>
          <cell r="N8">
            <v>622</v>
          </cell>
          <cell r="O8">
            <v>622</v>
          </cell>
          <cell r="P8">
            <v>622</v>
          </cell>
          <cell r="Q8">
            <v>7464</v>
          </cell>
        </row>
        <row r="9">
          <cell r="A9" t="str">
            <v>US22P015013131100025</v>
          </cell>
          <cell r="B9" t="str">
            <v>US22P01501</v>
          </cell>
          <cell r="C9">
            <v>3131100025</v>
          </cell>
          <cell r="D9" t="str">
            <v>OTHER PERSONNEL EXPENSES</v>
          </cell>
          <cell r="E9">
            <v>3756</v>
          </cell>
          <cell r="F9">
            <v>3756</v>
          </cell>
          <cell r="G9">
            <v>3756</v>
          </cell>
          <cell r="H9">
            <v>3756</v>
          </cell>
          <cell r="I9">
            <v>3756</v>
          </cell>
          <cell r="J9">
            <v>3756</v>
          </cell>
          <cell r="K9">
            <v>3756</v>
          </cell>
          <cell r="L9">
            <v>3756</v>
          </cell>
          <cell r="M9">
            <v>3756</v>
          </cell>
          <cell r="N9">
            <v>3756</v>
          </cell>
          <cell r="O9">
            <v>3756</v>
          </cell>
          <cell r="P9">
            <v>3756</v>
          </cell>
          <cell r="Q9">
            <v>45072</v>
          </cell>
        </row>
        <row r="10">
          <cell r="A10" t="str">
            <v>US22P015013131100031</v>
          </cell>
          <cell r="B10" t="str">
            <v>US22P01501</v>
          </cell>
          <cell r="C10">
            <v>3131100031</v>
          </cell>
          <cell r="D10" t="str">
            <v>TUITION REIMBERSEMENT</v>
          </cell>
          <cell r="E10">
            <v>333</v>
          </cell>
          <cell r="F10">
            <v>333</v>
          </cell>
          <cell r="G10">
            <v>333</v>
          </cell>
          <cell r="H10">
            <v>333</v>
          </cell>
          <cell r="I10">
            <v>333</v>
          </cell>
          <cell r="J10">
            <v>333</v>
          </cell>
          <cell r="K10">
            <v>333</v>
          </cell>
          <cell r="L10">
            <v>333</v>
          </cell>
          <cell r="M10">
            <v>333</v>
          </cell>
          <cell r="N10">
            <v>333</v>
          </cell>
          <cell r="O10">
            <v>333</v>
          </cell>
          <cell r="P10">
            <v>333</v>
          </cell>
          <cell r="Q10">
            <v>3996</v>
          </cell>
        </row>
        <row r="11">
          <cell r="A11" t="str">
            <v>US22P015013201300001</v>
          </cell>
          <cell r="B11" t="str">
            <v>US22P01501</v>
          </cell>
          <cell r="C11">
            <v>3201300001</v>
          </cell>
          <cell r="D11" t="str">
            <v>HIRED PERSONNEL FROM 3RD PARTIES</v>
          </cell>
          <cell r="E11">
            <v>0</v>
          </cell>
          <cell r="F11">
            <v>0</v>
          </cell>
          <cell r="G11">
            <v>0</v>
          </cell>
          <cell r="H11">
            <v>0</v>
          </cell>
          <cell r="I11">
            <v>0</v>
          </cell>
          <cell r="J11">
            <v>0</v>
          </cell>
          <cell r="K11">
            <v>0</v>
          </cell>
          <cell r="L11">
            <v>0</v>
          </cell>
          <cell r="M11">
            <v>0</v>
          </cell>
          <cell r="N11">
            <v>0</v>
          </cell>
          <cell r="O11">
            <v>0</v>
          </cell>
          <cell r="P11">
            <v>0</v>
          </cell>
          <cell r="Q11">
            <v>0</v>
          </cell>
        </row>
        <row r="12">
          <cell r="A12" t="str">
            <v>US22P015013201300005</v>
          </cell>
          <cell r="B12" t="str">
            <v>US22P01501</v>
          </cell>
          <cell r="C12">
            <v>3201300005</v>
          </cell>
          <cell r="D12" t="str">
            <v>O/S SERVICES - COMPUTER LIC. &amp; SUPPORT</v>
          </cell>
          <cell r="E12">
            <v>0</v>
          </cell>
          <cell r="F12">
            <v>0</v>
          </cell>
          <cell r="G12">
            <v>0</v>
          </cell>
          <cell r="H12">
            <v>0</v>
          </cell>
          <cell r="I12">
            <v>0</v>
          </cell>
          <cell r="J12">
            <v>0</v>
          </cell>
          <cell r="K12">
            <v>0</v>
          </cell>
          <cell r="L12">
            <v>0</v>
          </cell>
          <cell r="M12">
            <v>0</v>
          </cell>
          <cell r="N12">
            <v>0</v>
          </cell>
          <cell r="O12">
            <v>0</v>
          </cell>
          <cell r="P12">
            <v>0</v>
          </cell>
          <cell r="Q12">
            <v>0</v>
          </cell>
        </row>
        <row r="13">
          <cell r="A13" t="str">
            <v>US22P015013201400025</v>
          </cell>
          <cell r="B13" t="str">
            <v>US22P01501</v>
          </cell>
          <cell r="C13">
            <v>3201400025</v>
          </cell>
          <cell r="D13" t="str">
            <v>CLEANING EXPENSES</v>
          </cell>
          <cell r="E13">
            <v>2083</v>
          </cell>
          <cell r="F13">
            <v>2083</v>
          </cell>
          <cell r="G13">
            <v>2083</v>
          </cell>
          <cell r="H13">
            <v>2083</v>
          </cell>
          <cell r="I13">
            <v>2083</v>
          </cell>
          <cell r="J13">
            <v>2083</v>
          </cell>
          <cell r="K13">
            <v>2083</v>
          </cell>
          <cell r="L13">
            <v>2083</v>
          </cell>
          <cell r="M13">
            <v>2083</v>
          </cell>
          <cell r="N13">
            <v>2083</v>
          </cell>
          <cell r="O13">
            <v>2083</v>
          </cell>
          <cell r="P13">
            <v>2083</v>
          </cell>
          <cell r="Q13">
            <v>24996</v>
          </cell>
        </row>
        <row r="14">
          <cell r="A14" t="str">
            <v>US22P015013201400029</v>
          </cell>
          <cell r="B14" t="str">
            <v>US22P01501</v>
          </cell>
          <cell r="C14">
            <v>3201400029</v>
          </cell>
          <cell r="D14" t="str">
            <v>OTH OUTSIDE SERVICES OTHER</v>
          </cell>
          <cell r="E14">
            <v>5734</v>
          </cell>
          <cell r="F14">
            <v>5734</v>
          </cell>
          <cell r="G14">
            <v>5734</v>
          </cell>
          <cell r="H14">
            <v>5734</v>
          </cell>
          <cell r="I14">
            <v>5734</v>
          </cell>
          <cell r="J14">
            <v>5734</v>
          </cell>
          <cell r="K14">
            <v>5734</v>
          </cell>
          <cell r="L14">
            <v>5734</v>
          </cell>
          <cell r="M14">
            <v>5734</v>
          </cell>
          <cell r="N14">
            <v>5734</v>
          </cell>
          <cell r="O14">
            <v>5734</v>
          </cell>
          <cell r="P14">
            <v>5734</v>
          </cell>
          <cell r="Q14">
            <v>68808</v>
          </cell>
        </row>
        <row r="15">
          <cell r="A15" t="str">
            <v>US22P015013201400036</v>
          </cell>
          <cell r="B15" t="str">
            <v>US22P01501</v>
          </cell>
          <cell r="C15">
            <v>3201400036</v>
          </cell>
          <cell r="D15" t="str">
            <v>OTHER MAINTENANCE BUILDINGS</v>
          </cell>
          <cell r="E15">
            <v>436</v>
          </cell>
          <cell r="F15">
            <v>436</v>
          </cell>
          <cell r="G15">
            <v>436</v>
          </cell>
          <cell r="H15">
            <v>436</v>
          </cell>
          <cell r="I15">
            <v>436</v>
          </cell>
          <cell r="J15">
            <v>436</v>
          </cell>
          <cell r="K15">
            <v>436</v>
          </cell>
          <cell r="L15">
            <v>436</v>
          </cell>
          <cell r="M15">
            <v>436</v>
          </cell>
          <cell r="N15">
            <v>436</v>
          </cell>
          <cell r="O15">
            <v>436</v>
          </cell>
          <cell r="P15">
            <v>436</v>
          </cell>
          <cell r="Q15">
            <v>5232</v>
          </cell>
        </row>
        <row r="16">
          <cell r="A16" t="str">
            <v>US22P015013201400051</v>
          </cell>
          <cell r="B16" t="str">
            <v>US22P01501</v>
          </cell>
          <cell r="C16">
            <v>3201400051</v>
          </cell>
          <cell r="D16" t="str">
            <v>MAINTENANCE EQUIPMENT</v>
          </cell>
          <cell r="E16">
            <v>2100</v>
          </cell>
          <cell r="F16">
            <v>2100</v>
          </cell>
          <cell r="G16">
            <v>2100</v>
          </cell>
          <cell r="H16">
            <v>2100</v>
          </cell>
          <cell r="I16">
            <v>2100</v>
          </cell>
          <cell r="J16">
            <v>2100</v>
          </cell>
          <cell r="K16">
            <v>2100</v>
          </cell>
          <cell r="L16">
            <v>2100</v>
          </cell>
          <cell r="M16">
            <v>2100</v>
          </cell>
          <cell r="N16">
            <v>2100</v>
          </cell>
          <cell r="O16">
            <v>2100</v>
          </cell>
          <cell r="P16">
            <v>2100</v>
          </cell>
          <cell r="Q16">
            <v>25200</v>
          </cell>
        </row>
        <row r="17">
          <cell r="A17" t="str">
            <v>US22P015013311400099</v>
          </cell>
          <cell r="B17" t="str">
            <v>US22P01501</v>
          </cell>
          <cell r="C17">
            <v>3311400099</v>
          </cell>
          <cell r="D17" t="str">
            <v>CO DEPRECIATION</v>
          </cell>
          <cell r="E17">
            <v>1219</v>
          </cell>
          <cell r="F17">
            <v>1219</v>
          </cell>
          <cell r="G17">
            <v>1219</v>
          </cell>
          <cell r="H17">
            <v>1219</v>
          </cell>
          <cell r="I17">
            <v>1219</v>
          </cell>
          <cell r="J17">
            <v>1219</v>
          </cell>
          <cell r="K17">
            <v>890</v>
          </cell>
          <cell r="L17">
            <v>840</v>
          </cell>
          <cell r="M17">
            <v>840</v>
          </cell>
          <cell r="N17">
            <v>840</v>
          </cell>
          <cell r="O17">
            <v>840</v>
          </cell>
          <cell r="P17">
            <v>829</v>
          </cell>
          <cell r="Q17">
            <v>12393</v>
          </cell>
        </row>
        <row r="18">
          <cell r="A18" t="str">
            <v>US22P015013501500031</v>
          </cell>
          <cell r="B18" t="str">
            <v>US22P01501</v>
          </cell>
          <cell r="C18">
            <v>3501500031</v>
          </cell>
          <cell r="D18" t="str">
            <v>BUSINESS LICENSES &amp; LOCAL TAXES</v>
          </cell>
          <cell r="E18">
            <v>0</v>
          </cell>
          <cell r="F18">
            <v>0</v>
          </cell>
          <cell r="G18">
            <v>0</v>
          </cell>
          <cell r="H18">
            <v>0</v>
          </cell>
          <cell r="I18">
            <v>0</v>
          </cell>
          <cell r="J18">
            <v>0</v>
          </cell>
          <cell r="K18">
            <v>0</v>
          </cell>
          <cell r="L18">
            <v>0</v>
          </cell>
          <cell r="M18">
            <v>0</v>
          </cell>
          <cell r="N18">
            <v>0</v>
          </cell>
          <cell r="O18">
            <v>0</v>
          </cell>
          <cell r="P18">
            <v>0</v>
          </cell>
          <cell r="Q18">
            <v>0</v>
          </cell>
        </row>
        <row r="19">
          <cell r="A19" t="str">
            <v>US22P015013501500034</v>
          </cell>
          <cell r="B19" t="str">
            <v>US22P01501</v>
          </cell>
          <cell r="C19">
            <v>3501500034</v>
          </cell>
          <cell r="D19" t="str">
            <v>PROPERTY TAXES</v>
          </cell>
          <cell r="E19">
            <v>7967</v>
          </cell>
          <cell r="F19">
            <v>7967</v>
          </cell>
          <cell r="G19">
            <v>7967</v>
          </cell>
          <cell r="H19">
            <v>7967</v>
          </cell>
          <cell r="I19">
            <v>7967</v>
          </cell>
          <cell r="J19">
            <v>7967</v>
          </cell>
          <cell r="K19">
            <v>7967</v>
          </cell>
          <cell r="L19">
            <v>7967</v>
          </cell>
          <cell r="M19">
            <v>7967</v>
          </cell>
          <cell r="N19">
            <v>7967</v>
          </cell>
          <cell r="O19">
            <v>7967</v>
          </cell>
          <cell r="P19">
            <v>7965</v>
          </cell>
          <cell r="Q19">
            <v>95602</v>
          </cell>
        </row>
        <row r="20">
          <cell r="A20" t="str">
            <v>US22P015013911100010</v>
          </cell>
          <cell r="B20" t="str">
            <v>US22P01501</v>
          </cell>
          <cell r="C20">
            <v>3911100010</v>
          </cell>
          <cell r="D20" t="str">
            <v>TRAVEL EXPENSES PERMANENTS / MEALS</v>
          </cell>
          <cell r="E20">
            <v>0</v>
          </cell>
          <cell r="F20">
            <v>0</v>
          </cell>
          <cell r="G20">
            <v>0</v>
          </cell>
          <cell r="H20">
            <v>0</v>
          </cell>
          <cell r="I20">
            <v>0</v>
          </cell>
          <cell r="J20">
            <v>0</v>
          </cell>
          <cell r="K20">
            <v>0</v>
          </cell>
          <cell r="L20">
            <v>0</v>
          </cell>
          <cell r="M20">
            <v>0</v>
          </cell>
          <cell r="N20">
            <v>0</v>
          </cell>
          <cell r="O20">
            <v>0</v>
          </cell>
          <cell r="P20">
            <v>0</v>
          </cell>
          <cell r="Q20">
            <v>0</v>
          </cell>
        </row>
        <row r="21">
          <cell r="A21" t="str">
            <v>US22P015013911100011</v>
          </cell>
          <cell r="B21" t="str">
            <v>US22P01501</v>
          </cell>
          <cell r="C21">
            <v>3911100011</v>
          </cell>
          <cell r="D21" t="str">
            <v>TRAVEL EXPENSES PERMANENTS / KILOMETERS</v>
          </cell>
          <cell r="E21">
            <v>0</v>
          </cell>
          <cell r="F21">
            <v>0</v>
          </cell>
          <cell r="G21">
            <v>0</v>
          </cell>
          <cell r="H21">
            <v>0</v>
          </cell>
          <cell r="I21">
            <v>0</v>
          </cell>
          <cell r="J21">
            <v>0</v>
          </cell>
          <cell r="K21">
            <v>0</v>
          </cell>
          <cell r="L21">
            <v>0</v>
          </cell>
          <cell r="M21">
            <v>0</v>
          </cell>
          <cell r="N21">
            <v>0</v>
          </cell>
          <cell r="O21">
            <v>0</v>
          </cell>
          <cell r="P21">
            <v>0</v>
          </cell>
          <cell r="Q21">
            <v>0</v>
          </cell>
        </row>
        <row r="22">
          <cell r="A22" t="str">
            <v>US22P015013911100012</v>
          </cell>
          <cell r="B22" t="str">
            <v>US22P01501</v>
          </cell>
          <cell r="C22">
            <v>3911100012</v>
          </cell>
          <cell r="D22" t="str">
            <v>TRAVEL EXPENSES PERMANENTS / HOTELS</v>
          </cell>
          <cell r="E22">
            <v>920</v>
          </cell>
          <cell r="F22">
            <v>920</v>
          </cell>
          <cell r="G22">
            <v>920</v>
          </cell>
          <cell r="H22">
            <v>920</v>
          </cell>
          <cell r="I22">
            <v>920</v>
          </cell>
          <cell r="J22">
            <v>920</v>
          </cell>
          <cell r="K22">
            <v>920</v>
          </cell>
          <cell r="L22">
            <v>920</v>
          </cell>
          <cell r="M22">
            <v>920</v>
          </cell>
          <cell r="N22">
            <v>920</v>
          </cell>
          <cell r="O22">
            <v>920</v>
          </cell>
          <cell r="P22">
            <v>920</v>
          </cell>
          <cell r="Q22">
            <v>11040</v>
          </cell>
        </row>
        <row r="23">
          <cell r="A23" t="str">
            <v>US22P015013911100022</v>
          </cell>
          <cell r="B23" t="str">
            <v>US22P01501</v>
          </cell>
          <cell r="C23">
            <v>3911100022</v>
          </cell>
          <cell r="D23" t="str">
            <v>TRAVEL EXPENSES - AIRFARE</v>
          </cell>
          <cell r="E23">
            <v>0</v>
          </cell>
          <cell r="F23">
            <v>0</v>
          </cell>
          <cell r="G23">
            <v>0</v>
          </cell>
          <cell r="H23">
            <v>0</v>
          </cell>
          <cell r="I23">
            <v>0</v>
          </cell>
          <cell r="J23">
            <v>0</v>
          </cell>
          <cell r="K23">
            <v>0</v>
          </cell>
          <cell r="L23">
            <v>0</v>
          </cell>
          <cell r="M23">
            <v>0</v>
          </cell>
          <cell r="N23">
            <v>0</v>
          </cell>
          <cell r="O23">
            <v>0</v>
          </cell>
          <cell r="P23">
            <v>0</v>
          </cell>
          <cell r="Q23">
            <v>0</v>
          </cell>
        </row>
        <row r="24">
          <cell r="A24" t="str">
            <v>US22P015013911100041</v>
          </cell>
          <cell r="B24" t="str">
            <v>US22P01501</v>
          </cell>
          <cell r="C24">
            <v>3911100041</v>
          </cell>
          <cell r="D24" t="str">
            <v>TRAVEL EXPENSES - ENTERTAINMENT</v>
          </cell>
          <cell r="E24">
            <v>1833</v>
          </cell>
          <cell r="F24">
            <v>1833</v>
          </cell>
          <cell r="G24">
            <v>1833</v>
          </cell>
          <cell r="H24">
            <v>1833</v>
          </cell>
          <cell r="I24">
            <v>1833</v>
          </cell>
          <cell r="J24">
            <v>1833</v>
          </cell>
          <cell r="K24">
            <v>1833</v>
          </cell>
          <cell r="L24">
            <v>1833</v>
          </cell>
          <cell r="M24">
            <v>1833</v>
          </cell>
          <cell r="N24">
            <v>1833</v>
          </cell>
          <cell r="O24">
            <v>1833</v>
          </cell>
          <cell r="P24">
            <v>1833</v>
          </cell>
          <cell r="Q24">
            <v>21996</v>
          </cell>
        </row>
        <row r="25">
          <cell r="A25" t="str">
            <v>US22P015013911200000</v>
          </cell>
          <cell r="B25" t="str">
            <v>US22P01501</v>
          </cell>
          <cell r="C25">
            <v>3911200000</v>
          </cell>
          <cell r="D25" t="str">
            <v>PROMOTIONAL EXPENSES ADVERTISEMENT</v>
          </cell>
          <cell r="E25">
            <v>0</v>
          </cell>
          <cell r="F25">
            <v>0</v>
          </cell>
          <cell r="G25">
            <v>0</v>
          </cell>
          <cell r="H25">
            <v>0</v>
          </cell>
          <cell r="I25">
            <v>0</v>
          </cell>
          <cell r="J25">
            <v>0</v>
          </cell>
          <cell r="K25">
            <v>0</v>
          </cell>
          <cell r="L25">
            <v>0</v>
          </cell>
          <cell r="M25">
            <v>0</v>
          </cell>
          <cell r="N25">
            <v>0</v>
          </cell>
          <cell r="O25">
            <v>0</v>
          </cell>
          <cell r="P25">
            <v>0</v>
          </cell>
          <cell r="Q25">
            <v>0</v>
          </cell>
        </row>
        <row r="26">
          <cell r="A26" t="str">
            <v>US22P015013911200001</v>
          </cell>
          <cell r="B26" t="str">
            <v>US22P01501</v>
          </cell>
          <cell r="C26">
            <v>3911200001</v>
          </cell>
          <cell r="D26" t="str">
            <v>SYMPOSIUMS, CONFERENCES, MEETINGS</v>
          </cell>
          <cell r="E26">
            <v>752</v>
          </cell>
          <cell r="F26">
            <v>752</v>
          </cell>
          <cell r="G26">
            <v>752</v>
          </cell>
          <cell r="H26">
            <v>752</v>
          </cell>
          <cell r="I26">
            <v>752</v>
          </cell>
          <cell r="J26">
            <v>752</v>
          </cell>
          <cell r="K26">
            <v>752</v>
          </cell>
          <cell r="L26">
            <v>752</v>
          </cell>
          <cell r="M26">
            <v>752</v>
          </cell>
          <cell r="N26">
            <v>752</v>
          </cell>
          <cell r="O26">
            <v>752</v>
          </cell>
          <cell r="P26">
            <v>752</v>
          </cell>
          <cell r="Q26">
            <v>9024</v>
          </cell>
        </row>
        <row r="27">
          <cell r="A27" t="str">
            <v>US22P015013911200007</v>
          </cell>
          <cell r="B27" t="str">
            <v>US22P01501</v>
          </cell>
          <cell r="C27">
            <v>3911200007</v>
          </cell>
          <cell r="D27" t="str">
            <v>PROMOTIONAL EXP ADVERTISING AND PROMOTIO</v>
          </cell>
          <cell r="E27">
            <v>250</v>
          </cell>
          <cell r="F27">
            <v>250</v>
          </cell>
          <cell r="G27">
            <v>250</v>
          </cell>
          <cell r="H27">
            <v>250</v>
          </cell>
          <cell r="I27">
            <v>250</v>
          </cell>
          <cell r="J27">
            <v>250</v>
          </cell>
          <cell r="K27">
            <v>250</v>
          </cell>
          <cell r="L27">
            <v>250</v>
          </cell>
          <cell r="M27">
            <v>250</v>
          </cell>
          <cell r="N27">
            <v>250</v>
          </cell>
          <cell r="O27">
            <v>250</v>
          </cell>
          <cell r="P27">
            <v>250</v>
          </cell>
          <cell r="Q27">
            <v>3000</v>
          </cell>
        </row>
        <row r="28">
          <cell r="A28" t="str">
            <v>US22P015013921100000</v>
          </cell>
          <cell r="B28" t="str">
            <v>US22P01501</v>
          </cell>
          <cell r="C28">
            <v>3921100000</v>
          </cell>
          <cell r="D28" t="str">
            <v>UTILITIES EXPENSES WATER</v>
          </cell>
          <cell r="E28">
            <v>139</v>
          </cell>
          <cell r="F28">
            <v>139</v>
          </cell>
          <cell r="G28">
            <v>139</v>
          </cell>
          <cell r="H28">
            <v>139</v>
          </cell>
          <cell r="I28">
            <v>139</v>
          </cell>
          <cell r="J28">
            <v>139</v>
          </cell>
          <cell r="K28">
            <v>139</v>
          </cell>
          <cell r="L28">
            <v>139</v>
          </cell>
          <cell r="M28">
            <v>139</v>
          </cell>
          <cell r="N28">
            <v>139</v>
          </cell>
          <cell r="O28">
            <v>139</v>
          </cell>
          <cell r="P28">
            <v>139</v>
          </cell>
          <cell r="Q28">
            <v>1668</v>
          </cell>
        </row>
        <row r="29">
          <cell r="A29" t="str">
            <v>US22P015013921100001</v>
          </cell>
          <cell r="B29" t="str">
            <v>US22P01501</v>
          </cell>
          <cell r="C29">
            <v>3921100001</v>
          </cell>
          <cell r="D29" t="str">
            <v>UTILITY EXPENSES ELECTRICITY</v>
          </cell>
          <cell r="E29">
            <v>13333</v>
          </cell>
          <cell r="F29">
            <v>13333</v>
          </cell>
          <cell r="G29">
            <v>13333</v>
          </cell>
          <cell r="H29">
            <v>13333</v>
          </cell>
          <cell r="I29">
            <v>13333</v>
          </cell>
          <cell r="J29">
            <v>13333</v>
          </cell>
          <cell r="K29">
            <v>13333</v>
          </cell>
          <cell r="L29">
            <v>13333</v>
          </cell>
          <cell r="M29">
            <v>13333</v>
          </cell>
          <cell r="N29">
            <v>13333</v>
          </cell>
          <cell r="O29">
            <v>13333</v>
          </cell>
          <cell r="P29">
            <v>13333</v>
          </cell>
          <cell r="Q29">
            <v>159996</v>
          </cell>
        </row>
        <row r="30">
          <cell r="A30" t="str">
            <v>US22P015013921200001</v>
          </cell>
          <cell r="B30" t="str">
            <v>US22P01501</v>
          </cell>
          <cell r="C30">
            <v>3921200001</v>
          </cell>
          <cell r="D30" t="str">
            <v>FUEL</v>
          </cell>
          <cell r="E30">
            <v>3464</v>
          </cell>
          <cell r="F30">
            <v>3464</v>
          </cell>
          <cell r="G30">
            <v>3464</v>
          </cell>
          <cell r="H30">
            <v>3464</v>
          </cell>
          <cell r="I30">
            <v>3464</v>
          </cell>
          <cell r="J30">
            <v>3464</v>
          </cell>
          <cell r="K30">
            <v>3464</v>
          </cell>
          <cell r="L30">
            <v>3464</v>
          </cell>
          <cell r="M30">
            <v>3464</v>
          </cell>
          <cell r="N30">
            <v>3464</v>
          </cell>
          <cell r="O30">
            <v>3464</v>
          </cell>
          <cell r="P30">
            <v>3464</v>
          </cell>
          <cell r="Q30">
            <v>41568</v>
          </cell>
        </row>
        <row r="31">
          <cell r="A31" t="str">
            <v>US22P015013921200006</v>
          </cell>
          <cell r="B31" t="str">
            <v>US22P01501</v>
          </cell>
          <cell r="C31">
            <v>3921200006</v>
          </cell>
          <cell r="D31" t="str">
            <v>FACTORY SUPPLIES MAINTENANCE SUPPLIES</v>
          </cell>
          <cell r="E31">
            <v>0</v>
          </cell>
          <cell r="F31">
            <v>0</v>
          </cell>
          <cell r="G31">
            <v>0</v>
          </cell>
          <cell r="H31">
            <v>0</v>
          </cell>
          <cell r="I31">
            <v>0</v>
          </cell>
          <cell r="J31">
            <v>0</v>
          </cell>
          <cell r="K31">
            <v>0</v>
          </cell>
          <cell r="L31">
            <v>0</v>
          </cell>
          <cell r="M31">
            <v>0</v>
          </cell>
          <cell r="N31">
            <v>0</v>
          </cell>
          <cell r="O31">
            <v>0</v>
          </cell>
          <cell r="P31">
            <v>0</v>
          </cell>
          <cell r="Q31">
            <v>0</v>
          </cell>
        </row>
        <row r="32">
          <cell r="A32" t="str">
            <v>US22P015013921200010</v>
          </cell>
          <cell r="B32" t="str">
            <v>US22P01501</v>
          </cell>
          <cell r="C32">
            <v>3921200010</v>
          </cell>
          <cell r="D32" t="str">
            <v>ADMINISTRATIVE SUPPLIES</v>
          </cell>
          <cell r="E32">
            <v>2667</v>
          </cell>
          <cell r="F32">
            <v>2667</v>
          </cell>
          <cell r="G32">
            <v>2667</v>
          </cell>
          <cell r="H32">
            <v>2667</v>
          </cell>
          <cell r="I32">
            <v>2667</v>
          </cell>
          <cell r="J32">
            <v>2667</v>
          </cell>
          <cell r="K32">
            <v>2667</v>
          </cell>
          <cell r="L32">
            <v>2667</v>
          </cell>
          <cell r="M32">
            <v>2667</v>
          </cell>
          <cell r="N32">
            <v>2667</v>
          </cell>
          <cell r="O32">
            <v>2667</v>
          </cell>
          <cell r="P32">
            <v>2667</v>
          </cell>
          <cell r="Q32">
            <v>32004</v>
          </cell>
        </row>
        <row r="33">
          <cell r="A33" t="str">
            <v>US22P015013921200050</v>
          </cell>
          <cell r="B33" t="str">
            <v>US22P01501</v>
          </cell>
          <cell r="C33">
            <v>3921200050</v>
          </cell>
          <cell r="D33" t="str">
            <v>SAFETY EQUIPMENT - SUPPLIES</v>
          </cell>
          <cell r="E33">
            <v>921</v>
          </cell>
          <cell r="F33">
            <v>921</v>
          </cell>
          <cell r="G33">
            <v>921</v>
          </cell>
          <cell r="H33">
            <v>921</v>
          </cell>
          <cell r="I33">
            <v>921</v>
          </cell>
          <cell r="J33">
            <v>921</v>
          </cell>
          <cell r="K33">
            <v>921</v>
          </cell>
          <cell r="L33">
            <v>921</v>
          </cell>
          <cell r="M33">
            <v>921</v>
          </cell>
          <cell r="N33">
            <v>921</v>
          </cell>
          <cell r="O33">
            <v>921</v>
          </cell>
          <cell r="P33">
            <v>921</v>
          </cell>
          <cell r="Q33">
            <v>11052</v>
          </cell>
        </row>
        <row r="34">
          <cell r="A34" t="str">
            <v>US22P015013951100005</v>
          </cell>
          <cell r="B34" t="str">
            <v>US22P01501</v>
          </cell>
          <cell r="C34">
            <v>3951100005</v>
          </cell>
          <cell r="D34" t="str">
            <v>OTHER RENTALS</v>
          </cell>
          <cell r="E34">
            <v>922</v>
          </cell>
          <cell r="F34">
            <v>922</v>
          </cell>
          <cell r="G34">
            <v>922</v>
          </cell>
          <cell r="H34">
            <v>922</v>
          </cell>
          <cell r="I34">
            <v>922</v>
          </cell>
          <cell r="J34">
            <v>922</v>
          </cell>
          <cell r="K34">
            <v>922</v>
          </cell>
          <cell r="L34">
            <v>922</v>
          </cell>
          <cell r="M34">
            <v>922</v>
          </cell>
          <cell r="N34">
            <v>922</v>
          </cell>
          <cell r="O34">
            <v>922</v>
          </cell>
          <cell r="P34">
            <v>922</v>
          </cell>
          <cell r="Q34">
            <v>11064</v>
          </cell>
        </row>
        <row r="35">
          <cell r="A35" t="str">
            <v>US22P015013951200002</v>
          </cell>
          <cell r="B35" t="str">
            <v>US22P01501</v>
          </cell>
          <cell r="C35">
            <v>3951200002</v>
          </cell>
          <cell r="D35" t="str">
            <v>OPERATING LEASES - VEHICLES (SHORT DURAT</v>
          </cell>
          <cell r="E35">
            <v>867</v>
          </cell>
          <cell r="F35">
            <v>867</v>
          </cell>
          <cell r="G35">
            <v>867</v>
          </cell>
          <cell r="H35">
            <v>867</v>
          </cell>
          <cell r="I35">
            <v>867</v>
          </cell>
          <cell r="J35">
            <v>867</v>
          </cell>
          <cell r="K35">
            <v>867</v>
          </cell>
          <cell r="L35">
            <v>867</v>
          </cell>
          <cell r="M35">
            <v>867</v>
          </cell>
          <cell r="N35">
            <v>867</v>
          </cell>
          <cell r="O35">
            <v>867</v>
          </cell>
          <cell r="P35">
            <v>867</v>
          </cell>
          <cell r="Q35">
            <v>10404</v>
          </cell>
        </row>
        <row r="36">
          <cell r="A36" t="str">
            <v>US22P015013951200008</v>
          </cell>
          <cell r="B36" t="str">
            <v>US22P01501</v>
          </cell>
          <cell r="C36">
            <v>3951200008</v>
          </cell>
          <cell r="D36" t="str">
            <v>OPERATING LEASES - PERSONAL COMPUTER</v>
          </cell>
          <cell r="E36">
            <v>0</v>
          </cell>
          <cell r="F36">
            <v>0</v>
          </cell>
          <cell r="G36">
            <v>0</v>
          </cell>
          <cell r="H36">
            <v>0</v>
          </cell>
          <cell r="I36">
            <v>0</v>
          </cell>
          <cell r="J36">
            <v>0</v>
          </cell>
          <cell r="K36">
            <v>0</v>
          </cell>
          <cell r="L36">
            <v>0</v>
          </cell>
          <cell r="M36">
            <v>0</v>
          </cell>
          <cell r="N36">
            <v>0</v>
          </cell>
          <cell r="O36">
            <v>0</v>
          </cell>
          <cell r="P36">
            <v>0</v>
          </cell>
          <cell r="Q36">
            <v>0</v>
          </cell>
        </row>
        <row r="37">
          <cell r="A37" t="str">
            <v>US22P015013961100000</v>
          </cell>
          <cell r="B37" t="str">
            <v>US22P01501</v>
          </cell>
          <cell r="C37">
            <v>3961100000</v>
          </cell>
          <cell r="D37" t="str">
            <v>COMPREHENSIVE INSURANCES</v>
          </cell>
          <cell r="E37">
            <v>2277</v>
          </cell>
          <cell r="F37">
            <v>2277</v>
          </cell>
          <cell r="G37">
            <v>2277</v>
          </cell>
          <cell r="H37">
            <v>2277</v>
          </cell>
          <cell r="I37">
            <v>2277</v>
          </cell>
          <cell r="J37">
            <v>2277</v>
          </cell>
          <cell r="K37">
            <v>2277</v>
          </cell>
          <cell r="L37">
            <v>2277</v>
          </cell>
          <cell r="M37">
            <v>2277</v>
          </cell>
          <cell r="N37">
            <v>2277</v>
          </cell>
          <cell r="O37">
            <v>2277</v>
          </cell>
          <cell r="P37">
            <v>2277</v>
          </cell>
          <cell r="Q37">
            <v>27324</v>
          </cell>
        </row>
        <row r="38">
          <cell r="A38" t="str">
            <v>US22P015013991200001</v>
          </cell>
          <cell r="B38" t="str">
            <v>US22P01501</v>
          </cell>
          <cell r="C38">
            <v>3991200001</v>
          </cell>
          <cell r="D38" t="str">
            <v>POSTAGE EXPENSES</v>
          </cell>
          <cell r="E38">
            <v>247</v>
          </cell>
          <cell r="F38">
            <v>247</v>
          </cell>
          <cell r="G38">
            <v>247</v>
          </cell>
          <cell r="H38">
            <v>247</v>
          </cell>
          <cell r="I38">
            <v>247</v>
          </cell>
          <cell r="J38">
            <v>247</v>
          </cell>
          <cell r="K38">
            <v>247</v>
          </cell>
          <cell r="L38">
            <v>247</v>
          </cell>
          <cell r="M38">
            <v>247</v>
          </cell>
          <cell r="N38">
            <v>247</v>
          </cell>
          <cell r="O38">
            <v>247</v>
          </cell>
          <cell r="P38">
            <v>247</v>
          </cell>
          <cell r="Q38">
            <v>2964</v>
          </cell>
        </row>
        <row r="39">
          <cell r="A39" t="str">
            <v>US22P015013991200012</v>
          </cell>
          <cell r="B39" t="str">
            <v>US22P01501</v>
          </cell>
          <cell r="C39">
            <v>3991200012</v>
          </cell>
          <cell r="D39" t="str">
            <v>DELIVERY SERVICES</v>
          </cell>
          <cell r="E39">
            <v>366</v>
          </cell>
          <cell r="F39">
            <v>366</v>
          </cell>
          <cell r="G39">
            <v>366</v>
          </cell>
          <cell r="H39">
            <v>366</v>
          </cell>
          <cell r="I39">
            <v>366</v>
          </cell>
          <cell r="J39">
            <v>366</v>
          </cell>
          <cell r="K39">
            <v>366</v>
          </cell>
          <cell r="L39">
            <v>366</v>
          </cell>
          <cell r="M39">
            <v>366</v>
          </cell>
          <cell r="N39">
            <v>366</v>
          </cell>
          <cell r="O39">
            <v>366</v>
          </cell>
          <cell r="P39">
            <v>366</v>
          </cell>
          <cell r="Q39">
            <v>4392</v>
          </cell>
        </row>
        <row r="40">
          <cell r="A40" t="str">
            <v>US22P015013991200015</v>
          </cell>
          <cell r="B40" t="str">
            <v>US22P01501</v>
          </cell>
          <cell r="C40">
            <v>3991200015</v>
          </cell>
          <cell r="D40" t="str">
            <v>TELEPHONE</v>
          </cell>
          <cell r="E40">
            <v>2139</v>
          </cell>
          <cell r="F40">
            <v>2139</v>
          </cell>
          <cell r="G40">
            <v>2139</v>
          </cell>
          <cell r="H40">
            <v>2139</v>
          </cell>
          <cell r="I40">
            <v>2139</v>
          </cell>
          <cell r="J40">
            <v>2139</v>
          </cell>
          <cell r="K40">
            <v>2139</v>
          </cell>
          <cell r="L40">
            <v>2139</v>
          </cell>
          <cell r="M40">
            <v>2139</v>
          </cell>
          <cell r="N40">
            <v>2139</v>
          </cell>
          <cell r="O40">
            <v>2139</v>
          </cell>
          <cell r="P40">
            <v>2139</v>
          </cell>
          <cell r="Q40">
            <v>25668</v>
          </cell>
        </row>
        <row r="41">
          <cell r="A41" t="str">
            <v>US22P015013991200018</v>
          </cell>
          <cell r="B41" t="str">
            <v>US22P01501</v>
          </cell>
          <cell r="C41">
            <v>3991200018</v>
          </cell>
          <cell r="D41" t="str">
            <v>SUBSCRIPTIONS</v>
          </cell>
          <cell r="E41">
            <v>58</v>
          </cell>
          <cell r="F41">
            <v>58</v>
          </cell>
          <cell r="G41">
            <v>58</v>
          </cell>
          <cell r="H41">
            <v>58</v>
          </cell>
          <cell r="I41">
            <v>58</v>
          </cell>
          <cell r="J41">
            <v>58</v>
          </cell>
          <cell r="K41">
            <v>58</v>
          </cell>
          <cell r="L41">
            <v>58</v>
          </cell>
          <cell r="M41">
            <v>58</v>
          </cell>
          <cell r="N41">
            <v>58</v>
          </cell>
          <cell r="O41">
            <v>58</v>
          </cell>
          <cell r="P41">
            <v>58</v>
          </cell>
          <cell r="Q41">
            <v>696</v>
          </cell>
        </row>
        <row r="42">
          <cell r="A42" t="str">
            <v>US22P015013991200023</v>
          </cell>
          <cell r="B42" t="str">
            <v>US22P01501</v>
          </cell>
          <cell r="C42">
            <v>3991200023</v>
          </cell>
          <cell r="D42" t="str">
            <v>OTHER COMMUNICATION MEANS</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US22P015013991200068</v>
          </cell>
          <cell r="B43" t="str">
            <v>US22P01501</v>
          </cell>
          <cell r="C43">
            <v>3991200068</v>
          </cell>
          <cell r="D43" t="str">
            <v>ASSOCIATION AND DEVELOPMENT FUND</v>
          </cell>
          <cell r="E43">
            <v>0</v>
          </cell>
          <cell r="F43">
            <v>0</v>
          </cell>
          <cell r="G43">
            <v>0</v>
          </cell>
          <cell r="H43">
            <v>0</v>
          </cell>
          <cell r="I43">
            <v>0</v>
          </cell>
          <cell r="J43">
            <v>0</v>
          </cell>
          <cell r="K43">
            <v>0</v>
          </cell>
          <cell r="L43">
            <v>0</v>
          </cell>
          <cell r="M43">
            <v>0</v>
          </cell>
          <cell r="N43">
            <v>0</v>
          </cell>
          <cell r="O43">
            <v>0</v>
          </cell>
          <cell r="P43">
            <v>0</v>
          </cell>
          <cell r="Q43">
            <v>0</v>
          </cell>
        </row>
        <row r="44">
          <cell r="A44" t="str">
            <v>US22P015013991200069</v>
          </cell>
          <cell r="B44" t="str">
            <v>US22P01501</v>
          </cell>
          <cell r="C44">
            <v>3991200069</v>
          </cell>
          <cell r="D44" t="str">
            <v>COMPANY MEMBERSHIP DUES</v>
          </cell>
          <cell r="E44">
            <v>0</v>
          </cell>
          <cell r="F44">
            <v>0</v>
          </cell>
          <cell r="G44">
            <v>0</v>
          </cell>
          <cell r="H44">
            <v>0</v>
          </cell>
          <cell r="I44">
            <v>0</v>
          </cell>
          <cell r="J44">
            <v>0</v>
          </cell>
          <cell r="K44">
            <v>0</v>
          </cell>
          <cell r="L44">
            <v>0</v>
          </cell>
          <cell r="M44">
            <v>0</v>
          </cell>
          <cell r="N44">
            <v>0</v>
          </cell>
          <cell r="O44">
            <v>0</v>
          </cell>
          <cell r="P44">
            <v>0</v>
          </cell>
          <cell r="Q44">
            <v>0</v>
          </cell>
        </row>
        <row r="45">
          <cell r="A45" t="str">
            <v>US22P015113991200101</v>
          </cell>
          <cell r="B45" t="str">
            <v>US22P01511</v>
          </cell>
          <cell r="C45">
            <v>3991200101</v>
          </cell>
          <cell r="D45" t="str">
            <v>EXPENSE RECOVERY</v>
          </cell>
          <cell r="E45">
            <v>-20284</v>
          </cell>
          <cell r="F45">
            <v>-10142</v>
          </cell>
          <cell r="G45">
            <v>-8114</v>
          </cell>
          <cell r="H45">
            <v>-10142</v>
          </cell>
          <cell r="I45">
            <v>0</v>
          </cell>
          <cell r="J45">
            <v>-22312</v>
          </cell>
          <cell r="K45">
            <v>0</v>
          </cell>
          <cell r="L45">
            <v>0</v>
          </cell>
          <cell r="M45">
            <v>-24341</v>
          </cell>
          <cell r="N45">
            <v>-36511</v>
          </cell>
          <cell r="O45">
            <v>-36511</v>
          </cell>
          <cell r="P45">
            <v>-34483</v>
          </cell>
          <cell r="Q45">
            <v>-202840</v>
          </cell>
        </row>
        <row r="46">
          <cell r="A46" t="str">
            <v>US22P015503111100000</v>
          </cell>
          <cell r="B46" t="str">
            <v>US22P01550</v>
          </cell>
          <cell r="C46">
            <v>3111100000</v>
          </cell>
          <cell r="D46" t="str">
            <v>WAGES,SALARIES,ALLOWANCES AND COMMI/PERM</v>
          </cell>
          <cell r="E46">
            <v>4112</v>
          </cell>
          <cell r="F46">
            <v>4112</v>
          </cell>
          <cell r="G46">
            <v>4112</v>
          </cell>
          <cell r="H46">
            <v>4112</v>
          </cell>
          <cell r="I46">
            <v>4112</v>
          </cell>
          <cell r="J46">
            <v>4112</v>
          </cell>
          <cell r="K46">
            <v>4112</v>
          </cell>
          <cell r="L46">
            <v>4112</v>
          </cell>
          <cell r="M46">
            <v>4112</v>
          </cell>
          <cell r="N46">
            <v>4112</v>
          </cell>
          <cell r="O46">
            <v>4112</v>
          </cell>
          <cell r="P46">
            <v>4109</v>
          </cell>
          <cell r="Q46">
            <v>49341</v>
          </cell>
        </row>
        <row r="47">
          <cell r="A47" t="str">
            <v>US22P015503111100012</v>
          </cell>
          <cell r="B47" t="str">
            <v>US22P01550</v>
          </cell>
          <cell r="C47">
            <v>3111100012</v>
          </cell>
          <cell r="D47" t="str">
            <v>OVERTIME HOURS /PERMANENTS</v>
          </cell>
          <cell r="E47">
            <v>3004</v>
          </cell>
          <cell r="F47">
            <v>3004</v>
          </cell>
          <cell r="G47">
            <v>3004</v>
          </cell>
          <cell r="H47">
            <v>3004</v>
          </cell>
          <cell r="I47">
            <v>3004</v>
          </cell>
          <cell r="J47">
            <v>3004</v>
          </cell>
          <cell r="K47">
            <v>3004</v>
          </cell>
          <cell r="L47">
            <v>3004</v>
          </cell>
          <cell r="M47">
            <v>3004</v>
          </cell>
          <cell r="N47">
            <v>3004</v>
          </cell>
          <cell r="O47">
            <v>3004</v>
          </cell>
          <cell r="P47">
            <v>3004</v>
          </cell>
          <cell r="Q47">
            <v>36048</v>
          </cell>
        </row>
        <row r="48">
          <cell r="A48" t="str">
            <v>US22P015503121300013</v>
          </cell>
          <cell r="B48" t="str">
            <v>US22P01550</v>
          </cell>
          <cell r="C48">
            <v>3121300013</v>
          </cell>
          <cell r="D48" t="str">
            <v>FRINGE BENEFITS</v>
          </cell>
          <cell r="E48">
            <v>2690</v>
          </cell>
          <cell r="F48">
            <v>2690</v>
          </cell>
          <cell r="G48">
            <v>2690</v>
          </cell>
          <cell r="H48">
            <v>2690</v>
          </cell>
          <cell r="I48">
            <v>2690</v>
          </cell>
          <cell r="J48">
            <v>2690</v>
          </cell>
          <cell r="K48">
            <v>2690</v>
          </cell>
          <cell r="L48">
            <v>2690</v>
          </cell>
          <cell r="M48">
            <v>2690</v>
          </cell>
          <cell r="N48">
            <v>2690</v>
          </cell>
          <cell r="O48">
            <v>2690</v>
          </cell>
          <cell r="P48">
            <v>2687</v>
          </cell>
          <cell r="Q48">
            <v>32277</v>
          </cell>
        </row>
        <row r="49">
          <cell r="A49" t="str">
            <v>US22P015503201300001</v>
          </cell>
          <cell r="B49" t="str">
            <v>US22P01550</v>
          </cell>
          <cell r="C49">
            <v>3201300001</v>
          </cell>
          <cell r="D49" t="str">
            <v>HIRED PERSONNEL FROM 3RD PARTIES</v>
          </cell>
          <cell r="E49">
            <v>5140</v>
          </cell>
          <cell r="F49">
            <v>5140</v>
          </cell>
          <cell r="G49">
            <v>5140</v>
          </cell>
          <cell r="H49">
            <v>5140</v>
          </cell>
          <cell r="I49">
            <v>8567</v>
          </cell>
          <cell r="J49">
            <v>8567</v>
          </cell>
          <cell r="K49">
            <v>25702</v>
          </cell>
          <cell r="L49">
            <v>25702</v>
          </cell>
          <cell r="M49">
            <v>34270</v>
          </cell>
          <cell r="N49">
            <v>34270</v>
          </cell>
          <cell r="O49">
            <v>8567</v>
          </cell>
          <cell r="P49">
            <v>5140</v>
          </cell>
          <cell r="Q49">
            <v>171345</v>
          </cell>
        </row>
        <row r="50">
          <cell r="A50" t="str">
            <v>US22P015503201300012</v>
          </cell>
          <cell r="B50" t="str">
            <v>US22P01550</v>
          </cell>
          <cell r="C50">
            <v>3201300012</v>
          </cell>
          <cell r="D50" t="str">
            <v>HIRED PERSONNEL THIRD PARTY - ROUGING</v>
          </cell>
          <cell r="E50">
            <v>6316</v>
          </cell>
          <cell r="F50">
            <v>6316</v>
          </cell>
          <cell r="G50">
            <v>6316</v>
          </cell>
          <cell r="H50">
            <v>6316</v>
          </cell>
          <cell r="I50">
            <v>10526</v>
          </cell>
          <cell r="J50">
            <v>10526</v>
          </cell>
          <cell r="K50">
            <v>31578</v>
          </cell>
          <cell r="L50">
            <v>31578</v>
          </cell>
          <cell r="M50">
            <v>42105</v>
          </cell>
          <cell r="N50">
            <v>42105</v>
          </cell>
          <cell r="O50">
            <v>10526</v>
          </cell>
          <cell r="P50">
            <v>6316</v>
          </cell>
          <cell r="Q50">
            <v>210524</v>
          </cell>
        </row>
        <row r="51">
          <cell r="A51" t="str">
            <v>US22P015503201400002</v>
          </cell>
          <cell r="B51" t="str">
            <v>US22P01550</v>
          </cell>
          <cell r="C51">
            <v>3201400002</v>
          </cell>
          <cell r="D51" t="str">
            <v>MAINTENANCE OF VEHICLES</v>
          </cell>
          <cell r="E51">
            <v>719</v>
          </cell>
          <cell r="F51">
            <v>719</v>
          </cell>
          <cell r="G51">
            <v>719</v>
          </cell>
          <cell r="H51">
            <v>719</v>
          </cell>
          <cell r="I51">
            <v>1198</v>
          </cell>
          <cell r="J51">
            <v>1198</v>
          </cell>
          <cell r="K51">
            <v>3595</v>
          </cell>
          <cell r="L51">
            <v>3595</v>
          </cell>
          <cell r="M51">
            <v>4794</v>
          </cell>
          <cell r="N51">
            <v>4794</v>
          </cell>
          <cell r="O51">
            <v>1198</v>
          </cell>
          <cell r="P51">
            <v>719</v>
          </cell>
          <cell r="Q51">
            <v>23967</v>
          </cell>
        </row>
        <row r="52">
          <cell r="A52" t="str">
            <v>US22P015503201400029</v>
          </cell>
          <cell r="B52" t="str">
            <v>US22P01550</v>
          </cell>
          <cell r="C52">
            <v>3201400029</v>
          </cell>
          <cell r="D52" t="str">
            <v>OTH OUTSIDE SERVICES OTHER</v>
          </cell>
          <cell r="E52">
            <v>15717</v>
          </cell>
          <cell r="F52">
            <v>15717</v>
          </cell>
          <cell r="G52">
            <v>15717</v>
          </cell>
          <cell r="H52">
            <v>15717</v>
          </cell>
          <cell r="I52">
            <v>26196</v>
          </cell>
          <cell r="J52">
            <v>26196</v>
          </cell>
          <cell r="K52">
            <v>78587</v>
          </cell>
          <cell r="L52">
            <v>78587</v>
          </cell>
          <cell r="M52">
            <v>104782</v>
          </cell>
          <cell r="N52">
            <v>104782</v>
          </cell>
          <cell r="O52">
            <v>26196</v>
          </cell>
          <cell r="P52">
            <v>15717</v>
          </cell>
          <cell r="Q52">
            <v>523911</v>
          </cell>
        </row>
        <row r="53">
          <cell r="A53" t="str">
            <v>US22P015503201400054</v>
          </cell>
          <cell r="B53" t="str">
            <v>US22P01550</v>
          </cell>
          <cell r="C53">
            <v>3201400054</v>
          </cell>
          <cell r="D53" t="str">
            <v>TECHNICAL SERVICES</v>
          </cell>
          <cell r="E53">
            <v>5753</v>
          </cell>
          <cell r="F53">
            <v>5753</v>
          </cell>
          <cell r="G53">
            <v>5753</v>
          </cell>
          <cell r="H53">
            <v>5753</v>
          </cell>
          <cell r="I53">
            <v>9588</v>
          </cell>
          <cell r="J53">
            <v>9588</v>
          </cell>
          <cell r="K53">
            <v>28764</v>
          </cell>
          <cell r="L53">
            <v>28764</v>
          </cell>
          <cell r="M53">
            <v>38352</v>
          </cell>
          <cell r="N53">
            <v>38352</v>
          </cell>
          <cell r="O53">
            <v>9588</v>
          </cell>
          <cell r="P53">
            <v>5753</v>
          </cell>
          <cell r="Q53">
            <v>191761</v>
          </cell>
        </row>
        <row r="54">
          <cell r="A54" t="str">
            <v>US22P015503201400056</v>
          </cell>
          <cell r="B54" t="str">
            <v>US22P01550</v>
          </cell>
          <cell r="C54">
            <v>3201400056</v>
          </cell>
          <cell r="D54" t="str">
            <v>FIELD AND PRODUCTION EXPENSES</v>
          </cell>
          <cell r="E54">
            <v>411</v>
          </cell>
          <cell r="F54">
            <v>411</v>
          </cell>
          <cell r="G54">
            <v>411</v>
          </cell>
          <cell r="H54">
            <v>411</v>
          </cell>
          <cell r="I54">
            <v>685</v>
          </cell>
          <cell r="J54">
            <v>685</v>
          </cell>
          <cell r="K54">
            <v>2055</v>
          </cell>
          <cell r="L54">
            <v>2055</v>
          </cell>
          <cell r="M54">
            <v>2739</v>
          </cell>
          <cell r="N54">
            <v>2739</v>
          </cell>
          <cell r="O54">
            <v>685</v>
          </cell>
          <cell r="P54">
            <v>411</v>
          </cell>
          <cell r="Q54">
            <v>13698</v>
          </cell>
        </row>
        <row r="55">
          <cell r="A55" t="str">
            <v>US22P015503201400057</v>
          </cell>
          <cell r="B55" t="str">
            <v>US22P01550</v>
          </cell>
          <cell r="C55">
            <v>3201400057</v>
          </cell>
          <cell r="D55" t="str">
            <v>FIELD AND PRODUCTION SERVICES - SPRAYING</v>
          </cell>
          <cell r="E55">
            <v>22908</v>
          </cell>
          <cell r="F55">
            <v>22908</v>
          </cell>
          <cell r="G55">
            <v>22908</v>
          </cell>
          <cell r="H55">
            <v>22908</v>
          </cell>
          <cell r="I55">
            <v>38180</v>
          </cell>
          <cell r="J55">
            <v>38180</v>
          </cell>
          <cell r="K55">
            <v>114541</v>
          </cell>
          <cell r="L55">
            <v>114541</v>
          </cell>
          <cell r="M55">
            <v>152721</v>
          </cell>
          <cell r="N55">
            <v>152721</v>
          </cell>
          <cell r="O55">
            <v>38180</v>
          </cell>
          <cell r="P55">
            <v>22908</v>
          </cell>
          <cell r="Q55">
            <v>763604</v>
          </cell>
        </row>
        <row r="56">
          <cell r="A56" t="str">
            <v>US22P015503311400099</v>
          </cell>
          <cell r="B56" t="str">
            <v>US22P01550</v>
          </cell>
          <cell r="C56">
            <v>3311400099</v>
          </cell>
          <cell r="D56" t="str">
            <v>CO DEPRECIATION</v>
          </cell>
          <cell r="E56">
            <v>156</v>
          </cell>
          <cell r="F56">
            <v>156</v>
          </cell>
          <cell r="G56">
            <v>156</v>
          </cell>
          <cell r="H56">
            <v>156</v>
          </cell>
          <cell r="I56">
            <v>156</v>
          </cell>
          <cell r="J56">
            <v>156</v>
          </cell>
          <cell r="K56">
            <v>156</v>
          </cell>
          <cell r="L56">
            <v>156</v>
          </cell>
          <cell r="M56">
            <v>156</v>
          </cell>
          <cell r="N56">
            <v>156</v>
          </cell>
          <cell r="O56">
            <v>156</v>
          </cell>
          <cell r="P56">
            <v>156</v>
          </cell>
          <cell r="Q56">
            <v>1872</v>
          </cell>
        </row>
        <row r="57">
          <cell r="A57" t="str">
            <v>US22P015503911100010</v>
          </cell>
          <cell r="B57" t="str">
            <v>US22P01550</v>
          </cell>
          <cell r="C57">
            <v>3911100010</v>
          </cell>
          <cell r="D57" t="str">
            <v>TRAVEL EXPENSES PERMANENTS / MEALS</v>
          </cell>
          <cell r="E57">
            <v>164</v>
          </cell>
          <cell r="F57">
            <v>164</v>
          </cell>
          <cell r="G57">
            <v>164</v>
          </cell>
          <cell r="H57">
            <v>164</v>
          </cell>
          <cell r="I57">
            <v>274</v>
          </cell>
          <cell r="J57">
            <v>274</v>
          </cell>
          <cell r="K57">
            <v>822</v>
          </cell>
          <cell r="L57">
            <v>822</v>
          </cell>
          <cell r="M57">
            <v>1096</v>
          </cell>
          <cell r="N57">
            <v>1096</v>
          </cell>
          <cell r="O57">
            <v>274</v>
          </cell>
          <cell r="P57">
            <v>164</v>
          </cell>
          <cell r="Q57">
            <v>5478</v>
          </cell>
        </row>
        <row r="58">
          <cell r="A58" t="str">
            <v>US22P015503911100012</v>
          </cell>
          <cell r="B58" t="str">
            <v>US22P01550</v>
          </cell>
          <cell r="C58">
            <v>3911100012</v>
          </cell>
          <cell r="D58" t="str">
            <v>TRAVEL EXPENSES PERMANENTS / HOTELS</v>
          </cell>
          <cell r="E58">
            <v>0</v>
          </cell>
          <cell r="F58">
            <v>0</v>
          </cell>
          <cell r="G58">
            <v>0</v>
          </cell>
          <cell r="H58">
            <v>0</v>
          </cell>
          <cell r="I58">
            <v>0</v>
          </cell>
          <cell r="J58">
            <v>0</v>
          </cell>
          <cell r="K58">
            <v>0</v>
          </cell>
          <cell r="L58">
            <v>0</v>
          </cell>
          <cell r="M58">
            <v>0</v>
          </cell>
          <cell r="N58">
            <v>0</v>
          </cell>
          <cell r="O58">
            <v>0</v>
          </cell>
          <cell r="P58">
            <v>0</v>
          </cell>
          <cell r="Q58">
            <v>0</v>
          </cell>
        </row>
        <row r="59">
          <cell r="A59" t="str">
            <v>US22P015503911100015</v>
          </cell>
          <cell r="B59" t="str">
            <v>US22P01550</v>
          </cell>
          <cell r="C59">
            <v>3911100015</v>
          </cell>
          <cell r="D59" t="str">
            <v>TRAVEL EXPENSES PERMANENTS / OTHER</v>
          </cell>
          <cell r="E59">
            <v>510</v>
          </cell>
          <cell r="F59">
            <v>510</v>
          </cell>
          <cell r="G59">
            <v>510</v>
          </cell>
          <cell r="H59">
            <v>510</v>
          </cell>
          <cell r="I59">
            <v>849</v>
          </cell>
          <cell r="J59">
            <v>849</v>
          </cell>
          <cell r="K59">
            <v>2548</v>
          </cell>
          <cell r="L59">
            <v>2548</v>
          </cell>
          <cell r="M59">
            <v>3397</v>
          </cell>
          <cell r="N59">
            <v>3397</v>
          </cell>
          <cell r="O59">
            <v>849</v>
          </cell>
          <cell r="P59">
            <v>510</v>
          </cell>
          <cell r="Q59">
            <v>16987</v>
          </cell>
        </row>
        <row r="60">
          <cell r="A60" t="str">
            <v>US22P015503911200001</v>
          </cell>
          <cell r="B60" t="str">
            <v>US22P01550</v>
          </cell>
          <cell r="C60">
            <v>3911200001</v>
          </cell>
          <cell r="D60" t="str">
            <v>SYMPOSIUMS, CONFERENCES, MEETINGS</v>
          </cell>
          <cell r="E60">
            <v>28</v>
          </cell>
          <cell r="F60">
            <v>28</v>
          </cell>
          <cell r="G60">
            <v>28</v>
          </cell>
          <cell r="H60">
            <v>28</v>
          </cell>
          <cell r="I60">
            <v>47</v>
          </cell>
          <cell r="J60">
            <v>47</v>
          </cell>
          <cell r="K60">
            <v>140</v>
          </cell>
          <cell r="L60">
            <v>140</v>
          </cell>
          <cell r="M60">
            <v>186</v>
          </cell>
          <cell r="N60">
            <v>186</v>
          </cell>
          <cell r="O60">
            <v>47</v>
          </cell>
          <cell r="P60">
            <v>28</v>
          </cell>
          <cell r="Q60">
            <v>933</v>
          </cell>
        </row>
        <row r="61">
          <cell r="A61" t="str">
            <v>US22P015503921200001</v>
          </cell>
          <cell r="B61" t="str">
            <v>US22P01550</v>
          </cell>
          <cell r="C61">
            <v>3921200001</v>
          </cell>
          <cell r="D61" t="str">
            <v>FUEL</v>
          </cell>
          <cell r="E61">
            <v>2137</v>
          </cell>
          <cell r="F61">
            <v>2137</v>
          </cell>
          <cell r="G61">
            <v>2137</v>
          </cell>
          <cell r="H61">
            <v>2137</v>
          </cell>
          <cell r="I61">
            <v>3561</v>
          </cell>
          <cell r="J61">
            <v>3561</v>
          </cell>
          <cell r="K61">
            <v>10684</v>
          </cell>
          <cell r="L61">
            <v>10684</v>
          </cell>
          <cell r="M61">
            <v>14245</v>
          </cell>
          <cell r="N61">
            <v>14245</v>
          </cell>
          <cell r="O61">
            <v>3561</v>
          </cell>
          <cell r="P61">
            <v>2137</v>
          </cell>
          <cell r="Q61">
            <v>71226</v>
          </cell>
        </row>
        <row r="62">
          <cell r="A62" t="str">
            <v>US22P015503921200006</v>
          </cell>
          <cell r="B62" t="str">
            <v>US22P01550</v>
          </cell>
          <cell r="C62">
            <v>3921200006</v>
          </cell>
          <cell r="D62" t="str">
            <v>FACTORY SUPPLIES MAINTENANCE SUPPLIES</v>
          </cell>
          <cell r="E62">
            <v>534</v>
          </cell>
          <cell r="F62">
            <v>534</v>
          </cell>
          <cell r="G62">
            <v>534</v>
          </cell>
          <cell r="H62">
            <v>534</v>
          </cell>
          <cell r="I62">
            <v>890</v>
          </cell>
          <cell r="J62">
            <v>890</v>
          </cell>
          <cell r="K62">
            <v>2671</v>
          </cell>
          <cell r="L62">
            <v>2671</v>
          </cell>
          <cell r="M62">
            <v>3561</v>
          </cell>
          <cell r="N62">
            <v>3561</v>
          </cell>
          <cell r="O62">
            <v>890</v>
          </cell>
          <cell r="P62">
            <v>534</v>
          </cell>
          <cell r="Q62">
            <v>17804</v>
          </cell>
        </row>
        <row r="63">
          <cell r="A63" t="str">
            <v>US22P015503921200014</v>
          </cell>
          <cell r="B63" t="str">
            <v>US22P01550</v>
          </cell>
          <cell r="C63">
            <v>3921200014</v>
          </cell>
          <cell r="D63" t="str">
            <v>MATERIAL FOR TRIALS AND ANALYSES</v>
          </cell>
          <cell r="E63">
            <v>0</v>
          </cell>
          <cell r="F63">
            <v>0</v>
          </cell>
          <cell r="G63">
            <v>0</v>
          </cell>
          <cell r="H63">
            <v>0</v>
          </cell>
          <cell r="I63">
            <v>0</v>
          </cell>
          <cell r="J63">
            <v>0</v>
          </cell>
          <cell r="K63">
            <v>0</v>
          </cell>
          <cell r="L63">
            <v>0</v>
          </cell>
          <cell r="M63">
            <v>0</v>
          </cell>
          <cell r="N63">
            <v>0</v>
          </cell>
          <cell r="O63">
            <v>0</v>
          </cell>
          <cell r="P63">
            <v>0</v>
          </cell>
          <cell r="Q63">
            <v>0</v>
          </cell>
        </row>
        <row r="64">
          <cell r="A64" t="str">
            <v>US22P015503921200050</v>
          </cell>
          <cell r="B64" t="str">
            <v>US22P01550</v>
          </cell>
          <cell r="C64">
            <v>3921200050</v>
          </cell>
          <cell r="D64" t="str">
            <v>SAFETY EQUIPMENT - SUPPLIES</v>
          </cell>
          <cell r="E64">
            <v>129</v>
          </cell>
          <cell r="F64">
            <v>129</v>
          </cell>
          <cell r="G64">
            <v>129</v>
          </cell>
          <cell r="H64">
            <v>129</v>
          </cell>
          <cell r="I64">
            <v>214</v>
          </cell>
          <cell r="J64">
            <v>214</v>
          </cell>
          <cell r="K64">
            <v>643</v>
          </cell>
          <cell r="L64">
            <v>643</v>
          </cell>
          <cell r="M64">
            <v>857</v>
          </cell>
          <cell r="N64">
            <v>857</v>
          </cell>
          <cell r="O64">
            <v>214</v>
          </cell>
          <cell r="P64">
            <v>129</v>
          </cell>
          <cell r="Q64">
            <v>4287</v>
          </cell>
        </row>
        <row r="65">
          <cell r="A65" t="str">
            <v>US22P015503921200100</v>
          </cell>
          <cell r="B65" t="str">
            <v>US22P01550</v>
          </cell>
          <cell r="C65">
            <v>3921200100</v>
          </cell>
          <cell r="D65" t="str">
            <v>FIELD &amp; PRODUCTION SUPPLIES</v>
          </cell>
          <cell r="E65">
            <v>41</v>
          </cell>
          <cell r="F65">
            <v>41</v>
          </cell>
          <cell r="G65">
            <v>41</v>
          </cell>
          <cell r="H65">
            <v>41</v>
          </cell>
          <cell r="I65">
            <v>68</v>
          </cell>
          <cell r="J65">
            <v>68</v>
          </cell>
          <cell r="K65">
            <v>205</v>
          </cell>
          <cell r="L65">
            <v>205</v>
          </cell>
          <cell r="M65">
            <v>274</v>
          </cell>
          <cell r="N65">
            <v>274</v>
          </cell>
          <cell r="O65">
            <v>68</v>
          </cell>
          <cell r="P65">
            <v>41</v>
          </cell>
          <cell r="Q65">
            <v>1367</v>
          </cell>
        </row>
        <row r="66">
          <cell r="A66" t="str">
            <v>US22P015503941100002</v>
          </cell>
          <cell r="B66" t="str">
            <v>US22P01550</v>
          </cell>
          <cell r="C66">
            <v>3941100002</v>
          </cell>
          <cell r="D66" t="str">
            <v>FREIGHT BETWEEN PLANTS</v>
          </cell>
          <cell r="E66">
            <v>0</v>
          </cell>
          <cell r="F66">
            <v>0</v>
          </cell>
          <cell r="G66">
            <v>0</v>
          </cell>
          <cell r="H66">
            <v>0</v>
          </cell>
          <cell r="I66">
            <v>0</v>
          </cell>
          <cell r="J66">
            <v>0</v>
          </cell>
          <cell r="K66">
            <v>0</v>
          </cell>
          <cell r="L66">
            <v>0</v>
          </cell>
          <cell r="M66">
            <v>0</v>
          </cell>
          <cell r="N66">
            <v>0</v>
          </cell>
          <cell r="O66">
            <v>0</v>
          </cell>
          <cell r="P66">
            <v>0</v>
          </cell>
          <cell r="Q66">
            <v>0</v>
          </cell>
        </row>
        <row r="67">
          <cell r="A67" t="str">
            <v>US22P015503941100013</v>
          </cell>
          <cell r="B67" t="str">
            <v>US22P01550</v>
          </cell>
          <cell r="C67">
            <v>3941100013</v>
          </cell>
          <cell r="D67" t="str">
            <v>FREIGHT IN</v>
          </cell>
          <cell r="E67">
            <v>21236</v>
          </cell>
          <cell r="F67">
            <v>21236</v>
          </cell>
          <cell r="G67">
            <v>21236</v>
          </cell>
          <cell r="H67">
            <v>21236</v>
          </cell>
          <cell r="I67">
            <v>35393</v>
          </cell>
          <cell r="J67">
            <v>35393</v>
          </cell>
          <cell r="K67">
            <v>106178</v>
          </cell>
          <cell r="L67">
            <v>106178</v>
          </cell>
          <cell r="M67">
            <v>141571</v>
          </cell>
          <cell r="N67">
            <v>141571</v>
          </cell>
          <cell r="O67">
            <v>35393</v>
          </cell>
          <cell r="P67">
            <v>21236</v>
          </cell>
          <cell r="Q67">
            <v>707857</v>
          </cell>
        </row>
        <row r="68">
          <cell r="A68" t="str">
            <v>US22P015503951100002</v>
          </cell>
          <cell r="B68" t="str">
            <v>US22P01550</v>
          </cell>
          <cell r="C68">
            <v>3951100002</v>
          </cell>
          <cell r="D68" t="str">
            <v>RENTALS - REAL ESTATE</v>
          </cell>
          <cell r="E68">
            <v>863</v>
          </cell>
          <cell r="F68">
            <v>863</v>
          </cell>
          <cell r="G68">
            <v>863</v>
          </cell>
          <cell r="H68">
            <v>863</v>
          </cell>
          <cell r="I68">
            <v>1438</v>
          </cell>
          <cell r="J68">
            <v>1438</v>
          </cell>
          <cell r="K68">
            <v>4315</v>
          </cell>
          <cell r="L68">
            <v>4315</v>
          </cell>
          <cell r="M68">
            <v>5753</v>
          </cell>
          <cell r="N68">
            <v>5753</v>
          </cell>
          <cell r="O68">
            <v>1438</v>
          </cell>
          <cell r="P68">
            <v>863</v>
          </cell>
          <cell r="Q68">
            <v>28765</v>
          </cell>
        </row>
        <row r="69">
          <cell r="A69" t="str">
            <v>US22P015503951100005</v>
          </cell>
          <cell r="B69" t="str">
            <v>US22P01550</v>
          </cell>
          <cell r="C69">
            <v>3951100005</v>
          </cell>
          <cell r="D69" t="str">
            <v>OTHER RENTALS</v>
          </cell>
          <cell r="E69">
            <v>251</v>
          </cell>
          <cell r="F69">
            <v>251</v>
          </cell>
          <cell r="G69">
            <v>251</v>
          </cell>
          <cell r="H69">
            <v>251</v>
          </cell>
          <cell r="I69">
            <v>418</v>
          </cell>
          <cell r="J69">
            <v>418</v>
          </cell>
          <cell r="K69">
            <v>1254</v>
          </cell>
          <cell r="L69">
            <v>1254</v>
          </cell>
          <cell r="M69">
            <v>1672</v>
          </cell>
          <cell r="N69">
            <v>1672</v>
          </cell>
          <cell r="O69">
            <v>418</v>
          </cell>
          <cell r="P69">
            <v>251</v>
          </cell>
          <cell r="Q69">
            <v>8361</v>
          </cell>
        </row>
        <row r="70">
          <cell r="A70" t="str">
            <v>US22P015503951200002</v>
          </cell>
          <cell r="B70" t="str">
            <v>US22P01550</v>
          </cell>
          <cell r="C70">
            <v>3951200002</v>
          </cell>
          <cell r="D70" t="str">
            <v>OPERATING LEASES - VEHICLES (SHORT DURAT</v>
          </cell>
          <cell r="E70">
            <v>2034</v>
          </cell>
          <cell r="F70">
            <v>2034</v>
          </cell>
          <cell r="G70">
            <v>2034</v>
          </cell>
          <cell r="H70">
            <v>2034</v>
          </cell>
          <cell r="I70">
            <v>3390</v>
          </cell>
          <cell r="J70">
            <v>3390</v>
          </cell>
          <cell r="K70">
            <v>10171</v>
          </cell>
          <cell r="L70">
            <v>10171</v>
          </cell>
          <cell r="M70">
            <v>13561</v>
          </cell>
          <cell r="N70">
            <v>13561</v>
          </cell>
          <cell r="O70">
            <v>3390</v>
          </cell>
          <cell r="P70">
            <v>2034</v>
          </cell>
          <cell r="Q70">
            <v>67804</v>
          </cell>
        </row>
        <row r="71">
          <cell r="A71" t="str">
            <v>US22P015503961100000</v>
          </cell>
          <cell r="B71" t="str">
            <v>US22P01550</v>
          </cell>
          <cell r="C71">
            <v>3961100000</v>
          </cell>
          <cell r="D71" t="str">
            <v>COMPREHENSIVE INSURANCES</v>
          </cell>
          <cell r="E71">
            <v>4024</v>
          </cell>
          <cell r="F71">
            <v>4024</v>
          </cell>
          <cell r="G71">
            <v>4024</v>
          </cell>
          <cell r="H71">
            <v>4024</v>
          </cell>
          <cell r="I71">
            <v>6706</v>
          </cell>
          <cell r="J71">
            <v>6706</v>
          </cell>
          <cell r="K71">
            <v>20118</v>
          </cell>
          <cell r="L71">
            <v>20118</v>
          </cell>
          <cell r="M71">
            <v>26824</v>
          </cell>
          <cell r="N71">
            <v>26824</v>
          </cell>
          <cell r="O71">
            <v>6706</v>
          </cell>
          <cell r="P71">
            <v>4024</v>
          </cell>
          <cell r="Q71">
            <v>134122</v>
          </cell>
        </row>
        <row r="72">
          <cell r="A72" t="str">
            <v>US22P015533111100000</v>
          </cell>
          <cell r="B72" t="str">
            <v>US22P01553</v>
          </cell>
          <cell r="C72">
            <v>3111100000</v>
          </cell>
          <cell r="D72" t="str">
            <v>WAGES,SALARIES,ALLOWANCES AND COMMI/PERM</v>
          </cell>
          <cell r="E72">
            <v>270</v>
          </cell>
          <cell r="F72">
            <v>270</v>
          </cell>
          <cell r="G72">
            <v>270</v>
          </cell>
          <cell r="H72">
            <v>270</v>
          </cell>
          <cell r="I72">
            <v>270</v>
          </cell>
          <cell r="J72">
            <v>270</v>
          </cell>
          <cell r="K72">
            <v>270</v>
          </cell>
          <cell r="L72">
            <v>270</v>
          </cell>
          <cell r="M72">
            <v>270</v>
          </cell>
          <cell r="N72">
            <v>270</v>
          </cell>
          <cell r="O72">
            <v>270</v>
          </cell>
          <cell r="P72">
            <v>265</v>
          </cell>
          <cell r="Q72">
            <v>3235</v>
          </cell>
        </row>
        <row r="73">
          <cell r="A73" t="str">
            <v>US22P015533111100012</v>
          </cell>
          <cell r="B73" t="str">
            <v>US22P01553</v>
          </cell>
          <cell r="C73">
            <v>3111100012</v>
          </cell>
          <cell r="D73" t="str">
            <v>OVERTIME HOURS /PERMANENTS</v>
          </cell>
          <cell r="E73">
            <v>584</v>
          </cell>
          <cell r="F73">
            <v>584</v>
          </cell>
          <cell r="G73">
            <v>584</v>
          </cell>
          <cell r="H73">
            <v>584</v>
          </cell>
          <cell r="I73">
            <v>584</v>
          </cell>
          <cell r="J73">
            <v>584</v>
          </cell>
          <cell r="K73">
            <v>584</v>
          </cell>
          <cell r="L73">
            <v>584</v>
          </cell>
          <cell r="M73">
            <v>584</v>
          </cell>
          <cell r="N73">
            <v>584</v>
          </cell>
          <cell r="O73">
            <v>584</v>
          </cell>
          <cell r="P73">
            <v>586</v>
          </cell>
          <cell r="Q73">
            <v>7010</v>
          </cell>
        </row>
        <row r="74">
          <cell r="A74" t="str">
            <v>US22P015533111100900</v>
          </cell>
          <cell r="B74" t="str">
            <v>US22P01553</v>
          </cell>
          <cell r="C74">
            <v>3111100900</v>
          </cell>
          <cell r="D74" t="str">
            <v>WAGES &amp; SALARIES / SEASONALS</v>
          </cell>
          <cell r="E74">
            <v>0</v>
          </cell>
          <cell r="F74">
            <v>0</v>
          </cell>
          <cell r="G74">
            <v>0</v>
          </cell>
          <cell r="H74">
            <v>0</v>
          </cell>
          <cell r="I74">
            <v>0</v>
          </cell>
          <cell r="J74">
            <v>0</v>
          </cell>
          <cell r="K74">
            <v>0</v>
          </cell>
          <cell r="L74">
            <v>0</v>
          </cell>
          <cell r="M74">
            <v>0</v>
          </cell>
          <cell r="N74">
            <v>0</v>
          </cell>
          <cell r="O74">
            <v>0</v>
          </cell>
          <cell r="P74">
            <v>0</v>
          </cell>
          <cell r="Q74">
            <v>0</v>
          </cell>
        </row>
        <row r="75">
          <cell r="A75" t="str">
            <v>US22P015533121300013</v>
          </cell>
          <cell r="B75" t="str">
            <v>US22P01553</v>
          </cell>
          <cell r="C75">
            <v>3121300013</v>
          </cell>
          <cell r="D75" t="str">
            <v>FRINGE BENEFITS</v>
          </cell>
          <cell r="E75">
            <v>323</v>
          </cell>
          <cell r="F75">
            <v>323</v>
          </cell>
          <cell r="G75">
            <v>323</v>
          </cell>
          <cell r="H75">
            <v>323</v>
          </cell>
          <cell r="I75">
            <v>323</v>
          </cell>
          <cell r="J75">
            <v>323</v>
          </cell>
          <cell r="K75">
            <v>323</v>
          </cell>
          <cell r="L75">
            <v>323</v>
          </cell>
          <cell r="M75">
            <v>323</v>
          </cell>
          <cell r="N75">
            <v>323</v>
          </cell>
          <cell r="O75">
            <v>323</v>
          </cell>
          <cell r="P75">
            <v>320</v>
          </cell>
          <cell r="Q75">
            <v>3873</v>
          </cell>
        </row>
        <row r="76">
          <cell r="A76" t="str">
            <v>US22P015533201300001</v>
          </cell>
          <cell r="B76" t="str">
            <v>US22P01553</v>
          </cell>
          <cell r="C76">
            <v>3201300001</v>
          </cell>
          <cell r="D76" t="str">
            <v>HIRED PERSONNEL FROM 3RD PARTIES</v>
          </cell>
          <cell r="E76">
            <v>0</v>
          </cell>
          <cell r="F76">
            <v>0</v>
          </cell>
          <cell r="G76">
            <v>0</v>
          </cell>
          <cell r="H76">
            <v>0</v>
          </cell>
          <cell r="I76">
            <v>0</v>
          </cell>
          <cell r="J76">
            <v>3143</v>
          </cell>
          <cell r="K76">
            <v>22004</v>
          </cell>
          <cell r="L76">
            <v>37722</v>
          </cell>
          <cell r="M76">
            <v>0</v>
          </cell>
          <cell r="N76">
            <v>0</v>
          </cell>
          <cell r="O76">
            <v>0</v>
          </cell>
          <cell r="P76">
            <v>0</v>
          </cell>
          <cell r="Q76">
            <v>62869</v>
          </cell>
        </row>
        <row r="77">
          <cell r="A77" t="str">
            <v>US22P015533201300012</v>
          </cell>
          <cell r="B77" t="str">
            <v>US22P01553</v>
          </cell>
          <cell r="C77">
            <v>3201300012</v>
          </cell>
          <cell r="D77" t="str">
            <v>HIRED PERSONNEL THIRD PARTY - ROUGING</v>
          </cell>
          <cell r="E77">
            <v>0</v>
          </cell>
          <cell r="F77">
            <v>0</v>
          </cell>
          <cell r="G77">
            <v>0</v>
          </cell>
          <cell r="H77">
            <v>0</v>
          </cell>
          <cell r="I77">
            <v>0</v>
          </cell>
          <cell r="J77">
            <v>94179</v>
          </cell>
          <cell r="K77">
            <v>659252</v>
          </cell>
          <cell r="L77">
            <v>1130146</v>
          </cell>
          <cell r="M77">
            <v>0</v>
          </cell>
          <cell r="N77">
            <v>0</v>
          </cell>
          <cell r="O77">
            <v>0</v>
          </cell>
          <cell r="P77">
            <v>0</v>
          </cell>
          <cell r="Q77">
            <v>1883577</v>
          </cell>
        </row>
        <row r="78">
          <cell r="A78" t="str">
            <v>US22P015533201400051</v>
          </cell>
          <cell r="B78" t="str">
            <v>US22P01553</v>
          </cell>
          <cell r="C78">
            <v>3201400051</v>
          </cell>
          <cell r="D78" t="str">
            <v>MAINTENANCE EQUIPMENT</v>
          </cell>
          <cell r="E78">
            <v>0</v>
          </cell>
          <cell r="F78">
            <v>0</v>
          </cell>
          <cell r="G78">
            <v>0</v>
          </cell>
          <cell r="H78">
            <v>0</v>
          </cell>
          <cell r="I78">
            <v>0</v>
          </cell>
          <cell r="J78">
            <v>262</v>
          </cell>
          <cell r="K78">
            <v>1834</v>
          </cell>
          <cell r="L78">
            <v>3143</v>
          </cell>
          <cell r="M78">
            <v>0</v>
          </cell>
          <cell r="N78">
            <v>0</v>
          </cell>
          <cell r="O78">
            <v>0</v>
          </cell>
          <cell r="P78">
            <v>0</v>
          </cell>
          <cell r="Q78">
            <v>5239</v>
          </cell>
        </row>
        <row r="79">
          <cell r="A79" t="str">
            <v>US22P015533201400056</v>
          </cell>
          <cell r="B79" t="str">
            <v>US22P01553</v>
          </cell>
          <cell r="C79">
            <v>3201400056</v>
          </cell>
          <cell r="D79" t="str">
            <v>FIELD AND PRODUCTION EXPENSES</v>
          </cell>
          <cell r="E79">
            <v>0</v>
          </cell>
          <cell r="F79">
            <v>0</v>
          </cell>
          <cell r="G79">
            <v>0</v>
          </cell>
          <cell r="H79">
            <v>0</v>
          </cell>
          <cell r="I79">
            <v>0</v>
          </cell>
          <cell r="J79">
            <v>1677</v>
          </cell>
          <cell r="K79">
            <v>11736</v>
          </cell>
          <cell r="L79">
            <v>20118</v>
          </cell>
          <cell r="M79">
            <v>0</v>
          </cell>
          <cell r="N79">
            <v>0</v>
          </cell>
          <cell r="O79">
            <v>0</v>
          </cell>
          <cell r="P79">
            <v>0</v>
          </cell>
          <cell r="Q79">
            <v>33531</v>
          </cell>
        </row>
        <row r="80">
          <cell r="A80" t="str">
            <v>US22P015533311400099</v>
          </cell>
          <cell r="B80" t="str">
            <v>US22P01553</v>
          </cell>
          <cell r="C80">
            <v>3311400099</v>
          </cell>
          <cell r="D80" t="str">
            <v>CO DEPRECIATION</v>
          </cell>
          <cell r="E80">
            <v>3192</v>
          </cell>
          <cell r="F80">
            <v>3192</v>
          </cell>
          <cell r="G80">
            <v>3192</v>
          </cell>
          <cell r="H80">
            <v>3192</v>
          </cell>
          <cell r="I80">
            <v>3192</v>
          </cell>
          <cell r="J80">
            <v>3192</v>
          </cell>
          <cell r="K80">
            <v>3192</v>
          </cell>
          <cell r="L80">
            <v>3192</v>
          </cell>
          <cell r="M80">
            <v>3192</v>
          </cell>
          <cell r="N80">
            <v>3192</v>
          </cell>
          <cell r="O80">
            <v>3192</v>
          </cell>
          <cell r="P80">
            <v>3192</v>
          </cell>
          <cell r="Q80">
            <v>38304</v>
          </cell>
        </row>
        <row r="81">
          <cell r="A81" t="str">
            <v>US22P015533911100010</v>
          </cell>
          <cell r="B81" t="str">
            <v>US22P01553</v>
          </cell>
          <cell r="C81">
            <v>3911100010</v>
          </cell>
          <cell r="D81" t="str">
            <v>TRAVEL EXPENSES PERMANENTS / MEALS</v>
          </cell>
          <cell r="E81">
            <v>437</v>
          </cell>
          <cell r="F81">
            <v>437</v>
          </cell>
          <cell r="G81">
            <v>437</v>
          </cell>
          <cell r="H81">
            <v>437</v>
          </cell>
          <cell r="I81">
            <v>437</v>
          </cell>
          <cell r="J81">
            <v>437</v>
          </cell>
          <cell r="K81">
            <v>437</v>
          </cell>
          <cell r="L81">
            <v>437</v>
          </cell>
          <cell r="M81">
            <v>437</v>
          </cell>
          <cell r="N81">
            <v>437</v>
          </cell>
          <cell r="O81">
            <v>437</v>
          </cell>
          <cell r="P81">
            <v>437</v>
          </cell>
          <cell r="Q81">
            <v>5244</v>
          </cell>
        </row>
        <row r="82">
          <cell r="A82" t="str">
            <v>US22P015533911100012</v>
          </cell>
          <cell r="B82" t="str">
            <v>US22P01553</v>
          </cell>
          <cell r="C82">
            <v>3911100012</v>
          </cell>
          <cell r="D82" t="str">
            <v>TRAVEL EXPENSES PERMANENTS / HOTELS</v>
          </cell>
          <cell r="E82">
            <v>0</v>
          </cell>
          <cell r="F82">
            <v>0</v>
          </cell>
          <cell r="G82">
            <v>0</v>
          </cell>
          <cell r="H82">
            <v>0</v>
          </cell>
          <cell r="I82">
            <v>0</v>
          </cell>
          <cell r="J82">
            <v>0</v>
          </cell>
          <cell r="K82">
            <v>0</v>
          </cell>
          <cell r="L82">
            <v>0</v>
          </cell>
          <cell r="M82">
            <v>0</v>
          </cell>
          <cell r="N82">
            <v>0</v>
          </cell>
          <cell r="O82">
            <v>0</v>
          </cell>
          <cell r="P82">
            <v>0</v>
          </cell>
          <cell r="Q82">
            <v>0</v>
          </cell>
        </row>
        <row r="83">
          <cell r="A83" t="str">
            <v>US22P015533911100015</v>
          </cell>
          <cell r="B83" t="str">
            <v>US22P01553</v>
          </cell>
          <cell r="C83">
            <v>3911100015</v>
          </cell>
          <cell r="D83" t="str">
            <v>TRAVEL EXPENSES PERMANENTS / OTHER</v>
          </cell>
          <cell r="E83">
            <v>0</v>
          </cell>
          <cell r="F83">
            <v>0</v>
          </cell>
          <cell r="G83">
            <v>0</v>
          </cell>
          <cell r="H83">
            <v>0</v>
          </cell>
          <cell r="I83">
            <v>0</v>
          </cell>
          <cell r="J83">
            <v>0</v>
          </cell>
          <cell r="K83">
            <v>0</v>
          </cell>
          <cell r="L83">
            <v>0</v>
          </cell>
          <cell r="M83">
            <v>0</v>
          </cell>
          <cell r="N83">
            <v>0</v>
          </cell>
          <cell r="O83">
            <v>0</v>
          </cell>
          <cell r="P83">
            <v>0</v>
          </cell>
          <cell r="Q83">
            <v>0</v>
          </cell>
        </row>
        <row r="84">
          <cell r="A84" t="str">
            <v>US22P015533911100016</v>
          </cell>
          <cell r="B84" t="str">
            <v>US22P01553</v>
          </cell>
          <cell r="C84">
            <v>3911100016</v>
          </cell>
          <cell r="D84" t="str">
            <v>TRAVEL EXPENSES SEASONALS / MEALS</v>
          </cell>
          <cell r="E84">
            <v>0</v>
          </cell>
          <cell r="F84">
            <v>0</v>
          </cell>
          <cell r="G84">
            <v>0</v>
          </cell>
          <cell r="H84">
            <v>0</v>
          </cell>
          <cell r="I84">
            <v>0</v>
          </cell>
          <cell r="J84">
            <v>0</v>
          </cell>
          <cell r="K84">
            <v>0</v>
          </cell>
          <cell r="L84">
            <v>0</v>
          </cell>
          <cell r="M84">
            <v>0</v>
          </cell>
          <cell r="N84">
            <v>0</v>
          </cell>
          <cell r="O84">
            <v>0</v>
          </cell>
          <cell r="P84">
            <v>0</v>
          </cell>
          <cell r="Q84">
            <v>0</v>
          </cell>
        </row>
        <row r="85">
          <cell r="A85" t="str">
            <v>US22P015533921200001</v>
          </cell>
          <cell r="B85" t="str">
            <v>US22P01553</v>
          </cell>
          <cell r="C85">
            <v>3921200001</v>
          </cell>
          <cell r="D85" t="str">
            <v>FUEL</v>
          </cell>
          <cell r="E85">
            <v>0</v>
          </cell>
          <cell r="F85">
            <v>0</v>
          </cell>
          <cell r="G85">
            <v>0</v>
          </cell>
          <cell r="H85">
            <v>0</v>
          </cell>
          <cell r="I85">
            <v>0</v>
          </cell>
          <cell r="J85">
            <v>1064</v>
          </cell>
          <cell r="K85">
            <v>7445</v>
          </cell>
          <cell r="L85">
            <v>12762</v>
          </cell>
          <cell r="M85">
            <v>0</v>
          </cell>
          <cell r="N85">
            <v>0</v>
          </cell>
          <cell r="O85">
            <v>0</v>
          </cell>
          <cell r="P85">
            <v>0</v>
          </cell>
          <cell r="Q85">
            <v>21271</v>
          </cell>
        </row>
        <row r="86">
          <cell r="A86" t="str">
            <v>US22P015533921200003</v>
          </cell>
          <cell r="B86" t="str">
            <v>US22P01553</v>
          </cell>
          <cell r="C86">
            <v>3921200003</v>
          </cell>
          <cell r="D86" t="str">
            <v>GAS</v>
          </cell>
          <cell r="E86">
            <v>0</v>
          </cell>
          <cell r="F86">
            <v>0</v>
          </cell>
          <cell r="G86">
            <v>0</v>
          </cell>
          <cell r="H86">
            <v>0</v>
          </cell>
          <cell r="I86">
            <v>0</v>
          </cell>
          <cell r="J86">
            <v>0</v>
          </cell>
          <cell r="K86">
            <v>0</v>
          </cell>
          <cell r="L86">
            <v>0</v>
          </cell>
          <cell r="M86">
            <v>0</v>
          </cell>
          <cell r="N86">
            <v>0</v>
          </cell>
          <cell r="O86">
            <v>0</v>
          </cell>
          <cell r="P86">
            <v>0</v>
          </cell>
          <cell r="Q86">
            <v>0</v>
          </cell>
        </row>
        <row r="87">
          <cell r="A87" t="str">
            <v>US22P015533921200006</v>
          </cell>
          <cell r="B87" t="str">
            <v>US22P01553</v>
          </cell>
          <cell r="C87">
            <v>3921200006</v>
          </cell>
          <cell r="D87" t="str">
            <v>FACTORY SUPPLIES MAINTENANCE SUPPLIES</v>
          </cell>
          <cell r="E87">
            <v>0</v>
          </cell>
          <cell r="F87">
            <v>0</v>
          </cell>
          <cell r="G87">
            <v>0</v>
          </cell>
          <cell r="H87">
            <v>0</v>
          </cell>
          <cell r="I87">
            <v>0</v>
          </cell>
          <cell r="J87">
            <v>1677</v>
          </cell>
          <cell r="K87">
            <v>11736</v>
          </cell>
          <cell r="L87">
            <v>20118</v>
          </cell>
          <cell r="M87">
            <v>0</v>
          </cell>
          <cell r="N87">
            <v>0</v>
          </cell>
          <cell r="O87">
            <v>0</v>
          </cell>
          <cell r="P87">
            <v>0</v>
          </cell>
          <cell r="Q87">
            <v>33531</v>
          </cell>
        </row>
        <row r="88">
          <cell r="A88" t="str">
            <v>US22P015533921200037</v>
          </cell>
          <cell r="B88" t="str">
            <v>US22P01553</v>
          </cell>
          <cell r="C88">
            <v>3921200037</v>
          </cell>
          <cell r="D88" t="str">
            <v>EXHAUSTIVE EQUIPMENT</v>
          </cell>
          <cell r="E88">
            <v>0</v>
          </cell>
          <cell r="F88">
            <v>0</v>
          </cell>
          <cell r="G88">
            <v>0</v>
          </cell>
          <cell r="H88">
            <v>0</v>
          </cell>
          <cell r="I88">
            <v>0</v>
          </cell>
          <cell r="J88">
            <v>0</v>
          </cell>
          <cell r="K88">
            <v>0</v>
          </cell>
          <cell r="L88">
            <v>0</v>
          </cell>
          <cell r="M88">
            <v>0</v>
          </cell>
          <cell r="N88">
            <v>0</v>
          </cell>
          <cell r="O88">
            <v>0</v>
          </cell>
          <cell r="P88">
            <v>0</v>
          </cell>
          <cell r="Q88">
            <v>0</v>
          </cell>
        </row>
        <row r="89">
          <cell r="A89" t="str">
            <v>US22P015533921200050</v>
          </cell>
          <cell r="B89" t="str">
            <v>US22P01553</v>
          </cell>
          <cell r="C89">
            <v>3921200050</v>
          </cell>
          <cell r="D89" t="str">
            <v>SAFETY EQUIPMENT - SUPPLIES</v>
          </cell>
          <cell r="E89">
            <v>0</v>
          </cell>
          <cell r="F89">
            <v>0</v>
          </cell>
          <cell r="G89">
            <v>0</v>
          </cell>
          <cell r="H89">
            <v>0</v>
          </cell>
          <cell r="I89">
            <v>0</v>
          </cell>
          <cell r="J89">
            <v>655</v>
          </cell>
          <cell r="K89">
            <v>4584</v>
          </cell>
          <cell r="L89">
            <v>7859</v>
          </cell>
          <cell r="M89">
            <v>0</v>
          </cell>
          <cell r="N89">
            <v>0</v>
          </cell>
          <cell r="O89">
            <v>0</v>
          </cell>
          <cell r="P89">
            <v>0</v>
          </cell>
          <cell r="Q89">
            <v>13098</v>
          </cell>
        </row>
        <row r="90">
          <cell r="A90" t="str">
            <v>US22P015533921200100</v>
          </cell>
          <cell r="B90" t="str">
            <v>US22P01553</v>
          </cell>
          <cell r="C90">
            <v>3921200100</v>
          </cell>
          <cell r="D90" t="str">
            <v>FIELD &amp; PRODUCTION SUPPLIES</v>
          </cell>
          <cell r="E90">
            <v>0</v>
          </cell>
          <cell r="F90">
            <v>0</v>
          </cell>
          <cell r="G90">
            <v>0</v>
          </cell>
          <cell r="H90">
            <v>0</v>
          </cell>
          <cell r="I90">
            <v>0</v>
          </cell>
          <cell r="J90">
            <v>58</v>
          </cell>
          <cell r="K90">
            <v>403</v>
          </cell>
          <cell r="L90">
            <v>692</v>
          </cell>
          <cell r="M90">
            <v>0</v>
          </cell>
          <cell r="N90">
            <v>0</v>
          </cell>
          <cell r="O90">
            <v>0</v>
          </cell>
          <cell r="P90">
            <v>0</v>
          </cell>
          <cell r="Q90">
            <v>1153</v>
          </cell>
        </row>
        <row r="91">
          <cell r="A91" t="str">
            <v>US22P015533951100002</v>
          </cell>
          <cell r="B91" t="str">
            <v>US22P01553</v>
          </cell>
          <cell r="C91">
            <v>3951100002</v>
          </cell>
          <cell r="D91" t="str">
            <v>RENTALS - REAL ESTATE</v>
          </cell>
          <cell r="E91">
            <v>0</v>
          </cell>
          <cell r="F91">
            <v>0</v>
          </cell>
          <cell r="G91">
            <v>0</v>
          </cell>
          <cell r="H91">
            <v>0</v>
          </cell>
          <cell r="I91">
            <v>0</v>
          </cell>
          <cell r="J91">
            <v>1310</v>
          </cell>
          <cell r="K91">
            <v>9168</v>
          </cell>
          <cell r="L91">
            <v>15717</v>
          </cell>
          <cell r="M91">
            <v>0</v>
          </cell>
          <cell r="N91">
            <v>0</v>
          </cell>
          <cell r="O91">
            <v>0</v>
          </cell>
          <cell r="P91">
            <v>0</v>
          </cell>
          <cell r="Q91">
            <v>26195</v>
          </cell>
        </row>
        <row r="92">
          <cell r="A92" t="str">
            <v>US22P015533951100005</v>
          </cell>
          <cell r="B92" t="str">
            <v>US22P01553</v>
          </cell>
          <cell r="C92">
            <v>3951100005</v>
          </cell>
          <cell r="D92" t="str">
            <v>OTHER RENTALS</v>
          </cell>
          <cell r="E92">
            <v>0</v>
          </cell>
          <cell r="F92">
            <v>0</v>
          </cell>
          <cell r="G92">
            <v>0</v>
          </cell>
          <cell r="H92">
            <v>0</v>
          </cell>
          <cell r="I92">
            <v>0</v>
          </cell>
          <cell r="J92">
            <v>1787</v>
          </cell>
          <cell r="K92">
            <v>12506</v>
          </cell>
          <cell r="L92">
            <v>21438</v>
          </cell>
          <cell r="M92">
            <v>0</v>
          </cell>
          <cell r="N92">
            <v>0</v>
          </cell>
          <cell r="O92">
            <v>0</v>
          </cell>
          <cell r="P92">
            <v>0</v>
          </cell>
          <cell r="Q92">
            <v>35731</v>
          </cell>
        </row>
        <row r="93">
          <cell r="A93" t="str">
            <v>US22P015533951200002</v>
          </cell>
          <cell r="B93" t="str">
            <v>US22P01553</v>
          </cell>
          <cell r="C93">
            <v>3951200002</v>
          </cell>
          <cell r="D93" t="str">
            <v>OPERATING LEASES - VEHICLES (SHORT DURAT</v>
          </cell>
          <cell r="E93">
            <v>0</v>
          </cell>
          <cell r="F93">
            <v>0</v>
          </cell>
          <cell r="G93">
            <v>0</v>
          </cell>
          <cell r="H93">
            <v>0</v>
          </cell>
          <cell r="I93">
            <v>0</v>
          </cell>
          <cell r="J93">
            <v>0</v>
          </cell>
          <cell r="K93">
            <v>0</v>
          </cell>
          <cell r="L93">
            <v>0</v>
          </cell>
          <cell r="M93">
            <v>0</v>
          </cell>
          <cell r="N93">
            <v>0</v>
          </cell>
          <cell r="O93">
            <v>0</v>
          </cell>
          <cell r="P93">
            <v>0</v>
          </cell>
          <cell r="Q93">
            <v>0</v>
          </cell>
        </row>
        <row r="94">
          <cell r="A94" t="str">
            <v>US22P015533961100000</v>
          </cell>
          <cell r="B94" t="str">
            <v>US22P01553</v>
          </cell>
          <cell r="C94">
            <v>3961100000</v>
          </cell>
          <cell r="D94" t="str">
            <v>COMPREHENSIVE INSURANCES</v>
          </cell>
          <cell r="E94">
            <v>0</v>
          </cell>
          <cell r="F94">
            <v>0</v>
          </cell>
          <cell r="G94">
            <v>0</v>
          </cell>
          <cell r="H94">
            <v>0</v>
          </cell>
          <cell r="I94">
            <v>0</v>
          </cell>
          <cell r="J94">
            <v>3206</v>
          </cell>
          <cell r="K94">
            <v>22444</v>
          </cell>
          <cell r="L94">
            <v>38476</v>
          </cell>
          <cell r="M94">
            <v>0</v>
          </cell>
          <cell r="N94">
            <v>0</v>
          </cell>
          <cell r="O94">
            <v>0</v>
          </cell>
          <cell r="P94">
            <v>0</v>
          </cell>
          <cell r="Q94">
            <v>64126</v>
          </cell>
        </row>
        <row r="95">
          <cell r="A95" t="str">
            <v>US22P015603111100000</v>
          </cell>
          <cell r="B95" t="str">
            <v>US22P01560</v>
          </cell>
          <cell r="C95">
            <v>3111100000</v>
          </cell>
          <cell r="D95" t="str">
            <v>WAGES,SALARIES,ALLOWANCES AND COMMI/PERM</v>
          </cell>
          <cell r="E95">
            <v>5783</v>
          </cell>
          <cell r="F95">
            <v>5783</v>
          </cell>
          <cell r="G95">
            <v>5783</v>
          </cell>
          <cell r="H95">
            <v>5783</v>
          </cell>
          <cell r="I95">
            <v>5783</v>
          </cell>
          <cell r="J95">
            <v>5783</v>
          </cell>
          <cell r="K95">
            <v>5783</v>
          </cell>
          <cell r="L95">
            <v>5783</v>
          </cell>
          <cell r="M95">
            <v>5783</v>
          </cell>
          <cell r="N95">
            <v>5783</v>
          </cell>
          <cell r="O95">
            <v>5783</v>
          </cell>
          <cell r="P95">
            <v>5784</v>
          </cell>
          <cell r="Q95">
            <v>69397</v>
          </cell>
        </row>
        <row r="96">
          <cell r="A96" t="str">
            <v>US22P015603111100012</v>
          </cell>
          <cell r="B96" t="str">
            <v>US22P01560</v>
          </cell>
          <cell r="C96">
            <v>3111100012</v>
          </cell>
          <cell r="D96" t="str">
            <v>OVERTIME HOURS /PERMANENTS</v>
          </cell>
          <cell r="E96">
            <v>2187</v>
          </cell>
          <cell r="F96">
            <v>2187</v>
          </cell>
          <cell r="G96">
            <v>2187</v>
          </cell>
          <cell r="H96">
            <v>2187</v>
          </cell>
          <cell r="I96">
            <v>2187</v>
          </cell>
          <cell r="J96">
            <v>2187</v>
          </cell>
          <cell r="K96">
            <v>2187</v>
          </cell>
          <cell r="L96">
            <v>2187</v>
          </cell>
          <cell r="M96">
            <v>2187</v>
          </cell>
          <cell r="N96">
            <v>2187</v>
          </cell>
          <cell r="O96">
            <v>2187</v>
          </cell>
          <cell r="P96">
            <v>2189</v>
          </cell>
          <cell r="Q96">
            <v>26246</v>
          </cell>
        </row>
        <row r="97">
          <cell r="A97" t="str">
            <v>US22P015603111100900</v>
          </cell>
          <cell r="B97" t="str">
            <v>US22P01560</v>
          </cell>
          <cell r="C97">
            <v>3111100900</v>
          </cell>
          <cell r="D97" t="str">
            <v>WAGES &amp; SALARIES / SEASONALS</v>
          </cell>
          <cell r="E97">
            <v>0</v>
          </cell>
          <cell r="F97">
            <v>0</v>
          </cell>
          <cell r="G97">
            <v>0</v>
          </cell>
          <cell r="H97">
            <v>0</v>
          </cell>
          <cell r="I97">
            <v>0</v>
          </cell>
          <cell r="J97">
            <v>0</v>
          </cell>
          <cell r="K97">
            <v>0</v>
          </cell>
          <cell r="L97">
            <v>0</v>
          </cell>
          <cell r="M97">
            <v>0</v>
          </cell>
          <cell r="N97">
            <v>0</v>
          </cell>
          <cell r="O97">
            <v>0</v>
          </cell>
          <cell r="P97">
            <v>0</v>
          </cell>
          <cell r="Q97">
            <v>0</v>
          </cell>
        </row>
        <row r="98">
          <cell r="A98" t="str">
            <v>US22P015603121300013</v>
          </cell>
          <cell r="B98" t="str">
            <v>US22P01560</v>
          </cell>
          <cell r="C98">
            <v>3121300013</v>
          </cell>
          <cell r="D98" t="str">
            <v>FRINGE BENEFITS</v>
          </cell>
          <cell r="E98">
            <v>3013</v>
          </cell>
          <cell r="F98">
            <v>3013</v>
          </cell>
          <cell r="G98">
            <v>3013</v>
          </cell>
          <cell r="H98">
            <v>3013</v>
          </cell>
          <cell r="I98">
            <v>3013</v>
          </cell>
          <cell r="J98">
            <v>3013</v>
          </cell>
          <cell r="K98">
            <v>3013</v>
          </cell>
          <cell r="L98">
            <v>3013</v>
          </cell>
          <cell r="M98">
            <v>3013</v>
          </cell>
          <cell r="N98">
            <v>3013</v>
          </cell>
          <cell r="O98">
            <v>3013</v>
          </cell>
          <cell r="P98">
            <v>3010</v>
          </cell>
          <cell r="Q98">
            <v>36153</v>
          </cell>
        </row>
        <row r="99">
          <cell r="A99" t="str">
            <v>US22P015603201300001</v>
          </cell>
          <cell r="B99" t="str">
            <v>US22P01560</v>
          </cell>
          <cell r="C99">
            <v>3201300001</v>
          </cell>
          <cell r="D99" t="str">
            <v>HIRED PERSONNEL FROM 3RD PARTIES</v>
          </cell>
          <cell r="E99">
            <v>23390</v>
          </cell>
          <cell r="F99">
            <v>11695</v>
          </cell>
          <cell r="G99">
            <v>11695</v>
          </cell>
          <cell r="H99">
            <v>11695</v>
          </cell>
          <cell r="I99">
            <v>0</v>
          </cell>
          <cell r="J99">
            <v>0</v>
          </cell>
          <cell r="K99">
            <v>0</v>
          </cell>
          <cell r="L99">
            <v>0</v>
          </cell>
          <cell r="M99">
            <v>35085</v>
          </cell>
          <cell r="N99">
            <v>46780</v>
          </cell>
          <cell r="O99">
            <v>46780</v>
          </cell>
          <cell r="P99">
            <v>46780</v>
          </cell>
          <cell r="Q99">
            <v>233900</v>
          </cell>
        </row>
        <row r="100">
          <cell r="A100" t="str">
            <v>US22P015603201300005</v>
          </cell>
          <cell r="B100" t="str">
            <v>US22P01560</v>
          </cell>
          <cell r="C100">
            <v>3201300005</v>
          </cell>
          <cell r="D100" t="str">
            <v>O/S SERVICES - COMPUTER LIC. &amp; SUPPORT</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A101" t="str">
            <v>US22P015603201400029</v>
          </cell>
          <cell r="B101" t="str">
            <v>US22P01560</v>
          </cell>
          <cell r="C101">
            <v>3201400029</v>
          </cell>
          <cell r="D101" t="str">
            <v>OTH OUTSIDE SERVICES OTHER</v>
          </cell>
          <cell r="E101">
            <v>450</v>
          </cell>
          <cell r="F101">
            <v>225</v>
          </cell>
          <cell r="G101">
            <v>225</v>
          </cell>
          <cell r="H101">
            <v>225</v>
          </cell>
          <cell r="I101">
            <v>0</v>
          </cell>
          <cell r="J101">
            <v>0</v>
          </cell>
          <cell r="K101">
            <v>0</v>
          </cell>
          <cell r="L101">
            <v>0</v>
          </cell>
          <cell r="M101">
            <v>674</v>
          </cell>
          <cell r="N101">
            <v>899</v>
          </cell>
          <cell r="O101">
            <v>899</v>
          </cell>
          <cell r="P101">
            <v>899</v>
          </cell>
          <cell r="Q101">
            <v>4496</v>
          </cell>
        </row>
        <row r="102">
          <cell r="A102" t="str">
            <v>US22P015603201400036</v>
          </cell>
          <cell r="B102" t="str">
            <v>US22P01560</v>
          </cell>
          <cell r="C102">
            <v>3201400036</v>
          </cell>
          <cell r="D102" t="str">
            <v>OTHER MAINTENANCE BUILDINGS</v>
          </cell>
          <cell r="E102">
            <v>0</v>
          </cell>
          <cell r="F102">
            <v>0</v>
          </cell>
          <cell r="G102">
            <v>0</v>
          </cell>
          <cell r="H102">
            <v>0</v>
          </cell>
          <cell r="I102">
            <v>0</v>
          </cell>
          <cell r="J102">
            <v>0</v>
          </cell>
          <cell r="K102">
            <v>0</v>
          </cell>
          <cell r="L102">
            <v>0</v>
          </cell>
          <cell r="M102">
            <v>0</v>
          </cell>
          <cell r="N102">
            <v>0</v>
          </cell>
          <cell r="O102">
            <v>0</v>
          </cell>
          <cell r="P102">
            <v>0</v>
          </cell>
          <cell r="Q102">
            <v>0</v>
          </cell>
        </row>
        <row r="103">
          <cell r="A103" t="str">
            <v>US22P015603201400051</v>
          </cell>
          <cell r="B103" t="str">
            <v>US22P01560</v>
          </cell>
          <cell r="C103">
            <v>3201400051</v>
          </cell>
          <cell r="D103" t="str">
            <v>MAINTENANCE EQUIPMENT</v>
          </cell>
          <cell r="E103">
            <v>1686</v>
          </cell>
          <cell r="F103">
            <v>843</v>
          </cell>
          <cell r="G103">
            <v>843</v>
          </cell>
          <cell r="H103">
            <v>843</v>
          </cell>
          <cell r="I103">
            <v>0</v>
          </cell>
          <cell r="J103">
            <v>0</v>
          </cell>
          <cell r="K103">
            <v>0</v>
          </cell>
          <cell r="L103">
            <v>0</v>
          </cell>
          <cell r="M103">
            <v>2528</v>
          </cell>
          <cell r="N103">
            <v>3371</v>
          </cell>
          <cell r="O103">
            <v>3371</v>
          </cell>
          <cell r="P103">
            <v>3371</v>
          </cell>
          <cell r="Q103">
            <v>16856</v>
          </cell>
        </row>
        <row r="104">
          <cell r="A104" t="str">
            <v>US22P015603311400099</v>
          </cell>
          <cell r="B104" t="str">
            <v>US22P01560</v>
          </cell>
          <cell r="C104">
            <v>3311400099</v>
          </cell>
          <cell r="D104" t="str">
            <v>CO DEPRECIATION</v>
          </cell>
          <cell r="E104">
            <v>33686</v>
          </cell>
          <cell r="F104">
            <v>33686</v>
          </cell>
          <cell r="G104">
            <v>33686</v>
          </cell>
          <cell r="H104">
            <v>33686</v>
          </cell>
          <cell r="I104">
            <v>33686</v>
          </cell>
          <cell r="J104">
            <v>33686</v>
          </cell>
          <cell r="K104">
            <v>33686</v>
          </cell>
          <cell r="L104">
            <v>33686</v>
          </cell>
          <cell r="M104">
            <v>33686</v>
          </cell>
          <cell r="N104">
            <v>33686</v>
          </cell>
          <cell r="O104">
            <v>33686</v>
          </cell>
          <cell r="P104">
            <v>33691</v>
          </cell>
          <cell r="Q104">
            <v>404237</v>
          </cell>
        </row>
        <row r="105">
          <cell r="A105" t="str">
            <v>US22P015603921200003</v>
          </cell>
          <cell r="B105" t="str">
            <v>US22P01560</v>
          </cell>
          <cell r="C105">
            <v>3921200003</v>
          </cell>
          <cell r="D105" t="str">
            <v>GAS</v>
          </cell>
          <cell r="E105">
            <v>0</v>
          </cell>
          <cell r="F105">
            <v>0</v>
          </cell>
          <cell r="G105">
            <v>0</v>
          </cell>
          <cell r="H105">
            <v>0</v>
          </cell>
          <cell r="I105">
            <v>0</v>
          </cell>
          <cell r="J105">
            <v>0</v>
          </cell>
          <cell r="K105">
            <v>0</v>
          </cell>
          <cell r="L105">
            <v>0</v>
          </cell>
          <cell r="M105">
            <v>0</v>
          </cell>
          <cell r="N105">
            <v>0</v>
          </cell>
          <cell r="O105">
            <v>0</v>
          </cell>
          <cell r="P105">
            <v>0</v>
          </cell>
          <cell r="Q105">
            <v>0</v>
          </cell>
        </row>
        <row r="106">
          <cell r="A106" t="str">
            <v>US22P015603921200006</v>
          </cell>
          <cell r="B106" t="str">
            <v>US22P01560</v>
          </cell>
          <cell r="C106">
            <v>3921200006</v>
          </cell>
          <cell r="D106" t="str">
            <v>FACTORY SUPPLIES MAINTENANCE SUPPLIES</v>
          </cell>
          <cell r="E106">
            <v>11238</v>
          </cell>
          <cell r="F106">
            <v>5619</v>
          </cell>
          <cell r="G106">
            <v>5619</v>
          </cell>
          <cell r="H106">
            <v>5619</v>
          </cell>
          <cell r="I106">
            <v>0</v>
          </cell>
          <cell r="J106">
            <v>0</v>
          </cell>
          <cell r="K106">
            <v>0</v>
          </cell>
          <cell r="L106">
            <v>0</v>
          </cell>
          <cell r="M106">
            <v>16856</v>
          </cell>
          <cell r="N106">
            <v>22475</v>
          </cell>
          <cell r="O106">
            <v>22475</v>
          </cell>
          <cell r="P106">
            <v>22475</v>
          </cell>
          <cell r="Q106">
            <v>112376</v>
          </cell>
        </row>
        <row r="107">
          <cell r="A107" t="str">
            <v>US22P015603921200050</v>
          </cell>
          <cell r="B107" t="str">
            <v>US22P01560</v>
          </cell>
          <cell r="C107">
            <v>3921200050</v>
          </cell>
          <cell r="D107" t="str">
            <v>SAFETY EQUIPMENT - SUPPLIES</v>
          </cell>
          <cell r="E107">
            <v>1686</v>
          </cell>
          <cell r="F107">
            <v>843</v>
          </cell>
          <cell r="G107">
            <v>843</v>
          </cell>
          <cell r="H107">
            <v>843</v>
          </cell>
          <cell r="I107">
            <v>0</v>
          </cell>
          <cell r="J107">
            <v>0</v>
          </cell>
          <cell r="K107">
            <v>0</v>
          </cell>
          <cell r="L107">
            <v>0</v>
          </cell>
          <cell r="M107">
            <v>2528</v>
          </cell>
          <cell r="N107">
            <v>3371</v>
          </cell>
          <cell r="O107">
            <v>3371</v>
          </cell>
          <cell r="P107">
            <v>3371</v>
          </cell>
          <cell r="Q107">
            <v>16856</v>
          </cell>
        </row>
        <row r="108">
          <cell r="A108" t="str">
            <v>US22P015603921200100</v>
          </cell>
          <cell r="B108" t="str">
            <v>US22P01560</v>
          </cell>
          <cell r="C108">
            <v>3921200100</v>
          </cell>
          <cell r="D108" t="str">
            <v>FIELD &amp; PRODUCTION SUPPLIES</v>
          </cell>
          <cell r="E108">
            <v>3933</v>
          </cell>
          <cell r="F108">
            <v>1967</v>
          </cell>
          <cell r="G108">
            <v>1967</v>
          </cell>
          <cell r="H108">
            <v>1967</v>
          </cell>
          <cell r="I108">
            <v>0</v>
          </cell>
          <cell r="J108">
            <v>0</v>
          </cell>
          <cell r="K108">
            <v>0</v>
          </cell>
          <cell r="L108">
            <v>0</v>
          </cell>
          <cell r="M108">
            <v>5900</v>
          </cell>
          <cell r="N108">
            <v>7866</v>
          </cell>
          <cell r="O108">
            <v>7866</v>
          </cell>
          <cell r="P108">
            <v>7866</v>
          </cell>
          <cell r="Q108">
            <v>39332</v>
          </cell>
        </row>
        <row r="109">
          <cell r="A109" t="str">
            <v>US22P015603951100005</v>
          </cell>
          <cell r="B109" t="str">
            <v>US22P01560</v>
          </cell>
          <cell r="C109">
            <v>3951100005</v>
          </cell>
          <cell r="D109" t="str">
            <v>OTHER RENTALS</v>
          </cell>
          <cell r="E109">
            <v>0</v>
          </cell>
          <cell r="F109">
            <v>0</v>
          </cell>
          <cell r="G109">
            <v>0</v>
          </cell>
          <cell r="H109">
            <v>0</v>
          </cell>
          <cell r="I109">
            <v>0</v>
          </cell>
          <cell r="J109">
            <v>0</v>
          </cell>
          <cell r="K109">
            <v>0</v>
          </cell>
          <cell r="L109">
            <v>0</v>
          </cell>
          <cell r="M109">
            <v>0</v>
          </cell>
          <cell r="N109">
            <v>0</v>
          </cell>
          <cell r="O109">
            <v>0</v>
          </cell>
          <cell r="P109">
            <v>0</v>
          </cell>
          <cell r="Q109">
            <v>0</v>
          </cell>
        </row>
        <row r="110">
          <cell r="A110" t="str">
            <v>US22P015613311400099</v>
          </cell>
          <cell r="B110" t="str">
            <v>US22P01561</v>
          </cell>
          <cell r="C110">
            <v>3311400099</v>
          </cell>
          <cell r="D110" t="str">
            <v>CO DEPRECIATION</v>
          </cell>
          <cell r="E110">
            <v>21236</v>
          </cell>
          <cell r="F110">
            <v>21236</v>
          </cell>
          <cell r="G110">
            <v>4362</v>
          </cell>
          <cell r="H110">
            <v>4362</v>
          </cell>
          <cell r="I110">
            <v>4362</v>
          </cell>
          <cell r="J110">
            <v>4362</v>
          </cell>
          <cell r="K110">
            <v>4362</v>
          </cell>
          <cell r="L110">
            <v>4362</v>
          </cell>
          <cell r="M110">
            <v>4362</v>
          </cell>
          <cell r="N110">
            <v>4362</v>
          </cell>
          <cell r="O110">
            <v>4362</v>
          </cell>
          <cell r="P110">
            <v>4362</v>
          </cell>
          <cell r="Q110">
            <v>86092</v>
          </cell>
        </row>
        <row r="111">
          <cell r="A111" t="str">
            <v>US22P015643111100000</v>
          </cell>
          <cell r="B111" t="str">
            <v>US22P01564</v>
          </cell>
          <cell r="C111">
            <v>3111100000</v>
          </cell>
          <cell r="D111" t="str">
            <v>WAGES,SALARIES,ALLOWANCES AND COMMI/PERM</v>
          </cell>
          <cell r="E111">
            <v>1548</v>
          </cell>
          <cell r="F111">
            <v>1548</v>
          </cell>
          <cell r="G111">
            <v>1548</v>
          </cell>
          <cell r="H111">
            <v>1548</v>
          </cell>
          <cell r="I111">
            <v>1548</v>
          </cell>
          <cell r="J111">
            <v>1548</v>
          </cell>
          <cell r="K111">
            <v>1548</v>
          </cell>
          <cell r="L111">
            <v>1548</v>
          </cell>
          <cell r="M111">
            <v>1548</v>
          </cell>
          <cell r="N111">
            <v>1548</v>
          </cell>
          <cell r="O111">
            <v>1548</v>
          </cell>
          <cell r="P111">
            <v>1552</v>
          </cell>
          <cell r="Q111">
            <v>18580</v>
          </cell>
        </row>
        <row r="112">
          <cell r="A112" t="str">
            <v>US22P015643111100012</v>
          </cell>
          <cell r="B112" t="str">
            <v>US22P01564</v>
          </cell>
          <cell r="C112">
            <v>3111100012</v>
          </cell>
          <cell r="D112" t="str">
            <v>OVERTIME HOURS /PERMANENTS</v>
          </cell>
          <cell r="E112">
            <v>1187</v>
          </cell>
          <cell r="F112">
            <v>1187</v>
          </cell>
          <cell r="G112">
            <v>1187</v>
          </cell>
          <cell r="H112">
            <v>1187</v>
          </cell>
          <cell r="I112">
            <v>1187</v>
          </cell>
          <cell r="J112">
            <v>1187</v>
          </cell>
          <cell r="K112">
            <v>1187</v>
          </cell>
          <cell r="L112">
            <v>1187</v>
          </cell>
          <cell r="M112">
            <v>1187</v>
          </cell>
          <cell r="N112">
            <v>1187</v>
          </cell>
          <cell r="O112">
            <v>1187</v>
          </cell>
          <cell r="P112">
            <v>1188</v>
          </cell>
          <cell r="Q112">
            <v>14245</v>
          </cell>
        </row>
        <row r="113">
          <cell r="A113" t="str">
            <v>US22P015643111100900</v>
          </cell>
          <cell r="B113" t="str">
            <v>US22P01564</v>
          </cell>
          <cell r="C113">
            <v>3111100900</v>
          </cell>
          <cell r="D113" t="str">
            <v>WAGES &amp; SALARIES / SEASONALS</v>
          </cell>
          <cell r="E113">
            <v>0</v>
          </cell>
          <cell r="F113">
            <v>0</v>
          </cell>
          <cell r="G113">
            <v>0</v>
          </cell>
          <cell r="H113">
            <v>0</v>
          </cell>
          <cell r="I113">
            <v>0</v>
          </cell>
          <cell r="J113">
            <v>0</v>
          </cell>
          <cell r="K113">
            <v>0</v>
          </cell>
          <cell r="L113">
            <v>0</v>
          </cell>
          <cell r="M113">
            <v>0</v>
          </cell>
          <cell r="N113">
            <v>0</v>
          </cell>
          <cell r="O113">
            <v>0</v>
          </cell>
          <cell r="P113">
            <v>0</v>
          </cell>
          <cell r="Q113">
            <v>0</v>
          </cell>
        </row>
        <row r="114">
          <cell r="A114" t="str">
            <v>US22P015643121300013</v>
          </cell>
          <cell r="B114" t="str">
            <v>US22P01564</v>
          </cell>
          <cell r="C114">
            <v>3121300013</v>
          </cell>
          <cell r="D114" t="str">
            <v>FRINGE BENEFITS</v>
          </cell>
          <cell r="E114">
            <v>1034</v>
          </cell>
          <cell r="F114">
            <v>1034</v>
          </cell>
          <cell r="G114">
            <v>1034</v>
          </cell>
          <cell r="H114">
            <v>1034</v>
          </cell>
          <cell r="I114">
            <v>1034</v>
          </cell>
          <cell r="J114">
            <v>1034</v>
          </cell>
          <cell r="K114">
            <v>1034</v>
          </cell>
          <cell r="L114">
            <v>1034</v>
          </cell>
          <cell r="M114">
            <v>1034</v>
          </cell>
          <cell r="N114">
            <v>1034</v>
          </cell>
          <cell r="O114">
            <v>1034</v>
          </cell>
          <cell r="P114">
            <v>1034</v>
          </cell>
          <cell r="Q114">
            <v>12408</v>
          </cell>
        </row>
        <row r="115">
          <cell r="A115" t="str">
            <v>US22P015643131100025</v>
          </cell>
          <cell r="B115" t="str">
            <v>US22P01564</v>
          </cell>
          <cell r="C115">
            <v>3131100025</v>
          </cell>
          <cell r="D115" t="str">
            <v>OTHER PERSONNEL EXPENSES</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A116" t="str">
            <v>US22P015643201300001</v>
          </cell>
          <cell r="B116" t="str">
            <v>US22P01564</v>
          </cell>
          <cell r="C116">
            <v>3201300001</v>
          </cell>
          <cell r="D116" t="str">
            <v>HIRED PERSONNEL FROM 3RD PARTIES</v>
          </cell>
          <cell r="E116">
            <v>36101</v>
          </cell>
          <cell r="F116">
            <v>36101</v>
          </cell>
          <cell r="G116">
            <v>0</v>
          </cell>
          <cell r="H116">
            <v>0</v>
          </cell>
          <cell r="I116">
            <v>0</v>
          </cell>
          <cell r="J116">
            <v>0</v>
          </cell>
          <cell r="K116">
            <v>0</v>
          </cell>
          <cell r="L116">
            <v>36101</v>
          </cell>
          <cell r="M116">
            <v>144406</v>
          </cell>
          <cell r="N116">
            <v>252710</v>
          </cell>
          <cell r="O116">
            <v>144406</v>
          </cell>
          <cell r="P116">
            <v>72203</v>
          </cell>
          <cell r="Q116">
            <v>722028</v>
          </cell>
        </row>
        <row r="117">
          <cell r="A117" t="str">
            <v>US22P015643201400029</v>
          </cell>
          <cell r="B117" t="str">
            <v>US22P01564</v>
          </cell>
          <cell r="C117">
            <v>3201400029</v>
          </cell>
          <cell r="D117" t="str">
            <v>OTH OUTSIDE SERVICES OTHER</v>
          </cell>
          <cell r="E117">
            <v>903</v>
          </cell>
          <cell r="F117">
            <v>903</v>
          </cell>
          <cell r="G117">
            <v>0</v>
          </cell>
          <cell r="H117">
            <v>0</v>
          </cell>
          <cell r="I117">
            <v>0</v>
          </cell>
          <cell r="J117">
            <v>0</v>
          </cell>
          <cell r="K117">
            <v>0</v>
          </cell>
          <cell r="L117">
            <v>903</v>
          </cell>
          <cell r="M117">
            <v>3610</v>
          </cell>
          <cell r="N117">
            <v>6318</v>
          </cell>
          <cell r="O117">
            <v>3610</v>
          </cell>
          <cell r="P117">
            <v>1805</v>
          </cell>
          <cell r="Q117">
            <v>18052</v>
          </cell>
        </row>
        <row r="118">
          <cell r="A118" t="str">
            <v>US22P015643201400036</v>
          </cell>
          <cell r="B118" t="str">
            <v>US22P01564</v>
          </cell>
          <cell r="C118">
            <v>3201400036</v>
          </cell>
          <cell r="D118" t="str">
            <v>OTHER MAINTENANCE BUILDINGS</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A119" t="str">
            <v>US22P015643201400051</v>
          </cell>
          <cell r="B119" t="str">
            <v>US22P01564</v>
          </cell>
          <cell r="C119">
            <v>3201400051</v>
          </cell>
          <cell r="D119" t="str">
            <v>MAINTENANCE EQUIPMENT</v>
          </cell>
          <cell r="E119">
            <v>2557</v>
          </cell>
          <cell r="F119">
            <v>2557</v>
          </cell>
          <cell r="G119">
            <v>0</v>
          </cell>
          <cell r="H119">
            <v>0</v>
          </cell>
          <cell r="I119">
            <v>0</v>
          </cell>
          <cell r="J119">
            <v>0</v>
          </cell>
          <cell r="K119">
            <v>0</v>
          </cell>
          <cell r="L119">
            <v>2557</v>
          </cell>
          <cell r="M119">
            <v>10229</v>
          </cell>
          <cell r="N119">
            <v>17900</v>
          </cell>
          <cell r="O119">
            <v>10229</v>
          </cell>
          <cell r="P119">
            <v>5114</v>
          </cell>
          <cell r="Q119">
            <v>51143</v>
          </cell>
        </row>
        <row r="120">
          <cell r="A120" t="str">
            <v>US22P015643311400099</v>
          </cell>
          <cell r="B120" t="str">
            <v>US22P01564</v>
          </cell>
          <cell r="C120">
            <v>3311400099</v>
          </cell>
          <cell r="D120" t="str">
            <v>CO DEPRECIATION</v>
          </cell>
          <cell r="E120">
            <v>954</v>
          </cell>
          <cell r="F120">
            <v>954</v>
          </cell>
          <cell r="G120">
            <v>954</v>
          </cell>
          <cell r="H120">
            <v>954</v>
          </cell>
          <cell r="I120">
            <v>954</v>
          </cell>
          <cell r="J120">
            <v>954</v>
          </cell>
          <cell r="K120">
            <v>954</v>
          </cell>
          <cell r="L120">
            <v>954</v>
          </cell>
          <cell r="M120">
            <v>954</v>
          </cell>
          <cell r="N120">
            <v>954</v>
          </cell>
          <cell r="O120">
            <v>954</v>
          </cell>
          <cell r="P120">
            <v>954</v>
          </cell>
          <cell r="Q120">
            <v>11448</v>
          </cell>
        </row>
        <row r="121">
          <cell r="A121" t="str">
            <v>US22P015643921100001</v>
          </cell>
          <cell r="B121" t="str">
            <v>US22P01564</v>
          </cell>
          <cell r="C121">
            <v>3921100001</v>
          </cell>
          <cell r="D121" t="str">
            <v>UTILITY EXPENSES ELECTRICITY</v>
          </cell>
          <cell r="E121">
            <v>4513</v>
          </cell>
          <cell r="F121">
            <v>4513</v>
          </cell>
          <cell r="G121">
            <v>0</v>
          </cell>
          <cell r="H121">
            <v>0</v>
          </cell>
          <cell r="I121">
            <v>0</v>
          </cell>
          <cell r="J121">
            <v>0</v>
          </cell>
          <cell r="K121">
            <v>0</v>
          </cell>
          <cell r="L121">
            <v>4513</v>
          </cell>
          <cell r="M121">
            <v>18051</v>
          </cell>
          <cell r="N121">
            <v>31589</v>
          </cell>
          <cell r="O121">
            <v>18051</v>
          </cell>
          <cell r="P121">
            <v>9025</v>
          </cell>
          <cell r="Q121">
            <v>90255</v>
          </cell>
        </row>
        <row r="122">
          <cell r="A122" t="str">
            <v>US22P015643921200003</v>
          </cell>
          <cell r="B122" t="str">
            <v>US22P01564</v>
          </cell>
          <cell r="C122">
            <v>3921200003</v>
          </cell>
          <cell r="D122" t="str">
            <v>GAS</v>
          </cell>
          <cell r="E122">
            <v>18352</v>
          </cell>
          <cell r="F122">
            <v>18352</v>
          </cell>
          <cell r="G122">
            <v>0</v>
          </cell>
          <cell r="H122">
            <v>0</v>
          </cell>
          <cell r="I122">
            <v>0</v>
          </cell>
          <cell r="J122">
            <v>0</v>
          </cell>
          <cell r="K122">
            <v>0</v>
          </cell>
          <cell r="L122">
            <v>18352</v>
          </cell>
          <cell r="M122">
            <v>73406</v>
          </cell>
          <cell r="N122">
            <v>128461</v>
          </cell>
          <cell r="O122">
            <v>73406</v>
          </cell>
          <cell r="P122">
            <v>36703</v>
          </cell>
          <cell r="Q122">
            <v>367032</v>
          </cell>
        </row>
        <row r="123">
          <cell r="A123" t="str">
            <v>US22P015643921200006</v>
          </cell>
          <cell r="B123" t="str">
            <v>US22P01564</v>
          </cell>
          <cell r="C123">
            <v>3921200006</v>
          </cell>
          <cell r="D123" t="str">
            <v>FACTORY SUPPLIES MAINTENANCE SUPPLIES</v>
          </cell>
          <cell r="E123">
            <v>6619</v>
          </cell>
          <cell r="F123">
            <v>6619</v>
          </cell>
          <cell r="G123">
            <v>0</v>
          </cell>
          <cell r="H123">
            <v>0</v>
          </cell>
          <cell r="I123">
            <v>0</v>
          </cell>
          <cell r="J123">
            <v>0</v>
          </cell>
          <cell r="K123">
            <v>0</v>
          </cell>
          <cell r="L123">
            <v>6619</v>
          </cell>
          <cell r="M123">
            <v>26474</v>
          </cell>
          <cell r="N123">
            <v>46330</v>
          </cell>
          <cell r="O123">
            <v>26474</v>
          </cell>
          <cell r="P123">
            <v>13237</v>
          </cell>
          <cell r="Q123">
            <v>132372</v>
          </cell>
        </row>
        <row r="124">
          <cell r="A124" t="str">
            <v>US22P015643921200050</v>
          </cell>
          <cell r="B124" t="str">
            <v>US22P01564</v>
          </cell>
          <cell r="C124">
            <v>3921200050</v>
          </cell>
          <cell r="D124" t="str">
            <v>SAFETY EQUIPMENT - SUPPLIES</v>
          </cell>
          <cell r="E124">
            <v>1504</v>
          </cell>
          <cell r="F124">
            <v>1504</v>
          </cell>
          <cell r="G124">
            <v>0</v>
          </cell>
          <cell r="H124">
            <v>0</v>
          </cell>
          <cell r="I124">
            <v>0</v>
          </cell>
          <cell r="J124">
            <v>0</v>
          </cell>
          <cell r="K124">
            <v>0</v>
          </cell>
          <cell r="L124">
            <v>1504</v>
          </cell>
          <cell r="M124">
            <v>6017</v>
          </cell>
          <cell r="N124">
            <v>10530</v>
          </cell>
          <cell r="O124">
            <v>6017</v>
          </cell>
          <cell r="P124">
            <v>3008</v>
          </cell>
          <cell r="Q124">
            <v>30084</v>
          </cell>
        </row>
        <row r="125">
          <cell r="A125" t="str">
            <v>US22P015643941100002</v>
          </cell>
          <cell r="B125" t="str">
            <v>US22P01564</v>
          </cell>
          <cell r="C125">
            <v>3941100002</v>
          </cell>
          <cell r="D125" t="str">
            <v>FREIGHT BETWEEN PLANTS</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A126" t="str">
            <v>US22P015643941100013</v>
          </cell>
          <cell r="B126" t="str">
            <v>US22P01564</v>
          </cell>
          <cell r="C126">
            <v>3941100013</v>
          </cell>
          <cell r="D126" t="str">
            <v>FREIGHT IN</v>
          </cell>
          <cell r="E126">
            <v>1652</v>
          </cell>
          <cell r="F126">
            <v>1652</v>
          </cell>
          <cell r="G126">
            <v>0</v>
          </cell>
          <cell r="H126">
            <v>0</v>
          </cell>
          <cell r="I126">
            <v>0</v>
          </cell>
          <cell r="J126">
            <v>0</v>
          </cell>
          <cell r="K126">
            <v>0</v>
          </cell>
          <cell r="L126">
            <v>1652</v>
          </cell>
          <cell r="M126">
            <v>6607</v>
          </cell>
          <cell r="N126">
            <v>11561</v>
          </cell>
          <cell r="O126">
            <v>6607</v>
          </cell>
          <cell r="P126">
            <v>3303</v>
          </cell>
          <cell r="Q126">
            <v>33034</v>
          </cell>
        </row>
        <row r="127">
          <cell r="A127" t="str">
            <v>US22P015753111100000</v>
          </cell>
          <cell r="B127" t="str">
            <v>US22P01575</v>
          </cell>
          <cell r="C127">
            <v>3111100000</v>
          </cell>
          <cell r="D127" t="str">
            <v>WAGES,SALARIES,ALLOWANCES AND COMMI/PERM</v>
          </cell>
          <cell r="E127">
            <v>9640</v>
          </cell>
          <cell r="F127">
            <v>9640</v>
          </cell>
          <cell r="G127">
            <v>9640</v>
          </cell>
          <cell r="H127">
            <v>9640</v>
          </cell>
          <cell r="I127">
            <v>9640</v>
          </cell>
          <cell r="J127">
            <v>9640</v>
          </cell>
          <cell r="K127">
            <v>9640</v>
          </cell>
          <cell r="L127">
            <v>9640</v>
          </cell>
          <cell r="M127">
            <v>9640</v>
          </cell>
          <cell r="N127">
            <v>9640</v>
          </cell>
          <cell r="O127">
            <v>9640</v>
          </cell>
          <cell r="P127">
            <v>9640</v>
          </cell>
          <cell r="Q127">
            <v>115680</v>
          </cell>
        </row>
        <row r="128">
          <cell r="A128" t="str">
            <v>US22P015753111100012</v>
          </cell>
          <cell r="B128" t="str">
            <v>US22P01575</v>
          </cell>
          <cell r="C128">
            <v>3111100012</v>
          </cell>
          <cell r="D128" t="str">
            <v>OVERTIME HOURS /PERMANENTS</v>
          </cell>
          <cell r="E128">
            <v>2059</v>
          </cell>
          <cell r="F128">
            <v>2059</v>
          </cell>
          <cell r="G128">
            <v>2059</v>
          </cell>
          <cell r="H128">
            <v>2059</v>
          </cell>
          <cell r="I128">
            <v>2059</v>
          </cell>
          <cell r="J128">
            <v>2059</v>
          </cell>
          <cell r="K128">
            <v>2059</v>
          </cell>
          <cell r="L128">
            <v>2059</v>
          </cell>
          <cell r="M128">
            <v>2059</v>
          </cell>
          <cell r="N128">
            <v>2059</v>
          </cell>
          <cell r="O128">
            <v>2059</v>
          </cell>
          <cell r="P128">
            <v>2053</v>
          </cell>
          <cell r="Q128">
            <v>24702</v>
          </cell>
        </row>
        <row r="129">
          <cell r="A129" t="str">
            <v>US22P015753111100900</v>
          </cell>
          <cell r="B129" t="str">
            <v>US22P01575</v>
          </cell>
          <cell r="C129">
            <v>3111100900</v>
          </cell>
          <cell r="D129" t="str">
            <v>WAGES &amp; SALARIES / SEASONALS</v>
          </cell>
          <cell r="E129">
            <v>0</v>
          </cell>
          <cell r="F129">
            <v>0</v>
          </cell>
          <cell r="G129">
            <v>0</v>
          </cell>
          <cell r="H129">
            <v>0</v>
          </cell>
          <cell r="I129">
            <v>0</v>
          </cell>
          <cell r="J129">
            <v>0</v>
          </cell>
          <cell r="K129">
            <v>0</v>
          </cell>
          <cell r="L129">
            <v>0</v>
          </cell>
          <cell r="M129">
            <v>0</v>
          </cell>
          <cell r="N129">
            <v>0</v>
          </cell>
          <cell r="O129">
            <v>0</v>
          </cell>
          <cell r="P129">
            <v>0</v>
          </cell>
          <cell r="Q129">
            <v>0</v>
          </cell>
        </row>
        <row r="130">
          <cell r="A130" t="str">
            <v>US22P015753121300013</v>
          </cell>
          <cell r="B130" t="str">
            <v>US22P01575</v>
          </cell>
          <cell r="C130">
            <v>3121300013</v>
          </cell>
          <cell r="D130" t="str">
            <v>FRINGE BENEFITS</v>
          </cell>
          <cell r="E130">
            <v>4422</v>
          </cell>
          <cell r="F130">
            <v>4422</v>
          </cell>
          <cell r="G130">
            <v>4422</v>
          </cell>
          <cell r="H130">
            <v>4422</v>
          </cell>
          <cell r="I130">
            <v>4422</v>
          </cell>
          <cell r="J130">
            <v>4422</v>
          </cell>
          <cell r="K130">
            <v>4422</v>
          </cell>
          <cell r="L130">
            <v>4422</v>
          </cell>
          <cell r="M130">
            <v>4422</v>
          </cell>
          <cell r="N130">
            <v>4422</v>
          </cell>
          <cell r="O130">
            <v>4422</v>
          </cell>
          <cell r="P130">
            <v>4422</v>
          </cell>
          <cell r="Q130">
            <v>53064</v>
          </cell>
        </row>
        <row r="131">
          <cell r="A131" t="str">
            <v>US22P015753201300001</v>
          </cell>
          <cell r="B131" t="str">
            <v>US22P01575</v>
          </cell>
          <cell r="C131">
            <v>3201300001</v>
          </cell>
          <cell r="D131" t="str">
            <v>HIRED PERSONNEL FROM 3RD PARTIES</v>
          </cell>
          <cell r="E131">
            <v>22250</v>
          </cell>
          <cell r="F131">
            <v>22250</v>
          </cell>
          <cell r="G131">
            <v>22250</v>
          </cell>
          <cell r="H131">
            <v>0</v>
          </cell>
          <cell r="I131">
            <v>22250</v>
          </cell>
          <cell r="J131">
            <v>66750</v>
          </cell>
          <cell r="K131">
            <v>133500</v>
          </cell>
          <cell r="L131">
            <v>133500</v>
          </cell>
          <cell r="M131">
            <v>0</v>
          </cell>
          <cell r="N131">
            <v>0</v>
          </cell>
          <cell r="O131">
            <v>0</v>
          </cell>
          <cell r="P131">
            <v>22250</v>
          </cell>
          <cell r="Q131">
            <v>445000</v>
          </cell>
        </row>
        <row r="132">
          <cell r="A132" t="str">
            <v>US22P015753201400029</v>
          </cell>
          <cell r="B132" t="str">
            <v>US22P01575</v>
          </cell>
          <cell r="C132">
            <v>3201400029</v>
          </cell>
          <cell r="D132" t="str">
            <v>OTH OUTSIDE SERVICES OTHER</v>
          </cell>
          <cell r="E132">
            <v>1200</v>
          </cell>
          <cell r="F132">
            <v>1200</v>
          </cell>
          <cell r="G132">
            <v>1200</v>
          </cell>
          <cell r="H132">
            <v>0</v>
          </cell>
          <cell r="I132">
            <v>1200</v>
          </cell>
          <cell r="J132">
            <v>3600</v>
          </cell>
          <cell r="K132">
            <v>7200</v>
          </cell>
          <cell r="L132">
            <v>7200</v>
          </cell>
          <cell r="M132">
            <v>0</v>
          </cell>
          <cell r="N132">
            <v>0</v>
          </cell>
          <cell r="O132">
            <v>0</v>
          </cell>
          <cell r="P132">
            <v>1200</v>
          </cell>
          <cell r="Q132">
            <v>24000</v>
          </cell>
        </row>
        <row r="133">
          <cell r="A133" t="str">
            <v>US22P015753201400051</v>
          </cell>
          <cell r="B133" t="str">
            <v>US22P01575</v>
          </cell>
          <cell r="C133">
            <v>3201400051</v>
          </cell>
          <cell r="D133" t="str">
            <v>MAINTENANCE EQUIPMENT</v>
          </cell>
          <cell r="E133">
            <v>750</v>
          </cell>
          <cell r="F133">
            <v>750</v>
          </cell>
          <cell r="G133">
            <v>750</v>
          </cell>
          <cell r="H133">
            <v>0</v>
          </cell>
          <cell r="I133">
            <v>750</v>
          </cell>
          <cell r="J133">
            <v>2250</v>
          </cell>
          <cell r="K133">
            <v>4500</v>
          </cell>
          <cell r="L133">
            <v>4500</v>
          </cell>
          <cell r="M133">
            <v>0</v>
          </cell>
          <cell r="N133">
            <v>0</v>
          </cell>
          <cell r="O133">
            <v>0</v>
          </cell>
          <cell r="P133">
            <v>750</v>
          </cell>
          <cell r="Q133">
            <v>15000</v>
          </cell>
        </row>
        <row r="134">
          <cell r="A134" t="str">
            <v>US22P015753311400099</v>
          </cell>
          <cell r="B134" t="str">
            <v>US22P01575</v>
          </cell>
          <cell r="C134">
            <v>3311400099</v>
          </cell>
          <cell r="D134" t="str">
            <v>CO DEPRECIATION</v>
          </cell>
          <cell r="E134">
            <v>604</v>
          </cell>
          <cell r="F134">
            <v>604</v>
          </cell>
          <cell r="G134">
            <v>604</v>
          </cell>
          <cell r="H134">
            <v>604</v>
          </cell>
          <cell r="I134">
            <v>604</v>
          </cell>
          <cell r="J134">
            <v>604</v>
          </cell>
          <cell r="K134">
            <v>604</v>
          </cell>
          <cell r="L134">
            <v>604</v>
          </cell>
          <cell r="M134">
            <v>604</v>
          </cell>
          <cell r="N134">
            <v>604</v>
          </cell>
          <cell r="O134">
            <v>604</v>
          </cell>
          <cell r="P134">
            <v>604</v>
          </cell>
          <cell r="Q134">
            <v>7248</v>
          </cell>
        </row>
        <row r="135">
          <cell r="A135" t="str">
            <v>US22P015753921200006</v>
          </cell>
          <cell r="B135" t="str">
            <v>US22P01575</v>
          </cell>
          <cell r="C135">
            <v>3921200006</v>
          </cell>
          <cell r="D135" t="str">
            <v>FACTORY SUPPLIES MAINTENANCE SUPPLIES</v>
          </cell>
          <cell r="E135">
            <v>1445</v>
          </cell>
          <cell r="F135">
            <v>1445</v>
          </cell>
          <cell r="G135">
            <v>1445</v>
          </cell>
          <cell r="H135">
            <v>0</v>
          </cell>
          <cell r="I135">
            <v>1445</v>
          </cell>
          <cell r="J135">
            <v>4335</v>
          </cell>
          <cell r="K135">
            <v>8670</v>
          </cell>
          <cell r="L135">
            <v>8670</v>
          </cell>
          <cell r="M135">
            <v>0</v>
          </cell>
          <cell r="N135">
            <v>0</v>
          </cell>
          <cell r="O135">
            <v>0</v>
          </cell>
          <cell r="P135">
            <v>1445</v>
          </cell>
          <cell r="Q135">
            <v>28900</v>
          </cell>
        </row>
        <row r="136">
          <cell r="A136" t="str">
            <v>US22P015753921200050</v>
          </cell>
          <cell r="B136" t="str">
            <v>US22P01575</v>
          </cell>
          <cell r="C136">
            <v>3921200050</v>
          </cell>
          <cell r="D136" t="str">
            <v>SAFETY EQUIPMENT - SUPPLIES</v>
          </cell>
          <cell r="E136">
            <v>175</v>
          </cell>
          <cell r="F136">
            <v>175</v>
          </cell>
          <cell r="G136">
            <v>175</v>
          </cell>
          <cell r="H136">
            <v>0</v>
          </cell>
          <cell r="I136">
            <v>175</v>
          </cell>
          <cell r="J136">
            <v>525</v>
          </cell>
          <cell r="K136">
            <v>1050</v>
          </cell>
          <cell r="L136">
            <v>1050</v>
          </cell>
          <cell r="M136">
            <v>0</v>
          </cell>
          <cell r="N136">
            <v>0</v>
          </cell>
          <cell r="O136">
            <v>0</v>
          </cell>
          <cell r="P136">
            <v>175</v>
          </cell>
          <cell r="Q136">
            <v>3500</v>
          </cell>
        </row>
        <row r="137">
          <cell r="A137" t="str">
            <v>US22P015753921200100</v>
          </cell>
          <cell r="B137" t="str">
            <v>US22P01575</v>
          </cell>
          <cell r="C137">
            <v>3921200100</v>
          </cell>
          <cell r="D137" t="str">
            <v>FIELD &amp; PRODUCTION SUPPLIES</v>
          </cell>
          <cell r="E137">
            <v>800</v>
          </cell>
          <cell r="F137">
            <v>800</v>
          </cell>
          <cell r="G137">
            <v>800</v>
          </cell>
          <cell r="H137">
            <v>0</v>
          </cell>
          <cell r="I137">
            <v>800</v>
          </cell>
          <cell r="J137">
            <v>2400</v>
          </cell>
          <cell r="K137">
            <v>4800</v>
          </cell>
          <cell r="L137">
            <v>4800</v>
          </cell>
          <cell r="M137">
            <v>0</v>
          </cell>
          <cell r="N137">
            <v>0</v>
          </cell>
          <cell r="O137">
            <v>0</v>
          </cell>
          <cell r="P137">
            <v>800</v>
          </cell>
          <cell r="Q137">
            <v>16000</v>
          </cell>
        </row>
        <row r="138">
          <cell r="A138" t="str">
            <v>US22P015753941100002</v>
          </cell>
          <cell r="B138" t="str">
            <v>US22P01575</v>
          </cell>
          <cell r="C138">
            <v>3941100002</v>
          </cell>
          <cell r="D138" t="str">
            <v>FREIGHT BETWEEN PLANTS</v>
          </cell>
          <cell r="E138">
            <v>0</v>
          </cell>
          <cell r="F138">
            <v>0</v>
          </cell>
          <cell r="G138">
            <v>0</v>
          </cell>
          <cell r="H138">
            <v>0</v>
          </cell>
          <cell r="I138">
            <v>0</v>
          </cell>
          <cell r="J138">
            <v>0</v>
          </cell>
          <cell r="K138">
            <v>0</v>
          </cell>
          <cell r="L138">
            <v>0</v>
          </cell>
          <cell r="M138">
            <v>0</v>
          </cell>
          <cell r="N138">
            <v>0</v>
          </cell>
          <cell r="O138">
            <v>0</v>
          </cell>
          <cell r="P138">
            <v>0</v>
          </cell>
          <cell r="Q138">
            <v>0</v>
          </cell>
        </row>
        <row r="139">
          <cell r="A139" t="str">
            <v>US22P015753941100013</v>
          </cell>
          <cell r="B139" t="str">
            <v>US22P01575</v>
          </cell>
          <cell r="C139">
            <v>3941100013</v>
          </cell>
          <cell r="D139" t="str">
            <v>FREIGHT IN</v>
          </cell>
          <cell r="E139">
            <v>0</v>
          </cell>
          <cell r="F139">
            <v>0</v>
          </cell>
          <cell r="G139">
            <v>0</v>
          </cell>
          <cell r="H139">
            <v>0</v>
          </cell>
          <cell r="I139">
            <v>0</v>
          </cell>
          <cell r="J139">
            <v>0</v>
          </cell>
          <cell r="K139">
            <v>0</v>
          </cell>
          <cell r="L139">
            <v>0</v>
          </cell>
          <cell r="M139">
            <v>0</v>
          </cell>
          <cell r="N139">
            <v>0</v>
          </cell>
          <cell r="O139">
            <v>0</v>
          </cell>
          <cell r="P139">
            <v>0</v>
          </cell>
          <cell r="Q139">
            <v>0</v>
          </cell>
        </row>
        <row r="140">
          <cell r="A140" t="str">
            <v>US22P015853111100000</v>
          </cell>
          <cell r="B140" t="str">
            <v>US22P01585</v>
          </cell>
          <cell r="C140">
            <v>3111100000</v>
          </cell>
          <cell r="D140" t="str">
            <v>WAGES,SALARIES,ALLOWANCES AND COMMI/PERM</v>
          </cell>
          <cell r="E140">
            <v>3337</v>
          </cell>
          <cell r="F140">
            <v>3337</v>
          </cell>
          <cell r="G140">
            <v>3337</v>
          </cell>
          <cell r="H140">
            <v>3337</v>
          </cell>
          <cell r="I140">
            <v>3337</v>
          </cell>
          <cell r="J140">
            <v>3337</v>
          </cell>
          <cell r="K140">
            <v>3337</v>
          </cell>
          <cell r="L140">
            <v>3337</v>
          </cell>
          <cell r="M140">
            <v>3337</v>
          </cell>
          <cell r="N140">
            <v>3337</v>
          </cell>
          <cell r="O140">
            <v>3337</v>
          </cell>
          <cell r="P140">
            <v>3331</v>
          </cell>
          <cell r="Q140">
            <v>40038</v>
          </cell>
        </row>
        <row r="141">
          <cell r="A141" t="str">
            <v>US22P015853111100012</v>
          </cell>
          <cell r="B141" t="str">
            <v>US22P01585</v>
          </cell>
          <cell r="C141">
            <v>3111100012</v>
          </cell>
          <cell r="D141" t="str">
            <v>OVERTIME HOURS /PERMANENTS</v>
          </cell>
          <cell r="E141">
            <v>746</v>
          </cell>
          <cell r="F141">
            <v>746</v>
          </cell>
          <cell r="G141">
            <v>746</v>
          </cell>
          <cell r="H141">
            <v>746</v>
          </cell>
          <cell r="I141">
            <v>746</v>
          </cell>
          <cell r="J141">
            <v>746</v>
          </cell>
          <cell r="K141">
            <v>746</v>
          </cell>
          <cell r="L141">
            <v>746</v>
          </cell>
          <cell r="M141">
            <v>746</v>
          </cell>
          <cell r="N141">
            <v>746</v>
          </cell>
          <cell r="O141">
            <v>746</v>
          </cell>
          <cell r="P141">
            <v>748</v>
          </cell>
          <cell r="Q141">
            <v>8954</v>
          </cell>
        </row>
        <row r="142">
          <cell r="A142" t="str">
            <v>US22P015853111100900</v>
          </cell>
          <cell r="B142" t="str">
            <v>US22P01585</v>
          </cell>
          <cell r="C142">
            <v>3111100900</v>
          </cell>
          <cell r="D142" t="str">
            <v>WAGES &amp; SALARIES / SEASONALS</v>
          </cell>
          <cell r="E142">
            <v>0</v>
          </cell>
          <cell r="F142">
            <v>0</v>
          </cell>
          <cell r="G142">
            <v>0</v>
          </cell>
          <cell r="H142">
            <v>0</v>
          </cell>
          <cell r="I142">
            <v>0</v>
          </cell>
          <cell r="J142">
            <v>0</v>
          </cell>
          <cell r="K142">
            <v>0</v>
          </cell>
          <cell r="L142">
            <v>0</v>
          </cell>
          <cell r="M142">
            <v>0</v>
          </cell>
          <cell r="N142">
            <v>0</v>
          </cell>
          <cell r="O142">
            <v>0</v>
          </cell>
          <cell r="P142">
            <v>0</v>
          </cell>
          <cell r="Q142">
            <v>0</v>
          </cell>
        </row>
        <row r="143">
          <cell r="A143" t="str">
            <v>US22P015853121300013</v>
          </cell>
          <cell r="B143" t="str">
            <v>US22P01585</v>
          </cell>
          <cell r="C143">
            <v>3121300013</v>
          </cell>
          <cell r="D143" t="str">
            <v>FRINGE BENEFITS</v>
          </cell>
          <cell r="E143">
            <v>1543</v>
          </cell>
          <cell r="F143">
            <v>1543</v>
          </cell>
          <cell r="G143">
            <v>1543</v>
          </cell>
          <cell r="H143">
            <v>1543</v>
          </cell>
          <cell r="I143">
            <v>1543</v>
          </cell>
          <cell r="J143">
            <v>1543</v>
          </cell>
          <cell r="K143">
            <v>1543</v>
          </cell>
          <cell r="L143">
            <v>1543</v>
          </cell>
          <cell r="M143">
            <v>1543</v>
          </cell>
          <cell r="N143">
            <v>1543</v>
          </cell>
          <cell r="O143">
            <v>1543</v>
          </cell>
          <cell r="P143">
            <v>1546</v>
          </cell>
          <cell r="Q143">
            <v>18519</v>
          </cell>
        </row>
        <row r="144">
          <cell r="A144" t="str">
            <v>US22P015853201300001</v>
          </cell>
          <cell r="B144" t="str">
            <v>US22P01585</v>
          </cell>
          <cell r="C144">
            <v>3201300001</v>
          </cell>
          <cell r="D144" t="str">
            <v>HIRED PERSONNEL FROM 3RD PARTIES</v>
          </cell>
          <cell r="E144">
            <v>9170</v>
          </cell>
          <cell r="F144">
            <v>9170</v>
          </cell>
          <cell r="G144">
            <v>7860</v>
          </cell>
          <cell r="H144">
            <v>7860</v>
          </cell>
          <cell r="I144">
            <v>13100</v>
          </cell>
          <cell r="J144">
            <v>13100</v>
          </cell>
          <cell r="K144">
            <v>13100</v>
          </cell>
          <cell r="L144">
            <v>13100</v>
          </cell>
          <cell r="M144">
            <v>13100</v>
          </cell>
          <cell r="N144">
            <v>13100</v>
          </cell>
          <cell r="O144">
            <v>9170</v>
          </cell>
          <cell r="P144">
            <v>9170</v>
          </cell>
          <cell r="Q144">
            <v>131000</v>
          </cell>
        </row>
        <row r="145">
          <cell r="A145" t="str">
            <v>US22P015903111100000</v>
          </cell>
          <cell r="B145" t="str">
            <v>US22P01590</v>
          </cell>
          <cell r="C145">
            <v>3111100000</v>
          </cell>
          <cell r="D145" t="str">
            <v>WAGES,SALARIES,ALLOWANCES AND COMMI/PERM</v>
          </cell>
          <cell r="E145">
            <v>2230</v>
          </cell>
          <cell r="F145">
            <v>2230</v>
          </cell>
          <cell r="G145">
            <v>2230</v>
          </cell>
          <cell r="H145">
            <v>2230</v>
          </cell>
          <cell r="I145">
            <v>2230</v>
          </cell>
          <cell r="J145">
            <v>2230</v>
          </cell>
          <cell r="K145">
            <v>2230</v>
          </cell>
          <cell r="L145">
            <v>2230</v>
          </cell>
          <cell r="M145">
            <v>2230</v>
          </cell>
          <cell r="N145">
            <v>2230</v>
          </cell>
          <cell r="O145">
            <v>2230</v>
          </cell>
          <cell r="P145">
            <v>2231</v>
          </cell>
          <cell r="Q145">
            <v>26761</v>
          </cell>
        </row>
        <row r="146">
          <cell r="A146" t="str">
            <v>US22P015903111100012</v>
          </cell>
          <cell r="B146" t="str">
            <v>US22P01590</v>
          </cell>
          <cell r="C146">
            <v>3111100012</v>
          </cell>
          <cell r="D146" t="str">
            <v>OVERTIME HOURS /PERMANENTS</v>
          </cell>
          <cell r="E146">
            <v>575</v>
          </cell>
          <cell r="F146">
            <v>575</v>
          </cell>
          <cell r="G146">
            <v>575</v>
          </cell>
          <cell r="H146">
            <v>575</v>
          </cell>
          <cell r="I146">
            <v>575</v>
          </cell>
          <cell r="J146">
            <v>575</v>
          </cell>
          <cell r="K146">
            <v>575</v>
          </cell>
          <cell r="L146">
            <v>575</v>
          </cell>
          <cell r="M146">
            <v>575</v>
          </cell>
          <cell r="N146">
            <v>575</v>
          </cell>
          <cell r="O146">
            <v>575</v>
          </cell>
          <cell r="P146">
            <v>571</v>
          </cell>
          <cell r="Q146">
            <v>6896</v>
          </cell>
        </row>
        <row r="147">
          <cell r="A147" t="str">
            <v>US22P015903111100900</v>
          </cell>
          <cell r="B147" t="str">
            <v>US22P01590</v>
          </cell>
          <cell r="C147">
            <v>3111100900</v>
          </cell>
          <cell r="D147" t="str">
            <v>WAGES &amp; SALARIES / SEASONALS</v>
          </cell>
          <cell r="E147">
            <v>0</v>
          </cell>
          <cell r="F147">
            <v>0</v>
          </cell>
          <cell r="G147">
            <v>0</v>
          </cell>
          <cell r="H147">
            <v>0</v>
          </cell>
          <cell r="I147">
            <v>0</v>
          </cell>
          <cell r="J147">
            <v>0</v>
          </cell>
          <cell r="K147">
            <v>0</v>
          </cell>
          <cell r="L147">
            <v>0</v>
          </cell>
          <cell r="M147">
            <v>0</v>
          </cell>
          <cell r="N147">
            <v>0</v>
          </cell>
          <cell r="O147">
            <v>0</v>
          </cell>
          <cell r="P147">
            <v>0</v>
          </cell>
          <cell r="Q147">
            <v>0</v>
          </cell>
        </row>
        <row r="148">
          <cell r="A148" t="str">
            <v>US22P015903121300013</v>
          </cell>
          <cell r="B148" t="str">
            <v>US22P01590</v>
          </cell>
          <cell r="C148">
            <v>3121300013</v>
          </cell>
          <cell r="D148" t="str">
            <v>FRINGE BENEFITS</v>
          </cell>
          <cell r="E148">
            <v>1060</v>
          </cell>
          <cell r="F148">
            <v>1060</v>
          </cell>
          <cell r="G148">
            <v>1060</v>
          </cell>
          <cell r="H148">
            <v>1060</v>
          </cell>
          <cell r="I148">
            <v>1060</v>
          </cell>
          <cell r="J148">
            <v>1060</v>
          </cell>
          <cell r="K148">
            <v>1060</v>
          </cell>
          <cell r="L148">
            <v>1060</v>
          </cell>
          <cell r="M148">
            <v>1060</v>
          </cell>
          <cell r="N148">
            <v>1060</v>
          </cell>
          <cell r="O148">
            <v>1060</v>
          </cell>
          <cell r="P148">
            <v>1062</v>
          </cell>
          <cell r="Q148">
            <v>12722</v>
          </cell>
        </row>
        <row r="149">
          <cell r="A149" t="str">
            <v>US22P015903201300001</v>
          </cell>
          <cell r="B149" t="str">
            <v>US22P01590</v>
          </cell>
          <cell r="C149">
            <v>3201300001</v>
          </cell>
          <cell r="D149" t="str">
            <v>HIRED PERSONNEL FROM 3RD PARTIES</v>
          </cell>
          <cell r="E149">
            <v>1980</v>
          </cell>
          <cell r="F149">
            <v>990</v>
          </cell>
          <cell r="G149">
            <v>990</v>
          </cell>
          <cell r="H149">
            <v>990</v>
          </cell>
          <cell r="I149">
            <v>990</v>
          </cell>
          <cell r="J149">
            <v>1980</v>
          </cell>
          <cell r="K149">
            <v>1980</v>
          </cell>
          <cell r="L149">
            <v>1980</v>
          </cell>
          <cell r="M149">
            <v>1980</v>
          </cell>
          <cell r="N149">
            <v>1980</v>
          </cell>
          <cell r="O149">
            <v>1980</v>
          </cell>
          <cell r="P149">
            <v>1980</v>
          </cell>
          <cell r="Q149">
            <v>19800</v>
          </cell>
        </row>
        <row r="150">
          <cell r="A150" t="str">
            <v>US22P015903201400051</v>
          </cell>
          <cell r="B150" t="str">
            <v>US22P01590</v>
          </cell>
          <cell r="C150">
            <v>3201400051</v>
          </cell>
          <cell r="D150" t="str">
            <v>MAINTENANCE EQUIPMENT</v>
          </cell>
          <cell r="E150">
            <v>50</v>
          </cell>
          <cell r="F150">
            <v>25</v>
          </cell>
          <cell r="G150">
            <v>25</v>
          </cell>
          <cell r="H150">
            <v>25</v>
          </cell>
          <cell r="I150">
            <v>25</v>
          </cell>
          <cell r="J150">
            <v>50</v>
          </cell>
          <cell r="K150">
            <v>50</v>
          </cell>
          <cell r="L150">
            <v>50</v>
          </cell>
          <cell r="M150">
            <v>50</v>
          </cell>
          <cell r="N150">
            <v>50</v>
          </cell>
          <cell r="O150">
            <v>50</v>
          </cell>
          <cell r="P150">
            <v>50</v>
          </cell>
          <cell r="Q150">
            <v>500</v>
          </cell>
        </row>
        <row r="151">
          <cell r="A151" t="str">
            <v>US22P015903201400055</v>
          </cell>
          <cell r="B151" t="str">
            <v>US22P01590</v>
          </cell>
          <cell r="C151">
            <v>3201400055</v>
          </cell>
          <cell r="D151" t="str">
            <v>LABORATORY TESTING</v>
          </cell>
          <cell r="E151">
            <v>0</v>
          </cell>
          <cell r="F151">
            <v>0</v>
          </cell>
          <cell r="G151">
            <v>0</v>
          </cell>
          <cell r="H151">
            <v>0</v>
          </cell>
          <cell r="I151">
            <v>0</v>
          </cell>
          <cell r="J151">
            <v>0</v>
          </cell>
          <cell r="K151">
            <v>0</v>
          </cell>
          <cell r="L151">
            <v>0</v>
          </cell>
          <cell r="M151">
            <v>0</v>
          </cell>
          <cell r="N151">
            <v>0</v>
          </cell>
          <cell r="O151">
            <v>0</v>
          </cell>
          <cell r="P151">
            <v>0</v>
          </cell>
          <cell r="Q151">
            <v>0</v>
          </cell>
        </row>
        <row r="152">
          <cell r="A152" t="str">
            <v>US22P015903311400099</v>
          </cell>
          <cell r="B152" t="str">
            <v>US22P01590</v>
          </cell>
          <cell r="C152">
            <v>3311400099</v>
          </cell>
          <cell r="D152" t="str">
            <v>CO DEPRECIATION</v>
          </cell>
          <cell r="E152">
            <v>347</v>
          </cell>
          <cell r="F152">
            <v>347</v>
          </cell>
          <cell r="G152">
            <v>347</v>
          </cell>
          <cell r="H152">
            <v>347</v>
          </cell>
          <cell r="I152">
            <v>347</v>
          </cell>
          <cell r="J152">
            <v>347</v>
          </cell>
          <cell r="K152">
            <v>347</v>
          </cell>
          <cell r="L152">
            <v>347</v>
          </cell>
          <cell r="M152">
            <v>347</v>
          </cell>
          <cell r="N152">
            <v>347</v>
          </cell>
          <cell r="O152">
            <v>347</v>
          </cell>
          <cell r="P152">
            <v>347</v>
          </cell>
          <cell r="Q152">
            <v>4164</v>
          </cell>
        </row>
        <row r="153">
          <cell r="A153" t="str">
            <v>US22P015903921200004</v>
          </cell>
          <cell r="B153" t="str">
            <v>US22P01590</v>
          </cell>
          <cell r="C153">
            <v>3921200004</v>
          </cell>
          <cell r="D153" t="str">
            <v>FACTORY SUPPLIES LABO SUPPLIES</v>
          </cell>
          <cell r="E153">
            <v>560</v>
          </cell>
          <cell r="F153">
            <v>280</v>
          </cell>
          <cell r="G153">
            <v>280</v>
          </cell>
          <cell r="H153">
            <v>280</v>
          </cell>
          <cell r="I153">
            <v>280</v>
          </cell>
          <cell r="J153">
            <v>560</v>
          </cell>
          <cell r="K153">
            <v>560</v>
          </cell>
          <cell r="L153">
            <v>560</v>
          </cell>
          <cell r="M153">
            <v>560</v>
          </cell>
          <cell r="N153">
            <v>560</v>
          </cell>
          <cell r="O153">
            <v>560</v>
          </cell>
          <cell r="P153">
            <v>560</v>
          </cell>
          <cell r="Q153">
            <v>5600</v>
          </cell>
        </row>
        <row r="154">
          <cell r="A154" t="str">
            <v>US22P015903991200012</v>
          </cell>
          <cell r="B154" t="str">
            <v>US22P01590</v>
          </cell>
          <cell r="C154">
            <v>3991200012</v>
          </cell>
          <cell r="D154" t="str">
            <v>DELIVERY SERVICES</v>
          </cell>
          <cell r="E154">
            <v>260</v>
          </cell>
          <cell r="F154">
            <v>130</v>
          </cell>
          <cell r="G154">
            <v>130</v>
          </cell>
          <cell r="H154">
            <v>130</v>
          </cell>
          <cell r="I154">
            <v>130</v>
          </cell>
          <cell r="J154">
            <v>260</v>
          </cell>
          <cell r="K154">
            <v>260</v>
          </cell>
          <cell r="L154">
            <v>260</v>
          </cell>
          <cell r="M154">
            <v>260</v>
          </cell>
          <cell r="N154">
            <v>260</v>
          </cell>
          <cell r="O154">
            <v>260</v>
          </cell>
          <cell r="P154">
            <v>260</v>
          </cell>
          <cell r="Q154">
            <v>2600</v>
          </cell>
        </row>
        <row r="155">
          <cell r="A155" t="str">
            <v>US22P015923111100000</v>
          </cell>
          <cell r="B155" t="str">
            <v>US22P01592</v>
          </cell>
          <cell r="C155">
            <v>3111100000</v>
          </cell>
          <cell r="D155" t="str">
            <v>WAGES,SALARIES,ALLOWANCES AND COMMI/PERM</v>
          </cell>
          <cell r="E155">
            <v>1287</v>
          </cell>
          <cell r="F155">
            <v>1287</v>
          </cell>
          <cell r="G155">
            <v>1287</v>
          </cell>
          <cell r="H155">
            <v>1287</v>
          </cell>
          <cell r="I155">
            <v>1287</v>
          </cell>
          <cell r="J155">
            <v>1287</v>
          </cell>
          <cell r="K155">
            <v>1287</v>
          </cell>
          <cell r="L155">
            <v>1287</v>
          </cell>
          <cell r="M155">
            <v>1287</v>
          </cell>
          <cell r="N155">
            <v>1287</v>
          </cell>
          <cell r="O155">
            <v>1287</v>
          </cell>
          <cell r="P155">
            <v>1282</v>
          </cell>
          <cell r="Q155">
            <v>15439</v>
          </cell>
        </row>
        <row r="156">
          <cell r="A156" t="str">
            <v>US22P015923111100012</v>
          </cell>
          <cell r="B156" t="str">
            <v>US22P01592</v>
          </cell>
          <cell r="C156">
            <v>3111100012</v>
          </cell>
          <cell r="D156" t="str">
            <v>OVERTIME HOURS /PERMANENTS</v>
          </cell>
          <cell r="E156">
            <v>283</v>
          </cell>
          <cell r="F156">
            <v>283</v>
          </cell>
          <cell r="G156">
            <v>283</v>
          </cell>
          <cell r="H156">
            <v>283</v>
          </cell>
          <cell r="I156">
            <v>283</v>
          </cell>
          <cell r="J156">
            <v>283</v>
          </cell>
          <cell r="K156">
            <v>283</v>
          </cell>
          <cell r="L156">
            <v>283</v>
          </cell>
          <cell r="M156">
            <v>283</v>
          </cell>
          <cell r="N156">
            <v>283</v>
          </cell>
          <cell r="O156">
            <v>283</v>
          </cell>
          <cell r="P156">
            <v>281</v>
          </cell>
          <cell r="Q156">
            <v>3394</v>
          </cell>
        </row>
        <row r="157">
          <cell r="A157" t="str">
            <v>US22P015923111100900</v>
          </cell>
          <cell r="B157" t="str">
            <v>US22P01592</v>
          </cell>
          <cell r="C157">
            <v>3111100900</v>
          </cell>
          <cell r="D157" t="str">
            <v>WAGES &amp; SALARIES / SEASONALS</v>
          </cell>
          <cell r="E157">
            <v>0</v>
          </cell>
          <cell r="F157">
            <v>0</v>
          </cell>
          <cell r="G157">
            <v>0</v>
          </cell>
          <cell r="H157">
            <v>0</v>
          </cell>
          <cell r="I157">
            <v>0</v>
          </cell>
          <cell r="J157">
            <v>0</v>
          </cell>
          <cell r="K157">
            <v>0</v>
          </cell>
          <cell r="L157">
            <v>0</v>
          </cell>
          <cell r="M157">
            <v>0</v>
          </cell>
          <cell r="N157">
            <v>0</v>
          </cell>
          <cell r="O157">
            <v>0</v>
          </cell>
          <cell r="P157">
            <v>0</v>
          </cell>
          <cell r="Q157">
            <v>0</v>
          </cell>
        </row>
        <row r="158">
          <cell r="A158" t="str">
            <v>US22P015923121300013</v>
          </cell>
          <cell r="B158" t="str">
            <v>US22P01592</v>
          </cell>
          <cell r="C158">
            <v>3121300013</v>
          </cell>
          <cell r="D158" t="str">
            <v>FRINGE BENEFITS</v>
          </cell>
          <cell r="E158">
            <v>593</v>
          </cell>
          <cell r="F158">
            <v>593</v>
          </cell>
          <cell r="G158">
            <v>593</v>
          </cell>
          <cell r="H158">
            <v>593</v>
          </cell>
          <cell r="I158">
            <v>593</v>
          </cell>
          <cell r="J158">
            <v>593</v>
          </cell>
          <cell r="K158">
            <v>593</v>
          </cell>
          <cell r="L158">
            <v>593</v>
          </cell>
          <cell r="M158">
            <v>593</v>
          </cell>
          <cell r="N158">
            <v>593</v>
          </cell>
          <cell r="O158">
            <v>593</v>
          </cell>
          <cell r="P158">
            <v>596</v>
          </cell>
          <cell r="Q158">
            <v>7119</v>
          </cell>
        </row>
        <row r="159">
          <cell r="A159" t="str">
            <v>US22P015923201300001</v>
          </cell>
          <cell r="B159" t="str">
            <v>US22P01592</v>
          </cell>
          <cell r="C159">
            <v>3201300001</v>
          </cell>
          <cell r="D159" t="str">
            <v>HIRED PERSONNEL FROM 3RD PARTIES</v>
          </cell>
          <cell r="E159">
            <v>0</v>
          </cell>
          <cell r="F159">
            <v>0</v>
          </cell>
          <cell r="G159">
            <v>1160</v>
          </cell>
          <cell r="H159">
            <v>1160</v>
          </cell>
          <cell r="I159">
            <v>0</v>
          </cell>
          <cell r="J159">
            <v>0</v>
          </cell>
          <cell r="K159">
            <v>0</v>
          </cell>
          <cell r="L159">
            <v>0</v>
          </cell>
          <cell r="M159">
            <v>4060</v>
          </cell>
          <cell r="N159">
            <v>4060</v>
          </cell>
          <cell r="O159">
            <v>1160</v>
          </cell>
          <cell r="P159">
            <v>0</v>
          </cell>
          <cell r="Q159">
            <v>11600</v>
          </cell>
        </row>
        <row r="160">
          <cell r="A160" t="str">
            <v>US22P015923201400029</v>
          </cell>
          <cell r="B160" t="str">
            <v>US22P01592</v>
          </cell>
          <cell r="C160">
            <v>3201400029</v>
          </cell>
          <cell r="D160" t="str">
            <v>OTH OUTSIDE SERVICES OTHER</v>
          </cell>
          <cell r="E160">
            <v>0</v>
          </cell>
          <cell r="F160">
            <v>0</v>
          </cell>
          <cell r="G160">
            <v>100</v>
          </cell>
          <cell r="H160">
            <v>100</v>
          </cell>
          <cell r="I160">
            <v>0</v>
          </cell>
          <cell r="J160">
            <v>0</v>
          </cell>
          <cell r="K160">
            <v>0</v>
          </cell>
          <cell r="L160">
            <v>0</v>
          </cell>
          <cell r="M160">
            <v>350</v>
          </cell>
          <cell r="N160">
            <v>350</v>
          </cell>
          <cell r="O160">
            <v>100</v>
          </cell>
          <cell r="P160">
            <v>0</v>
          </cell>
          <cell r="Q160">
            <v>1000</v>
          </cell>
        </row>
        <row r="161">
          <cell r="A161" t="str">
            <v>US22P015923201400051</v>
          </cell>
          <cell r="B161" t="str">
            <v>US22P01592</v>
          </cell>
          <cell r="C161">
            <v>3201400051</v>
          </cell>
          <cell r="D161" t="str">
            <v>MAINTENANCE EQUIPMENT</v>
          </cell>
          <cell r="E161">
            <v>0</v>
          </cell>
          <cell r="F161">
            <v>0</v>
          </cell>
          <cell r="G161">
            <v>70</v>
          </cell>
          <cell r="H161">
            <v>70</v>
          </cell>
          <cell r="I161">
            <v>0</v>
          </cell>
          <cell r="J161">
            <v>0</v>
          </cell>
          <cell r="K161">
            <v>0</v>
          </cell>
          <cell r="L161">
            <v>0</v>
          </cell>
          <cell r="M161">
            <v>245</v>
          </cell>
          <cell r="N161">
            <v>245</v>
          </cell>
          <cell r="O161">
            <v>70</v>
          </cell>
          <cell r="P161">
            <v>0</v>
          </cell>
          <cell r="Q161">
            <v>700</v>
          </cell>
        </row>
        <row r="162">
          <cell r="A162" t="str">
            <v>US22P015923921200006</v>
          </cell>
          <cell r="B162" t="str">
            <v>US22P01592</v>
          </cell>
          <cell r="C162">
            <v>3921200006</v>
          </cell>
          <cell r="D162" t="str">
            <v>FACTORY SUPPLIES MAINTENANCE SUPPLIES</v>
          </cell>
          <cell r="E162">
            <v>0</v>
          </cell>
          <cell r="F162">
            <v>0</v>
          </cell>
          <cell r="G162">
            <v>50</v>
          </cell>
          <cell r="H162">
            <v>50</v>
          </cell>
          <cell r="I162">
            <v>0</v>
          </cell>
          <cell r="J162">
            <v>0</v>
          </cell>
          <cell r="K162">
            <v>0</v>
          </cell>
          <cell r="L162">
            <v>0</v>
          </cell>
          <cell r="M162">
            <v>175</v>
          </cell>
          <cell r="N162">
            <v>175</v>
          </cell>
          <cell r="O162">
            <v>50</v>
          </cell>
          <cell r="P162">
            <v>0</v>
          </cell>
          <cell r="Q162">
            <v>500</v>
          </cell>
        </row>
        <row r="163">
          <cell r="A163" t="str">
            <v>US22P015923921200050</v>
          </cell>
          <cell r="B163" t="str">
            <v>US22P01592</v>
          </cell>
          <cell r="C163">
            <v>3921200050</v>
          </cell>
          <cell r="D163" t="str">
            <v>SAFETY EQUIPMENT - SUPPLIES</v>
          </cell>
          <cell r="E163">
            <v>0</v>
          </cell>
          <cell r="F163">
            <v>0</v>
          </cell>
          <cell r="G163">
            <v>50</v>
          </cell>
          <cell r="H163">
            <v>50</v>
          </cell>
          <cell r="I163">
            <v>0</v>
          </cell>
          <cell r="J163">
            <v>0</v>
          </cell>
          <cell r="K163">
            <v>0</v>
          </cell>
          <cell r="L163">
            <v>0</v>
          </cell>
          <cell r="M163">
            <v>175</v>
          </cell>
          <cell r="N163">
            <v>175</v>
          </cell>
          <cell r="O163">
            <v>50</v>
          </cell>
          <cell r="P163">
            <v>0</v>
          </cell>
          <cell r="Q163">
            <v>500</v>
          </cell>
        </row>
        <row r="164">
          <cell r="A164" t="str">
            <v>US22P015923991200012</v>
          </cell>
          <cell r="B164" t="str">
            <v>US22P01592</v>
          </cell>
          <cell r="C164">
            <v>3991200012</v>
          </cell>
          <cell r="D164" t="str">
            <v>DELIVERY SERVICES</v>
          </cell>
          <cell r="E164">
            <v>0</v>
          </cell>
          <cell r="F164">
            <v>0</v>
          </cell>
          <cell r="G164">
            <v>50</v>
          </cell>
          <cell r="H164">
            <v>50</v>
          </cell>
          <cell r="I164">
            <v>0</v>
          </cell>
          <cell r="J164">
            <v>0</v>
          </cell>
          <cell r="K164">
            <v>0</v>
          </cell>
          <cell r="L164">
            <v>0</v>
          </cell>
          <cell r="M164">
            <v>175</v>
          </cell>
          <cell r="N164">
            <v>175</v>
          </cell>
          <cell r="O164">
            <v>50</v>
          </cell>
          <cell r="P164">
            <v>0</v>
          </cell>
          <cell r="Q164">
            <v>500</v>
          </cell>
        </row>
        <row r="165">
          <cell r="A165" t="str">
            <v>US28P015013111100000</v>
          </cell>
          <cell r="B165" t="str">
            <v>US28P01501</v>
          </cell>
          <cell r="C165">
            <v>3111100000</v>
          </cell>
          <cell r="D165" t="str">
            <v>WAGES,SALARIES,ALLOWANCES AND COMMI/PERM</v>
          </cell>
          <cell r="E165">
            <v>35839</v>
          </cell>
          <cell r="F165">
            <v>35839</v>
          </cell>
          <cell r="G165">
            <v>35839</v>
          </cell>
          <cell r="H165">
            <v>35839</v>
          </cell>
          <cell r="I165">
            <v>35839</v>
          </cell>
          <cell r="J165">
            <v>35839</v>
          </cell>
          <cell r="K165">
            <v>35839</v>
          </cell>
          <cell r="L165">
            <v>35839</v>
          </cell>
          <cell r="M165">
            <v>35839</v>
          </cell>
          <cell r="N165">
            <v>35839</v>
          </cell>
          <cell r="O165">
            <v>35839</v>
          </cell>
          <cell r="P165">
            <v>35833</v>
          </cell>
          <cell r="Q165">
            <v>430062</v>
          </cell>
        </row>
        <row r="166">
          <cell r="A166" t="str">
            <v>US28P015013111100012</v>
          </cell>
          <cell r="B166" t="str">
            <v>US28P01501</v>
          </cell>
          <cell r="C166">
            <v>3111100012</v>
          </cell>
          <cell r="D166" t="str">
            <v>OVERTIME HOURS /PERMANENTS</v>
          </cell>
          <cell r="E166">
            <v>1716</v>
          </cell>
          <cell r="F166">
            <v>1716</v>
          </cell>
          <cell r="G166">
            <v>1716</v>
          </cell>
          <cell r="H166">
            <v>1716</v>
          </cell>
          <cell r="I166">
            <v>1716</v>
          </cell>
          <cell r="J166">
            <v>1716</v>
          </cell>
          <cell r="K166">
            <v>1716</v>
          </cell>
          <cell r="L166">
            <v>1716</v>
          </cell>
          <cell r="M166">
            <v>1716</v>
          </cell>
          <cell r="N166">
            <v>1716</v>
          </cell>
          <cell r="O166">
            <v>1716</v>
          </cell>
          <cell r="P166">
            <v>1713</v>
          </cell>
          <cell r="Q166">
            <v>20589</v>
          </cell>
        </row>
        <row r="167">
          <cell r="A167" t="str">
            <v>US28P015013121300013</v>
          </cell>
          <cell r="B167" t="str">
            <v>US28P01501</v>
          </cell>
          <cell r="C167">
            <v>3121300013</v>
          </cell>
          <cell r="D167" t="str">
            <v>FRINGE BENEFITS</v>
          </cell>
          <cell r="E167">
            <v>14196</v>
          </cell>
          <cell r="F167">
            <v>14196</v>
          </cell>
          <cell r="G167">
            <v>14196</v>
          </cell>
          <cell r="H167">
            <v>14196</v>
          </cell>
          <cell r="I167">
            <v>14196</v>
          </cell>
          <cell r="J167">
            <v>14196</v>
          </cell>
          <cell r="K167">
            <v>14196</v>
          </cell>
          <cell r="L167">
            <v>14196</v>
          </cell>
          <cell r="M167">
            <v>14196</v>
          </cell>
          <cell r="N167">
            <v>14196</v>
          </cell>
          <cell r="O167">
            <v>14196</v>
          </cell>
          <cell r="P167">
            <v>14190</v>
          </cell>
          <cell r="Q167">
            <v>170346</v>
          </cell>
        </row>
        <row r="168">
          <cell r="A168" t="str">
            <v>US28P015013131100007</v>
          </cell>
          <cell r="B168" t="str">
            <v>US28P01501</v>
          </cell>
          <cell r="C168">
            <v>3131100007</v>
          </cell>
          <cell r="D168" t="str">
            <v>EXTERNAL TRAINING</v>
          </cell>
          <cell r="E168">
            <v>42</v>
          </cell>
          <cell r="F168">
            <v>42</v>
          </cell>
          <cell r="G168">
            <v>42</v>
          </cell>
          <cell r="H168">
            <v>42</v>
          </cell>
          <cell r="I168">
            <v>42</v>
          </cell>
          <cell r="J168">
            <v>42</v>
          </cell>
          <cell r="K168">
            <v>42</v>
          </cell>
          <cell r="L168">
            <v>42</v>
          </cell>
          <cell r="M168">
            <v>42</v>
          </cell>
          <cell r="N168">
            <v>42</v>
          </cell>
          <cell r="O168">
            <v>42</v>
          </cell>
          <cell r="P168">
            <v>42</v>
          </cell>
          <cell r="Q168">
            <v>504</v>
          </cell>
        </row>
        <row r="169">
          <cell r="A169" t="str">
            <v>US28P015013131100025</v>
          </cell>
          <cell r="B169" t="str">
            <v>US28P01501</v>
          </cell>
          <cell r="C169">
            <v>3131100025</v>
          </cell>
          <cell r="D169" t="str">
            <v>OTHER PERSONNEL EXPENSES</v>
          </cell>
          <cell r="E169">
            <v>4167</v>
          </cell>
          <cell r="F169">
            <v>4167</v>
          </cell>
          <cell r="G169">
            <v>4167</v>
          </cell>
          <cell r="H169">
            <v>4167</v>
          </cell>
          <cell r="I169">
            <v>4167</v>
          </cell>
          <cell r="J169">
            <v>4167</v>
          </cell>
          <cell r="K169">
            <v>4167</v>
          </cell>
          <cell r="L169">
            <v>4167</v>
          </cell>
          <cell r="M169">
            <v>4167</v>
          </cell>
          <cell r="N169">
            <v>4167</v>
          </cell>
          <cell r="O169">
            <v>4167</v>
          </cell>
          <cell r="P169">
            <v>4167</v>
          </cell>
          <cell r="Q169">
            <v>50004</v>
          </cell>
        </row>
        <row r="170">
          <cell r="A170" t="str">
            <v>US28P015013201300001</v>
          </cell>
          <cell r="B170" t="str">
            <v>US28P01501</v>
          </cell>
          <cell r="C170">
            <v>3201300001</v>
          </cell>
          <cell r="D170" t="str">
            <v>HIRED PERSONNEL FROM 3RD PARTIES</v>
          </cell>
          <cell r="E170">
            <v>4083</v>
          </cell>
          <cell r="F170">
            <v>4083</v>
          </cell>
          <cell r="G170">
            <v>4083</v>
          </cell>
          <cell r="H170">
            <v>4083</v>
          </cell>
          <cell r="I170">
            <v>4083</v>
          </cell>
          <cell r="J170">
            <v>4083</v>
          </cell>
          <cell r="K170">
            <v>4083</v>
          </cell>
          <cell r="L170">
            <v>4083</v>
          </cell>
          <cell r="M170">
            <v>4083</v>
          </cell>
          <cell r="N170">
            <v>4083</v>
          </cell>
          <cell r="O170">
            <v>4083</v>
          </cell>
          <cell r="P170">
            <v>4083</v>
          </cell>
          <cell r="Q170">
            <v>48996</v>
          </cell>
        </row>
        <row r="171">
          <cell r="A171" t="str">
            <v>US28P015013201400025</v>
          </cell>
          <cell r="B171" t="str">
            <v>US28P01501</v>
          </cell>
          <cell r="C171">
            <v>3201400025</v>
          </cell>
          <cell r="D171" t="str">
            <v>CLEANING EXPENSES</v>
          </cell>
          <cell r="E171">
            <v>333</v>
          </cell>
          <cell r="F171">
            <v>333</v>
          </cell>
          <cell r="G171">
            <v>333</v>
          </cell>
          <cell r="H171">
            <v>333</v>
          </cell>
          <cell r="I171">
            <v>333</v>
          </cell>
          <cell r="J171">
            <v>333</v>
          </cell>
          <cell r="K171">
            <v>333</v>
          </cell>
          <cell r="L171">
            <v>333</v>
          </cell>
          <cell r="M171">
            <v>333</v>
          </cell>
          <cell r="N171">
            <v>333</v>
          </cell>
          <cell r="O171">
            <v>333</v>
          </cell>
          <cell r="P171">
            <v>333</v>
          </cell>
          <cell r="Q171">
            <v>3996</v>
          </cell>
        </row>
        <row r="172">
          <cell r="A172" t="str">
            <v>US28P015013201400029</v>
          </cell>
          <cell r="B172" t="str">
            <v>US28P01501</v>
          </cell>
          <cell r="C172">
            <v>3201400029</v>
          </cell>
          <cell r="D172" t="str">
            <v>OTH OUTSIDE SERVICES OTHER</v>
          </cell>
          <cell r="E172">
            <v>417</v>
          </cell>
          <cell r="F172">
            <v>417</v>
          </cell>
          <cell r="G172">
            <v>417</v>
          </cell>
          <cell r="H172">
            <v>417</v>
          </cell>
          <cell r="I172">
            <v>417</v>
          </cell>
          <cell r="J172">
            <v>417</v>
          </cell>
          <cell r="K172">
            <v>417</v>
          </cell>
          <cell r="L172">
            <v>417</v>
          </cell>
          <cell r="M172">
            <v>417</v>
          </cell>
          <cell r="N172">
            <v>417</v>
          </cell>
          <cell r="O172">
            <v>417</v>
          </cell>
          <cell r="P172">
            <v>417</v>
          </cell>
          <cell r="Q172">
            <v>5004</v>
          </cell>
        </row>
        <row r="173">
          <cell r="A173" t="str">
            <v>US28P015013201400036</v>
          </cell>
          <cell r="B173" t="str">
            <v>US28P01501</v>
          </cell>
          <cell r="C173">
            <v>3201400036</v>
          </cell>
          <cell r="D173" t="str">
            <v>OTHER MAINTENANCE BUILDINGS</v>
          </cell>
          <cell r="E173">
            <v>417</v>
          </cell>
          <cell r="F173">
            <v>417</v>
          </cell>
          <cell r="G173">
            <v>417</v>
          </cell>
          <cell r="H173">
            <v>417</v>
          </cell>
          <cell r="I173">
            <v>417</v>
          </cell>
          <cell r="J173">
            <v>417</v>
          </cell>
          <cell r="K173">
            <v>417</v>
          </cell>
          <cell r="L173">
            <v>417</v>
          </cell>
          <cell r="M173">
            <v>417</v>
          </cell>
          <cell r="N173">
            <v>417</v>
          </cell>
          <cell r="O173">
            <v>417</v>
          </cell>
          <cell r="P173">
            <v>417</v>
          </cell>
          <cell r="Q173">
            <v>5004</v>
          </cell>
        </row>
        <row r="174">
          <cell r="A174" t="str">
            <v>US28P015013201400051</v>
          </cell>
          <cell r="B174" t="str">
            <v>US28P01501</v>
          </cell>
          <cell r="C174">
            <v>3201400051</v>
          </cell>
          <cell r="D174" t="str">
            <v>MAINTENANCE EQUIPMENT</v>
          </cell>
          <cell r="E174">
            <v>167</v>
          </cell>
          <cell r="F174">
            <v>167</v>
          </cell>
          <cell r="G174">
            <v>167</v>
          </cell>
          <cell r="H174">
            <v>167</v>
          </cell>
          <cell r="I174">
            <v>167</v>
          </cell>
          <cell r="J174">
            <v>167</v>
          </cell>
          <cell r="K174">
            <v>167</v>
          </cell>
          <cell r="L174">
            <v>167</v>
          </cell>
          <cell r="M174">
            <v>167</v>
          </cell>
          <cell r="N174">
            <v>167</v>
          </cell>
          <cell r="O174">
            <v>167</v>
          </cell>
          <cell r="P174">
            <v>167</v>
          </cell>
          <cell r="Q174">
            <v>2004</v>
          </cell>
        </row>
        <row r="175">
          <cell r="A175" t="str">
            <v>US28P015013311400099</v>
          </cell>
          <cell r="B175" t="str">
            <v>US28P01501</v>
          </cell>
          <cell r="C175">
            <v>3311400099</v>
          </cell>
          <cell r="D175" t="str">
            <v>CO DEPRECIATION</v>
          </cell>
          <cell r="E175">
            <v>693</v>
          </cell>
          <cell r="F175">
            <v>693</v>
          </cell>
          <cell r="G175">
            <v>693</v>
          </cell>
          <cell r="H175">
            <v>693</v>
          </cell>
          <cell r="I175">
            <v>621</v>
          </cell>
          <cell r="J175">
            <v>621</v>
          </cell>
          <cell r="K175">
            <v>621</v>
          </cell>
          <cell r="L175">
            <v>621</v>
          </cell>
          <cell r="M175">
            <v>621</v>
          </cell>
          <cell r="N175">
            <v>621</v>
          </cell>
          <cell r="O175">
            <v>621</v>
          </cell>
          <cell r="P175">
            <v>615</v>
          </cell>
          <cell r="Q175">
            <v>7734</v>
          </cell>
        </row>
        <row r="176">
          <cell r="A176" t="str">
            <v>US28P015013501500031</v>
          </cell>
          <cell r="B176" t="str">
            <v>US28P01501</v>
          </cell>
          <cell r="C176">
            <v>3501500031</v>
          </cell>
          <cell r="D176" t="str">
            <v>BUSINESS LICENSES &amp; LOCAL TAXES</v>
          </cell>
          <cell r="E176">
            <v>42</v>
          </cell>
          <cell r="F176">
            <v>42</v>
          </cell>
          <cell r="G176">
            <v>42</v>
          </cell>
          <cell r="H176">
            <v>42</v>
          </cell>
          <cell r="I176">
            <v>42</v>
          </cell>
          <cell r="J176">
            <v>42</v>
          </cell>
          <cell r="K176">
            <v>42</v>
          </cell>
          <cell r="L176">
            <v>42</v>
          </cell>
          <cell r="M176">
            <v>42</v>
          </cell>
          <cell r="N176">
            <v>42</v>
          </cell>
          <cell r="O176">
            <v>42</v>
          </cell>
          <cell r="P176">
            <v>42</v>
          </cell>
          <cell r="Q176">
            <v>504</v>
          </cell>
        </row>
        <row r="177">
          <cell r="A177" t="str">
            <v>US28P015013501500034</v>
          </cell>
          <cell r="B177" t="str">
            <v>US28P01501</v>
          </cell>
          <cell r="C177">
            <v>3501500034</v>
          </cell>
          <cell r="D177" t="str">
            <v>PROPERTY TAXES</v>
          </cell>
          <cell r="E177">
            <v>3778</v>
          </cell>
          <cell r="F177">
            <v>3778</v>
          </cell>
          <cell r="G177">
            <v>3778</v>
          </cell>
          <cell r="H177">
            <v>3778</v>
          </cell>
          <cell r="I177">
            <v>3778</v>
          </cell>
          <cell r="J177">
            <v>3778</v>
          </cell>
          <cell r="K177">
            <v>3778</v>
          </cell>
          <cell r="L177">
            <v>3778</v>
          </cell>
          <cell r="M177">
            <v>3778</v>
          </cell>
          <cell r="N177">
            <v>3778</v>
          </cell>
          <cell r="O177">
            <v>3778</v>
          </cell>
          <cell r="P177">
            <v>3772</v>
          </cell>
          <cell r="Q177">
            <v>45330</v>
          </cell>
        </row>
        <row r="178">
          <cell r="A178" t="str">
            <v>US28P015013911100010</v>
          </cell>
          <cell r="B178" t="str">
            <v>US28P01501</v>
          </cell>
          <cell r="C178">
            <v>3911100010</v>
          </cell>
          <cell r="D178" t="str">
            <v>TRAVEL EXPENSES PERMANENTS / MEALS</v>
          </cell>
          <cell r="E178">
            <v>42</v>
          </cell>
          <cell r="F178">
            <v>42</v>
          </cell>
          <cell r="G178">
            <v>42</v>
          </cell>
          <cell r="H178">
            <v>42</v>
          </cell>
          <cell r="I178">
            <v>42</v>
          </cell>
          <cell r="J178">
            <v>42</v>
          </cell>
          <cell r="K178">
            <v>42</v>
          </cell>
          <cell r="L178">
            <v>42</v>
          </cell>
          <cell r="M178">
            <v>42</v>
          </cell>
          <cell r="N178">
            <v>42</v>
          </cell>
          <cell r="O178">
            <v>42</v>
          </cell>
          <cell r="P178">
            <v>42</v>
          </cell>
          <cell r="Q178">
            <v>504</v>
          </cell>
        </row>
        <row r="179">
          <cell r="A179" t="str">
            <v>US28P015013911100012</v>
          </cell>
          <cell r="B179" t="str">
            <v>US28P01501</v>
          </cell>
          <cell r="C179">
            <v>3911100012</v>
          </cell>
          <cell r="D179" t="str">
            <v>TRAVEL EXPENSES PERMANENTS / HOTELS</v>
          </cell>
          <cell r="E179">
            <v>208</v>
          </cell>
          <cell r="F179">
            <v>208</v>
          </cell>
          <cell r="G179">
            <v>208</v>
          </cell>
          <cell r="H179">
            <v>208</v>
          </cell>
          <cell r="I179">
            <v>208</v>
          </cell>
          <cell r="J179">
            <v>208</v>
          </cell>
          <cell r="K179">
            <v>208</v>
          </cell>
          <cell r="L179">
            <v>208</v>
          </cell>
          <cell r="M179">
            <v>208</v>
          </cell>
          <cell r="N179">
            <v>208</v>
          </cell>
          <cell r="O179">
            <v>208</v>
          </cell>
          <cell r="P179">
            <v>208</v>
          </cell>
          <cell r="Q179">
            <v>2496</v>
          </cell>
        </row>
        <row r="180">
          <cell r="A180" t="str">
            <v>US28P015013911100041</v>
          </cell>
          <cell r="B180" t="str">
            <v>US28P01501</v>
          </cell>
          <cell r="C180">
            <v>3911100041</v>
          </cell>
          <cell r="D180" t="str">
            <v>TRAVEL EXPENSES - ENTERTAINMENT</v>
          </cell>
          <cell r="E180">
            <v>333</v>
          </cell>
          <cell r="F180">
            <v>333</v>
          </cell>
          <cell r="G180">
            <v>333</v>
          </cell>
          <cell r="H180">
            <v>333</v>
          </cell>
          <cell r="I180">
            <v>333</v>
          </cell>
          <cell r="J180">
            <v>333</v>
          </cell>
          <cell r="K180">
            <v>333</v>
          </cell>
          <cell r="L180">
            <v>333</v>
          </cell>
          <cell r="M180">
            <v>333</v>
          </cell>
          <cell r="N180">
            <v>333</v>
          </cell>
          <cell r="O180">
            <v>333</v>
          </cell>
          <cell r="P180">
            <v>333</v>
          </cell>
          <cell r="Q180">
            <v>3996</v>
          </cell>
        </row>
        <row r="181">
          <cell r="A181" t="str">
            <v>US28P015013911200001</v>
          </cell>
          <cell r="B181" t="str">
            <v>US28P01501</v>
          </cell>
          <cell r="C181">
            <v>3911200001</v>
          </cell>
          <cell r="D181" t="str">
            <v>SYMPOSIUMS, CONFERENCES, MEETINGS</v>
          </cell>
          <cell r="E181">
            <v>417</v>
          </cell>
          <cell r="F181">
            <v>417</v>
          </cell>
          <cell r="G181">
            <v>417</v>
          </cell>
          <cell r="H181">
            <v>417</v>
          </cell>
          <cell r="I181">
            <v>417</v>
          </cell>
          <cell r="J181">
            <v>417</v>
          </cell>
          <cell r="K181">
            <v>417</v>
          </cell>
          <cell r="L181">
            <v>417</v>
          </cell>
          <cell r="M181">
            <v>417</v>
          </cell>
          <cell r="N181">
            <v>417</v>
          </cell>
          <cell r="O181">
            <v>417</v>
          </cell>
          <cell r="P181">
            <v>417</v>
          </cell>
          <cell r="Q181">
            <v>5004</v>
          </cell>
        </row>
        <row r="182">
          <cell r="A182" t="str">
            <v>US28P015013911200007</v>
          </cell>
          <cell r="B182" t="str">
            <v>US28P01501</v>
          </cell>
          <cell r="C182">
            <v>3911200007</v>
          </cell>
          <cell r="D182" t="str">
            <v>PROMOTIONAL EXP ADVERTISING AND PROMOTIO</v>
          </cell>
          <cell r="E182">
            <v>333</v>
          </cell>
          <cell r="F182">
            <v>333</v>
          </cell>
          <cell r="G182">
            <v>333</v>
          </cell>
          <cell r="H182">
            <v>333</v>
          </cell>
          <cell r="I182">
            <v>333</v>
          </cell>
          <cell r="J182">
            <v>333</v>
          </cell>
          <cell r="K182">
            <v>333</v>
          </cell>
          <cell r="L182">
            <v>333</v>
          </cell>
          <cell r="M182">
            <v>333</v>
          </cell>
          <cell r="N182">
            <v>333</v>
          </cell>
          <cell r="O182">
            <v>333</v>
          </cell>
          <cell r="P182">
            <v>333</v>
          </cell>
          <cell r="Q182">
            <v>3996</v>
          </cell>
        </row>
        <row r="183">
          <cell r="A183" t="str">
            <v>US28P015013921100000</v>
          </cell>
          <cell r="B183" t="str">
            <v>US28P01501</v>
          </cell>
          <cell r="C183">
            <v>3921100000</v>
          </cell>
          <cell r="D183" t="str">
            <v>UTILITIES EXPENSES WATER</v>
          </cell>
          <cell r="E183">
            <v>458</v>
          </cell>
          <cell r="F183">
            <v>458</v>
          </cell>
          <cell r="G183">
            <v>458</v>
          </cell>
          <cell r="H183">
            <v>458</v>
          </cell>
          <cell r="I183">
            <v>458</v>
          </cell>
          <cell r="J183">
            <v>458</v>
          </cell>
          <cell r="K183">
            <v>458</v>
          </cell>
          <cell r="L183">
            <v>458</v>
          </cell>
          <cell r="M183">
            <v>458</v>
          </cell>
          <cell r="N183">
            <v>458</v>
          </cell>
          <cell r="O183">
            <v>458</v>
          </cell>
          <cell r="P183">
            <v>458</v>
          </cell>
          <cell r="Q183">
            <v>5496</v>
          </cell>
        </row>
        <row r="184">
          <cell r="A184" t="str">
            <v>US28P015013921100001</v>
          </cell>
          <cell r="B184" t="str">
            <v>US28P01501</v>
          </cell>
          <cell r="C184">
            <v>3921100001</v>
          </cell>
          <cell r="D184" t="str">
            <v>UTILITY EXPENSES ELECTRICITY</v>
          </cell>
          <cell r="E184">
            <v>5583</v>
          </cell>
          <cell r="F184">
            <v>5583</v>
          </cell>
          <cell r="G184">
            <v>5583</v>
          </cell>
          <cell r="H184">
            <v>5583</v>
          </cell>
          <cell r="I184">
            <v>5583</v>
          </cell>
          <cell r="J184">
            <v>5583</v>
          </cell>
          <cell r="K184">
            <v>5583</v>
          </cell>
          <cell r="L184">
            <v>5583</v>
          </cell>
          <cell r="M184">
            <v>5583</v>
          </cell>
          <cell r="N184">
            <v>5583</v>
          </cell>
          <cell r="O184">
            <v>5583</v>
          </cell>
          <cell r="P184">
            <v>5583</v>
          </cell>
          <cell r="Q184">
            <v>66996</v>
          </cell>
        </row>
        <row r="185">
          <cell r="A185" t="str">
            <v>US28P015013921200001</v>
          </cell>
          <cell r="B185" t="str">
            <v>US28P01501</v>
          </cell>
          <cell r="C185">
            <v>3921200001</v>
          </cell>
          <cell r="D185" t="str">
            <v>FUEL</v>
          </cell>
          <cell r="E185">
            <v>750</v>
          </cell>
          <cell r="F185">
            <v>750</v>
          </cell>
          <cell r="G185">
            <v>750</v>
          </cell>
          <cell r="H185">
            <v>750</v>
          </cell>
          <cell r="I185">
            <v>750</v>
          </cell>
          <cell r="J185">
            <v>750</v>
          </cell>
          <cell r="K185">
            <v>750</v>
          </cell>
          <cell r="L185">
            <v>750</v>
          </cell>
          <cell r="M185">
            <v>750</v>
          </cell>
          <cell r="N185">
            <v>750</v>
          </cell>
          <cell r="O185">
            <v>750</v>
          </cell>
          <cell r="P185">
            <v>750</v>
          </cell>
          <cell r="Q185">
            <v>9000</v>
          </cell>
        </row>
        <row r="186">
          <cell r="A186" t="str">
            <v>US28P015013921200006</v>
          </cell>
          <cell r="B186" t="str">
            <v>US28P01501</v>
          </cell>
          <cell r="C186">
            <v>3921200006</v>
          </cell>
          <cell r="D186" t="str">
            <v>FACTORY SUPPLIES MAINTENANCE SUPPLIES</v>
          </cell>
          <cell r="E186">
            <v>250</v>
          </cell>
          <cell r="F186">
            <v>250</v>
          </cell>
          <cell r="G186">
            <v>250</v>
          </cell>
          <cell r="H186">
            <v>250</v>
          </cell>
          <cell r="I186">
            <v>250</v>
          </cell>
          <cell r="J186">
            <v>250</v>
          </cell>
          <cell r="K186">
            <v>250</v>
          </cell>
          <cell r="L186">
            <v>250</v>
          </cell>
          <cell r="M186">
            <v>250</v>
          </cell>
          <cell r="N186">
            <v>250</v>
          </cell>
          <cell r="O186">
            <v>250</v>
          </cell>
          <cell r="P186">
            <v>250</v>
          </cell>
          <cell r="Q186">
            <v>3000</v>
          </cell>
        </row>
        <row r="187">
          <cell r="A187" t="str">
            <v>US28P015013921200010</v>
          </cell>
          <cell r="B187" t="str">
            <v>US28P01501</v>
          </cell>
          <cell r="C187">
            <v>3921200010</v>
          </cell>
          <cell r="D187" t="str">
            <v>ADMINISTRATIVE SUPPLIES</v>
          </cell>
          <cell r="E187">
            <v>2500</v>
          </cell>
          <cell r="F187">
            <v>2500</v>
          </cell>
          <cell r="G187">
            <v>2500</v>
          </cell>
          <cell r="H187">
            <v>2500</v>
          </cell>
          <cell r="I187">
            <v>2500</v>
          </cell>
          <cell r="J187">
            <v>2500</v>
          </cell>
          <cell r="K187">
            <v>2500</v>
          </cell>
          <cell r="L187">
            <v>2500</v>
          </cell>
          <cell r="M187">
            <v>2500</v>
          </cell>
          <cell r="N187">
            <v>2500</v>
          </cell>
          <cell r="O187">
            <v>2500</v>
          </cell>
          <cell r="P187">
            <v>2500</v>
          </cell>
          <cell r="Q187">
            <v>30000</v>
          </cell>
        </row>
        <row r="188">
          <cell r="A188" t="str">
            <v>US28P015013921200050</v>
          </cell>
          <cell r="B188" t="str">
            <v>US28P01501</v>
          </cell>
          <cell r="C188">
            <v>3921200050</v>
          </cell>
          <cell r="D188" t="str">
            <v>SAFETY EQUIPMENT - SUPPLIES</v>
          </cell>
          <cell r="E188">
            <v>667</v>
          </cell>
          <cell r="F188">
            <v>667</v>
          </cell>
          <cell r="G188">
            <v>667</v>
          </cell>
          <cell r="H188">
            <v>667</v>
          </cell>
          <cell r="I188">
            <v>667</v>
          </cell>
          <cell r="J188">
            <v>667</v>
          </cell>
          <cell r="K188">
            <v>667</v>
          </cell>
          <cell r="L188">
            <v>667</v>
          </cell>
          <cell r="M188">
            <v>667</v>
          </cell>
          <cell r="N188">
            <v>667</v>
          </cell>
          <cell r="O188">
            <v>667</v>
          </cell>
          <cell r="P188">
            <v>667</v>
          </cell>
          <cell r="Q188">
            <v>8004</v>
          </cell>
        </row>
        <row r="189">
          <cell r="A189" t="str">
            <v>US28P015013951200002</v>
          </cell>
          <cell r="B189" t="str">
            <v>US28P01501</v>
          </cell>
          <cell r="C189">
            <v>3951200002</v>
          </cell>
          <cell r="D189" t="str">
            <v>OPERATING LEASES - VEHICLES (SHORT DURAT</v>
          </cell>
          <cell r="E189">
            <v>1500</v>
          </cell>
          <cell r="F189">
            <v>1500</v>
          </cell>
          <cell r="G189">
            <v>1500</v>
          </cell>
          <cell r="H189">
            <v>1500</v>
          </cell>
          <cell r="I189">
            <v>1500</v>
          </cell>
          <cell r="J189">
            <v>1500</v>
          </cell>
          <cell r="K189">
            <v>1500</v>
          </cell>
          <cell r="L189">
            <v>1500</v>
          </cell>
          <cell r="M189">
            <v>1500</v>
          </cell>
          <cell r="N189">
            <v>1500</v>
          </cell>
          <cell r="O189">
            <v>1500</v>
          </cell>
          <cell r="P189">
            <v>1500</v>
          </cell>
          <cell r="Q189">
            <v>18000</v>
          </cell>
        </row>
        <row r="190">
          <cell r="A190" t="str">
            <v>US28P015013961100000</v>
          </cell>
          <cell r="B190" t="str">
            <v>US28P01501</v>
          </cell>
          <cell r="C190">
            <v>3961100000</v>
          </cell>
          <cell r="D190" t="str">
            <v>COMPREHENSIVE INSURANCES</v>
          </cell>
          <cell r="E190">
            <v>2175</v>
          </cell>
          <cell r="F190">
            <v>2175</v>
          </cell>
          <cell r="G190">
            <v>2175</v>
          </cell>
          <cell r="H190">
            <v>2175</v>
          </cell>
          <cell r="I190">
            <v>2175</v>
          </cell>
          <cell r="J190">
            <v>2175</v>
          </cell>
          <cell r="K190">
            <v>2175</v>
          </cell>
          <cell r="L190">
            <v>2175</v>
          </cell>
          <cell r="M190">
            <v>2175</v>
          </cell>
          <cell r="N190">
            <v>2175</v>
          </cell>
          <cell r="O190">
            <v>2175</v>
          </cell>
          <cell r="P190">
            <v>2175</v>
          </cell>
          <cell r="Q190">
            <v>26100</v>
          </cell>
        </row>
        <row r="191">
          <cell r="A191" t="str">
            <v>US28P015013991200001</v>
          </cell>
          <cell r="B191" t="str">
            <v>US28P01501</v>
          </cell>
          <cell r="C191">
            <v>3991200001</v>
          </cell>
          <cell r="D191" t="str">
            <v>POSTAGE EXPENSES</v>
          </cell>
          <cell r="E191">
            <v>100</v>
          </cell>
          <cell r="F191">
            <v>100</v>
          </cell>
          <cell r="G191">
            <v>100</v>
          </cell>
          <cell r="H191">
            <v>100</v>
          </cell>
          <cell r="I191">
            <v>100</v>
          </cell>
          <cell r="J191">
            <v>100</v>
          </cell>
          <cell r="K191">
            <v>100</v>
          </cell>
          <cell r="L191">
            <v>100</v>
          </cell>
          <cell r="M191">
            <v>100</v>
          </cell>
          <cell r="N191">
            <v>100</v>
          </cell>
          <cell r="O191">
            <v>100</v>
          </cell>
          <cell r="P191">
            <v>100</v>
          </cell>
          <cell r="Q191">
            <v>1200</v>
          </cell>
        </row>
        <row r="192">
          <cell r="A192" t="str">
            <v>US28P015013991200012</v>
          </cell>
          <cell r="B192" t="str">
            <v>US28P01501</v>
          </cell>
          <cell r="C192">
            <v>3991200012</v>
          </cell>
          <cell r="D192" t="str">
            <v>DELIVERY SERVICES</v>
          </cell>
          <cell r="E192">
            <v>100</v>
          </cell>
          <cell r="F192">
            <v>100</v>
          </cell>
          <cell r="G192">
            <v>100</v>
          </cell>
          <cell r="H192">
            <v>100</v>
          </cell>
          <cell r="I192">
            <v>100</v>
          </cell>
          <cell r="J192">
            <v>100</v>
          </cell>
          <cell r="K192">
            <v>100</v>
          </cell>
          <cell r="L192">
            <v>100</v>
          </cell>
          <cell r="M192">
            <v>100</v>
          </cell>
          <cell r="N192">
            <v>100</v>
          </cell>
          <cell r="O192">
            <v>100</v>
          </cell>
          <cell r="P192">
            <v>100</v>
          </cell>
          <cell r="Q192">
            <v>1200</v>
          </cell>
        </row>
        <row r="193">
          <cell r="A193" t="str">
            <v>US28P015013991200015</v>
          </cell>
          <cell r="B193" t="str">
            <v>US28P01501</v>
          </cell>
          <cell r="C193">
            <v>3991200015</v>
          </cell>
          <cell r="D193" t="str">
            <v>TELEPHONE</v>
          </cell>
          <cell r="E193">
            <v>2167</v>
          </cell>
          <cell r="F193">
            <v>2167</v>
          </cell>
          <cell r="G193">
            <v>2167</v>
          </cell>
          <cell r="H193">
            <v>2167</v>
          </cell>
          <cell r="I193">
            <v>2167</v>
          </cell>
          <cell r="J193">
            <v>2167</v>
          </cell>
          <cell r="K193">
            <v>2167</v>
          </cell>
          <cell r="L193">
            <v>2167</v>
          </cell>
          <cell r="M193">
            <v>2167</v>
          </cell>
          <cell r="N193">
            <v>2167</v>
          </cell>
          <cell r="O193">
            <v>2167</v>
          </cell>
          <cell r="P193">
            <v>2167</v>
          </cell>
          <cell r="Q193">
            <v>26004</v>
          </cell>
        </row>
        <row r="194">
          <cell r="A194" t="str">
            <v>US28P015013991200018</v>
          </cell>
          <cell r="B194" t="str">
            <v>US28P01501</v>
          </cell>
          <cell r="C194">
            <v>3991200018</v>
          </cell>
          <cell r="D194" t="str">
            <v>SUBSCRIPTIONS</v>
          </cell>
          <cell r="E194">
            <v>8</v>
          </cell>
          <cell r="F194">
            <v>8</v>
          </cell>
          <cell r="G194">
            <v>8</v>
          </cell>
          <cell r="H194">
            <v>8</v>
          </cell>
          <cell r="I194">
            <v>8</v>
          </cell>
          <cell r="J194">
            <v>8</v>
          </cell>
          <cell r="K194">
            <v>8</v>
          </cell>
          <cell r="L194">
            <v>8</v>
          </cell>
          <cell r="M194">
            <v>8</v>
          </cell>
          <cell r="N194">
            <v>8</v>
          </cell>
          <cell r="O194">
            <v>8</v>
          </cell>
          <cell r="P194">
            <v>8</v>
          </cell>
          <cell r="Q194">
            <v>96</v>
          </cell>
        </row>
        <row r="195">
          <cell r="A195" t="str">
            <v>US28P015013991200069</v>
          </cell>
          <cell r="B195" t="str">
            <v>US28P01501</v>
          </cell>
          <cell r="C195">
            <v>3991200069</v>
          </cell>
          <cell r="D195" t="str">
            <v>COMPANY MEMBERSHIP DUES</v>
          </cell>
          <cell r="E195">
            <v>50</v>
          </cell>
          <cell r="F195">
            <v>50</v>
          </cell>
          <cell r="G195">
            <v>50</v>
          </cell>
          <cell r="H195">
            <v>50</v>
          </cell>
          <cell r="I195">
            <v>50</v>
          </cell>
          <cell r="J195">
            <v>50</v>
          </cell>
          <cell r="K195">
            <v>50</v>
          </cell>
          <cell r="L195">
            <v>50</v>
          </cell>
          <cell r="M195">
            <v>50</v>
          </cell>
          <cell r="N195">
            <v>50</v>
          </cell>
          <cell r="O195">
            <v>50</v>
          </cell>
          <cell r="P195">
            <v>50</v>
          </cell>
          <cell r="Q195">
            <v>600</v>
          </cell>
        </row>
        <row r="196">
          <cell r="A196" t="str">
            <v>US28P015113991200101</v>
          </cell>
          <cell r="B196" t="str">
            <v>US28P01511</v>
          </cell>
          <cell r="C196">
            <v>3991200101</v>
          </cell>
          <cell r="D196" t="str">
            <v>EXPENSE RECOVERY</v>
          </cell>
          <cell r="E196">
            <v>-18697</v>
          </cell>
          <cell r="F196">
            <v>-9349</v>
          </cell>
          <cell r="G196">
            <v>-7479</v>
          </cell>
          <cell r="H196">
            <v>-9349</v>
          </cell>
          <cell r="I196">
            <v>0</v>
          </cell>
          <cell r="J196">
            <v>-20567</v>
          </cell>
          <cell r="K196">
            <v>0</v>
          </cell>
          <cell r="L196">
            <v>0</v>
          </cell>
          <cell r="M196">
            <v>-22437</v>
          </cell>
          <cell r="N196">
            <v>-33655</v>
          </cell>
          <cell r="O196">
            <v>-33655</v>
          </cell>
          <cell r="P196">
            <v>-31785</v>
          </cell>
          <cell r="Q196">
            <v>-186973</v>
          </cell>
        </row>
        <row r="197">
          <cell r="A197" t="str">
            <v>US28P015503111100000</v>
          </cell>
          <cell r="B197" t="str">
            <v>US28P01550</v>
          </cell>
          <cell r="C197">
            <v>3111100000</v>
          </cell>
          <cell r="D197" t="str">
            <v>WAGES,SALARIES,ALLOWANCES AND COMMI/PERM</v>
          </cell>
          <cell r="E197">
            <v>2027</v>
          </cell>
          <cell r="F197">
            <v>2027</v>
          </cell>
          <cell r="G197">
            <v>2027</v>
          </cell>
          <cell r="H197">
            <v>2027</v>
          </cell>
          <cell r="I197">
            <v>2027</v>
          </cell>
          <cell r="J197">
            <v>2027</v>
          </cell>
          <cell r="K197">
            <v>2027</v>
          </cell>
          <cell r="L197">
            <v>2027</v>
          </cell>
          <cell r="M197">
            <v>2027</v>
          </cell>
          <cell r="N197">
            <v>2027</v>
          </cell>
          <cell r="O197">
            <v>2027</v>
          </cell>
          <cell r="P197">
            <v>2022</v>
          </cell>
          <cell r="Q197">
            <v>24319</v>
          </cell>
        </row>
        <row r="198">
          <cell r="A198" t="str">
            <v>US28P015503111100012</v>
          </cell>
          <cell r="B198" t="str">
            <v>US28P01550</v>
          </cell>
          <cell r="C198">
            <v>3111100012</v>
          </cell>
          <cell r="D198" t="str">
            <v>OVERTIME HOURS /PERMANENTS</v>
          </cell>
          <cell r="E198">
            <v>506</v>
          </cell>
          <cell r="F198">
            <v>506</v>
          </cell>
          <cell r="G198">
            <v>506</v>
          </cell>
          <cell r="H198">
            <v>506</v>
          </cell>
          <cell r="I198">
            <v>506</v>
          </cell>
          <cell r="J198">
            <v>506</v>
          </cell>
          <cell r="K198">
            <v>506</v>
          </cell>
          <cell r="L198">
            <v>506</v>
          </cell>
          <cell r="M198">
            <v>506</v>
          </cell>
          <cell r="N198">
            <v>506</v>
          </cell>
          <cell r="O198">
            <v>506</v>
          </cell>
          <cell r="P198">
            <v>511</v>
          </cell>
          <cell r="Q198">
            <v>6077</v>
          </cell>
        </row>
        <row r="199">
          <cell r="A199" t="str">
            <v>US28P015503121300013</v>
          </cell>
          <cell r="B199" t="str">
            <v>US28P01550</v>
          </cell>
          <cell r="C199">
            <v>3121300013</v>
          </cell>
          <cell r="D199" t="str">
            <v>FRINGE BENEFITS</v>
          </cell>
          <cell r="E199">
            <v>958</v>
          </cell>
          <cell r="F199">
            <v>958</v>
          </cell>
          <cell r="G199">
            <v>958</v>
          </cell>
          <cell r="H199">
            <v>958</v>
          </cell>
          <cell r="I199">
            <v>958</v>
          </cell>
          <cell r="J199">
            <v>958</v>
          </cell>
          <cell r="K199">
            <v>958</v>
          </cell>
          <cell r="L199">
            <v>958</v>
          </cell>
          <cell r="M199">
            <v>958</v>
          </cell>
          <cell r="N199">
            <v>958</v>
          </cell>
          <cell r="O199">
            <v>958</v>
          </cell>
          <cell r="P199">
            <v>952</v>
          </cell>
          <cell r="Q199">
            <v>11490</v>
          </cell>
        </row>
        <row r="200">
          <cell r="A200" t="str">
            <v>US28P015503201300012</v>
          </cell>
          <cell r="B200" t="str">
            <v>US28P01550</v>
          </cell>
          <cell r="C200">
            <v>3201300012</v>
          </cell>
          <cell r="D200" t="str">
            <v>HIRED PERSONNEL THIRD PARTY - ROUGING</v>
          </cell>
          <cell r="E200">
            <v>3544</v>
          </cell>
          <cell r="F200">
            <v>3544</v>
          </cell>
          <cell r="G200">
            <v>3544</v>
          </cell>
          <cell r="H200">
            <v>3544</v>
          </cell>
          <cell r="I200">
            <v>5907</v>
          </cell>
          <cell r="J200">
            <v>5907</v>
          </cell>
          <cell r="K200">
            <v>17721</v>
          </cell>
          <cell r="L200">
            <v>17721</v>
          </cell>
          <cell r="M200">
            <v>23628</v>
          </cell>
          <cell r="N200">
            <v>23628</v>
          </cell>
          <cell r="O200">
            <v>5907</v>
          </cell>
          <cell r="P200">
            <v>3544</v>
          </cell>
          <cell r="Q200">
            <v>118139</v>
          </cell>
        </row>
        <row r="201">
          <cell r="A201" t="str">
            <v>US28P015503201400002</v>
          </cell>
          <cell r="B201" t="str">
            <v>US28P01550</v>
          </cell>
          <cell r="C201">
            <v>3201400002</v>
          </cell>
          <cell r="D201" t="str">
            <v>MAINTENANCE OF VEHICLES</v>
          </cell>
          <cell r="E201">
            <v>118</v>
          </cell>
          <cell r="F201">
            <v>118</v>
          </cell>
          <cell r="G201">
            <v>118</v>
          </cell>
          <cell r="H201">
            <v>118</v>
          </cell>
          <cell r="I201">
            <v>197</v>
          </cell>
          <cell r="J201">
            <v>197</v>
          </cell>
          <cell r="K201">
            <v>591</v>
          </cell>
          <cell r="L201">
            <v>591</v>
          </cell>
          <cell r="M201">
            <v>788</v>
          </cell>
          <cell r="N201">
            <v>788</v>
          </cell>
          <cell r="O201">
            <v>197</v>
          </cell>
          <cell r="P201">
            <v>118</v>
          </cell>
          <cell r="Q201">
            <v>3939</v>
          </cell>
        </row>
        <row r="202">
          <cell r="A202" t="str">
            <v>US28P015503201400029</v>
          </cell>
          <cell r="B202" t="str">
            <v>US28P01550</v>
          </cell>
          <cell r="C202">
            <v>3201400029</v>
          </cell>
          <cell r="D202" t="str">
            <v>OTH OUTSIDE SERVICES OTHER</v>
          </cell>
          <cell r="E202">
            <v>8967</v>
          </cell>
          <cell r="F202">
            <v>8967</v>
          </cell>
          <cell r="G202">
            <v>8967</v>
          </cell>
          <cell r="H202">
            <v>8967</v>
          </cell>
          <cell r="I202">
            <v>14945</v>
          </cell>
          <cell r="J202">
            <v>14945</v>
          </cell>
          <cell r="K202">
            <v>44835</v>
          </cell>
          <cell r="L202">
            <v>44835</v>
          </cell>
          <cell r="M202">
            <v>59780</v>
          </cell>
          <cell r="N202">
            <v>59780</v>
          </cell>
          <cell r="O202">
            <v>14945</v>
          </cell>
          <cell r="P202">
            <v>8967</v>
          </cell>
          <cell r="Q202">
            <v>298900</v>
          </cell>
        </row>
        <row r="203">
          <cell r="A203" t="str">
            <v>US28P015503201400054</v>
          </cell>
          <cell r="B203" t="str">
            <v>US28P01550</v>
          </cell>
          <cell r="C203">
            <v>3201400054</v>
          </cell>
          <cell r="D203" t="str">
            <v>TECHNICAL SERVICES</v>
          </cell>
          <cell r="E203">
            <v>1181</v>
          </cell>
          <cell r="F203">
            <v>1181</v>
          </cell>
          <cell r="G203">
            <v>1181</v>
          </cell>
          <cell r="H203">
            <v>1181</v>
          </cell>
          <cell r="I203">
            <v>1969</v>
          </cell>
          <cell r="J203">
            <v>1969</v>
          </cell>
          <cell r="K203">
            <v>5907</v>
          </cell>
          <cell r="L203">
            <v>5907</v>
          </cell>
          <cell r="M203">
            <v>7876</v>
          </cell>
          <cell r="N203">
            <v>7876</v>
          </cell>
          <cell r="O203">
            <v>1969</v>
          </cell>
          <cell r="P203">
            <v>1181</v>
          </cell>
          <cell r="Q203">
            <v>39378</v>
          </cell>
        </row>
        <row r="204">
          <cell r="A204" t="str">
            <v>US28P015503201400056</v>
          </cell>
          <cell r="B204" t="str">
            <v>US28P01550</v>
          </cell>
          <cell r="C204">
            <v>3201400056</v>
          </cell>
          <cell r="D204" t="str">
            <v>FIELD AND PRODUCTION EXPENSES</v>
          </cell>
          <cell r="E204">
            <v>2127</v>
          </cell>
          <cell r="F204">
            <v>2127</v>
          </cell>
          <cell r="G204">
            <v>2127</v>
          </cell>
          <cell r="H204">
            <v>2127</v>
          </cell>
          <cell r="I204">
            <v>3544</v>
          </cell>
          <cell r="J204">
            <v>3544</v>
          </cell>
          <cell r="K204">
            <v>10633</v>
          </cell>
          <cell r="L204">
            <v>10633</v>
          </cell>
          <cell r="M204">
            <v>14177</v>
          </cell>
          <cell r="N204">
            <v>14177</v>
          </cell>
          <cell r="O204">
            <v>3544</v>
          </cell>
          <cell r="P204">
            <v>2127</v>
          </cell>
          <cell r="Q204">
            <v>70887</v>
          </cell>
        </row>
        <row r="205">
          <cell r="A205" t="str">
            <v>US28P015503201400057</v>
          </cell>
          <cell r="B205" t="str">
            <v>US28P01550</v>
          </cell>
          <cell r="C205">
            <v>3201400057</v>
          </cell>
          <cell r="D205" t="str">
            <v>FIELD AND PRODUCTION SERVICES - SPRAYING</v>
          </cell>
          <cell r="E205">
            <v>14177</v>
          </cell>
          <cell r="F205">
            <v>14177</v>
          </cell>
          <cell r="G205">
            <v>14177</v>
          </cell>
          <cell r="H205">
            <v>14177</v>
          </cell>
          <cell r="I205">
            <v>23628</v>
          </cell>
          <cell r="J205">
            <v>23628</v>
          </cell>
          <cell r="K205">
            <v>70885</v>
          </cell>
          <cell r="L205">
            <v>70885</v>
          </cell>
          <cell r="M205">
            <v>94514</v>
          </cell>
          <cell r="N205">
            <v>94514</v>
          </cell>
          <cell r="O205">
            <v>23628</v>
          </cell>
          <cell r="P205">
            <v>14177</v>
          </cell>
          <cell r="Q205">
            <v>472567</v>
          </cell>
        </row>
        <row r="206">
          <cell r="A206" t="str">
            <v>US28P015503311400099</v>
          </cell>
          <cell r="B206" t="str">
            <v>US28P01550</v>
          </cell>
          <cell r="C206">
            <v>3311400099</v>
          </cell>
          <cell r="D206" t="str">
            <v>CO DEPRECIATION</v>
          </cell>
          <cell r="E206">
            <v>1116</v>
          </cell>
          <cell r="F206">
            <v>1116</v>
          </cell>
          <cell r="G206">
            <v>1116</v>
          </cell>
          <cell r="H206">
            <v>1116</v>
          </cell>
          <cell r="I206">
            <v>1116</v>
          </cell>
          <cell r="J206">
            <v>1116</v>
          </cell>
          <cell r="K206">
            <v>1116</v>
          </cell>
          <cell r="L206">
            <v>1116</v>
          </cell>
          <cell r="M206">
            <v>1116</v>
          </cell>
          <cell r="N206">
            <v>1116</v>
          </cell>
          <cell r="O206">
            <v>1116</v>
          </cell>
          <cell r="P206">
            <v>1119</v>
          </cell>
          <cell r="Q206">
            <v>13395</v>
          </cell>
        </row>
        <row r="207">
          <cell r="A207" t="str">
            <v>US28P015503911100010</v>
          </cell>
          <cell r="B207" t="str">
            <v>US28P01550</v>
          </cell>
          <cell r="C207">
            <v>3911100010</v>
          </cell>
          <cell r="D207" t="str">
            <v>TRAVEL EXPENSES PERMANENTS / MEALS</v>
          </cell>
          <cell r="E207">
            <v>59</v>
          </cell>
          <cell r="F207">
            <v>59</v>
          </cell>
          <cell r="G207">
            <v>59</v>
          </cell>
          <cell r="H207">
            <v>59</v>
          </cell>
          <cell r="I207">
            <v>98</v>
          </cell>
          <cell r="J207">
            <v>98</v>
          </cell>
          <cell r="K207">
            <v>295</v>
          </cell>
          <cell r="L207">
            <v>295</v>
          </cell>
          <cell r="M207">
            <v>394</v>
          </cell>
          <cell r="N207">
            <v>394</v>
          </cell>
          <cell r="O207">
            <v>98</v>
          </cell>
          <cell r="P207">
            <v>59</v>
          </cell>
          <cell r="Q207">
            <v>1967</v>
          </cell>
        </row>
        <row r="208">
          <cell r="A208" t="str">
            <v>US28P015503911100012</v>
          </cell>
          <cell r="B208" t="str">
            <v>US28P01550</v>
          </cell>
          <cell r="C208">
            <v>3911100012</v>
          </cell>
          <cell r="D208" t="str">
            <v>TRAVEL EXPENSES PERMANENTS / HOTELS</v>
          </cell>
          <cell r="E208">
            <v>12</v>
          </cell>
          <cell r="F208">
            <v>12</v>
          </cell>
          <cell r="G208">
            <v>12</v>
          </cell>
          <cell r="H208">
            <v>12</v>
          </cell>
          <cell r="I208">
            <v>20</v>
          </cell>
          <cell r="J208">
            <v>20</v>
          </cell>
          <cell r="K208">
            <v>59</v>
          </cell>
          <cell r="L208">
            <v>59</v>
          </cell>
          <cell r="M208">
            <v>79</v>
          </cell>
          <cell r="N208">
            <v>79</v>
          </cell>
          <cell r="O208">
            <v>20</v>
          </cell>
          <cell r="P208">
            <v>12</v>
          </cell>
          <cell r="Q208">
            <v>396</v>
          </cell>
        </row>
        <row r="209">
          <cell r="A209" t="str">
            <v>US28P015503911100015</v>
          </cell>
          <cell r="B209" t="str">
            <v>US28P01550</v>
          </cell>
          <cell r="C209">
            <v>3911100015</v>
          </cell>
          <cell r="D209" t="str">
            <v>TRAVEL EXPENSES PERMANENTS / OTHER</v>
          </cell>
          <cell r="E209">
            <v>24</v>
          </cell>
          <cell r="F209">
            <v>24</v>
          </cell>
          <cell r="G209">
            <v>24</v>
          </cell>
          <cell r="H209">
            <v>24</v>
          </cell>
          <cell r="I209">
            <v>39</v>
          </cell>
          <cell r="J209">
            <v>39</v>
          </cell>
          <cell r="K209">
            <v>118</v>
          </cell>
          <cell r="L209">
            <v>118</v>
          </cell>
          <cell r="M209">
            <v>158</v>
          </cell>
          <cell r="N209">
            <v>158</v>
          </cell>
          <cell r="O209">
            <v>39</v>
          </cell>
          <cell r="P209">
            <v>24</v>
          </cell>
          <cell r="Q209">
            <v>789</v>
          </cell>
        </row>
        <row r="210">
          <cell r="A210" t="str">
            <v>US28P015503911200001</v>
          </cell>
          <cell r="B210" t="str">
            <v>US28P01550</v>
          </cell>
          <cell r="C210">
            <v>3911200001</v>
          </cell>
          <cell r="D210" t="str">
            <v>SYMPOSIUMS, CONFERENCES, MEETINGS</v>
          </cell>
          <cell r="E210">
            <v>71</v>
          </cell>
          <cell r="F210">
            <v>71</v>
          </cell>
          <cell r="G210">
            <v>71</v>
          </cell>
          <cell r="H210">
            <v>71</v>
          </cell>
          <cell r="I210">
            <v>118</v>
          </cell>
          <cell r="J210">
            <v>118</v>
          </cell>
          <cell r="K210">
            <v>354</v>
          </cell>
          <cell r="L210">
            <v>354</v>
          </cell>
          <cell r="M210">
            <v>473</v>
          </cell>
          <cell r="N210">
            <v>473</v>
          </cell>
          <cell r="O210">
            <v>118</v>
          </cell>
          <cell r="P210">
            <v>71</v>
          </cell>
          <cell r="Q210">
            <v>2363</v>
          </cell>
        </row>
        <row r="211">
          <cell r="A211" t="str">
            <v>US28P015503921200001</v>
          </cell>
          <cell r="B211" t="str">
            <v>US28P01550</v>
          </cell>
          <cell r="C211">
            <v>3921200001</v>
          </cell>
          <cell r="D211" t="str">
            <v>FUEL</v>
          </cell>
          <cell r="E211">
            <v>610</v>
          </cell>
          <cell r="F211">
            <v>610</v>
          </cell>
          <cell r="G211">
            <v>610</v>
          </cell>
          <cell r="H211">
            <v>610</v>
          </cell>
          <cell r="I211">
            <v>1016</v>
          </cell>
          <cell r="J211">
            <v>1016</v>
          </cell>
          <cell r="K211">
            <v>3048</v>
          </cell>
          <cell r="L211">
            <v>3048</v>
          </cell>
          <cell r="M211">
            <v>4064</v>
          </cell>
          <cell r="N211">
            <v>4064</v>
          </cell>
          <cell r="O211">
            <v>1016</v>
          </cell>
          <cell r="P211">
            <v>610</v>
          </cell>
          <cell r="Q211">
            <v>20322</v>
          </cell>
        </row>
        <row r="212">
          <cell r="A212" t="str">
            <v>US28P015503921200006</v>
          </cell>
          <cell r="B212" t="str">
            <v>US28P01550</v>
          </cell>
          <cell r="C212">
            <v>3921200006</v>
          </cell>
          <cell r="D212" t="str">
            <v>FACTORY SUPPLIES MAINTENANCE SUPPLIES</v>
          </cell>
          <cell r="E212">
            <v>413</v>
          </cell>
          <cell r="F212">
            <v>413</v>
          </cell>
          <cell r="G212">
            <v>413</v>
          </cell>
          <cell r="H212">
            <v>413</v>
          </cell>
          <cell r="I212">
            <v>689</v>
          </cell>
          <cell r="J212">
            <v>689</v>
          </cell>
          <cell r="K212">
            <v>2067</v>
          </cell>
          <cell r="L212">
            <v>2067</v>
          </cell>
          <cell r="M212">
            <v>2757</v>
          </cell>
          <cell r="N212">
            <v>2757</v>
          </cell>
          <cell r="O212">
            <v>689</v>
          </cell>
          <cell r="P212">
            <v>413</v>
          </cell>
          <cell r="Q212">
            <v>13780</v>
          </cell>
        </row>
        <row r="213">
          <cell r="A213" t="str">
            <v>US28P015503921200050</v>
          </cell>
          <cell r="B213" t="str">
            <v>US28P01550</v>
          </cell>
          <cell r="C213">
            <v>3921200050</v>
          </cell>
          <cell r="D213" t="str">
            <v>SAFETY EQUIPMENT - SUPPLIES</v>
          </cell>
          <cell r="E213">
            <v>47</v>
          </cell>
          <cell r="F213">
            <v>47</v>
          </cell>
          <cell r="G213">
            <v>47</v>
          </cell>
          <cell r="H213">
            <v>47</v>
          </cell>
          <cell r="I213">
            <v>79</v>
          </cell>
          <cell r="J213">
            <v>79</v>
          </cell>
          <cell r="K213">
            <v>236</v>
          </cell>
          <cell r="L213">
            <v>236</v>
          </cell>
          <cell r="M213">
            <v>315</v>
          </cell>
          <cell r="N213">
            <v>315</v>
          </cell>
          <cell r="O213">
            <v>79</v>
          </cell>
          <cell r="P213">
            <v>47</v>
          </cell>
          <cell r="Q213">
            <v>1574</v>
          </cell>
        </row>
        <row r="214">
          <cell r="A214" t="str">
            <v>US28P015503921200100</v>
          </cell>
          <cell r="B214" t="str">
            <v>US28P01550</v>
          </cell>
          <cell r="C214">
            <v>3921200100</v>
          </cell>
          <cell r="D214" t="str">
            <v>FIELD &amp; PRODUCTION SUPPLIES</v>
          </cell>
          <cell r="E214">
            <v>24</v>
          </cell>
          <cell r="F214">
            <v>24</v>
          </cell>
          <cell r="G214">
            <v>24</v>
          </cell>
          <cell r="H214">
            <v>24</v>
          </cell>
          <cell r="I214">
            <v>39</v>
          </cell>
          <cell r="J214">
            <v>39</v>
          </cell>
          <cell r="K214">
            <v>118</v>
          </cell>
          <cell r="L214">
            <v>118</v>
          </cell>
          <cell r="M214">
            <v>158</v>
          </cell>
          <cell r="N214">
            <v>158</v>
          </cell>
          <cell r="O214">
            <v>39</v>
          </cell>
          <cell r="P214">
            <v>24</v>
          </cell>
          <cell r="Q214">
            <v>789</v>
          </cell>
        </row>
        <row r="215">
          <cell r="A215" t="str">
            <v>US28P015503941100013</v>
          </cell>
          <cell r="B215" t="str">
            <v>US28P01550</v>
          </cell>
          <cell r="C215">
            <v>3941100013</v>
          </cell>
          <cell r="D215" t="str">
            <v>FREIGHT IN</v>
          </cell>
          <cell r="E215">
            <v>6406</v>
          </cell>
          <cell r="F215">
            <v>6406</v>
          </cell>
          <cell r="G215">
            <v>6406</v>
          </cell>
          <cell r="H215">
            <v>6406</v>
          </cell>
          <cell r="I215">
            <v>10677</v>
          </cell>
          <cell r="J215">
            <v>10677</v>
          </cell>
          <cell r="K215">
            <v>32031</v>
          </cell>
          <cell r="L215">
            <v>32031</v>
          </cell>
          <cell r="M215">
            <v>42708</v>
          </cell>
          <cell r="N215">
            <v>42708</v>
          </cell>
          <cell r="O215">
            <v>10677</v>
          </cell>
          <cell r="P215">
            <v>6406</v>
          </cell>
          <cell r="Q215">
            <v>213539</v>
          </cell>
        </row>
        <row r="216">
          <cell r="A216" t="str">
            <v>US28P015503951100002</v>
          </cell>
          <cell r="B216" t="str">
            <v>US28P01550</v>
          </cell>
          <cell r="C216">
            <v>3951100002</v>
          </cell>
          <cell r="D216" t="str">
            <v>RENTALS - REAL ESTATE</v>
          </cell>
          <cell r="E216">
            <v>71</v>
          </cell>
          <cell r="F216">
            <v>71</v>
          </cell>
          <cell r="G216">
            <v>71</v>
          </cell>
          <cell r="H216">
            <v>71</v>
          </cell>
          <cell r="I216">
            <v>118</v>
          </cell>
          <cell r="J216">
            <v>118</v>
          </cell>
          <cell r="K216">
            <v>354</v>
          </cell>
          <cell r="L216">
            <v>354</v>
          </cell>
          <cell r="M216">
            <v>473</v>
          </cell>
          <cell r="N216">
            <v>473</v>
          </cell>
          <cell r="O216">
            <v>118</v>
          </cell>
          <cell r="P216">
            <v>71</v>
          </cell>
          <cell r="Q216">
            <v>2363</v>
          </cell>
        </row>
        <row r="217">
          <cell r="A217" t="str">
            <v>US28P015503951100005</v>
          </cell>
          <cell r="B217" t="str">
            <v>US28P01550</v>
          </cell>
          <cell r="C217">
            <v>3951100005</v>
          </cell>
          <cell r="D217" t="str">
            <v>OTHER RENTALS</v>
          </cell>
          <cell r="E217">
            <v>71</v>
          </cell>
          <cell r="F217">
            <v>71</v>
          </cell>
          <cell r="G217">
            <v>71</v>
          </cell>
          <cell r="H217">
            <v>71</v>
          </cell>
          <cell r="I217">
            <v>118</v>
          </cell>
          <cell r="J217">
            <v>118</v>
          </cell>
          <cell r="K217">
            <v>354</v>
          </cell>
          <cell r="L217">
            <v>354</v>
          </cell>
          <cell r="M217">
            <v>473</v>
          </cell>
          <cell r="N217">
            <v>473</v>
          </cell>
          <cell r="O217">
            <v>118</v>
          </cell>
          <cell r="P217">
            <v>71</v>
          </cell>
          <cell r="Q217">
            <v>2363</v>
          </cell>
        </row>
        <row r="218">
          <cell r="A218" t="str">
            <v>US28P015503951200002</v>
          </cell>
          <cell r="B218" t="str">
            <v>US28P01550</v>
          </cell>
          <cell r="C218">
            <v>3951200002</v>
          </cell>
          <cell r="D218" t="str">
            <v>OPERATING LEASES - VEHICLES (SHORT DURAT</v>
          </cell>
          <cell r="E218">
            <v>945</v>
          </cell>
          <cell r="F218">
            <v>945</v>
          </cell>
          <cell r="G218">
            <v>945</v>
          </cell>
          <cell r="H218">
            <v>945</v>
          </cell>
          <cell r="I218">
            <v>1575</v>
          </cell>
          <cell r="J218">
            <v>1575</v>
          </cell>
          <cell r="K218">
            <v>4726</v>
          </cell>
          <cell r="L218">
            <v>4726</v>
          </cell>
          <cell r="M218">
            <v>6301</v>
          </cell>
          <cell r="N218">
            <v>6301</v>
          </cell>
          <cell r="O218">
            <v>1575</v>
          </cell>
          <cell r="P218">
            <v>945</v>
          </cell>
          <cell r="Q218">
            <v>31504</v>
          </cell>
        </row>
        <row r="219">
          <cell r="A219" t="str">
            <v>US28P015503961100000</v>
          </cell>
          <cell r="B219" t="str">
            <v>US28P01550</v>
          </cell>
          <cell r="C219">
            <v>3961100000</v>
          </cell>
          <cell r="D219" t="str">
            <v>COMPREHENSIVE INSURANCES</v>
          </cell>
          <cell r="E219">
            <v>3730</v>
          </cell>
          <cell r="F219">
            <v>3730</v>
          </cell>
          <cell r="G219">
            <v>3730</v>
          </cell>
          <cell r="H219">
            <v>3730</v>
          </cell>
          <cell r="I219">
            <v>6217</v>
          </cell>
          <cell r="J219">
            <v>6217</v>
          </cell>
          <cell r="K219">
            <v>18651</v>
          </cell>
          <cell r="L219">
            <v>18651</v>
          </cell>
          <cell r="M219">
            <v>24868</v>
          </cell>
          <cell r="N219">
            <v>24868</v>
          </cell>
          <cell r="O219">
            <v>6217</v>
          </cell>
          <cell r="P219">
            <v>3730</v>
          </cell>
          <cell r="Q219">
            <v>124339</v>
          </cell>
        </row>
        <row r="220">
          <cell r="A220" t="str">
            <v>US28P015533111100000</v>
          </cell>
          <cell r="B220" t="str">
            <v>US28P01553</v>
          </cell>
          <cell r="C220">
            <v>3111100000</v>
          </cell>
          <cell r="D220" t="str">
            <v>WAGES,SALARIES,ALLOWANCES AND COMMI/PERM</v>
          </cell>
          <cell r="E220">
            <v>2692</v>
          </cell>
          <cell r="F220">
            <v>2692</v>
          </cell>
          <cell r="G220">
            <v>2692</v>
          </cell>
          <cell r="H220">
            <v>2692</v>
          </cell>
          <cell r="I220">
            <v>2692</v>
          </cell>
          <cell r="J220">
            <v>2692</v>
          </cell>
          <cell r="K220">
            <v>2692</v>
          </cell>
          <cell r="L220">
            <v>2692</v>
          </cell>
          <cell r="M220">
            <v>2692</v>
          </cell>
          <cell r="N220">
            <v>2692</v>
          </cell>
          <cell r="O220">
            <v>2692</v>
          </cell>
          <cell r="P220">
            <v>2691</v>
          </cell>
          <cell r="Q220">
            <v>32303</v>
          </cell>
        </row>
        <row r="221">
          <cell r="A221" t="str">
            <v>US28P015533111100012</v>
          </cell>
          <cell r="B221" t="str">
            <v>US28P01553</v>
          </cell>
          <cell r="C221">
            <v>3111100012</v>
          </cell>
          <cell r="D221" t="str">
            <v>OVERTIME HOURS /PERMANENTS</v>
          </cell>
          <cell r="E221">
            <v>2051</v>
          </cell>
          <cell r="F221">
            <v>2051</v>
          </cell>
          <cell r="G221">
            <v>2051</v>
          </cell>
          <cell r="H221">
            <v>2051</v>
          </cell>
          <cell r="I221">
            <v>2051</v>
          </cell>
          <cell r="J221">
            <v>2051</v>
          </cell>
          <cell r="K221">
            <v>2051</v>
          </cell>
          <cell r="L221">
            <v>2051</v>
          </cell>
          <cell r="M221">
            <v>2051</v>
          </cell>
          <cell r="N221">
            <v>2051</v>
          </cell>
          <cell r="O221">
            <v>2051</v>
          </cell>
          <cell r="P221">
            <v>2050</v>
          </cell>
          <cell r="Q221">
            <v>24611</v>
          </cell>
        </row>
        <row r="222">
          <cell r="A222" t="str">
            <v>US28P015533121300013</v>
          </cell>
          <cell r="B222" t="str">
            <v>US28P01553</v>
          </cell>
          <cell r="C222">
            <v>3121300013</v>
          </cell>
          <cell r="D222" t="str">
            <v>FRINGE BENEFITS</v>
          </cell>
          <cell r="E222">
            <v>1793</v>
          </cell>
          <cell r="F222">
            <v>1793</v>
          </cell>
          <cell r="G222">
            <v>1793</v>
          </cell>
          <cell r="H222">
            <v>1793</v>
          </cell>
          <cell r="I222">
            <v>1793</v>
          </cell>
          <cell r="J222">
            <v>1793</v>
          </cell>
          <cell r="K222">
            <v>1793</v>
          </cell>
          <cell r="L222">
            <v>1793</v>
          </cell>
          <cell r="M222">
            <v>1793</v>
          </cell>
          <cell r="N222">
            <v>1793</v>
          </cell>
          <cell r="O222">
            <v>1793</v>
          </cell>
          <cell r="P222">
            <v>1790</v>
          </cell>
          <cell r="Q222">
            <v>21513</v>
          </cell>
        </row>
        <row r="223">
          <cell r="A223" t="str">
            <v>US28P015533201300001</v>
          </cell>
          <cell r="B223" t="str">
            <v>US28P01553</v>
          </cell>
          <cell r="C223">
            <v>3201300001</v>
          </cell>
          <cell r="D223" t="str">
            <v>HIRED PERSONNEL FROM 3RD PARTIES</v>
          </cell>
          <cell r="E223">
            <v>0</v>
          </cell>
          <cell r="F223">
            <v>0</v>
          </cell>
          <cell r="G223">
            <v>0</v>
          </cell>
          <cell r="H223">
            <v>0</v>
          </cell>
          <cell r="I223">
            <v>0</v>
          </cell>
          <cell r="J223">
            <v>2690</v>
          </cell>
          <cell r="K223">
            <v>18831</v>
          </cell>
          <cell r="L223">
            <v>32281</v>
          </cell>
          <cell r="M223">
            <v>0</v>
          </cell>
          <cell r="N223">
            <v>0</v>
          </cell>
          <cell r="O223">
            <v>0</v>
          </cell>
          <cell r="P223">
            <v>0</v>
          </cell>
          <cell r="Q223">
            <v>53802</v>
          </cell>
        </row>
        <row r="224">
          <cell r="A224" t="str">
            <v>US28P015533201300012</v>
          </cell>
          <cell r="B224" t="str">
            <v>US28P01553</v>
          </cell>
          <cell r="C224">
            <v>3201300012</v>
          </cell>
          <cell r="D224" t="str">
            <v>HIRED PERSONNEL THIRD PARTY - ROUGING</v>
          </cell>
          <cell r="E224">
            <v>0</v>
          </cell>
          <cell r="F224">
            <v>0</v>
          </cell>
          <cell r="G224">
            <v>0</v>
          </cell>
          <cell r="H224">
            <v>0</v>
          </cell>
          <cell r="I224">
            <v>0</v>
          </cell>
          <cell r="J224">
            <v>37255</v>
          </cell>
          <cell r="K224">
            <v>260786</v>
          </cell>
          <cell r="L224">
            <v>447062</v>
          </cell>
          <cell r="M224">
            <v>0</v>
          </cell>
          <cell r="N224">
            <v>0</v>
          </cell>
          <cell r="O224">
            <v>0</v>
          </cell>
          <cell r="P224">
            <v>0</v>
          </cell>
          <cell r="Q224">
            <v>745103</v>
          </cell>
        </row>
        <row r="225">
          <cell r="A225" t="str">
            <v>US28P015533201400005</v>
          </cell>
          <cell r="B225" t="str">
            <v>US28P01553</v>
          </cell>
          <cell r="C225">
            <v>3201400005</v>
          </cell>
          <cell r="D225" t="str">
            <v>MAINTENANCE HARDWARE</v>
          </cell>
          <cell r="E225">
            <v>0</v>
          </cell>
          <cell r="F225">
            <v>0</v>
          </cell>
          <cell r="G225">
            <v>0</v>
          </cell>
          <cell r="H225">
            <v>0</v>
          </cell>
          <cell r="I225">
            <v>0</v>
          </cell>
          <cell r="J225">
            <v>299</v>
          </cell>
          <cell r="K225">
            <v>2092</v>
          </cell>
          <cell r="L225">
            <v>3587</v>
          </cell>
          <cell r="M225">
            <v>0</v>
          </cell>
          <cell r="N225">
            <v>0</v>
          </cell>
          <cell r="O225">
            <v>0</v>
          </cell>
          <cell r="P225">
            <v>0</v>
          </cell>
          <cell r="Q225">
            <v>5978</v>
          </cell>
        </row>
        <row r="226">
          <cell r="A226" t="str">
            <v>US28P015533201400051</v>
          </cell>
          <cell r="B226" t="str">
            <v>US28P01553</v>
          </cell>
          <cell r="C226">
            <v>3201400051</v>
          </cell>
          <cell r="D226" t="str">
            <v>MAINTENANCE EQUIPMENT</v>
          </cell>
          <cell r="E226">
            <v>0</v>
          </cell>
          <cell r="F226">
            <v>0</v>
          </cell>
          <cell r="G226">
            <v>0</v>
          </cell>
          <cell r="H226">
            <v>0</v>
          </cell>
          <cell r="I226">
            <v>0</v>
          </cell>
          <cell r="J226">
            <v>299</v>
          </cell>
          <cell r="K226">
            <v>2092</v>
          </cell>
          <cell r="L226">
            <v>3587</v>
          </cell>
          <cell r="M226">
            <v>0</v>
          </cell>
          <cell r="N226">
            <v>0</v>
          </cell>
          <cell r="O226">
            <v>0</v>
          </cell>
          <cell r="P226">
            <v>0</v>
          </cell>
          <cell r="Q226">
            <v>5978</v>
          </cell>
        </row>
        <row r="227">
          <cell r="A227" t="str">
            <v>US28P015533201400056</v>
          </cell>
          <cell r="B227" t="str">
            <v>US28P01553</v>
          </cell>
          <cell r="C227">
            <v>3201400056</v>
          </cell>
          <cell r="D227" t="str">
            <v>FIELD AND PRODUCTION EXPENSES</v>
          </cell>
          <cell r="E227">
            <v>0</v>
          </cell>
          <cell r="F227">
            <v>0</v>
          </cell>
          <cell r="G227">
            <v>0</v>
          </cell>
          <cell r="H227">
            <v>0</v>
          </cell>
          <cell r="I227">
            <v>0</v>
          </cell>
          <cell r="J227">
            <v>2421</v>
          </cell>
          <cell r="K227">
            <v>16948</v>
          </cell>
          <cell r="L227">
            <v>29053</v>
          </cell>
          <cell r="M227">
            <v>0</v>
          </cell>
          <cell r="N227">
            <v>0</v>
          </cell>
          <cell r="O227">
            <v>0</v>
          </cell>
          <cell r="P227">
            <v>0</v>
          </cell>
          <cell r="Q227">
            <v>48422</v>
          </cell>
        </row>
        <row r="228">
          <cell r="A228" t="str">
            <v>US28P015533311400099</v>
          </cell>
          <cell r="B228" t="str">
            <v>US28P01553</v>
          </cell>
          <cell r="C228">
            <v>3311400099</v>
          </cell>
          <cell r="D228" t="str">
            <v>CO DEPRECIATION</v>
          </cell>
          <cell r="E228">
            <v>615</v>
          </cell>
          <cell r="F228">
            <v>615</v>
          </cell>
          <cell r="G228">
            <v>615</v>
          </cell>
          <cell r="H228">
            <v>615</v>
          </cell>
          <cell r="I228">
            <v>615</v>
          </cell>
          <cell r="J228">
            <v>615</v>
          </cell>
          <cell r="K228">
            <v>615</v>
          </cell>
          <cell r="L228">
            <v>615</v>
          </cell>
          <cell r="M228">
            <v>615</v>
          </cell>
          <cell r="N228">
            <v>615</v>
          </cell>
          <cell r="O228">
            <v>615</v>
          </cell>
          <cell r="P228">
            <v>615</v>
          </cell>
          <cell r="Q228">
            <v>7380</v>
          </cell>
        </row>
        <row r="229">
          <cell r="A229" t="str">
            <v>US28P015533911100015</v>
          </cell>
          <cell r="B229" t="str">
            <v>US28P01553</v>
          </cell>
          <cell r="C229">
            <v>3911100015</v>
          </cell>
          <cell r="D229" t="str">
            <v>TRAVEL EXPENSES PERMANENTS / OTHER</v>
          </cell>
          <cell r="E229">
            <v>0</v>
          </cell>
          <cell r="F229">
            <v>0</v>
          </cell>
          <cell r="G229">
            <v>0</v>
          </cell>
          <cell r="H229">
            <v>0</v>
          </cell>
          <cell r="I229">
            <v>0</v>
          </cell>
          <cell r="J229">
            <v>263</v>
          </cell>
          <cell r="K229">
            <v>1841</v>
          </cell>
          <cell r="L229">
            <v>3156</v>
          </cell>
          <cell r="M229">
            <v>0</v>
          </cell>
          <cell r="N229">
            <v>0</v>
          </cell>
          <cell r="O229">
            <v>0</v>
          </cell>
          <cell r="P229">
            <v>0</v>
          </cell>
          <cell r="Q229">
            <v>5260</v>
          </cell>
        </row>
        <row r="230">
          <cell r="A230" t="str">
            <v>US28P015533921200003</v>
          </cell>
          <cell r="B230" t="str">
            <v>US28P01553</v>
          </cell>
          <cell r="C230">
            <v>3921200003</v>
          </cell>
          <cell r="D230" t="str">
            <v>GAS</v>
          </cell>
          <cell r="E230">
            <v>0</v>
          </cell>
          <cell r="F230">
            <v>0</v>
          </cell>
          <cell r="G230">
            <v>0</v>
          </cell>
          <cell r="H230">
            <v>0</v>
          </cell>
          <cell r="I230">
            <v>0</v>
          </cell>
          <cell r="J230">
            <v>867</v>
          </cell>
          <cell r="K230">
            <v>6068</v>
          </cell>
          <cell r="L230">
            <v>10402</v>
          </cell>
          <cell r="M230">
            <v>0</v>
          </cell>
          <cell r="N230">
            <v>0</v>
          </cell>
          <cell r="O230">
            <v>0</v>
          </cell>
          <cell r="P230">
            <v>0</v>
          </cell>
          <cell r="Q230">
            <v>17337</v>
          </cell>
        </row>
        <row r="231">
          <cell r="A231" t="str">
            <v>US28P015533921200006</v>
          </cell>
          <cell r="B231" t="str">
            <v>US28P01553</v>
          </cell>
          <cell r="C231">
            <v>3921200006</v>
          </cell>
          <cell r="D231" t="str">
            <v>FACTORY SUPPLIES MAINTENANCE SUPPLIES</v>
          </cell>
          <cell r="E231">
            <v>0</v>
          </cell>
          <cell r="F231">
            <v>0</v>
          </cell>
          <cell r="G231">
            <v>0</v>
          </cell>
          <cell r="H231">
            <v>0</v>
          </cell>
          <cell r="I231">
            <v>0</v>
          </cell>
          <cell r="J231">
            <v>897</v>
          </cell>
          <cell r="K231">
            <v>6277</v>
          </cell>
          <cell r="L231">
            <v>10760</v>
          </cell>
          <cell r="M231">
            <v>0</v>
          </cell>
          <cell r="N231">
            <v>0</v>
          </cell>
          <cell r="O231">
            <v>0</v>
          </cell>
          <cell r="P231">
            <v>0</v>
          </cell>
          <cell r="Q231">
            <v>17934</v>
          </cell>
        </row>
        <row r="232">
          <cell r="A232" t="str">
            <v>US28P015533921200037</v>
          </cell>
          <cell r="B232" t="str">
            <v>US28P01553</v>
          </cell>
          <cell r="C232">
            <v>3921200037</v>
          </cell>
          <cell r="D232" t="str">
            <v>EXHAUSTIVE EQUIPMENT</v>
          </cell>
          <cell r="E232">
            <v>0</v>
          </cell>
          <cell r="F232">
            <v>0</v>
          </cell>
          <cell r="G232">
            <v>0</v>
          </cell>
          <cell r="H232">
            <v>0</v>
          </cell>
          <cell r="I232">
            <v>0</v>
          </cell>
          <cell r="J232">
            <v>359</v>
          </cell>
          <cell r="K232">
            <v>2511</v>
          </cell>
          <cell r="L232">
            <v>4304</v>
          </cell>
          <cell r="M232">
            <v>0</v>
          </cell>
          <cell r="N232">
            <v>0</v>
          </cell>
          <cell r="O232">
            <v>0</v>
          </cell>
          <cell r="P232">
            <v>0</v>
          </cell>
          <cell r="Q232">
            <v>7174</v>
          </cell>
        </row>
        <row r="233">
          <cell r="A233" t="str">
            <v>US28P015533921200050</v>
          </cell>
          <cell r="B233" t="str">
            <v>US28P01553</v>
          </cell>
          <cell r="C233">
            <v>3921200050</v>
          </cell>
          <cell r="D233" t="str">
            <v>SAFETY EQUIPMENT - SUPPLIES</v>
          </cell>
          <cell r="E233">
            <v>0</v>
          </cell>
          <cell r="F233">
            <v>0</v>
          </cell>
          <cell r="G233">
            <v>0</v>
          </cell>
          <cell r="H233">
            <v>0</v>
          </cell>
          <cell r="I233">
            <v>0</v>
          </cell>
          <cell r="J233">
            <v>553</v>
          </cell>
          <cell r="K233">
            <v>3871</v>
          </cell>
          <cell r="L233">
            <v>6636</v>
          </cell>
          <cell r="M233">
            <v>0</v>
          </cell>
          <cell r="N233">
            <v>0</v>
          </cell>
          <cell r="O233">
            <v>0</v>
          </cell>
          <cell r="P233">
            <v>0</v>
          </cell>
          <cell r="Q233">
            <v>11060</v>
          </cell>
        </row>
        <row r="234">
          <cell r="A234" t="str">
            <v>US28P015533951100002</v>
          </cell>
          <cell r="B234" t="str">
            <v>US28P01553</v>
          </cell>
          <cell r="C234">
            <v>3951100002</v>
          </cell>
          <cell r="D234" t="str">
            <v>RENTALS - REAL ESTATE</v>
          </cell>
          <cell r="E234">
            <v>0</v>
          </cell>
          <cell r="F234">
            <v>0</v>
          </cell>
          <cell r="G234">
            <v>0</v>
          </cell>
          <cell r="H234">
            <v>0</v>
          </cell>
          <cell r="I234">
            <v>0</v>
          </cell>
          <cell r="J234">
            <v>0</v>
          </cell>
          <cell r="K234">
            <v>0</v>
          </cell>
          <cell r="L234">
            <v>0</v>
          </cell>
          <cell r="M234">
            <v>0</v>
          </cell>
          <cell r="N234">
            <v>0</v>
          </cell>
          <cell r="O234">
            <v>0</v>
          </cell>
          <cell r="P234">
            <v>0</v>
          </cell>
          <cell r="Q234">
            <v>0</v>
          </cell>
        </row>
        <row r="235">
          <cell r="A235" t="str">
            <v>US28P015533951100005</v>
          </cell>
          <cell r="B235" t="str">
            <v>US28P01553</v>
          </cell>
          <cell r="C235">
            <v>3951100005</v>
          </cell>
          <cell r="D235" t="str">
            <v>OTHER RENTALS</v>
          </cell>
          <cell r="E235">
            <v>0</v>
          </cell>
          <cell r="F235">
            <v>0</v>
          </cell>
          <cell r="G235">
            <v>0</v>
          </cell>
          <cell r="H235">
            <v>0</v>
          </cell>
          <cell r="I235">
            <v>0</v>
          </cell>
          <cell r="J235">
            <v>852</v>
          </cell>
          <cell r="K235">
            <v>5963</v>
          </cell>
          <cell r="L235">
            <v>10222</v>
          </cell>
          <cell r="M235">
            <v>0</v>
          </cell>
          <cell r="N235">
            <v>0</v>
          </cell>
          <cell r="O235">
            <v>0</v>
          </cell>
          <cell r="P235">
            <v>0</v>
          </cell>
          <cell r="Q235">
            <v>17037</v>
          </cell>
        </row>
        <row r="236">
          <cell r="A236" t="str">
            <v>US28P015533951200002</v>
          </cell>
          <cell r="B236" t="str">
            <v>US28P01553</v>
          </cell>
          <cell r="C236">
            <v>3951200002</v>
          </cell>
          <cell r="D236" t="str">
            <v>OPERATING LEASES - VEHICLES (SHORT DURAT</v>
          </cell>
          <cell r="E236">
            <v>0</v>
          </cell>
          <cell r="F236">
            <v>0</v>
          </cell>
          <cell r="G236">
            <v>0</v>
          </cell>
          <cell r="H236">
            <v>0</v>
          </cell>
          <cell r="I236">
            <v>0</v>
          </cell>
          <cell r="J236">
            <v>1046</v>
          </cell>
          <cell r="K236">
            <v>7323</v>
          </cell>
          <cell r="L236">
            <v>12554</v>
          </cell>
          <cell r="M236">
            <v>0</v>
          </cell>
          <cell r="N236">
            <v>0</v>
          </cell>
          <cell r="O236">
            <v>0</v>
          </cell>
          <cell r="P236">
            <v>0</v>
          </cell>
          <cell r="Q236">
            <v>20923</v>
          </cell>
        </row>
        <row r="237">
          <cell r="A237" t="str">
            <v>US28P015533961100000</v>
          </cell>
          <cell r="B237" t="str">
            <v>US28P01553</v>
          </cell>
          <cell r="C237">
            <v>3961100000</v>
          </cell>
          <cell r="D237" t="str">
            <v>COMPREHENSIVE INSURANCES</v>
          </cell>
          <cell r="E237">
            <v>0</v>
          </cell>
          <cell r="F237">
            <v>0</v>
          </cell>
          <cell r="G237">
            <v>0</v>
          </cell>
          <cell r="H237">
            <v>0</v>
          </cell>
          <cell r="I237">
            <v>0</v>
          </cell>
          <cell r="J237">
            <v>3265</v>
          </cell>
          <cell r="K237">
            <v>22857</v>
          </cell>
          <cell r="L237">
            <v>39183</v>
          </cell>
          <cell r="M237">
            <v>0</v>
          </cell>
          <cell r="N237">
            <v>0</v>
          </cell>
          <cell r="O237">
            <v>0</v>
          </cell>
          <cell r="P237">
            <v>0</v>
          </cell>
          <cell r="Q237">
            <v>65305</v>
          </cell>
        </row>
        <row r="238">
          <cell r="A238" t="str">
            <v>US28P015533991200012</v>
          </cell>
          <cell r="B238" t="str">
            <v>US28P01553</v>
          </cell>
          <cell r="C238">
            <v>3991200012</v>
          </cell>
          <cell r="D238" t="str">
            <v>DELIVERY SERVICES</v>
          </cell>
          <cell r="E238">
            <v>598</v>
          </cell>
          <cell r="F238">
            <v>598</v>
          </cell>
          <cell r="G238">
            <v>598</v>
          </cell>
          <cell r="H238">
            <v>598</v>
          </cell>
          <cell r="I238">
            <v>598</v>
          </cell>
          <cell r="J238">
            <v>598</v>
          </cell>
          <cell r="K238">
            <v>598</v>
          </cell>
          <cell r="L238">
            <v>598</v>
          </cell>
          <cell r="M238">
            <v>598</v>
          </cell>
          <cell r="N238">
            <v>598</v>
          </cell>
          <cell r="O238">
            <v>598</v>
          </cell>
          <cell r="P238">
            <v>598</v>
          </cell>
          <cell r="Q238">
            <v>7176</v>
          </cell>
        </row>
        <row r="239">
          <cell r="A239" t="str">
            <v>US28P015603111100000</v>
          </cell>
          <cell r="B239" t="str">
            <v>US28P01560</v>
          </cell>
          <cell r="C239">
            <v>3111100000</v>
          </cell>
          <cell r="D239" t="str">
            <v>WAGES,SALARIES,ALLOWANCES AND COMMI/PERM</v>
          </cell>
          <cell r="E239">
            <v>10825</v>
          </cell>
          <cell r="F239">
            <v>10825</v>
          </cell>
          <cell r="G239">
            <v>10825</v>
          </cell>
          <cell r="H239">
            <v>10825</v>
          </cell>
          <cell r="I239">
            <v>10825</v>
          </cell>
          <cell r="J239">
            <v>10825</v>
          </cell>
          <cell r="K239">
            <v>10825</v>
          </cell>
          <cell r="L239">
            <v>10825</v>
          </cell>
          <cell r="M239">
            <v>10825</v>
          </cell>
          <cell r="N239">
            <v>10825</v>
          </cell>
          <cell r="O239">
            <v>10825</v>
          </cell>
          <cell r="P239">
            <v>10821</v>
          </cell>
          <cell r="Q239">
            <v>129896</v>
          </cell>
        </row>
        <row r="240">
          <cell r="A240" t="str">
            <v>US28P015603111100012</v>
          </cell>
          <cell r="B240" t="str">
            <v>US28P01560</v>
          </cell>
          <cell r="C240">
            <v>3111100012</v>
          </cell>
          <cell r="D240" t="str">
            <v>OVERTIME HOURS /PERMANENTS</v>
          </cell>
          <cell r="E240">
            <v>3207</v>
          </cell>
          <cell r="F240">
            <v>3207</v>
          </cell>
          <cell r="G240">
            <v>3207</v>
          </cell>
          <cell r="H240">
            <v>3207</v>
          </cell>
          <cell r="I240">
            <v>3207</v>
          </cell>
          <cell r="J240">
            <v>3207</v>
          </cell>
          <cell r="K240">
            <v>3207</v>
          </cell>
          <cell r="L240">
            <v>3207</v>
          </cell>
          <cell r="M240">
            <v>3207</v>
          </cell>
          <cell r="N240">
            <v>3207</v>
          </cell>
          <cell r="O240">
            <v>3207</v>
          </cell>
          <cell r="P240">
            <v>3212</v>
          </cell>
          <cell r="Q240">
            <v>38489</v>
          </cell>
        </row>
        <row r="241">
          <cell r="A241" t="str">
            <v>US28P015603121300013</v>
          </cell>
          <cell r="B241" t="str">
            <v>US28P01560</v>
          </cell>
          <cell r="C241">
            <v>3121300013</v>
          </cell>
          <cell r="D241" t="str">
            <v>FRINGE BENEFITS</v>
          </cell>
          <cell r="E241">
            <v>5304</v>
          </cell>
          <cell r="F241">
            <v>5304</v>
          </cell>
          <cell r="G241">
            <v>5304</v>
          </cell>
          <cell r="H241">
            <v>5304</v>
          </cell>
          <cell r="I241">
            <v>5304</v>
          </cell>
          <cell r="J241">
            <v>5304</v>
          </cell>
          <cell r="K241">
            <v>5304</v>
          </cell>
          <cell r="L241">
            <v>5304</v>
          </cell>
          <cell r="M241">
            <v>5304</v>
          </cell>
          <cell r="N241">
            <v>5304</v>
          </cell>
          <cell r="O241">
            <v>5304</v>
          </cell>
          <cell r="P241">
            <v>5306</v>
          </cell>
          <cell r="Q241">
            <v>63650</v>
          </cell>
        </row>
        <row r="242">
          <cell r="A242" t="str">
            <v>US28P015603201300001</v>
          </cell>
          <cell r="B242" t="str">
            <v>US28P01560</v>
          </cell>
          <cell r="C242">
            <v>3201300001</v>
          </cell>
          <cell r="D242" t="str">
            <v>HIRED PERSONNEL FROM 3RD PARTIES</v>
          </cell>
          <cell r="E242">
            <v>23372</v>
          </cell>
          <cell r="F242">
            <v>11686</v>
          </cell>
          <cell r="G242">
            <v>11686</v>
          </cell>
          <cell r="H242">
            <v>11686</v>
          </cell>
          <cell r="I242">
            <v>0</v>
          </cell>
          <cell r="J242">
            <v>0</v>
          </cell>
          <cell r="K242">
            <v>0</v>
          </cell>
          <cell r="L242">
            <v>0</v>
          </cell>
          <cell r="M242">
            <v>35057</v>
          </cell>
          <cell r="N242">
            <v>46743</v>
          </cell>
          <cell r="O242">
            <v>46743</v>
          </cell>
          <cell r="P242">
            <v>46743</v>
          </cell>
          <cell r="Q242">
            <v>233716</v>
          </cell>
        </row>
        <row r="243">
          <cell r="A243" t="str">
            <v>US28P015603201300005</v>
          </cell>
          <cell r="B243" t="str">
            <v>US28P01560</v>
          </cell>
          <cell r="C243">
            <v>3201300005</v>
          </cell>
          <cell r="D243" t="str">
            <v>O/S SERVICES - COMPUTER LIC. &amp; SUPPORT</v>
          </cell>
          <cell r="E243">
            <v>935</v>
          </cell>
          <cell r="F243">
            <v>467</v>
          </cell>
          <cell r="G243">
            <v>467</v>
          </cell>
          <cell r="H243">
            <v>467</v>
          </cell>
          <cell r="I243">
            <v>0</v>
          </cell>
          <cell r="J243">
            <v>0</v>
          </cell>
          <cell r="K243">
            <v>0</v>
          </cell>
          <cell r="L243">
            <v>0</v>
          </cell>
          <cell r="M243">
            <v>1402</v>
          </cell>
          <cell r="N243">
            <v>1870</v>
          </cell>
          <cell r="O243">
            <v>1870</v>
          </cell>
          <cell r="P243">
            <v>1870</v>
          </cell>
          <cell r="Q243">
            <v>9348</v>
          </cell>
        </row>
        <row r="244">
          <cell r="A244" t="str">
            <v>US28P015603201400029</v>
          </cell>
          <cell r="B244" t="str">
            <v>US28P01560</v>
          </cell>
          <cell r="C244">
            <v>3201400029</v>
          </cell>
          <cell r="D244" t="str">
            <v>OTH OUTSIDE SERVICES OTHER</v>
          </cell>
          <cell r="E244">
            <v>2337</v>
          </cell>
          <cell r="F244">
            <v>1169</v>
          </cell>
          <cell r="G244">
            <v>1169</v>
          </cell>
          <cell r="H244">
            <v>1169</v>
          </cell>
          <cell r="I244">
            <v>0</v>
          </cell>
          <cell r="J244">
            <v>0</v>
          </cell>
          <cell r="K244">
            <v>0</v>
          </cell>
          <cell r="L244">
            <v>0</v>
          </cell>
          <cell r="M244">
            <v>3506</v>
          </cell>
          <cell r="N244">
            <v>4674</v>
          </cell>
          <cell r="O244">
            <v>4674</v>
          </cell>
          <cell r="P244">
            <v>4674</v>
          </cell>
          <cell r="Q244">
            <v>23372</v>
          </cell>
        </row>
        <row r="245">
          <cell r="A245" t="str">
            <v>US28P015603201400036</v>
          </cell>
          <cell r="B245" t="str">
            <v>US28P01560</v>
          </cell>
          <cell r="C245">
            <v>3201400036</v>
          </cell>
          <cell r="D245" t="str">
            <v>OTHER MAINTENANCE BUILDINGS</v>
          </cell>
          <cell r="E245">
            <v>467</v>
          </cell>
          <cell r="F245">
            <v>234</v>
          </cell>
          <cell r="G245">
            <v>234</v>
          </cell>
          <cell r="H245">
            <v>234</v>
          </cell>
          <cell r="I245">
            <v>0</v>
          </cell>
          <cell r="J245">
            <v>0</v>
          </cell>
          <cell r="K245">
            <v>0</v>
          </cell>
          <cell r="L245">
            <v>0</v>
          </cell>
          <cell r="M245">
            <v>701</v>
          </cell>
          <cell r="N245">
            <v>935</v>
          </cell>
          <cell r="O245">
            <v>935</v>
          </cell>
          <cell r="P245">
            <v>935</v>
          </cell>
          <cell r="Q245">
            <v>4675</v>
          </cell>
        </row>
        <row r="246">
          <cell r="A246" t="str">
            <v>US28P015603201400051</v>
          </cell>
          <cell r="B246" t="str">
            <v>US28P01560</v>
          </cell>
          <cell r="C246">
            <v>3201400051</v>
          </cell>
          <cell r="D246" t="str">
            <v>MAINTENANCE EQUIPMENT</v>
          </cell>
          <cell r="E246">
            <v>2337</v>
          </cell>
          <cell r="F246">
            <v>1169</v>
          </cell>
          <cell r="G246">
            <v>1169</v>
          </cell>
          <cell r="H246">
            <v>1169</v>
          </cell>
          <cell r="I246">
            <v>0</v>
          </cell>
          <cell r="J246">
            <v>0</v>
          </cell>
          <cell r="K246">
            <v>0</v>
          </cell>
          <cell r="L246">
            <v>0</v>
          </cell>
          <cell r="M246">
            <v>3506</v>
          </cell>
          <cell r="N246">
            <v>4674</v>
          </cell>
          <cell r="O246">
            <v>4674</v>
          </cell>
          <cell r="P246">
            <v>4674</v>
          </cell>
          <cell r="Q246">
            <v>23372</v>
          </cell>
        </row>
        <row r="247">
          <cell r="A247" t="str">
            <v>US28P015603311400099</v>
          </cell>
          <cell r="B247" t="str">
            <v>US28P01560</v>
          </cell>
          <cell r="C247">
            <v>3311400099</v>
          </cell>
          <cell r="D247" t="str">
            <v>CO DEPRECIATION</v>
          </cell>
          <cell r="E247">
            <v>1271</v>
          </cell>
          <cell r="F247">
            <v>1271</v>
          </cell>
          <cell r="G247">
            <v>1271</v>
          </cell>
          <cell r="H247">
            <v>1271</v>
          </cell>
          <cell r="I247">
            <v>1271</v>
          </cell>
          <cell r="J247">
            <v>1271</v>
          </cell>
          <cell r="K247">
            <v>1271</v>
          </cell>
          <cell r="L247">
            <v>1271</v>
          </cell>
          <cell r="M247">
            <v>1271</v>
          </cell>
          <cell r="N247">
            <v>1271</v>
          </cell>
          <cell r="O247">
            <v>1271</v>
          </cell>
          <cell r="P247">
            <v>1265</v>
          </cell>
          <cell r="Q247">
            <v>15246</v>
          </cell>
        </row>
        <row r="248">
          <cell r="A248" t="str">
            <v>US28P015603921200006</v>
          </cell>
          <cell r="B248" t="str">
            <v>US28P01560</v>
          </cell>
          <cell r="C248">
            <v>3921200006</v>
          </cell>
          <cell r="D248" t="str">
            <v>FACTORY SUPPLIES MAINTENANCE SUPPLIES</v>
          </cell>
          <cell r="E248">
            <v>2337</v>
          </cell>
          <cell r="F248">
            <v>1169</v>
          </cell>
          <cell r="G248">
            <v>1169</v>
          </cell>
          <cell r="H248">
            <v>1169</v>
          </cell>
          <cell r="I248">
            <v>0</v>
          </cell>
          <cell r="J248">
            <v>0</v>
          </cell>
          <cell r="K248">
            <v>0</v>
          </cell>
          <cell r="L248">
            <v>0</v>
          </cell>
          <cell r="M248">
            <v>3506</v>
          </cell>
          <cell r="N248">
            <v>4674</v>
          </cell>
          <cell r="O248">
            <v>4674</v>
          </cell>
          <cell r="P248">
            <v>4674</v>
          </cell>
          <cell r="Q248">
            <v>23372</v>
          </cell>
        </row>
        <row r="249">
          <cell r="A249" t="str">
            <v>US28P015603921200050</v>
          </cell>
          <cell r="B249" t="str">
            <v>US28P01560</v>
          </cell>
          <cell r="C249">
            <v>3921200050</v>
          </cell>
          <cell r="D249" t="str">
            <v>SAFETY EQUIPMENT - SUPPLIES</v>
          </cell>
          <cell r="E249">
            <v>467</v>
          </cell>
          <cell r="F249">
            <v>234</v>
          </cell>
          <cell r="G249">
            <v>234</v>
          </cell>
          <cell r="H249">
            <v>234</v>
          </cell>
          <cell r="I249">
            <v>0</v>
          </cell>
          <cell r="J249">
            <v>0</v>
          </cell>
          <cell r="K249">
            <v>0</v>
          </cell>
          <cell r="L249">
            <v>0</v>
          </cell>
          <cell r="M249">
            <v>701</v>
          </cell>
          <cell r="N249">
            <v>935</v>
          </cell>
          <cell r="O249">
            <v>935</v>
          </cell>
          <cell r="P249">
            <v>935</v>
          </cell>
          <cell r="Q249">
            <v>4675</v>
          </cell>
        </row>
        <row r="250">
          <cell r="A250" t="str">
            <v>US28P015603921200100</v>
          </cell>
          <cell r="B250" t="str">
            <v>US28P01560</v>
          </cell>
          <cell r="C250">
            <v>3921200100</v>
          </cell>
          <cell r="D250" t="str">
            <v>FIELD &amp; PRODUCTION SUPPLIES</v>
          </cell>
          <cell r="E250">
            <v>2337</v>
          </cell>
          <cell r="F250">
            <v>1169</v>
          </cell>
          <cell r="G250">
            <v>1169</v>
          </cell>
          <cell r="H250">
            <v>1169</v>
          </cell>
          <cell r="I250">
            <v>0</v>
          </cell>
          <cell r="J250">
            <v>0</v>
          </cell>
          <cell r="K250">
            <v>0</v>
          </cell>
          <cell r="L250">
            <v>0</v>
          </cell>
          <cell r="M250">
            <v>3506</v>
          </cell>
          <cell r="N250">
            <v>4674</v>
          </cell>
          <cell r="O250">
            <v>4674</v>
          </cell>
          <cell r="P250">
            <v>4674</v>
          </cell>
          <cell r="Q250">
            <v>23372</v>
          </cell>
        </row>
        <row r="251">
          <cell r="A251" t="str">
            <v>US28P015643111100000</v>
          </cell>
          <cell r="B251" t="str">
            <v>US28P01564</v>
          </cell>
          <cell r="C251">
            <v>3111100000</v>
          </cell>
          <cell r="D251" t="str">
            <v>WAGES,SALARIES,ALLOWANCES AND COMMI/PERM</v>
          </cell>
          <cell r="E251">
            <v>3140</v>
          </cell>
          <cell r="F251">
            <v>3140</v>
          </cell>
          <cell r="G251">
            <v>3140</v>
          </cell>
          <cell r="H251">
            <v>3140</v>
          </cell>
          <cell r="I251">
            <v>3140</v>
          </cell>
          <cell r="J251">
            <v>3140</v>
          </cell>
          <cell r="K251">
            <v>3140</v>
          </cell>
          <cell r="L251">
            <v>3140</v>
          </cell>
          <cell r="M251">
            <v>3140</v>
          </cell>
          <cell r="N251">
            <v>3140</v>
          </cell>
          <cell r="O251">
            <v>3140</v>
          </cell>
          <cell r="P251">
            <v>3136</v>
          </cell>
          <cell r="Q251">
            <v>37676</v>
          </cell>
        </row>
        <row r="252">
          <cell r="A252" t="str">
            <v>US28P015643111100012</v>
          </cell>
          <cell r="B252" t="str">
            <v>US28P01564</v>
          </cell>
          <cell r="C252">
            <v>3111100012</v>
          </cell>
          <cell r="D252" t="str">
            <v>OVERTIME HOURS /PERMANENTS</v>
          </cell>
          <cell r="E252">
            <v>2218</v>
          </cell>
          <cell r="F252">
            <v>2218</v>
          </cell>
          <cell r="G252">
            <v>2218</v>
          </cell>
          <cell r="H252">
            <v>2218</v>
          </cell>
          <cell r="I252">
            <v>2218</v>
          </cell>
          <cell r="J252">
            <v>2218</v>
          </cell>
          <cell r="K252">
            <v>2218</v>
          </cell>
          <cell r="L252">
            <v>2218</v>
          </cell>
          <cell r="M252">
            <v>2218</v>
          </cell>
          <cell r="N252">
            <v>2218</v>
          </cell>
          <cell r="O252">
            <v>2218</v>
          </cell>
          <cell r="P252">
            <v>2213</v>
          </cell>
          <cell r="Q252">
            <v>26611</v>
          </cell>
        </row>
        <row r="253">
          <cell r="A253" t="str">
            <v>US28P015643121300013</v>
          </cell>
          <cell r="B253" t="str">
            <v>US28P01564</v>
          </cell>
          <cell r="C253">
            <v>3121300013</v>
          </cell>
          <cell r="D253" t="str">
            <v>FRINGE BENEFITS</v>
          </cell>
          <cell r="E253">
            <v>2025</v>
          </cell>
          <cell r="F253">
            <v>2025</v>
          </cell>
          <cell r="G253">
            <v>2025</v>
          </cell>
          <cell r="H253">
            <v>2025</v>
          </cell>
          <cell r="I253">
            <v>2025</v>
          </cell>
          <cell r="J253">
            <v>2025</v>
          </cell>
          <cell r="K253">
            <v>2025</v>
          </cell>
          <cell r="L253">
            <v>2025</v>
          </cell>
          <cell r="M253">
            <v>2025</v>
          </cell>
          <cell r="N253">
            <v>2025</v>
          </cell>
          <cell r="O253">
            <v>2025</v>
          </cell>
          <cell r="P253">
            <v>2025</v>
          </cell>
          <cell r="Q253">
            <v>24300</v>
          </cell>
        </row>
        <row r="254">
          <cell r="A254" t="str">
            <v>US28P015643131100025</v>
          </cell>
          <cell r="B254" t="str">
            <v>US28P01564</v>
          </cell>
          <cell r="C254">
            <v>3131100025</v>
          </cell>
          <cell r="D254" t="str">
            <v>OTHER PERSONNEL EXPENSES</v>
          </cell>
          <cell r="E254">
            <v>69</v>
          </cell>
          <cell r="F254">
            <v>69</v>
          </cell>
          <cell r="G254">
            <v>0</v>
          </cell>
          <cell r="H254">
            <v>0</v>
          </cell>
          <cell r="I254">
            <v>0</v>
          </cell>
          <cell r="J254">
            <v>0</v>
          </cell>
          <cell r="K254">
            <v>0</v>
          </cell>
          <cell r="L254">
            <v>69</v>
          </cell>
          <cell r="M254">
            <v>275</v>
          </cell>
          <cell r="N254">
            <v>480</v>
          </cell>
          <cell r="O254">
            <v>275</v>
          </cell>
          <cell r="P254">
            <v>137</v>
          </cell>
          <cell r="Q254">
            <v>1374</v>
          </cell>
        </row>
        <row r="255">
          <cell r="A255" t="str">
            <v>US28P015643201300001</v>
          </cell>
          <cell r="B255" t="str">
            <v>US28P01564</v>
          </cell>
          <cell r="C255">
            <v>3201300001</v>
          </cell>
          <cell r="D255" t="str">
            <v>HIRED PERSONNEL FROM 3RD PARTIES</v>
          </cell>
          <cell r="E255">
            <v>22879</v>
          </cell>
          <cell r="F255">
            <v>22879</v>
          </cell>
          <cell r="G255">
            <v>0</v>
          </cell>
          <cell r="H255">
            <v>0</v>
          </cell>
          <cell r="I255">
            <v>0</v>
          </cell>
          <cell r="J255">
            <v>0</v>
          </cell>
          <cell r="K255">
            <v>0</v>
          </cell>
          <cell r="L255">
            <v>22879</v>
          </cell>
          <cell r="M255">
            <v>91517</v>
          </cell>
          <cell r="N255">
            <v>160155</v>
          </cell>
          <cell r="O255">
            <v>91517</v>
          </cell>
          <cell r="P255">
            <v>45758</v>
          </cell>
          <cell r="Q255">
            <v>457584</v>
          </cell>
        </row>
        <row r="256">
          <cell r="A256" t="str">
            <v>US28P015643201400029</v>
          </cell>
          <cell r="B256" t="str">
            <v>US28P01564</v>
          </cell>
          <cell r="C256">
            <v>3201400029</v>
          </cell>
          <cell r="D256" t="str">
            <v>OTH OUTSIDE SERVICES OTHER</v>
          </cell>
          <cell r="E256">
            <v>229</v>
          </cell>
          <cell r="F256">
            <v>229</v>
          </cell>
          <cell r="G256">
            <v>0</v>
          </cell>
          <cell r="H256">
            <v>0</v>
          </cell>
          <cell r="I256">
            <v>0</v>
          </cell>
          <cell r="J256">
            <v>0</v>
          </cell>
          <cell r="K256">
            <v>0</v>
          </cell>
          <cell r="L256">
            <v>229</v>
          </cell>
          <cell r="M256">
            <v>915</v>
          </cell>
          <cell r="N256">
            <v>1602</v>
          </cell>
          <cell r="O256">
            <v>915</v>
          </cell>
          <cell r="P256">
            <v>458</v>
          </cell>
          <cell r="Q256">
            <v>4577</v>
          </cell>
        </row>
        <row r="257">
          <cell r="A257" t="str">
            <v>US28P015643201400036</v>
          </cell>
          <cell r="B257" t="str">
            <v>US28P01564</v>
          </cell>
          <cell r="C257">
            <v>3201400036</v>
          </cell>
          <cell r="D257" t="str">
            <v>OTHER MAINTENANCE BUILDINGS</v>
          </cell>
          <cell r="E257">
            <v>915</v>
          </cell>
          <cell r="F257">
            <v>915</v>
          </cell>
          <cell r="G257">
            <v>0</v>
          </cell>
          <cell r="H257">
            <v>0</v>
          </cell>
          <cell r="I257">
            <v>0</v>
          </cell>
          <cell r="J257">
            <v>0</v>
          </cell>
          <cell r="K257">
            <v>0</v>
          </cell>
          <cell r="L257">
            <v>915</v>
          </cell>
          <cell r="M257">
            <v>3661</v>
          </cell>
          <cell r="N257">
            <v>6406</v>
          </cell>
          <cell r="O257">
            <v>3661</v>
          </cell>
          <cell r="P257">
            <v>1830</v>
          </cell>
          <cell r="Q257">
            <v>18303</v>
          </cell>
        </row>
        <row r="258">
          <cell r="A258" t="str">
            <v>US28P015643201400051</v>
          </cell>
          <cell r="B258" t="str">
            <v>US28P01564</v>
          </cell>
          <cell r="C258">
            <v>3201400051</v>
          </cell>
          <cell r="D258" t="str">
            <v>MAINTENANCE EQUIPMENT</v>
          </cell>
          <cell r="E258">
            <v>915</v>
          </cell>
          <cell r="F258">
            <v>915</v>
          </cell>
          <cell r="G258">
            <v>0</v>
          </cell>
          <cell r="H258">
            <v>0</v>
          </cell>
          <cell r="I258">
            <v>0</v>
          </cell>
          <cell r="J258">
            <v>0</v>
          </cell>
          <cell r="K258">
            <v>0</v>
          </cell>
          <cell r="L258">
            <v>915</v>
          </cell>
          <cell r="M258">
            <v>3661</v>
          </cell>
          <cell r="N258">
            <v>6406</v>
          </cell>
          <cell r="O258">
            <v>3661</v>
          </cell>
          <cell r="P258">
            <v>1830</v>
          </cell>
          <cell r="Q258">
            <v>18303</v>
          </cell>
        </row>
        <row r="259">
          <cell r="A259" t="str">
            <v>US28P015643311400099</v>
          </cell>
          <cell r="B259" t="str">
            <v>US28P01564</v>
          </cell>
          <cell r="C259">
            <v>3311400099</v>
          </cell>
          <cell r="D259" t="str">
            <v>CO DEPRECIATION</v>
          </cell>
          <cell r="E259">
            <v>30623</v>
          </cell>
          <cell r="F259">
            <v>30623</v>
          </cell>
          <cell r="G259">
            <v>30623</v>
          </cell>
          <cell r="H259">
            <v>30623</v>
          </cell>
          <cell r="I259">
            <v>30623</v>
          </cell>
          <cell r="J259">
            <v>30623</v>
          </cell>
          <cell r="K259">
            <v>30623</v>
          </cell>
          <cell r="L259">
            <v>30623</v>
          </cell>
          <cell r="M259">
            <v>30623</v>
          </cell>
          <cell r="N259">
            <v>30623</v>
          </cell>
          <cell r="O259">
            <v>30623</v>
          </cell>
          <cell r="P259">
            <v>30612</v>
          </cell>
          <cell r="Q259">
            <v>367465</v>
          </cell>
        </row>
        <row r="260">
          <cell r="A260" t="str">
            <v>US28P015643921100001</v>
          </cell>
          <cell r="B260" t="str">
            <v>US28P01564</v>
          </cell>
          <cell r="C260">
            <v>3921100001</v>
          </cell>
          <cell r="D260" t="str">
            <v>UTILITY EXPENSES ELECTRICITY</v>
          </cell>
          <cell r="E260">
            <v>8008</v>
          </cell>
          <cell r="F260">
            <v>8008</v>
          </cell>
          <cell r="G260">
            <v>0</v>
          </cell>
          <cell r="H260">
            <v>0</v>
          </cell>
          <cell r="I260">
            <v>0</v>
          </cell>
          <cell r="J260">
            <v>0</v>
          </cell>
          <cell r="K260">
            <v>0</v>
          </cell>
          <cell r="L260">
            <v>8008</v>
          </cell>
          <cell r="M260">
            <v>32031</v>
          </cell>
          <cell r="N260">
            <v>56054</v>
          </cell>
          <cell r="O260">
            <v>32031</v>
          </cell>
          <cell r="P260">
            <v>16015</v>
          </cell>
          <cell r="Q260">
            <v>160155</v>
          </cell>
        </row>
        <row r="261">
          <cell r="A261" t="str">
            <v>US28P015643921200001</v>
          </cell>
          <cell r="B261" t="str">
            <v>US28P01564</v>
          </cell>
          <cell r="C261">
            <v>3921200001</v>
          </cell>
          <cell r="D261" t="str">
            <v>FUEL</v>
          </cell>
          <cell r="E261">
            <v>229</v>
          </cell>
          <cell r="F261">
            <v>229</v>
          </cell>
          <cell r="G261">
            <v>0</v>
          </cell>
          <cell r="H261">
            <v>0</v>
          </cell>
          <cell r="I261">
            <v>0</v>
          </cell>
          <cell r="J261">
            <v>0</v>
          </cell>
          <cell r="K261">
            <v>0</v>
          </cell>
          <cell r="L261">
            <v>229</v>
          </cell>
          <cell r="M261">
            <v>915</v>
          </cell>
          <cell r="N261">
            <v>1602</v>
          </cell>
          <cell r="O261">
            <v>915</v>
          </cell>
          <cell r="P261">
            <v>458</v>
          </cell>
          <cell r="Q261">
            <v>4577</v>
          </cell>
        </row>
        <row r="262">
          <cell r="A262" t="str">
            <v>US28P015643921200003</v>
          </cell>
          <cell r="B262" t="str">
            <v>US28P01564</v>
          </cell>
          <cell r="C262">
            <v>3921200003</v>
          </cell>
          <cell r="D262" t="str">
            <v>GAS</v>
          </cell>
          <cell r="E262">
            <v>11440</v>
          </cell>
          <cell r="F262">
            <v>11440</v>
          </cell>
          <cell r="G262">
            <v>0</v>
          </cell>
          <cell r="H262">
            <v>0</v>
          </cell>
          <cell r="I262">
            <v>0</v>
          </cell>
          <cell r="J262">
            <v>0</v>
          </cell>
          <cell r="K262">
            <v>0</v>
          </cell>
          <cell r="L262">
            <v>11440</v>
          </cell>
          <cell r="M262">
            <v>45758</v>
          </cell>
          <cell r="N262">
            <v>80077</v>
          </cell>
          <cell r="O262">
            <v>45758</v>
          </cell>
          <cell r="P262">
            <v>22879</v>
          </cell>
          <cell r="Q262">
            <v>228792</v>
          </cell>
        </row>
        <row r="263">
          <cell r="A263" t="str">
            <v>US28P015643921200006</v>
          </cell>
          <cell r="B263" t="str">
            <v>US28P01564</v>
          </cell>
          <cell r="C263">
            <v>3921200006</v>
          </cell>
          <cell r="D263" t="str">
            <v>FACTORY SUPPLIES MAINTENANCE SUPPLIES</v>
          </cell>
          <cell r="E263">
            <v>2746</v>
          </cell>
          <cell r="F263">
            <v>2746</v>
          </cell>
          <cell r="G263">
            <v>0</v>
          </cell>
          <cell r="H263">
            <v>0</v>
          </cell>
          <cell r="I263">
            <v>0</v>
          </cell>
          <cell r="J263">
            <v>0</v>
          </cell>
          <cell r="K263">
            <v>0</v>
          </cell>
          <cell r="L263">
            <v>2746</v>
          </cell>
          <cell r="M263">
            <v>10982</v>
          </cell>
          <cell r="N263">
            <v>19219</v>
          </cell>
          <cell r="O263">
            <v>10982</v>
          </cell>
          <cell r="P263">
            <v>5491</v>
          </cell>
          <cell r="Q263">
            <v>54912</v>
          </cell>
        </row>
        <row r="264">
          <cell r="A264" t="str">
            <v>US28P015643921200050</v>
          </cell>
          <cell r="B264" t="str">
            <v>US28P01564</v>
          </cell>
          <cell r="C264">
            <v>3921200050</v>
          </cell>
          <cell r="D264" t="str">
            <v>SAFETY EQUIPMENT - SUPPLIES</v>
          </cell>
          <cell r="E264">
            <v>343</v>
          </cell>
          <cell r="F264">
            <v>343</v>
          </cell>
          <cell r="G264">
            <v>0</v>
          </cell>
          <cell r="H264">
            <v>0</v>
          </cell>
          <cell r="I264">
            <v>0</v>
          </cell>
          <cell r="J264">
            <v>0</v>
          </cell>
          <cell r="K264">
            <v>0</v>
          </cell>
          <cell r="L264">
            <v>343</v>
          </cell>
          <cell r="M264">
            <v>1373</v>
          </cell>
          <cell r="N264">
            <v>2402</v>
          </cell>
          <cell r="O264">
            <v>1373</v>
          </cell>
          <cell r="P264">
            <v>686</v>
          </cell>
          <cell r="Q264">
            <v>6863</v>
          </cell>
        </row>
        <row r="265">
          <cell r="A265" t="str">
            <v>US28P015643941100013</v>
          </cell>
          <cell r="B265" t="str">
            <v>US28P01564</v>
          </cell>
          <cell r="C265">
            <v>3941100013</v>
          </cell>
          <cell r="D265" t="str">
            <v>FREIGHT IN</v>
          </cell>
          <cell r="E265">
            <v>686</v>
          </cell>
          <cell r="F265">
            <v>686</v>
          </cell>
          <cell r="G265">
            <v>0</v>
          </cell>
          <cell r="H265">
            <v>0</v>
          </cell>
          <cell r="I265">
            <v>0</v>
          </cell>
          <cell r="J265">
            <v>0</v>
          </cell>
          <cell r="K265">
            <v>0</v>
          </cell>
          <cell r="L265">
            <v>686</v>
          </cell>
          <cell r="M265">
            <v>2746</v>
          </cell>
          <cell r="N265">
            <v>4805</v>
          </cell>
          <cell r="O265">
            <v>2746</v>
          </cell>
          <cell r="P265">
            <v>1373</v>
          </cell>
          <cell r="Q265">
            <v>13728</v>
          </cell>
        </row>
        <row r="266">
          <cell r="A266" t="str">
            <v>US28P015753111100000</v>
          </cell>
          <cell r="B266" t="str">
            <v>US28P01575</v>
          </cell>
          <cell r="C266">
            <v>3111100000</v>
          </cell>
          <cell r="D266" t="str">
            <v>WAGES,SALARIES,ALLOWANCES AND COMMI/PERM</v>
          </cell>
          <cell r="E266">
            <v>5593</v>
          </cell>
          <cell r="F266">
            <v>5593</v>
          </cell>
          <cell r="G266">
            <v>5593</v>
          </cell>
          <cell r="H266">
            <v>5593</v>
          </cell>
          <cell r="I266">
            <v>5593</v>
          </cell>
          <cell r="J266">
            <v>5593</v>
          </cell>
          <cell r="K266">
            <v>5593</v>
          </cell>
          <cell r="L266">
            <v>5593</v>
          </cell>
          <cell r="M266">
            <v>5593</v>
          </cell>
          <cell r="N266">
            <v>5593</v>
          </cell>
          <cell r="O266">
            <v>5593</v>
          </cell>
          <cell r="P266">
            <v>5589</v>
          </cell>
          <cell r="Q266">
            <v>67112</v>
          </cell>
        </row>
        <row r="267">
          <cell r="A267" t="str">
            <v>US28P015753111100012</v>
          </cell>
          <cell r="B267" t="str">
            <v>US28P01575</v>
          </cell>
          <cell r="C267">
            <v>3111100012</v>
          </cell>
          <cell r="D267" t="str">
            <v>OVERTIME HOURS /PERMANENTS</v>
          </cell>
          <cell r="E267">
            <v>858</v>
          </cell>
          <cell r="F267">
            <v>858</v>
          </cell>
          <cell r="G267">
            <v>858</v>
          </cell>
          <cell r="H267">
            <v>858</v>
          </cell>
          <cell r="I267">
            <v>858</v>
          </cell>
          <cell r="J267">
            <v>858</v>
          </cell>
          <cell r="K267">
            <v>858</v>
          </cell>
          <cell r="L267">
            <v>858</v>
          </cell>
          <cell r="M267">
            <v>858</v>
          </cell>
          <cell r="N267">
            <v>858</v>
          </cell>
          <cell r="O267">
            <v>858</v>
          </cell>
          <cell r="P267">
            <v>855</v>
          </cell>
          <cell r="Q267">
            <v>10293</v>
          </cell>
        </row>
        <row r="268">
          <cell r="A268" t="str">
            <v>US28P015753121300013</v>
          </cell>
          <cell r="B268" t="str">
            <v>US28P01575</v>
          </cell>
          <cell r="C268">
            <v>3121300013</v>
          </cell>
          <cell r="D268" t="str">
            <v>FRINGE BENEFITS</v>
          </cell>
          <cell r="E268">
            <v>2438</v>
          </cell>
          <cell r="F268">
            <v>2438</v>
          </cell>
          <cell r="G268">
            <v>2438</v>
          </cell>
          <cell r="H268">
            <v>2438</v>
          </cell>
          <cell r="I268">
            <v>2438</v>
          </cell>
          <cell r="J268">
            <v>2438</v>
          </cell>
          <cell r="K268">
            <v>2438</v>
          </cell>
          <cell r="L268">
            <v>2438</v>
          </cell>
          <cell r="M268">
            <v>2438</v>
          </cell>
          <cell r="N268">
            <v>2438</v>
          </cell>
          <cell r="O268">
            <v>2438</v>
          </cell>
          <cell r="P268">
            <v>2441</v>
          </cell>
          <cell r="Q268">
            <v>29259</v>
          </cell>
        </row>
        <row r="269">
          <cell r="A269" t="str">
            <v>US28P015753201300001</v>
          </cell>
          <cell r="B269" t="str">
            <v>US28P01575</v>
          </cell>
          <cell r="C269">
            <v>3201300001</v>
          </cell>
          <cell r="D269" t="str">
            <v>HIRED PERSONNEL FROM 3RD PARTIES</v>
          </cell>
          <cell r="E269">
            <v>3500</v>
          </cell>
          <cell r="F269">
            <v>3500</v>
          </cell>
          <cell r="G269">
            <v>3500</v>
          </cell>
          <cell r="H269">
            <v>0</v>
          </cell>
          <cell r="I269">
            <v>3500</v>
          </cell>
          <cell r="J269">
            <v>10500</v>
          </cell>
          <cell r="K269">
            <v>21000</v>
          </cell>
          <cell r="L269">
            <v>21000</v>
          </cell>
          <cell r="M269">
            <v>0</v>
          </cell>
          <cell r="N269">
            <v>0</v>
          </cell>
          <cell r="O269">
            <v>0</v>
          </cell>
          <cell r="P269">
            <v>3500</v>
          </cell>
          <cell r="Q269">
            <v>70000</v>
          </cell>
        </row>
        <row r="270">
          <cell r="A270" t="str">
            <v>US28P015753201400029</v>
          </cell>
          <cell r="B270" t="str">
            <v>US28P01575</v>
          </cell>
          <cell r="C270">
            <v>3201400029</v>
          </cell>
          <cell r="D270" t="str">
            <v>OTH OUTSIDE SERVICES OTHER</v>
          </cell>
          <cell r="E270">
            <v>250</v>
          </cell>
          <cell r="F270">
            <v>250</v>
          </cell>
          <cell r="G270">
            <v>250</v>
          </cell>
          <cell r="H270">
            <v>0</v>
          </cell>
          <cell r="I270">
            <v>250</v>
          </cell>
          <cell r="J270">
            <v>750</v>
          </cell>
          <cell r="K270">
            <v>1500</v>
          </cell>
          <cell r="L270">
            <v>1500</v>
          </cell>
          <cell r="M270">
            <v>0</v>
          </cell>
          <cell r="N270">
            <v>0</v>
          </cell>
          <cell r="O270">
            <v>0</v>
          </cell>
          <cell r="P270">
            <v>250</v>
          </cell>
          <cell r="Q270">
            <v>5000</v>
          </cell>
        </row>
        <row r="271">
          <cell r="A271" t="str">
            <v>US28P015753201400051</v>
          </cell>
          <cell r="B271" t="str">
            <v>US28P01575</v>
          </cell>
          <cell r="C271">
            <v>3201400051</v>
          </cell>
          <cell r="D271" t="str">
            <v>MAINTENANCE EQUIPMENT</v>
          </cell>
          <cell r="E271">
            <v>150</v>
          </cell>
          <cell r="F271">
            <v>150</v>
          </cell>
          <cell r="G271">
            <v>150</v>
          </cell>
          <cell r="H271">
            <v>0</v>
          </cell>
          <cell r="I271">
            <v>150</v>
          </cell>
          <cell r="J271">
            <v>450</v>
          </cell>
          <cell r="K271">
            <v>900</v>
          </cell>
          <cell r="L271">
            <v>900</v>
          </cell>
          <cell r="M271">
            <v>0</v>
          </cell>
          <cell r="N271">
            <v>0</v>
          </cell>
          <cell r="O271">
            <v>0</v>
          </cell>
          <cell r="P271">
            <v>150</v>
          </cell>
          <cell r="Q271">
            <v>3000</v>
          </cell>
        </row>
        <row r="272">
          <cell r="A272" t="str">
            <v>US28P015753311400099</v>
          </cell>
          <cell r="B272" t="str">
            <v>US28P01575</v>
          </cell>
          <cell r="C272">
            <v>3311400099</v>
          </cell>
          <cell r="D272" t="str">
            <v>CO DEPRECIATION</v>
          </cell>
          <cell r="E272">
            <v>767</v>
          </cell>
          <cell r="F272">
            <v>767</v>
          </cell>
          <cell r="G272">
            <v>767</v>
          </cell>
          <cell r="H272">
            <v>767</v>
          </cell>
          <cell r="I272">
            <v>767</v>
          </cell>
          <cell r="J272">
            <v>767</v>
          </cell>
          <cell r="K272">
            <v>767</v>
          </cell>
          <cell r="L272">
            <v>767</v>
          </cell>
          <cell r="M272">
            <v>767</v>
          </cell>
          <cell r="N272">
            <v>767</v>
          </cell>
          <cell r="O272">
            <v>767</v>
          </cell>
          <cell r="P272">
            <v>769</v>
          </cell>
          <cell r="Q272">
            <v>9206</v>
          </cell>
        </row>
        <row r="273">
          <cell r="A273" t="str">
            <v>US28P015753921200100</v>
          </cell>
          <cell r="B273" t="str">
            <v>US28P01575</v>
          </cell>
          <cell r="C273">
            <v>3921200100</v>
          </cell>
          <cell r="D273" t="str">
            <v>FIELD &amp; PRODUCTION SUPPLIES</v>
          </cell>
          <cell r="E273">
            <v>250</v>
          </cell>
          <cell r="F273">
            <v>250</v>
          </cell>
          <cell r="G273">
            <v>250</v>
          </cell>
          <cell r="H273">
            <v>0</v>
          </cell>
          <cell r="I273">
            <v>250</v>
          </cell>
          <cell r="J273">
            <v>750</v>
          </cell>
          <cell r="K273">
            <v>1500</v>
          </cell>
          <cell r="L273">
            <v>1500</v>
          </cell>
          <cell r="M273">
            <v>0</v>
          </cell>
          <cell r="N273">
            <v>0</v>
          </cell>
          <cell r="O273">
            <v>0</v>
          </cell>
          <cell r="P273">
            <v>250</v>
          </cell>
          <cell r="Q273">
            <v>5000</v>
          </cell>
        </row>
        <row r="274">
          <cell r="A274" t="str">
            <v>US28P015853111100000</v>
          </cell>
          <cell r="B274" t="str">
            <v>US28P01585</v>
          </cell>
          <cell r="C274">
            <v>3111100000</v>
          </cell>
          <cell r="D274" t="str">
            <v>WAGES,SALARIES,ALLOWANCES AND COMMI/PERM</v>
          </cell>
          <cell r="E274">
            <v>6519</v>
          </cell>
          <cell r="F274">
            <v>6519</v>
          </cell>
          <cell r="G274">
            <v>6519</v>
          </cell>
          <cell r="H274">
            <v>6519</v>
          </cell>
          <cell r="I274">
            <v>6519</v>
          </cell>
          <cell r="J274">
            <v>6519</v>
          </cell>
          <cell r="K274">
            <v>6519</v>
          </cell>
          <cell r="L274">
            <v>6519</v>
          </cell>
          <cell r="M274">
            <v>6519</v>
          </cell>
          <cell r="N274">
            <v>6519</v>
          </cell>
          <cell r="O274">
            <v>6519</v>
          </cell>
          <cell r="P274">
            <v>6514</v>
          </cell>
          <cell r="Q274">
            <v>78223</v>
          </cell>
        </row>
        <row r="275">
          <cell r="A275" t="str">
            <v>US28P015853111100012</v>
          </cell>
          <cell r="B275" t="str">
            <v>US28P01585</v>
          </cell>
          <cell r="C275">
            <v>3111100012</v>
          </cell>
          <cell r="D275" t="str">
            <v>OVERTIME HOURS /PERMANENTS</v>
          </cell>
          <cell r="E275">
            <v>2573</v>
          </cell>
          <cell r="F275">
            <v>2573</v>
          </cell>
          <cell r="G275">
            <v>2573</v>
          </cell>
          <cell r="H275">
            <v>2573</v>
          </cell>
          <cell r="I275">
            <v>2573</v>
          </cell>
          <cell r="J275">
            <v>2573</v>
          </cell>
          <cell r="K275">
            <v>2573</v>
          </cell>
          <cell r="L275">
            <v>2573</v>
          </cell>
          <cell r="M275">
            <v>2573</v>
          </cell>
          <cell r="N275">
            <v>2573</v>
          </cell>
          <cell r="O275">
            <v>2573</v>
          </cell>
          <cell r="P275">
            <v>2575</v>
          </cell>
          <cell r="Q275">
            <v>30878</v>
          </cell>
        </row>
        <row r="276">
          <cell r="A276" t="str">
            <v>US28P015853121300013</v>
          </cell>
          <cell r="B276" t="str">
            <v>US28P01585</v>
          </cell>
          <cell r="C276">
            <v>3121300013</v>
          </cell>
          <cell r="D276" t="str">
            <v>FRINGE BENEFITS</v>
          </cell>
          <cell r="E276">
            <v>3437</v>
          </cell>
          <cell r="F276">
            <v>3437</v>
          </cell>
          <cell r="G276">
            <v>3437</v>
          </cell>
          <cell r="H276">
            <v>3437</v>
          </cell>
          <cell r="I276">
            <v>3437</v>
          </cell>
          <cell r="J276">
            <v>3437</v>
          </cell>
          <cell r="K276">
            <v>3437</v>
          </cell>
          <cell r="L276">
            <v>3437</v>
          </cell>
          <cell r="M276">
            <v>3437</v>
          </cell>
          <cell r="N276">
            <v>3437</v>
          </cell>
          <cell r="O276">
            <v>3437</v>
          </cell>
          <cell r="P276">
            <v>3433</v>
          </cell>
          <cell r="Q276">
            <v>41240</v>
          </cell>
        </row>
        <row r="277">
          <cell r="A277" t="str">
            <v>US28P015853201300001</v>
          </cell>
          <cell r="B277" t="str">
            <v>US28P01585</v>
          </cell>
          <cell r="C277">
            <v>3201300001</v>
          </cell>
          <cell r="D277" t="str">
            <v>HIRED PERSONNEL FROM 3RD PARTIES</v>
          </cell>
          <cell r="E277">
            <v>4200</v>
          </cell>
          <cell r="F277">
            <v>4200</v>
          </cell>
          <cell r="G277">
            <v>3600</v>
          </cell>
          <cell r="H277">
            <v>3600</v>
          </cell>
          <cell r="I277">
            <v>6000</v>
          </cell>
          <cell r="J277">
            <v>6000</v>
          </cell>
          <cell r="K277">
            <v>6000</v>
          </cell>
          <cell r="L277">
            <v>6000</v>
          </cell>
          <cell r="M277">
            <v>6000</v>
          </cell>
          <cell r="N277">
            <v>6000</v>
          </cell>
          <cell r="O277">
            <v>4200</v>
          </cell>
          <cell r="P277">
            <v>4200</v>
          </cell>
          <cell r="Q277">
            <v>60000</v>
          </cell>
        </row>
        <row r="278">
          <cell r="A278" t="str">
            <v>US28P015903111100000</v>
          </cell>
          <cell r="B278" t="str">
            <v>US28P01590</v>
          </cell>
          <cell r="C278">
            <v>3111100000</v>
          </cell>
          <cell r="D278" t="str">
            <v>WAGES,SALARIES,ALLOWANCES AND COMMI/PERM</v>
          </cell>
          <cell r="E278">
            <v>3204</v>
          </cell>
          <cell r="F278">
            <v>3204</v>
          </cell>
          <cell r="G278">
            <v>3204</v>
          </cell>
          <cell r="H278">
            <v>3204</v>
          </cell>
          <cell r="I278">
            <v>3204</v>
          </cell>
          <cell r="J278">
            <v>3204</v>
          </cell>
          <cell r="K278">
            <v>3204</v>
          </cell>
          <cell r="L278">
            <v>3204</v>
          </cell>
          <cell r="M278">
            <v>3204</v>
          </cell>
          <cell r="N278">
            <v>3204</v>
          </cell>
          <cell r="O278">
            <v>3204</v>
          </cell>
          <cell r="P278">
            <v>3201</v>
          </cell>
          <cell r="Q278">
            <v>38445</v>
          </cell>
        </row>
        <row r="279">
          <cell r="A279" t="str">
            <v>US28P015903111100012</v>
          </cell>
          <cell r="B279" t="str">
            <v>US28P01590</v>
          </cell>
          <cell r="C279">
            <v>3111100012</v>
          </cell>
          <cell r="D279" t="str">
            <v>OVERTIME HOURS /PERMANENTS</v>
          </cell>
          <cell r="E279">
            <v>1287</v>
          </cell>
          <cell r="F279">
            <v>1287</v>
          </cell>
          <cell r="G279">
            <v>1287</v>
          </cell>
          <cell r="H279">
            <v>1287</v>
          </cell>
          <cell r="I279">
            <v>1287</v>
          </cell>
          <cell r="J279">
            <v>1287</v>
          </cell>
          <cell r="K279">
            <v>1287</v>
          </cell>
          <cell r="L279">
            <v>1287</v>
          </cell>
          <cell r="M279">
            <v>1287</v>
          </cell>
          <cell r="N279">
            <v>1287</v>
          </cell>
          <cell r="O279">
            <v>1287</v>
          </cell>
          <cell r="P279">
            <v>1282</v>
          </cell>
          <cell r="Q279">
            <v>15439</v>
          </cell>
        </row>
        <row r="280">
          <cell r="A280" t="str">
            <v>US28P015903121300013</v>
          </cell>
          <cell r="B280" t="str">
            <v>US28P01590</v>
          </cell>
          <cell r="C280">
            <v>3121300013</v>
          </cell>
          <cell r="D280" t="str">
            <v>FRINGE BENEFITS</v>
          </cell>
          <cell r="E280">
            <v>1697</v>
          </cell>
          <cell r="F280">
            <v>1697</v>
          </cell>
          <cell r="G280">
            <v>1697</v>
          </cell>
          <cell r="H280">
            <v>1697</v>
          </cell>
          <cell r="I280">
            <v>1697</v>
          </cell>
          <cell r="J280">
            <v>1697</v>
          </cell>
          <cell r="K280">
            <v>1697</v>
          </cell>
          <cell r="L280">
            <v>1697</v>
          </cell>
          <cell r="M280">
            <v>1697</v>
          </cell>
          <cell r="N280">
            <v>1697</v>
          </cell>
          <cell r="O280">
            <v>1697</v>
          </cell>
          <cell r="P280">
            <v>1701</v>
          </cell>
          <cell r="Q280">
            <v>20368</v>
          </cell>
        </row>
        <row r="281">
          <cell r="A281" t="str">
            <v>US28P015903201300001</v>
          </cell>
          <cell r="B281" t="str">
            <v>US28P01590</v>
          </cell>
          <cell r="C281">
            <v>3201300001</v>
          </cell>
          <cell r="D281" t="str">
            <v>HIRED PERSONNEL FROM 3RD PARTIES</v>
          </cell>
          <cell r="E281">
            <v>6000</v>
          </cell>
          <cell r="F281">
            <v>3000</v>
          </cell>
          <cell r="G281">
            <v>3000</v>
          </cell>
          <cell r="H281">
            <v>3000</v>
          </cell>
          <cell r="I281">
            <v>3000</v>
          </cell>
          <cell r="J281">
            <v>6000</v>
          </cell>
          <cell r="K281">
            <v>6000</v>
          </cell>
          <cell r="L281">
            <v>6000</v>
          </cell>
          <cell r="M281">
            <v>6000</v>
          </cell>
          <cell r="N281">
            <v>6000</v>
          </cell>
          <cell r="O281">
            <v>6000</v>
          </cell>
          <cell r="P281">
            <v>6000</v>
          </cell>
          <cell r="Q281">
            <v>60000</v>
          </cell>
        </row>
        <row r="282">
          <cell r="A282" t="str">
            <v>US28P015903201400051</v>
          </cell>
          <cell r="B282" t="str">
            <v>US28P01590</v>
          </cell>
          <cell r="C282">
            <v>3201400051</v>
          </cell>
          <cell r="D282" t="str">
            <v>MAINTENANCE EQUIPMENT</v>
          </cell>
          <cell r="E282">
            <v>150</v>
          </cell>
          <cell r="F282">
            <v>75</v>
          </cell>
          <cell r="G282">
            <v>75</v>
          </cell>
          <cell r="H282">
            <v>75</v>
          </cell>
          <cell r="I282">
            <v>75</v>
          </cell>
          <cell r="J282">
            <v>150</v>
          </cell>
          <cell r="K282">
            <v>150</v>
          </cell>
          <cell r="L282">
            <v>150</v>
          </cell>
          <cell r="M282">
            <v>150</v>
          </cell>
          <cell r="N282">
            <v>150</v>
          </cell>
          <cell r="O282">
            <v>150</v>
          </cell>
          <cell r="P282">
            <v>150</v>
          </cell>
          <cell r="Q282">
            <v>1500</v>
          </cell>
        </row>
        <row r="283">
          <cell r="A283" t="str">
            <v>US28P015903311400099</v>
          </cell>
          <cell r="B283" t="str">
            <v>US28P01590</v>
          </cell>
          <cell r="C283">
            <v>3311400099</v>
          </cell>
          <cell r="D283" t="str">
            <v>CO DEPRECIATION</v>
          </cell>
          <cell r="E283">
            <v>206</v>
          </cell>
          <cell r="F283">
            <v>206</v>
          </cell>
          <cell r="G283">
            <v>206</v>
          </cell>
          <cell r="H283">
            <v>206</v>
          </cell>
          <cell r="I283">
            <v>206</v>
          </cell>
          <cell r="J283">
            <v>206</v>
          </cell>
          <cell r="K283">
            <v>206</v>
          </cell>
          <cell r="L283">
            <v>206</v>
          </cell>
          <cell r="M283">
            <v>206</v>
          </cell>
          <cell r="N283">
            <v>206</v>
          </cell>
          <cell r="O283">
            <v>206</v>
          </cell>
          <cell r="P283">
            <v>206</v>
          </cell>
          <cell r="Q283">
            <v>2472</v>
          </cell>
        </row>
        <row r="284">
          <cell r="A284" t="str">
            <v>US28P015903921200004</v>
          </cell>
          <cell r="B284" t="str">
            <v>US28P01590</v>
          </cell>
          <cell r="C284">
            <v>3921200004</v>
          </cell>
          <cell r="D284" t="str">
            <v>FACTORY SUPPLIES LABO SUPPLIES</v>
          </cell>
          <cell r="E284">
            <v>250</v>
          </cell>
          <cell r="F284">
            <v>125</v>
          </cell>
          <cell r="G284">
            <v>125</v>
          </cell>
          <cell r="H284">
            <v>125</v>
          </cell>
          <cell r="I284">
            <v>125</v>
          </cell>
          <cell r="J284">
            <v>250</v>
          </cell>
          <cell r="K284">
            <v>250</v>
          </cell>
          <cell r="L284">
            <v>250</v>
          </cell>
          <cell r="M284">
            <v>250</v>
          </cell>
          <cell r="N284">
            <v>250</v>
          </cell>
          <cell r="O284">
            <v>250</v>
          </cell>
          <cell r="P284">
            <v>250</v>
          </cell>
          <cell r="Q284">
            <v>2500</v>
          </cell>
        </row>
        <row r="285">
          <cell r="A285" t="str">
            <v>US28P015923111100000</v>
          </cell>
          <cell r="B285" t="str">
            <v>US28P01592</v>
          </cell>
          <cell r="C285">
            <v>3111100000</v>
          </cell>
          <cell r="D285" t="str">
            <v>WAGES,SALARIES,ALLOWANCES AND COMMI/PERM</v>
          </cell>
          <cell r="E285">
            <v>172</v>
          </cell>
          <cell r="F285">
            <v>172</v>
          </cell>
          <cell r="G285">
            <v>172</v>
          </cell>
          <cell r="H285">
            <v>172</v>
          </cell>
          <cell r="I285">
            <v>172</v>
          </cell>
          <cell r="J285">
            <v>172</v>
          </cell>
          <cell r="K285">
            <v>172</v>
          </cell>
          <cell r="L285">
            <v>172</v>
          </cell>
          <cell r="M285">
            <v>172</v>
          </cell>
          <cell r="N285">
            <v>172</v>
          </cell>
          <cell r="O285">
            <v>172</v>
          </cell>
          <cell r="P285">
            <v>167</v>
          </cell>
          <cell r="Q285">
            <v>2059</v>
          </cell>
        </row>
        <row r="286">
          <cell r="A286" t="str">
            <v>US28P015923111100012</v>
          </cell>
          <cell r="B286" t="str">
            <v>US28P01592</v>
          </cell>
          <cell r="C286">
            <v>3111100012</v>
          </cell>
          <cell r="D286" t="str">
            <v>OVERTIME HOURS /PERMANENTS</v>
          </cell>
          <cell r="E286">
            <v>129</v>
          </cell>
          <cell r="F286">
            <v>129</v>
          </cell>
          <cell r="G286">
            <v>129</v>
          </cell>
          <cell r="H286">
            <v>129</v>
          </cell>
          <cell r="I286">
            <v>129</v>
          </cell>
          <cell r="J286">
            <v>129</v>
          </cell>
          <cell r="K286">
            <v>129</v>
          </cell>
          <cell r="L286">
            <v>129</v>
          </cell>
          <cell r="M286">
            <v>129</v>
          </cell>
          <cell r="N286">
            <v>129</v>
          </cell>
          <cell r="O286">
            <v>129</v>
          </cell>
          <cell r="P286">
            <v>125</v>
          </cell>
          <cell r="Q286">
            <v>1544</v>
          </cell>
        </row>
        <row r="287">
          <cell r="A287" t="str">
            <v>US28P015923121300013</v>
          </cell>
          <cell r="B287" t="str">
            <v>US28P01592</v>
          </cell>
          <cell r="C287">
            <v>3121300013</v>
          </cell>
          <cell r="D287" t="str">
            <v>FRINGE BENEFITS</v>
          </cell>
          <cell r="E287">
            <v>114</v>
          </cell>
          <cell r="F287">
            <v>114</v>
          </cell>
          <cell r="G287">
            <v>114</v>
          </cell>
          <cell r="H287">
            <v>114</v>
          </cell>
          <cell r="I287">
            <v>114</v>
          </cell>
          <cell r="J287">
            <v>114</v>
          </cell>
          <cell r="K287">
            <v>114</v>
          </cell>
          <cell r="L287">
            <v>114</v>
          </cell>
          <cell r="M287">
            <v>114</v>
          </cell>
          <cell r="N287">
            <v>114</v>
          </cell>
          <cell r="O287">
            <v>114</v>
          </cell>
          <cell r="P287">
            <v>108</v>
          </cell>
          <cell r="Q287">
            <v>1362</v>
          </cell>
        </row>
        <row r="288">
          <cell r="A288" t="str">
            <v>US28P015923201300001</v>
          </cell>
          <cell r="B288" t="str">
            <v>US28P01592</v>
          </cell>
          <cell r="C288">
            <v>3201300001</v>
          </cell>
          <cell r="D288" t="str">
            <v>HIRED PERSONNEL FROM 3RD PARTIES</v>
          </cell>
          <cell r="E288">
            <v>0</v>
          </cell>
          <cell r="F288">
            <v>0</v>
          </cell>
          <cell r="G288">
            <v>1000</v>
          </cell>
          <cell r="H288">
            <v>1000</v>
          </cell>
          <cell r="I288">
            <v>0</v>
          </cell>
          <cell r="J288">
            <v>0</v>
          </cell>
          <cell r="K288">
            <v>0</v>
          </cell>
          <cell r="L288">
            <v>0</v>
          </cell>
          <cell r="M288">
            <v>3500</v>
          </cell>
          <cell r="N288">
            <v>3500</v>
          </cell>
          <cell r="O288">
            <v>1000</v>
          </cell>
          <cell r="P288">
            <v>0</v>
          </cell>
          <cell r="Q288">
            <v>10000</v>
          </cell>
        </row>
        <row r="289">
          <cell r="A289" t="str">
            <v>US28P015923921200006</v>
          </cell>
          <cell r="B289" t="str">
            <v>US28P01592</v>
          </cell>
          <cell r="C289">
            <v>3921200006</v>
          </cell>
          <cell r="D289" t="str">
            <v>FACTORY SUPPLIES MAINTENANCE SUPPLIES</v>
          </cell>
          <cell r="E289">
            <v>0</v>
          </cell>
          <cell r="F289">
            <v>0</v>
          </cell>
          <cell r="G289">
            <v>50</v>
          </cell>
          <cell r="H289">
            <v>50</v>
          </cell>
          <cell r="I289">
            <v>0</v>
          </cell>
          <cell r="J289">
            <v>0</v>
          </cell>
          <cell r="K289">
            <v>0</v>
          </cell>
          <cell r="L289">
            <v>0</v>
          </cell>
          <cell r="M289">
            <v>175</v>
          </cell>
          <cell r="N289">
            <v>175</v>
          </cell>
          <cell r="O289">
            <v>50</v>
          </cell>
          <cell r="P289">
            <v>0</v>
          </cell>
          <cell r="Q289">
            <v>500</v>
          </cell>
        </row>
        <row r="290">
          <cell r="A290" t="str">
            <v>US28P015923921200050</v>
          </cell>
          <cell r="B290" t="str">
            <v>US28P01592</v>
          </cell>
          <cell r="C290">
            <v>3921200050</v>
          </cell>
          <cell r="D290" t="str">
            <v>SAFETY EQUIPMENT - SUPPLIES</v>
          </cell>
          <cell r="E290">
            <v>0</v>
          </cell>
          <cell r="F290">
            <v>0</v>
          </cell>
          <cell r="G290">
            <v>20</v>
          </cell>
          <cell r="H290">
            <v>20</v>
          </cell>
          <cell r="I290">
            <v>0</v>
          </cell>
          <cell r="J290">
            <v>0</v>
          </cell>
          <cell r="K290">
            <v>0</v>
          </cell>
          <cell r="L290">
            <v>0</v>
          </cell>
          <cell r="M290">
            <v>70</v>
          </cell>
          <cell r="N290">
            <v>70</v>
          </cell>
          <cell r="O290">
            <v>20</v>
          </cell>
          <cell r="P290">
            <v>0</v>
          </cell>
          <cell r="Q290">
            <v>200</v>
          </cell>
        </row>
        <row r="291">
          <cell r="A291" t="str">
            <v>US35P015013111100000</v>
          </cell>
          <cell r="B291" t="str">
            <v>US35P01501</v>
          </cell>
          <cell r="C291">
            <v>3111100000</v>
          </cell>
          <cell r="D291" t="str">
            <v>WAGES,SALARIES,ALLOWANCES AND COMMI/PERM</v>
          </cell>
          <cell r="E291">
            <v>39393</v>
          </cell>
          <cell r="F291">
            <v>39393</v>
          </cell>
          <cell r="G291">
            <v>39393</v>
          </cell>
          <cell r="H291">
            <v>39393</v>
          </cell>
          <cell r="I291">
            <v>39393</v>
          </cell>
          <cell r="J291">
            <v>39393</v>
          </cell>
          <cell r="K291">
            <v>39393</v>
          </cell>
          <cell r="L291">
            <v>39393</v>
          </cell>
          <cell r="M291">
            <v>39393</v>
          </cell>
          <cell r="N291">
            <v>39393</v>
          </cell>
          <cell r="O291">
            <v>39393</v>
          </cell>
          <cell r="P291">
            <v>39387</v>
          </cell>
          <cell r="Q291">
            <v>472710</v>
          </cell>
        </row>
        <row r="292">
          <cell r="A292" t="str">
            <v>US35P015013111100012</v>
          </cell>
          <cell r="B292" t="str">
            <v>US35P01501</v>
          </cell>
          <cell r="C292">
            <v>3111100012</v>
          </cell>
          <cell r="D292" t="str">
            <v>OVERTIME HOURS /PERMANENTS</v>
          </cell>
          <cell r="E292">
            <v>429</v>
          </cell>
          <cell r="F292">
            <v>429</v>
          </cell>
          <cell r="G292">
            <v>429</v>
          </cell>
          <cell r="H292">
            <v>429</v>
          </cell>
          <cell r="I292">
            <v>429</v>
          </cell>
          <cell r="J292">
            <v>429</v>
          </cell>
          <cell r="K292">
            <v>429</v>
          </cell>
          <cell r="L292">
            <v>429</v>
          </cell>
          <cell r="M292">
            <v>429</v>
          </cell>
          <cell r="N292">
            <v>429</v>
          </cell>
          <cell r="O292">
            <v>429</v>
          </cell>
          <cell r="P292">
            <v>431</v>
          </cell>
          <cell r="Q292">
            <v>5150</v>
          </cell>
        </row>
        <row r="293">
          <cell r="A293" t="str">
            <v>US35P015013121300013</v>
          </cell>
          <cell r="B293" t="str">
            <v>US35P01501</v>
          </cell>
          <cell r="C293">
            <v>3121300013</v>
          </cell>
          <cell r="D293" t="str">
            <v>FRINGE BENEFITS</v>
          </cell>
          <cell r="E293">
            <v>15053</v>
          </cell>
          <cell r="F293">
            <v>15053</v>
          </cell>
          <cell r="G293">
            <v>15053</v>
          </cell>
          <cell r="H293">
            <v>15053</v>
          </cell>
          <cell r="I293">
            <v>15053</v>
          </cell>
          <cell r="J293">
            <v>15053</v>
          </cell>
          <cell r="K293">
            <v>15053</v>
          </cell>
          <cell r="L293">
            <v>15053</v>
          </cell>
          <cell r="M293">
            <v>15053</v>
          </cell>
          <cell r="N293">
            <v>15053</v>
          </cell>
          <cell r="O293">
            <v>15053</v>
          </cell>
          <cell r="P293">
            <v>15048</v>
          </cell>
          <cell r="Q293">
            <v>180631</v>
          </cell>
        </row>
        <row r="294">
          <cell r="A294" t="str">
            <v>US35P015013131100005</v>
          </cell>
          <cell r="B294" t="str">
            <v>US35P01501</v>
          </cell>
          <cell r="C294">
            <v>3131100005</v>
          </cell>
          <cell r="D294" t="str">
            <v>MOVINGS</v>
          </cell>
          <cell r="E294">
            <v>417</v>
          </cell>
          <cell r="F294">
            <v>417</v>
          </cell>
          <cell r="G294">
            <v>417</v>
          </cell>
          <cell r="H294">
            <v>417</v>
          </cell>
          <cell r="I294">
            <v>417</v>
          </cell>
          <cell r="J294">
            <v>417</v>
          </cell>
          <cell r="K294">
            <v>417</v>
          </cell>
          <cell r="L294">
            <v>417</v>
          </cell>
          <cell r="M294">
            <v>417</v>
          </cell>
          <cell r="N294">
            <v>417</v>
          </cell>
          <cell r="O294">
            <v>417</v>
          </cell>
          <cell r="P294">
            <v>417</v>
          </cell>
          <cell r="Q294">
            <v>5004</v>
          </cell>
        </row>
        <row r="295">
          <cell r="A295" t="str">
            <v>US35P015013131100007</v>
          </cell>
          <cell r="B295" t="str">
            <v>US35P01501</v>
          </cell>
          <cell r="C295">
            <v>3131100007</v>
          </cell>
          <cell r="D295" t="str">
            <v>EXTERNAL TRAINING</v>
          </cell>
          <cell r="E295">
            <v>417</v>
          </cell>
          <cell r="F295">
            <v>417</v>
          </cell>
          <cell r="G295">
            <v>417</v>
          </cell>
          <cell r="H295">
            <v>417</v>
          </cell>
          <cell r="I295">
            <v>417</v>
          </cell>
          <cell r="J295">
            <v>417</v>
          </cell>
          <cell r="K295">
            <v>417</v>
          </cell>
          <cell r="L295">
            <v>417</v>
          </cell>
          <cell r="M295">
            <v>417</v>
          </cell>
          <cell r="N295">
            <v>417</v>
          </cell>
          <cell r="O295">
            <v>417</v>
          </cell>
          <cell r="P295">
            <v>417</v>
          </cell>
          <cell r="Q295">
            <v>5004</v>
          </cell>
        </row>
        <row r="296">
          <cell r="A296" t="str">
            <v>US35P015013131100025</v>
          </cell>
          <cell r="B296" t="str">
            <v>US35P01501</v>
          </cell>
          <cell r="C296">
            <v>3131100025</v>
          </cell>
          <cell r="D296" t="str">
            <v>OTHER PERSONNEL EXPENSES</v>
          </cell>
          <cell r="E296">
            <v>5000</v>
          </cell>
          <cell r="F296">
            <v>5000</v>
          </cell>
          <cell r="G296">
            <v>5000</v>
          </cell>
          <cell r="H296">
            <v>5000</v>
          </cell>
          <cell r="I296">
            <v>5000</v>
          </cell>
          <cell r="J296">
            <v>5000</v>
          </cell>
          <cell r="K296">
            <v>5000</v>
          </cell>
          <cell r="L296">
            <v>5000</v>
          </cell>
          <cell r="M296">
            <v>5000</v>
          </cell>
          <cell r="N296">
            <v>5000</v>
          </cell>
          <cell r="O296">
            <v>5000</v>
          </cell>
          <cell r="P296">
            <v>5000</v>
          </cell>
          <cell r="Q296">
            <v>60000</v>
          </cell>
        </row>
        <row r="297">
          <cell r="A297" t="str">
            <v>US35P015013131100031</v>
          </cell>
          <cell r="B297" t="str">
            <v>US35P01501</v>
          </cell>
          <cell r="C297">
            <v>3131100031</v>
          </cell>
          <cell r="D297" t="str">
            <v>TUITION REIMBERSEMENT</v>
          </cell>
          <cell r="E297">
            <v>83</v>
          </cell>
          <cell r="F297">
            <v>83</v>
          </cell>
          <cell r="G297">
            <v>83</v>
          </cell>
          <cell r="H297">
            <v>83</v>
          </cell>
          <cell r="I297">
            <v>83</v>
          </cell>
          <cell r="J297">
            <v>83</v>
          </cell>
          <cell r="K297">
            <v>83</v>
          </cell>
          <cell r="L297">
            <v>83</v>
          </cell>
          <cell r="M297">
            <v>83</v>
          </cell>
          <cell r="N297">
            <v>83</v>
          </cell>
          <cell r="O297">
            <v>83</v>
          </cell>
          <cell r="P297">
            <v>83</v>
          </cell>
          <cell r="Q297">
            <v>996</v>
          </cell>
        </row>
        <row r="298">
          <cell r="A298" t="str">
            <v>US35P015013201400025</v>
          </cell>
          <cell r="B298" t="str">
            <v>US35P01501</v>
          </cell>
          <cell r="C298">
            <v>3201400025</v>
          </cell>
          <cell r="D298" t="str">
            <v>CLEANING EXPENSES</v>
          </cell>
          <cell r="E298">
            <v>1750</v>
          </cell>
          <cell r="F298">
            <v>1750</v>
          </cell>
          <cell r="G298">
            <v>1750</v>
          </cell>
          <cell r="H298">
            <v>1750</v>
          </cell>
          <cell r="I298">
            <v>1750</v>
          </cell>
          <cell r="J298">
            <v>1750</v>
          </cell>
          <cell r="K298">
            <v>1750</v>
          </cell>
          <cell r="L298">
            <v>1750</v>
          </cell>
          <cell r="M298">
            <v>1750</v>
          </cell>
          <cell r="N298">
            <v>1750</v>
          </cell>
          <cell r="O298">
            <v>1750</v>
          </cell>
          <cell r="P298">
            <v>1750</v>
          </cell>
          <cell r="Q298">
            <v>21000</v>
          </cell>
        </row>
        <row r="299">
          <cell r="A299" t="str">
            <v>US35P015013201400029</v>
          </cell>
          <cell r="B299" t="str">
            <v>US35P01501</v>
          </cell>
          <cell r="C299">
            <v>3201400029</v>
          </cell>
          <cell r="D299" t="str">
            <v>OTH OUTSIDE SERVICES OTHER</v>
          </cell>
          <cell r="E299">
            <v>5833</v>
          </cell>
          <cell r="F299">
            <v>5833</v>
          </cell>
          <cell r="G299">
            <v>5833</v>
          </cell>
          <cell r="H299">
            <v>5833</v>
          </cell>
          <cell r="I299">
            <v>5833</v>
          </cell>
          <cell r="J299">
            <v>5833</v>
          </cell>
          <cell r="K299">
            <v>5833</v>
          </cell>
          <cell r="L299">
            <v>5833</v>
          </cell>
          <cell r="M299">
            <v>5833</v>
          </cell>
          <cell r="N299">
            <v>5833</v>
          </cell>
          <cell r="O299">
            <v>5833</v>
          </cell>
          <cell r="P299">
            <v>5833</v>
          </cell>
          <cell r="Q299">
            <v>69996</v>
          </cell>
        </row>
        <row r="300">
          <cell r="A300" t="str">
            <v>US35P015013201400036</v>
          </cell>
          <cell r="B300" t="str">
            <v>US35P01501</v>
          </cell>
          <cell r="C300">
            <v>3201400036</v>
          </cell>
          <cell r="D300" t="str">
            <v>OTHER MAINTENANCE BUILDINGS</v>
          </cell>
          <cell r="E300">
            <v>417</v>
          </cell>
          <cell r="F300">
            <v>417</v>
          </cell>
          <cell r="G300">
            <v>417</v>
          </cell>
          <cell r="H300">
            <v>417</v>
          </cell>
          <cell r="I300">
            <v>417</v>
          </cell>
          <cell r="J300">
            <v>417</v>
          </cell>
          <cell r="K300">
            <v>417</v>
          </cell>
          <cell r="L300">
            <v>417</v>
          </cell>
          <cell r="M300">
            <v>417</v>
          </cell>
          <cell r="N300">
            <v>417</v>
          </cell>
          <cell r="O300">
            <v>417</v>
          </cell>
          <cell r="P300">
            <v>417</v>
          </cell>
          <cell r="Q300">
            <v>5004</v>
          </cell>
        </row>
        <row r="301">
          <cell r="A301" t="str">
            <v>US35P015013201400051</v>
          </cell>
          <cell r="B301" t="str">
            <v>US35P01501</v>
          </cell>
          <cell r="C301">
            <v>3201400051</v>
          </cell>
          <cell r="D301" t="str">
            <v>MAINTENANCE EQUIPMENT</v>
          </cell>
          <cell r="E301">
            <v>2083</v>
          </cell>
          <cell r="F301">
            <v>2083</v>
          </cell>
          <cell r="G301">
            <v>2083</v>
          </cell>
          <cell r="H301">
            <v>2083</v>
          </cell>
          <cell r="I301">
            <v>2083</v>
          </cell>
          <cell r="J301">
            <v>2083</v>
          </cell>
          <cell r="K301">
            <v>2083</v>
          </cell>
          <cell r="L301">
            <v>2083</v>
          </cell>
          <cell r="M301">
            <v>2083</v>
          </cell>
          <cell r="N301">
            <v>2083</v>
          </cell>
          <cell r="O301">
            <v>2083</v>
          </cell>
          <cell r="P301">
            <v>2083</v>
          </cell>
          <cell r="Q301">
            <v>24996</v>
          </cell>
        </row>
        <row r="302">
          <cell r="A302" t="str">
            <v>US35P015013311400099</v>
          </cell>
          <cell r="B302" t="str">
            <v>US35P01501</v>
          </cell>
          <cell r="C302">
            <v>3311400099</v>
          </cell>
          <cell r="D302" t="str">
            <v>CO DEPRECIATION</v>
          </cell>
          <cell r="E302">
            <v>1169</v>
          </cell>
          <cell r="F302">
            <v>1169</v>
          </cell>
          <cell r="G302">
            <v>1169</v>
          </cell>
          <cell r="H302">
            <v>1169</v>
          </cell>
          <cell r="I302">
            <v>1169</v>
          </cell>
          <cell r="J302">
            <v>1169</v>
          </cell>
          <cell r="K302">
            <v>840</v>
          </cell>
          <cell r="L302">
            <v>840</v>
          </cell>
          <cell r="M302">
            <v>840</v>
          </cell>
          <cell r="N302">
            <v>840</v>
          </cell>
          <cell r="O302">
            <v>840</v>
          </cell>
          <cell r="P302">
            <v>840</v>
          </cell>
          <cell r="Q302">
            <v>12054</v>
          </cell>
        </row>
        <row r="303">
          <cell r="A303" t="str">
            <v>US35P015013501500034</v>
          </cell>
          <cell r="B303" t="str">
            <v>US35P01501</v>
          </cell>
          <cell r="C303">
            <v>3501500034</v>
          </cell>
          <cell r="D303" t="str">
            <v>PROPERTY TAXES</v>
          </cell>
          <cell r="E303">
            <v>8641</v>
          </cell>
          <cell r="F303">
            <v>8641</v>
          </cell>
          <cell r="G303">
            <v>8641</v>
          </cell>
          <cell r="H303">
            <v>8641</v>
          </cell>
          <cell r="I303">
            <v>8641</v>
          </cell>
          <cell r="J303">
            <v>8641</v>
          </cell>
          <cell r="K303">
            <v>8641</v>
          </cell>
          <cell r="L303">
            <v>8641</v>
          </cell>
          <cell r="M303">
            <v>8641</v>
          </cell>
          <cell r="N303">
            <v>8641</v>
          </cell>
          <cell r="O303">
            <v>8641</v>
          </cell>
          <cell r="P303">
            <v>8646</v>
          </cell>
          <cell r="Q303">
            <v>103697</v>
          </cell>
        </row>
        <row r="304">
          <cell r="A304" t="str">
            <v>US35P015013911100010</v>
          </cell>
          <cell r="B304" t="str">
            <v>US35P01501</v>
          </cell>
          <cell r="C304">
            <v>3911100010</v>
          </cell>
          <cell r="D304" t="str">
            <v>TRAVEL EXPENSES PERMANENTS / MEALS</v>
          </cell>
          <cell r="E304">
            <v>583</v>
          </cell>
          <cell r="F304">
            <v>583</v>
          </cell>
          <cell r="G304">
            <v>583</v>
          </cell>
          <cell r="H304">
            <v>583</v>
          </cell>
          <cell r="I304">
            <v>583</v>
          </cell>
          <cell r="J304">
            <v>583</v>
          </cell>
          <cell r="K304">
            <v>583</v>
          </cell>
          <cell r="L304">
            <v>583</v>
          </cell>
          <cell r="M304">
            <v>583</v>
          </cell>
          <cell r="N304">
            <v>583</v>
          </cell>
          <cell r="O304">
            <v>583</v>
          </cell>
          <cell r="P304">
            <v>583</v>
          </cell>
          <cell r="Q304">
            <v>6996</v>
          </cell>
        </row>
        <row r="305">
          <cell r="A305" t="str">
            <v>US35P015013911100012</v>
          </cell>
          <cell r="B305" t="str">
            <v>US35P01501</v>
          </cell>
          <cell r="C305">
            <v>3911100012</v>
          </cell>
          <cell r="D305" t="str">
            <v>TRAVEL EXPENSES PERMANENTS / HOTELS</v>
          </cell>
          <cell r="E305">
            <v>1000</v>
          </cell>
          <cell r="F305">
            <v>1000</v>
          </cell>
          <cell r="G305">
            <v>1000</v>
          </cell>
          <cell r="H305">
            <v>1000</v>
          </cell>
          <cell r="I305">
            <v>1000</v>
          </cell>
          <cell r="J305">
            <v>1000</v>
          </cell>
          <cell r="K305">
            <v>1000</v>
          </cell>
          <cell r="L305">
            <v>1000</v>
          </cell>
          <cell r="M305">
            <v>1000</v>
          </cell>
          <cell r="N305">
            <v>1000</v>
          </cell>
          <cell r="O305">
            <v>1000</v>
          </cell>
          <cell r="P305">
            <v>1000</v>
          </cell>
          <cell r="Q305">
            <v>12000</v>
          </cell>
        </row>
        <row r="306">
          <cell r="A306" t="str">
            <v>US35P015013911100022</v>
          </cell>
          <cell r="B306" t="str">
            <v>US35P01501</v>
          </cell>
          <cell r="C306">
            <v>3911100022</v>
          </cell>
          <cell r="D306" t="str">
            <v>TRAVEL EXPENSES - AIRFARE</v>
          </cell>
          <cell r="E306">
            <v>333</v>
          </cell>
          <cell r="F306">
            <v>333</v>
          </cell>
          <cell r="G306">
            <v>333</v>
          </cell>
          <cell r="H306">
            <v>333</v>
          </cell>
          <cell r="I306">
            <v>333</v>
          </cell>
          <cell r="J306">
            <v>333</v>
          </cell>
          <cell r="K306">
            <v>333</v>
          </cell>
          <cell r="L306">
            <v>333</v>
          </cell>
          <cell r="M306">
            <v>333</v>
          </cell>
          <cell r="N306">
            <v>333</v>
          </cell>
          <cell r="O306">
            <v>333</v>
          </cell>
          <cell r="P306">
            <v>333</v>
          </cell>
          <cell r="Q306">
            <v>3996</v>
          </cell>
        </row>
        <row r="307">
          <cell r="A307" t="str">
            <v>US35P015013911100041</v>
          </cell>
          <cell r="B307" t="str">
            <v>US35P01501</v>
          </cell>
          <cell r="C307">
            <v>3911100041</v>
          </cell>
          <cell r="D307" t="str">
            <v>TRAVEL EXPENSES - ENTERTAINMENT</v>
          </cell>
          <cell r="E307">
            <v>167</v>
          </cell>
          <cell r="F307">
            <v>167</v>
          </cell>
          <cell r="G307">
            <v>167</v>
          </cell>
          <cell r="H307">
            <v>167</v>
          </cell>
          <cell r="I307">
            <v>167</v>
          </cell>
          <cell r="J307">
            <v>167</v>
          </cell>
          <cell r="K307">
            <v>167</v>
          </cell>
          <cell r="L307">
            <v>167</v>
          </cell>
          <cell r="M307">
            <v>167</v>
          </cell>
          <cell r="N307">
            <v>167</v>
          </cell>
          <cell r="O307">
            <v>167</v>
          </cell>
          <cell r="P307">
            <v>167</v>
          </cell>
          <cell r="Q307">
            <v>2004</v>
          </cell>
        </row>
        <row r="308">
          <cell r="A308" t="str">
            <v>US35P015013911200001</v>
          </cell>
          <cell r="B308" t="str">
            <v>US35P01501</v>
          </cell>
          <cell r="C308">
            <v>3911200001</v>
          </cell>
          <cell r="D308" t="str">
            <v>SYMPOSIUMS, CONFERENCES, MEETINGS</v>
          </cell>
          <cell r="E308">
            <v>83</v>
          </cell>
          <cell r="F308">
            <v>83</v>
          </cell>
          <cell r="G308">
            <v>83</v>
          </cell>
          <cell r="H308">
            <v>83</v>
          </cell>
          <cell r="I308">
            <v>83</v>
          </cell>
          <cell r="J308">
            <v>83</v>
          </cell>
          <cell r="K308">
            <v>83</v>
          </cell>
          <cell r="L308">
            <v>83</v>
          </cell>
          <cell r="M308">
            <v>83</v>
          </cell>
          <cell r="N308">
            <v>83</v>
          </cell>
          <cell r="O308">
            <v>83</v>
          </cell>
          <cell r="P308">
            <v>83</v>
          </cell>
          <cell r="Q308">
            <v>996</v>
          </cell>
        </row>
        <row r="309">
          <cell r="A309" t="str">
            <v>US35P015013921100001</v>
          </cell>
          <cell r="B309" t="str">
            <v>US35P01501</v>
          </cell>
          <cell r="C309">
            <v>3921100001</v>
          </cell>
          <cell r="D309" t="str">
            <v>UTILITY EXPENSES ELECTRICITY</v>
          </cell>
          <cell r="E309">
            <v>5417</v>
          </cell>
          <cell r="F309">
            <v>5417</v>
          </cell>
          <cell r="G309">
            <v>5417</v>
          </cell>
          <cell r="H309">
            <v>5417</v>
          </cell>
          <cell r="I309">
            <v>5417</v>
          </cell>
          <cell r="J309">
            <v>5417</v>
          </cell>
          <cell r="K309">
            <v>5417</v>
          </cell>
          <cell r="L309">
            <v>5417</v>
          </cell>
          <cell r="M309">
            <v>5417</v>
          </cell>
          <cell r="N309">
            <v>5417</v>
          </cell>
          <cell r="O309">
            <v>5417</v>
          </cell>
          <cell r="P309">
            <v>5417</v>
          </cell>
          <cell r="Q309">
            <v>65004</v>
          </cell>
        </row>
        <row r="310">
          <cell r="A310" t="str">
            <v>US35P015013921200001</v>
          </cell>
          <cell r="B310" t="str">
            <v>US35P01501</v>
          </cell>
          <cell r="C310">
            <v>3921200001</v>
          </cell>
          <cell r="D310" t="str">
            <v>FUEL</v>
          </cell>
          <cell r="E310">
            <v>167</v>
          </cell>
          <cell r="F310">
            <v>167</v>
          </cell>
          <cell r="G310">
            <v>167</v>
          </cell>
          <cell r="H310">
            <v>167</v>
          </cell>
          <cell r="I310">
            <v>167</v>
          </cell>
          <cell r="J310">
            <v>167</v>
          </cell>
          <cell r="K310">
            <v>167</v>
          </cell>
          <cell r="L310">
            <v>167</v>
          </cell>
          <cell r="M310">
            <v>167</v>
          </cell>
          <cell r="N310">
            <v>167</v>
          </cell>
          <cell r="O310">
            <v>167</v>
          </cell>
          <cell r="P310">
            <v>167</v>
          </cell>
          <cell r="Q310">
            <v>2004</v>
          </cell>
        </row>
        <row r="311">
          <cell r="A311" t="str">
            <v>US35P015013921200010</v>
          </cell>
          <cell r="B311" t="str">
            <v>US35P01501</v>
          </cell>
          <cell r="C311">
            <v>3921200010</v>
          </cell>
          <cell r="D311" t="str">
            <v>ADMINISTRATIVE SUPPLIES</v>
          </cell>
          <cell r="E311">
            <v>833</v>
          </cell>
          <cell r="F311">
            <v>833</v>
          </cell>
          <cell r="G311">
            <v>833</v>
          </cell>
          <cell r="H311">
            <v>833</v>
          </cell>
          <cell r="I311">
            <v>833</v>
          </cell>
          <cell r="J311">
            <v>833</v>
          </cell>
          <cell r="K311">
            <v>833</v>
          </cell>
          <cell r="L311">
            <v>833</v>
          </cell>
          <cell r="M311">
            <v>833</v>
          </cell>
          <cell r="N311">
            <v>833</v>
          </cell>
          <cell r="O311">
            <v>833</v>
          </cell>
          <cell r="P311">
            <v>833</v>
          </cell>
          <cell r="Q311">
            <v>9996</v>
          </cell>
        </row>
        <row r="312">
          <cell r="A312" t="str">
            <v>US35P015013921200050</v>
          </cell>
          <cell r="B312" t="str">
            <v>US35P01501</v>
          </cell>
          <cell r="C312">
            <v>3921200050</v>
          </cell>
          <cell r="D312" t="str">
            <v>SAFETY EQUIPMENT - SUPPLIES</v>
          </cell>
          <cell r="E312">
            <v>2000</v>
          </cell>
          <cell r="F312">
            <v>2000</v>
          </cell>
          <cell r="G312">
            <v>2000</v>
          </cell>
          <cell r="H312">
            <v>2000</v>
          </cell>
          <cell r="I312">
            <v>2000</v>
          </cell>
          <cell r="J312">
            <v>2000</v>
          </cell>
          <cell r="K312">
            <v>2000</v>
          </cell>
          <cell r="L312">
            <v>2000</v>
          </cell>
          <cell r="M312">
            <v>2000</v>
          </cell>
          <cell r="N312">
            <v>2000</v>
          </cell>
          <cell r="O312">
            <v>2000</v>
          </cell>
          <cell r="P312">
            <v>2000</v>
          </cell>
          <cell r="Q312">
            <v>24000</v>
          </cell>
        </row>
        <row r="313">
          <cell r="A313" t="str">
            <v>US35P015013951200002</v>
          </cell>
          <cell r="B313" t="str">
            <v>US35P01501</v>
          </cell>
          <cell r="C313">
            <v>3951200002</v>
          </cell>
          <cell r="D313" t="str">
            <v>OPERATING LEASES - VEHICLES (SHORT DURAT</v>
          </cell>
          <cell r="E313">
            <v>62</v>
          </cell>
          <cell r="F313">
            <v>62</v>
          </cell>
          <cell r="G313">
            <v>62</v>
          </cell>
          <cell r="H313">
            <v>62</v>
          </cell>
          <cell r="I313">
            <v>62</v>
          </cell>
          <cell r="J313">
            <v>62</v>
          </cell>
          <cell r="K313">
            <v>62</v>
          </cell>
          <cell r="L313">
            <v>62</v>
          </cell>
          <cell r="M313">
            <v>62</v>
          </cell>
          <cell r="N313">
            <v>62</v>
          </cell>
          <cell r="O313">
            <v>62</v>
          </cell>
          <cell r="P313">
            <v>62</v>
          </cell>
          <cell r="Q313">
            <v>744</v>
          </cell>
        </row>
        <row r="314">
          <cell r="A314" t="str">
            <v>US35P015013961100000</v>
          </cell>
          <cell r="B314" t="str">
            <v>US35P01501</v>
          </cell>
          <cell r="C314">
            <v>3961100000</v>
          </cell>
          <cell r="D314" t="str">
            <v>COMPREHENSIVE INSURANCES</v>
          </cell>
          <cell r="E314">
            <v>2083</v>
          </cell>
          <cell r="F314">
            <v>2083</v>
          </cell>
          <cell r="G314">
            <v>2083</v>
          </cell>
          <cell r="H314">
            <v>2083</v>
          </cell>
          <cell r="I314">
            <v>2083</v>
          </cell>
          <cell r="J314">
            <v>2083</v>
          </cell>
          <cell r="K314">
            <v>2083</v>
          </cell>
          <cell r="L314">
            <v>2083</v>
          </cell>
          <cell r="M314">
            <v>2083</v>
          </cell>
          <cell r="N314">
            <v>2083</v>
          </cell>
          <cell r="O314">
            <v>2083</v>
          </cell>
          <cell r="P314">
            <v>2083</v>
          </cell>
          <cell r="Q314">
            <v>24996</v>
          </cell>
        </row>
        <row r="315">
          <cell r="A315" t="str">
            <v>US35P015013991200001</v>
          </cell>
          <cell r="B315" t="str">
            <v>US35P01501</v>
          </cell>
          <cell r="C315">
            <v>3991200001</v>
          </cell>
          <cell r="D315" t="str">
            <v>POSTAGE EXPENSES</v>
          </cell>
          <cell r="E315">
            <v>50</v>
          </cell>
          <cell r="F315">
            <v>50</v>
          </cell>
          <cell r="G315">
            <v>50</v>
          </cell>
          <cell r="H315">
            <v>50</v>
          </cell>
          <cell r="I315">
            <v>50</v>
          </cell>
          <cell r="J315">
            <v>50</v>
          </cell>
          <cell r="K315">
            <v>50</v>
          </cell>
          <cell r="L315">
            <v>50</v>
          </cell>
          <cell r="M315">
            <v>50</v>
          </cell>
          <cell r="N315">
            <v>50</v>
          </cell>
          <cell r="O315">
            <v>50</v>
          </cell>
          <cell r="P315">
            <v>50</v>
          </cell>
          <cell r="Q315">
            <v>600</v>
          </cell>
        </row>
        <row r="316">
          <cell r="A316" t="str">
            <v>US35P015013991200012</v>
          </cell>
          <cell r="B316" t="str">
            <v>US35P01501</v>
          </cell>
          <cell r="C316">
            <v>3991200012</v>
          </cell>
          <cell r="D316" t="str">
            <v>DELIVERY SERVICES</v>
          </cell>
          <cell r="E316">
            <v>125</v>
          </cell>
          <cell r="F316">
            <v>125</v>
          </cell>
          <cell r="G316">
            <v>125</v>
          </cell>
          <cell r="H316">
            <v>125</v>
          </cell>
          <cell r="I316">
            <v>125</v>
          </cell>
          <cell r="J316">
            <v>125</v>
          </cell>
          <cell r="K316">
            <v>125</v>
          </cell>
          <cell r="L316">
            <v>125</v>
          </cell>
          <cell r="M316">
            <v>125</v>
          </cell>
          <cell r="N316">
            <v>125</v>
          </cell>
          <cell r="O316">
            <v>125</v>
          </cell>
          <cell r="P316">
            <v>125</v>
          </cell>
          <cell r="Q316">
            <v>1500</v>
          </cell>
        </row>
        <row r="317">
          <cell r="A317" t="str">
            <v>US35P015013991200015</v>
          </cell>
          <cell r="B317" t="str">
            <v>US35P01501</v>
          </cell>
          <cell r="C317">
            <v>3991200015</v>
          </cell>
          <cell r="D317" t="str">
            <v>TELEPHONE</v>
          </cell>
          <cell r="E317">
            <v>3333</v>
          </cell>
          <cell r="F317">
            <v>3333</v>
          </cell>
          <cell r="G317">
            <v>3333</v>
          </cell>
          <cell r="H317">
            <v>3333</v>
          </cell>
          <cell r="I317">
            <v>3333</v>
          </cell>
          <cell r="J317">
            <v>3333</v>
          </cell>
          <cell r="K317">
            <v>3333</v>
          </cell>
          <cell r="L317">
            <v>3333</v>
          </cell>
          <cell r="M317">
            <v>3333</v>
          </cell>
          <cell r="N317">
            <v>3333</v>
          </cell>
          <cell r="O317">
            <v>3333</v>
          </cell>
          <cell r="P317">
            <v>3333</v>
          </cell>
          <cell r="Q317">
            <v>39996</v>
          </cell>
        </row>
        <row r="318">
          <cell r="A318" t="str">
            <v>US35P015013991200018</v>
          </cell>
          <cell r="B318" t="str">
            <v>US35P01501</v>
          </cell>
          <cell r="C318">
            <v>3991200018</v>
          </cell>
          <cell r="D318" t="str">
            <v>SUBSCRIPTIONS</v>
          </cell>
          <cell r="E318">
            <v>8</v>
          </cell>
          <cell r="F318">
            <v>8</v>
          </cell>
          <cell r="G318">
            <v>8</v>
          </cell>
          <cell r="H318">
            <v>8</v>
          </cell>
          <cell r="I318">
            <v>8</v>
          </cell>
          <cell r="J318">
            <v>8</v>
          </cell>
          <cell r="K318">
            <v>8</v>
          </cell>
          <cell r="L318">
            <v>8</v>
          </cell>
          <cell r="M318">
            <v>8</v>
          </cell>
          <cell r="N318">
            <v>8</v>
          </cell>
          <cell r="O318">
            <v>8</v>
          </cell>
          <cell r="P318">
            <v>8</v>
          </cell>
          <cell r="Q318">
            <v>96</v>
          </cell>
        </row>
        <row r="319">
          <cell r="A319" t="str">
            <v>US35P015013991200068</v>
          </cell>
          <cell r="B319" t="str">
            <v>US35P01501</v>
          </cell>
          <cell r="C319">
            <v>3991200068</v>
          </cell>
          <cell r="D319" t="str">
            <v>ASSOCIATION AND DEVELOPMENT FUND</v>
          </cell>
          <cell r="E319">
            <v>542</v>
          </cell>
          <cell r="F319">
            <v>542</v>
          </cell>
          <cell r="G319">
            <v>542</v>
          </cell>
          <cell r="H319">
            <v>542</v>
          </cell>
          <cell r="I319">
            <v>542</v>
          </cell>
          <cell r="J319">
            <v>542</v>
          </cell>
          <cell r="K319">
            <v>542</v>
          </cell>
          <cell r="L319">
            <v>542</v>
          </cell>
          <cell r="M319">
            <v>542</v>
          </cell>
          <cell r="N319">
            <v>542</v>
          </cell>
          <cell r="O319">
            <v>542</v>
          </cell>
          <cell r="P319">
            <v>542</v>
          </cell>
          <cell r="Q319">
            <v>6504</v>
          </cell>
        </row>
        <row r="320">
          <cell r="A320" t="str">
            <v>US35P015013991200069</v>
          </cell>
          <cell r="B320" t="str">
            <v>US35P01501</v>
          </cell>
          <cell r="C320">
            <v>3991200069</v>
          </cell>
          <cell r="D320" t="str">
            <v>COMPANY MEMBERSHIP DUES</v>
          </cell>
          <cell r="E320">
            <v>8</v>
          </cell>
          <cell r="F320">
            <v>8</v>
          </cell>
          <cell r="G320">
            <v>8</v>
          </cell>
          <cell r="H320">
            <v>8</v>
          </cell>
          <cell r="I320">
            <v>8</v>
          </cell>
          <cell r="J320">
            <v>8</v>
          </cell>
          <cell r="K320">
            <v>8</v>
          </cell>
          <cell r="L320">
            <v>8</v>
          </cell>
          <cell r="M320">
            <v>8</v>
          </cell>
          <cell r="N320">
            <v>8</v>
          </cell>
          <cell r="O320">
            <v>8</v>
          </cell>
          <cell r="P320">
            <v>8</v>
          </cell>
          <cell r="Q320">
            <v>96</v>
          </cell>
        </row>
        <row r="321">
          <cell r="A321" t="str">
            <v>US35P015113991200101</v>
          </cell>
          <cell r="B321" t="str">
            <v>US35P01511</v>
          </cell>
          <cell r="C321">
            <v>3991200101</v>
          </cell>
          <cell r="D321" t="str">
            <v>EXPENSE RECOVERY</v>
          </cell>
          <cell r="E321">
            <v>-24131</v>
          </cell>
          <cell r="F321">
            <v>-12066</v>
          </cell>
          <cell r="G321">
            <v>-9652</v>
          </cell>
          <cell r="H321">
            <v>-12066</v>
          </cell>
          <cell r="I321">
            <v>0</v>
          </cell>
          <cell r="J321">
            <v>-26544</v>
          </cell>
          <cell r="K321">
            <v>0</v>
          </cell>
          <cell r="L321">
            <v>0</v>
          </cell>
          <cell r="M321">
            <v>-28957</v>
          </cell>
          <cell r="N321">
            <v>-43436</v>
          </cell>
          <cell r="O321">
            <v>-43436</v>
          </cell>
          <cell r="P321">
            <v>-41023</v>
          </cell>
          <cell r="Q321">
            <v>-241311</v>
          </cell>
        </row>
        <row r="322">
          <cell r="A322" t="str">
            <v>US35P015503111100000</v>
          </cell>
          <cell r="B322" t="str">
            <v>US35P01550</v>
          </cell>
          <cell r="C322">
            <v>3111100000</v>
          </cell>
          <cell r="D322" t="str">
            <v>WAGES,SALARIES,ALLOWANCES AND COMMI/PERM</v>
          </cell>
          <cell r="E322">
            <v>1160</v>
          </cell>
          <cell r="F322">
            <v>1160</v>
          </cell>
          <cell r="G322">
            <v>1160</v>
          </cell>
          <cell r="H322">
            <v>1160</v>
          </cell>
          <cell r="I322">
            <v>1160</v>
          </cell>
          <cell r="J322">
            <v>1160</v>
          </cell>
          <cell r="K322">
            <v>1160</v>
          </cell>
          <cell r="L322">
            <v>1160</v>
          </cell>
          <cell r="M322">
            <v>1160</v>
          </cell>
          <cell r="N322">
            <v>1160</v>
          </cell>
          <cell r="O322">
            <v>1160</v>
          </cell>
          <cell r="P322">
            <v>1158</v>
          </cell>
          <cell r="Q322">
            <v>13918</v>
          </cell>
        </row>
        <row r="323">
          <cell r="A323" t="str">
            <v>US35P015503111100012</v>
          </cell>
          <cell r="B323" t="str">
            <v>US35P01550</v>
          </cell>
          <cell r="C323">
            <v>3111100012</v>
          </cell>
          <cell r="D323" t="str">
            <v>OVERTIME HOURS /PERMANENTS</v>
          </cell>
          <cell r="E323">
            <v>269</v>
          </cell>
          <cell r="F323">
            <v>269</v>
          </cell>
          <cell r="G323">
            <v>269</v>
          </cell>
          <cell r="H323">
            <v>269</v>
          </cell>
          <cell r="I323">
            <v>269</v>
          </cell>
          <cell r="J323">
            <v>269</v>
          </cell>
          <cell r="K323">
            <v>269</v>
          </cell>
          <cell r="L323">
            <v>269</v>
          </cell>
          <cell r="M323">
            <v>269</v>
          </cell>
          <cell r="N323">
            <v>269</v>
          </cell>
          <cell r="O323">
            <v>269</v>
          </cell>
          <cell r="P323">
            <v>270</v>
          </cell>
          <cell r="Q323">
            <v>3229</v>
          </cell>
        </row>
        <row r="324">
          <cell r="A324" t="str">
            <v>US35P015503121300013</v>
          </cell>
          <cell r="B324" t="str">
            <v>US35P01550</v>
          </cell>
          <cell r="C324">
            <v>3121300013</v>
          </cell>
          <cell r="D324" t="str">
            <v>FRINGE BENEFITS</v>
          </cell>
          <cell r="E324">
            <v>540</v>
          </cell>
          <cell r="F324">
            <v>540</v>
          </cell>
          <cell r="G324">
            <v>540</v>
          </cell>
          <cell r="H324">
            <v>540</v>
          </cell>
          <cell r="I324">
            <v>540</v>
          </cell>
          <cell r="J324">
            <v>540</v>
          </cell>
          <cell r="K324">
            <v>540</v>
          </cell>
          <cell r="L324">
            <v>540</v>
          </cell>
          <cell r="M324">
            <v>540</v>
          </cell>
          <cell r="N324">
            <v>540</v>
          </cell>
          <cell r="O324">
            <v>540</v>
          </cell>
          <cell r="P324">
            <v>542</v>
          </cell>
          <cell r="Q324">
            <v>6482</v>
          </cell>
        </row>
        <row r="325">
          <cell r="A325" t="str">
            <v>US35P015503201300001</v>
          </cell>
          <cell r="B325" t="str">
            <v>US35P01550</v>
          </cell>
          <cell r="C325">
            <v>3201300001</v>
          </cell>
          <cell r="D325" t="str">
            <v>HIRED PERSONNEL FROM 3RD PARTIES</v>
          </cell>
          <cell r="E325">
            <v>325</v>
          </cell>
          <cell r="F325">
            <v>325</v>
          </cell>
          <cell r="G325">
            <v>325</v>
          </cell>
          <cell r="H325">
            <v>325</v>
          </cell>
          <cell r="I325">
            <v>541</v>
          </cell>
          <cell r="J325">
            <v>541</v>
          </cell>
          <cell r="K325">
            <v>1623</v>
          </cell>
          <cell r="L325">
            <v>1623</v>
          </cell>
          <cell r="M325">
            <v>2163</v>
          </cell>
          <cell r="N325">
            <v>2163</v>
          </cell>
          <cell r="O325">
            <v>541</v>
          </cell>
          <cell r="P325">
            <v>325</v>
          </cell>
          <cell r="Q325">
            <v>10820</v>
          </cell>
        </row>
        <row r="326">
          <cell r="A326" t="str">
            <v>US35P015503201300012</v>
          </cell>
          <cell r="B326" t="str">
            <v>US35P01550</v>
          </cell>
          <cell r="C326">
            <v>3201300012</v>
          </cell>
          <cell r="D326" t="str">
            <v>HIRED PERSONNEL THIRD PARTY - ROUGING</v>
          </cell>
          <cell r="E326">
            <v>8032</v>
          </cell>
          <cell r="F326">
            <v>8032</v>
          </cell>
          <cell r="G326">
            <v>8032</v>
          </cell>
          <cell r="H326">
            <v>8032</v>
          </cell>
          <cell r="I326">
            <v>13387</v>
          </cell>
          <cell r="J326">
            <v>13387</v>
          </cell>
          <cell r="K326">
            <v>40160</v>
          </cell>
          <cell r="L326">
            <v>40160</v>
          </cell>
          <cell r="M326">
            <v>53546</v>
          </cell>
          <cell r="N326">
            <v>53546</v>
          </cell>
          <cell r="O326">
            <v>13387</v>
          </cell>
          <cell r="P326">
            <v>8032</v>
          </cell>
          <cell r="Q326">
            <v>267733</v>
          </cell>
        </row>
        <row r="327">
          <cell r="A327" t="str">
            <v>US35P015503201400002</v>
          </cell>
          <cell r="B327" t="str">
            <v>US35P01550</v>
          </cell>
          <cell r="C327">
            <v>3201400002</v>
          </cell>
          <cell r="D327" t="str">
            <v>MAINTENANCE OF VEHICLES</v>
          </cell>
          <cell r="E327">
            <v>331</v>
          </cell>
          <cell r="F327">
            <v>331</v>
          </cell>
          <cell r="G327">
            <v>331</v>
          </cell>
          <cell r="H327">
            <v>331</v>
          </cell>
          <cell r="I327">
            <v>552</v>
          </cell>
          <cell r="J327">
            <v>552</v>
          </cell>
          <cell r="K327">
            <v>1655</v>
          </cell>
          <cell r="L327">
            <v>1655</v>
          </cell>
          <cell r="M327">
            <v>2207</v>
          </cell>
          <cell r="N327">
            <v>2207</v>
          </cell>
          <cell r="O327">
            <v>552</v>
          </cell>
          <cell r="P327">
            <v>331</v>
          </cell>
          <cell r="Q327">
            <v>11035</v>
          </cell>
        </row>
        <row r="328">
          <cell r="A328" t="str">
            <v>US35P015503201400029</v>
          </cell>
          <cell r="B328" t="str">
            <v>US35P01550</v>
          </cell>
          <cell r="C328">
            <v>3201400029</v>
          </cell>
          <cell r="D328" t="str">
            <v>OTH OUTSIDE SERVICES OTHER</v>
          </cell>
          <cell r="E328">
            <v>12170</v>
          </cell>
          <cell r="F328">
            <v>12170</v>
          </cell>
          <cell r="G328">
            <v>12170</v>
          </cell>
          <cell r="H328">
            <v>12170</v>
          </cell>
          <cell r="I328">
            <v>20283</v>
          </cell>
          <cell r="J328">
            <v>20283</v>
          </cell>
          <cell r="K328">
            <v>60849</v>
          </cell>
          <cell r="L328">
            <v>60849</v>
          </cell>
          <cell r="M328">
            <v>81132</v>
          </cell>
          <cell r="N328">
            <v>81132</v>
          </cell>
          <cell r="O328">
            <v>20283</v>
          </cell>
          <cell r="P328">
            <v>12170</v>
          </cell>
          <cell r="Q328">
            <v>405661</v>
          </cell>
        </row>
        <row r="329">
          <cell r="A329" t="str">
            <v>US35P015503201400054</v>
          </cell>
          <cell r="B329" t="str">
            <v>US35P01550</v>
          </cell>
          <cell r="C329">
            <v>3201400054</v>
          </cell>
          <cell r="D329" t="str">
            <v>TECHNICAL SERVICES</v>
          </cell>
          <cell r="E329">
            <v>4543</v>
          </cell>
          <cell r="F329">
            <v>4543</v>
          </cell>
          <cell r="G329">
            <v>4543</v>
          </cell>
          <cell r="H329">
            <v>4543</v>
          </cell>
          <cell r="I329">
            <v>7572</v>
          </cell>
          <cell r="J329">
            <v>7572</v>
          </cell>
          <cell r="K329">
            <v>22717</v>
          </cell>
          <cell r="L329">
            <v>22717</v>
          </cell>
          <cell r="M329">
            <v>30289</v>
          </cell>
          <cell r="N329">
            <v>30289</v>
          </cell>
          <cell r="O329">
            <v>7572</v>
          </cell>
          <cell r="P329">
            <v>4543</v>
          </cell>
          <cell r="Q329">
            <v>151443</v>
          </cell>
        </row>
        <row r="330">
          <cell r="A330" t="str">
            <v>US35P015503201400056</v>
          </cell>
          <cell r="B330" t="str">
            <v>US35P01550</v>
          </cell>
          <cell r="C330">
            <v>3201400056</v>
          </cell>
          <cell r="D330" t="str">
            <v>FIELD AND PRODUCTION EXPENSES</v>
          </cell>
          <cell r="E330">
            <v>2973</v>
          </cell>
          <cell r="F330">
            <v>2973</v>
          </cell>
          <cell r="G330">
            <v>2973</v>
          </cell>
          <cell r="H330">
            <v>2973</v>
          </cell>
          <cell r="I330">
            <v>4954</v>
          </cell>
          <cell r="J330">
            <v>4954</v>
          </cell>
          <cell r="K330">
            <v>14863</v>
          </cell>
          <cell r="L330">
            <v>14863</v>
          </cell>
          <cell r="M330">
            <v>19817</v>
          </cell>
          <cell r="N330">
            <v>19817</v>
          </cell>
          <cell r="O330">
            <v>4954</v>
          </cell>
          <cell r="P330">
            <v>2973</v>
          </cell>
          <cell r="Q330">
            <v>99087</v>
          </cell>
        </row>
        <row r="331">
          <cell r="A331" t="str">
            <v>US35P015503201400057</v>
          </cell>
          <cell r="B331" t="str">
            <v>US35P01550</v>
          </cell>
          <cell r="C331">
            <v>3201400057</v>
          </cell>
          <cell r="D331" t="str">
            <v>FIELD AND PRODUCTION SERVICES - SPRAYING</v>
          </cell>
          <cell r="E331">
            <v>17849</v>
          </cell>
          <cell r="F331">
            <v>17849</v>
          </cell>
          <cell r="G331">
            <v>17849</v>
          </cell>
          <cell r="H331">
            <v>17849</v>
          </cell>
          <cell r="I331">
            <v>29748</v>
          </cell>
          <cell r="J331">
            <v>29748</v>
          </cell>
          <cell r="K331">
            <v>89244</v>
          </cell>
          <cell r="L331">
            <v>89244</v>
          </cell>
          <cell r="M331">
            <v>118991</v>
          </cell>
          <cell r="N331">
            <v>118991</v>
          </cell>
          <cell r="O331">
            <v>29748</v>
          </cell>
          <cell r="P331">
            <v>17849</v>
          </cell>
          <cell r="Q331">
            <v>594959</v>
          </cell>
        </row>
        <row r="332">
          <cell r="A332" t="str">
            <v>US35P015503311400099</v>
          </cell>
          <cell r="B332" t="str">
            <v>US35P01550</v>
          </cell>
          <cell r="C332">
            <v>3311400099</v>
          </cell>
          <cell r="D332" t="str">
            <v>CO DEPRECIATION</v>
          </cell>
          <cell r="E332">
            <v>96</v>
          </cell>
          <cell r="F332">
            <v>96</v>
          </cell>
          <cell r="G332">
            <v>96</v>
          </cell>
          <cell r="H332">
            <v>96</v>
          </cell>
          <cell r="I332">
            <v>96</v>
          </cell>
          <cell r="J332">
            <v>96</v>
          </cell>
          <cell r="K332">
            <v>96</v>
          </cell>
          <cell r="L332">
            <v>96</v>
          </cell>
          <cell r="M332">
            <v>96</v>
          </cell>
          <cell r="N332">
            <v>96</v>
          </cell>
          <cell r="O332">
            <v>96</v>
          </cell>
          <cell r="P332">
            <v>93</v>
          </cell>
          <cell r="Q332">
            <v>1149</v>
          </cell>
        </row>
        <row r="333">
          <cell r="A333" t="str">
            <v>US35P015503911100010</v>
          </cell>
          <cell r="B333" t="str">
            <v>US35P01550</v>
          </cell>
          <cell r="C333">
            <v>3911100010</v>
          </cell>
          <cell r="D333" t="str">
            <v>TRAVEL EXPENSES PERMANENTS / MEALS</v>
          </cell>
          <cell r="E333">
            <v>81</v>
          </cell>
          <cell r="F333">
            <v>81</v>
          </cell>
          <cell r="G333">
            <v>81</v>
          </cell>
          <cell r="H333">
            <v>81</v>
          </cell>
          <cell r="I333">
            <v>135</v>
          </cell>
          <cell r="J333">
            <v>135</v>
          </cell>
          <cell r="K333">
            <v>406</v>
          </cell>
          <cell r="L333">
            <v>406</v>
          </cell>
          <cell r="M333">
            <v>541</v>
          </cell>
          <cell r="N333">
            <v>541</v>
          </cell>
          <cell r="O333">
            <v>135</v>
          </cell>
          <cell r="P333">
            <v>81</v>
          </cell>
          <cell r="Q333">
            <v>2704</v>
          </cell>
        </row>
        <row r="334">
          <cell r="A334" t="str">
            <v>US35P015503911100012</v>
          </cell>
          <cell r="B334" t="str">
            <v>US35P01550</v>
          </cell>
          <cell r="C334">
            <v>3911100012</v>
          </cell>
          <cell r="D334" t="str">
            <v>TRAVEL EXPENSES PERMANENTS / HOTELS</v>
          </cell>
          <cell r="E334">
            <v>24</v>
          </cell>
          <cell r="F334">
            <v>24</v>
          </cell>
          <cell r="G334">
            <v>24</v>
          </cell>
          <cell r="H334">
            <v>24</v>
          </cell>
          <cell r="I334">
            <v>41</v>
          </cell>
          <cell r="J334">
            <v>41</v>
          </cell>
          <cell r="K334">
            <v>122</v>
          </cell>
          <cell r="L334">
            <v>122</v>
          </cell>
          <cell r="M334">
            <v>162</v>
          </cell>
          <cell r="N334">
            <v>162</v>
          </cell>
          <cell r="O334">
            <v>41</v>
          </cell>
          <cell r="P334">
            <v>24</v>
          </cell>
          <cell r="Q334">
            <v>811</v>
          </cell>
        </row>
        <row r="335">
          <cell r="A335" t="str">
            <v>US35P015503911100015</v>
          </cell>
          <cell r="B335" t="str">
            <v>US35P01550</v>
          </cell>
          <cell r="C335">
            <v>3911100015</v>
          </cell>
          <cell r="D335" t="str">
            <v>TRAVEL EXPENSES PERMANENTS / OTHER</v>
          </cell>
          <cell r="E335">
            <v>97</v>
          </cell>
          <cell r="F335">
            <v>97</v>
          </cell>
          <cell r="G335">
            <v>97</v>
          </cell>
          <cell r="H335">
            <v>97</v>
          </cell>
          <cell r="I335">
            <v>162</v>
          </cell>
          <cell r="J335">
            <v>162</v>
          </cell>
          <cell r="K335">
            <v>487</v>
          </cell>
          <cell r="L335">
            <v>487</v>
          </cell>
          <cell r="M335">
            <v>649</v>
          </cell>
          <cell r="N335">
            <v>649</v>
          </cell>
          <cell r="O335">
            <v>162</v>
          </cell>
          <cell r="P335">
            <v>97</v>
          </cell>
          <cell r="Q335">
            <v>3243</v>
          </cell>
        </row>
        <row r="336">
          <cell r="A336" t="str">
            <v>US35P015503911200001</v>
          </cell>
          <cell r="B336" t="str">
            <v>US35P01550</v>
          </cell>
          <cell r="C336">
            <v>3911200001</v>
          </cell>
          <cell r="D336" t="str">
            <v>SYMPOSIUMS, CONFERENCES, MEETINGS</v>
          </cell>
          <cell r="E336">
            <v>81</v>
          </cell>
          <cell r="F336">
            <v>81</v>
          </cell>
          <cell r="G336">
            <v>81</v>
          </cell>
          <cell r="H336">
            <v>81</v>
          </cell>
          <cell r="I336">
            <v>135</v>
          </cell>
          <cell r="J336">
            <v>135</v>
          </cell>
          <cell r="K336">
            <v>406</v>
          </cell>
          <cell r="L336">
            <v>406</v>
          </cell>
          <cell r="M336">
            <v>541</v>
          </cell>
          <cell r="N336">
            <v>541</v>
          </cell>
          <cell r="O336">
            <v>135</v>
          </cell>
          <cell r="P336">
            <v>81</v>
          </cell>
          <cell r="Q336">
            <v>2704</v>
          </cell>
        </row>
        <row r="337">
          <cell r="A337" t="str">
            <v>US35P015503921200001</v>
          </cell>
          <cell r="B337" t="str">
            <v>US35P01550</v>
          </cell>
          <cell r="C337">
            <v>3921200001</v>
          </cell>
          <cell r="D337" t="str">
            <v>FUEL</v>
          </cell>
          <cell r="E337">
            <v>811</v>
          </cell>
          <cell r="F337">
            <v>811</v>
          </cell>
          <cell r="G337">
            <v>811</v>
          </cell>
          <cell r="H337">
            <v>811</v>
          </cell>
          <cell r="I337">
            <v>1352</v>
          </cell>
          <cell r="J337">
            <v>1352</v>
          </cell>
          <cell r="K337">
            <v>4057</v>
          </cell>
          <cell r="L337">
            <v>4057</v>
          </cell>
          <cell r="M337">
            <v>5409</v>
          </cell>
          <cell r="N337">
            <v>5409</v>
          </cell>
          <cell r="O337">
            <v>1352</v>
          </cell>
          <cell r="P337">
            <v>811</v>
          </cell>
          <cell r="Q337">
            <v>27043</v>
          </cell>
        </row>
        <row r="338">
          <cell r="A338" t="str">
            <v>US35P015503921200006</v>
          </cell>
          <cell r="B338" t="str">
            <v>US35P01550</v>
          </cell>
          <cell r="C338">
            <v>3921200006</v>
          </cell>
          <cell r="D338" t="str">
            <v>FACTORY SUPPLIES MAINTENANCE SUPPLIES</v>
          </cell>
          <cell r="E338">
            <v>65</v>
          </cell>
          <cell r="F338">
            <v>65</v>
          </cell>
          <cell r="G338">
            <v>65</v>
          </cell>
          <cell r="H338">
            <v>65</v>
          </cell>
          <cell r="I338">
            <v>108</v>
          </cell>
          <cell r="J338">
            <v>108</v>
          </cell>
          <cell r="K338">
            <v>325</v>
          </cell>
          <cell r="L338">
            <v>325</v>
          </cell>
          <cell r="M338">
            <v>433</v>
          </cell>
          <cell r="N338">
            <v>433</v>
          </cell>
          <cell r="O338">
            <v>108</v>
          </cell>
          <cell r="P338">
            <v>65</v>
          </cell>
          <cell r="Q338">
            <v>2165</v>
          </cell>
        </row>
        <row r="339">
          <cell r="A339" t="str">
            <v>US35P015503921200050</v>
          </cell>
          <cell r="B339" t="str">
            <v>US35P01550</v>
          </cell>
          <cell r="C339">
            <v>3921200050</v>
          </cell>
          <cell r="D339" t="str">
            <v>SAFETY EQUIPMENT - SUPPLIES</v>
          </cell>
          <cell r="E339">
            <v>130</v>
          </cell>
          <cell r="F339">
            <v>130</v>
          </cell>
          <cell r="G339">
            <v>130</v>
          </cell>
          <cell r="H339">
            <v>130</v>
          </cell>
          <cell r="I339">
            <v>216</v>
          </cell>
          <cell r="J339">
            <v>216</v>
          </cell>
          <cell r="K339">
            <v>649</v>
          </cell>
          <cell r="L339">
            <v>649</v>
          </cell>
          <cell r="M339">
            <v>865</v>
          </cell>
          <cell r="N339">
            <v>865</v>
          </cell>
          <cell r="O339">
            <v>216</v>
          </cell>
          <cell r="P339">
            <v>130</v>
          </cell>
          <cell r="Q339">
            <v>4326</v>
          </cell>
        </row>
        <row r="340">
          <cell r="A340" t="str">
            <v>US35P015503921200100</v>
          </cell>
          <cell r="B340" t="str">
            <v>US35P01550</v>
          </cell>
          <cell r="C340">
            <v>3921200100</v>
          </cell>
          <cell r="D340" t="str">
            <v>FIELD &amp; PRODUCTION SUPPLIES</v>
          </cell>
          <cell r="E340">
            <v>32</v>
          </cell>
          <cell r="F340">
            <v>32</v>
          </cell>
          <cell r="G340">
            <v>32</v>
          </cell>
          <cell r="H340">
            <v>32</v>
          </cell>
          <cell r="I340">
            <v>54</v>
          </cell>
          <cell r="J340">
            <v>54</v>
          </cell>
          <cell r="K340">
            <v>162</v>
          </cell>
          <cell r="L340">
            <v>162</v>
          </cell>
          <cell r="M340">
            <v>216</v>
          </cell>
          <cell r="N340">
            <v>216</v>
          </cell>
          <cell r="O340">
            <v>54</v>
          </cell>
          <cell r="P340">
            <v>32</v>
          </cell>
          <cell r="Q340">
            <v>1078</v>
          </cell>
        </row>
        <row r="341">
          <cell r="A341" t="str">
            <v>US35P015503941100013</v>
          </cell>
          <cell r="B341" t="str">
            <v>US35P01550</v>
          </cell>
          <cell r="C341">
            <v>3941100013</v>
          </cell>
          <cell r="D341" t="str">
            <v>FREIGHT IN</v>
          </cell>
          <cell r="E341">
            <v>11104</v>
          </cell>
          <cell r="F341">
            <v>11104</v>
          </cell>
          <cell r="G341">
            <v>11104</v>
          </cell>
          <cell r="H341">
            <v>11104</v>
          </cell>
          <cell r="I341">
            <v>18506</v>
          </cell>
          <cell r="J341">
            <v>18506</v>
          </cell>
          <cell r="K341">
            <v>55519</v>
          </cell>
          <cell r="L341">
            <v>55519</v>
          </cell>
          <cell r="M341">
            <v>74025</v>
          </cell>
          <cell r="N341">
            <v>74025</v>
          </cell>
          <cell r="O341">
            <v>18506</v>
          </cell>
          <cell r="P341">
            <v>11104</v>
          </cell>
          <cell r="Q341">
            <v>370126</v>
          </cell>
        </row>
        <row r="342">
          <cell r="A342" t="str">
            <v>US35P015503951100005</v>
          </cell>
          <cell r="B342" t="str">
            <v>US35P01550</v>
          </cell>
          <cell r="C342">
            <v>3951100005</v>
          </cell>
          <cell r="D342" t="str">
            <v>OTHER RENTALS</v>
          </cell>
          <cell r="E342">
            <v>341</v>
          </cell>
          <cell r="F342">
            <v>341</v>
          </cell>
          <cell r="G342">
            <v>341</v>
          </cell>
          <cell r="H342">
            <v>341</v>
          </cell>
          <cell r="I342">
            <v>568</v>
          </cell>
          <cell r="J342">
            <v>568</v>
          </cell>
          <cell r="K342">
            <v>1704</v>
          </cell>
          <cell r="L342">
            <v>1704</v>
          </cell>
          <cell r="M342">
            <v>2272</v>
          </cell>
          <cell r="N342">
            <v>2272</v>
          </cell>
          <cell r="O342">
            <v>568</v>
          </cell>
          <cell r="P342">
            <v>341</v>
          </cell>
          <cell r="Q342">
            <v>11361</v>
          </cell>
        </row>
        <row r="343">
          <cell r="A343" t="str">
            <v>US35P015503951200002</v>
          </cell>
          <cell r="B343" t="str">
            <v>US35P01550</v>
          </cell>
          <cell r="C343">
            <v>3951200002</v>
          </cell>
          <cell r="D343" t="str">
            <v>OPERATING LEASES - VEHICLES (SHORT DURAT</v>
          </cell>
          <cell r="E343">
            <v>1623</v>
          </cell>
          <cell r="F343">
            <v>1623</v>
          </cell>
          <cell r="G343">
            <v>1623</v>
          </cell>
          <cell r="H343">
            <v>1623</v>
          </cell>
          <cell r="I343">
            <v>2704</v>
          </cell>
          <cell r="J343">
            <v>2704</v>
          </cell>
          <cell r="K343">
            <v>8113</v>
          </cell>
          <cell r="L343">
            <v>8113</v>
          </cell>
          <cell r="M343">
            <v>10817</v>
          </cell>
          <cell r="N343">
            <v>10817</v>
          </cell>
          <cell r="O343">
            <v>2704</v>
          </cell>
          <cell r="P343">
            <v>1623</v>
          </cell>
          <cell r="Q343">
            <v>54087</v>
          </cell>
        </row>
        <row r="344">
          <cell r="A344" t="str">
            <v>US35P015503961100000</v>
          </cell>
          <cell r="B344" t="str">
            <v>US35P01550</v>
          </cell>
          <cell r="C344">
            <v>3961100000</v>
          </cell>
          <cell r="D344" t="str">
            <v>COMPREHENSIVE INSURANCES</v>
          </cell>
          <cell r="E344">
            <v>2361</v>
          </cell>
          <cell r="F344">
            <v>2361</v>
          </cell>
          <cell r="G344">
            <v>2361</v>
          </cell>
          <cell r="H344">
            <v>2361</v>
          </cell>
          <cell r="I344">
            <v>3935</v>
          </cell>
          <cell r="J344">
            <v>3935</v>
          </cell>
          <cell r="K344">
            <v>11805</v>
          </cell>
          <cell r="L344">
            <v>11805</v>
          </cell>
          <cell r="M344">
            <v>15740</v>
          </cell>
          <cell r="N344">
            <v>15740</v>
          </cell>
          <cell r="O344">
            <v>3935</v>
          </cell>
          <cell r="P344">
            <v>2361</v>
          </cell>
          <cell r="Q344">
            <v>78700</v>
          </cell>
        </row>
        <row r="345">
          <cell r="A345" t="str">
            <v>US35P015533111100000</v>
          </cell>
          <cell r="B345" t="str">
            <v>US35P01553</v>
          </cell>
          <cell r="C345">
            <v>3111100000</v>
          </cell>
          <cell r="D345" t="str">
            <v>WAGES,SALARIES,ALLOWANCES AND COMMI/PERM</v>
          </cell>
          <cell r="E345">
            <v>1752</v>
          </cell>
          <cell r="F345">
            <v>1752</v>
          </cell>
          <cell r="G345">
            <v>1752</v>
          </cell>
          <cell r="H345">
            <v>1752</v>
          </cell>
          <cell r="I345">
            <v>1752</v>
          </cell>
          <cell r="J345">
            <v>1752</v>
          </cell>
          <cell r="K345">
            <v>1752</v>
          </cell>
          <cell r="L345">
            <v>1752</v>
          </cell>
          <cell r="M345">
            <v>1752</v>
          </cell>
          <cell r="N345">
            <v>1752</v>
          </cell>
          <cell r="O345">
            <v>1752</v>
          </cell>
          <cell r="P345">
            <v>1748</v>
          </cell>
          <cell r="Q345">
            <v>21020</v>
          </cell>
        </row>
        <row r="346">
          <cell r="A346" t="str">
            <v>US35P015533111100012</v>
          </cell>
          <cell r="B346" t="str">
            <v>US35P01553</v>
          </cell>
          <cell r="C346">
            <v>3111100012</v>
          </cell>
          <cell r="D346" t="str">
            <v>OVERTIME HOURS /PERMANENTS</v>
          </cell>
          <cell r="E346">
            <v>348</v>
          </cell>
          <cell r="F346">
            <v>348</v>
          </cell>
          <cell r="G346">
            <v>348</v>
          </cell>
          <cell r="H346">
            <v>348</v>
          </cell>
          <cell r="I346">
            <v>348</v>
          </cell>
          <cell r="J346">
            <v>348</v>
          </cell>
          <cell r="K346">
            <v>348</v>
          </cell>
          <cell r="L346">
            <v>348</v>
          </cell>
          <cell r="M346">
            <v>348</v>
          </cell>
          <cell r="N346">
            <v>348</v>
          </cell>
          <cell r="O346">
            <v>348</v>
          </cell>
          <cell r="P346">
            <v>348</v>
          </cell>
          <cell r="Q346">
            <v>4176</v>
          </cell>
        </row>
        <row r="347">
          <cell r="A347" t="str">
            <v>US35P015533121300013</v>
          </cell>
          <cell r="B347" t="str">
            <v>US35P01553</v>
          </cell>
          <cell r="C347">
            <v>3121300013</v>
          </cell>
          <cell r="D347" t="str">
            <v>FRINGE BENEFITS</v>
          </cell>
          <cell r="E347">
            <v>794</v>
          </cell>
          <cell r="F347">
            <v>794</v>
          </cell>
          <cell r="G347">
            <v>794</v>
          </cell>
          <cell r="H347">
            <v>794</v>
          </cell>
          <cell r="I347">
            <v>794</v>
          </cell>
          <cell r="J347">
            <v>794</v>
          </cell>
          <cell r="K347">
            <v>794</v>
          </cell>
          <cell r="L347">
            <v>794</v>
          </cell>
          <cell r="M347">
            <v>794</v>
          </cell>
          <cell r="N347">
            <v>794</v>
          </cell>
          <cell r="O347">
            <v>794</v>
          </cell>
          <cell r="P347">
            <v>790</v>
          </cell>
          <cell r="Q347">
            <v>9524</v>
          </cell>
        </row>
        <row r="348">
          <cell r="A348" t="str">
            <v>US35P015533201300001</v>
          </cell>
          <cell r="B348" t="str">
            <v>US35P01553</v>
          </cell>
          <cell r="C348">
            <v>3201300001</v>
          </cell>
          <cell r="D348" t="str">
            <v>HIRED PERSONNEL FROM 3RD PARTIES</v>
          </cell>
          <cell r="E348">
            <v>0</v>
          </cell>
          <cell r="F348">
            <v>0</v>
          </cell>
          <cell r="G348">
            <v>0</v>
          </cell>
          <cell r="H348">
            <v>0</v>
          </cell>
          <cell r="I348">
            <v>0</v>
          </cell>
          <cell r="J348">
            <v>3042</v>
          </cell>
          <cell r="K348">
            <v>21297</v>
          </cell>
          <cell r="L348">
            <v>36509</v>
          </cell>
          <cell r="M348">
            <v>0</v>
          </cell>
          <cell r="N348">
            <v>0</v>
          </cell>
          <cell r="O348">
            <v>0</v>
          </cell>
          <cell r="P348">
            <v>0</v>
          </cell>
          <cell r="Q348">
            <v>60848</v>
          </cell>
        </row>
        <row r="349">
          <cell r="A349" t="str">
            <v>US35P015533201300012</v>
          </cell>
          <cell r="B349" t="str">
            <v>US35P01553</v>
          </cell>
          <cell r="C349">
            <v>3201300012</v>
          </cell>
          <cell r="D349" t="str">
            <v>HIRED PERSONNEL THIRD PARTY - ROUGING</v>
          </cell>
          <cell r="E349">
            <v>0</v>
          </cell>
          <cell r="F349">
            <v>0</v>
          </cell>
          <cell r="G349">
            <v>0</v>
          </cell>
          <cell r="H349">
            <v>0</v>
          </cell>
          <cell r="I349">
            <v>0</v>
          </cell>
          <cell r="J349">
            <v>51924</v>
          </cell>
          <cell r="K349">
            <v>363471</v>
          </cell>
          <cell r="L349">
            <v>623094</v>
          </cell>
          <cell r="M349">
            <v>0</v>
          </cell>
          <cell r="N349">
            <v>0</v>
          </cell>
          <cell r="O349">
            <v>0</v>
          </cell>
          <cell r="P349">
            <v>0</v>
          </cell>
          <cell r="Q349">
            <v>1038489</v>
          </cell>
        </row>
        <row r="350">
          <cell r="A350" t="str">
            <v>US35P015533201400056</v>
          </cell>
          <cell r="B350" t="str">
            <v>US35P01553</v>
          </cell>
          <cell r="C350">
            <v>3201400056</v>
          </cell>
          <cell r="D350" t="str">
            <v>FIELD AND PRODUCTION EXPENSES</v>
          </cell>
          <cell r="E350">
            <v>0</v>
          </cell>
          <cell r="F350">
            <v>0</v>
          </cell>
          <cell r="G350">
            <v>0</v>
          </cell>
          <cell r="H350">
            <v>0</v>
          </cell>
          <cell r="I350">
            <v>0</v>
          </cell>
          <cell r="J350">
            <v>2028</v>
          </cell>
          <cell r="K350">
            <v>14198</v>
          </cell>
          <cell r="L350">
            <v>24340</v>
          </cell>
          <cell r="M350">
            <v>0</v>
          </cell>
          <cell r="N350">
            <v>0</v>
          </cell>
          <cell r="O350">
            <v>0</v>
          </cell>
          <cell r="P350">
            <v>0</v>
          </cell>
          <cell r="Q350">
            <v>40566</v>
          </cell>
        </row>
        <row r="351">
          <cell r="A351" t="str">
            <v>US35P015533311400099</v>
          </cell>
          <cell r="B351" t="str">
            <v>US35P01553</v>
          </cell>
          <cell r="C351">
            <v>3311400099</v>
          </cell>
          <cell r="D351" t="str">
            <v>CO DEPRECIATION</v>
          </cell>
          <cell r="E351">
            <v>2303</v>
          </cell>
          <cell r="F351">
            <v>2303</v>
          </cell>
          <cell r="G351">
            <v>2303</v>
          </cell>
          <cell r="H351">
            <v>2303</v>
          </cell>
          <cell r="I351">
            <v>2303</v>
          </cell>
          <cell r="J351">
            <v>2303</v>
          </cell>
          <cell r="K351">
            <v>2303</v>
          </cell>
          <cell r="L351">
            <v>2303</v>
          </cell>
          <cell r="M351">
            <v>2303</v>
          </cell>
          <cell r="N351">
            <v>2303</v>
          </cell>
          <cell r="O351">
            <v>2303</v>
          </cell>
          <cell r="P351">
            <v>2302</v>
          </cell>
          <cell r="Q351">
            <v>27635</v>
          </cell>
        </row>
        <row r="352">
          <cell r="A352" t="str">
            <v>US35P015533911100010</v>
          </cell>
          <cell r="B352" t="str">
            <v>US35P01553</v>
          </cell>
          <cell r="C352">
            <v>3911100010</v>
          </cell>
          <cell r="D352" t="str">
            <v>TRAVEL EXPENSES PERMANENTS / MEALS</v>
          </cell>
          <cell r="E352">
            <v>0</v>
          </cell>
          <cell r="F352">
            <v>0</v>
          </cell>
          <cell r="G352">
            <v>0</v>
          </cell>
          <cell r="H352">
            <v>0</v>
          </cell>
          <cell r="I352">
            <v>0</v>
          </cell>
          <cell r="J352">
            <v>223</v>
          </cell>
          <cell r="K352">
            <v>1562</v>
          </cell>
          <cell r="L352">
            <v>2677</v>
          </cell>
          <cell r="M352">
            <v>0</v>
          </cell>
          <cell r="N352">
            <v>0</v>
          </cell>
          <cell r="O352">
            <v>0</v>
          </cell>
          <cell r="P352">
            <v>0</v>
          </cell>
          <cell r="Q352">
            <v>4462</v>
          </cell>
        </row>
        <row r="353">
          <cell r="A353" t="str">
            <v>US35P015533911100012</v>
          </cell>
          <cell r="B353" t="str">
            <v>US35P01553</v>
          </cell>
          <cell r="C353">
            <v>3911100012</v>
          </cell>
          <cell r="D353" t="str">
            <v>TRAVEL EXPENSES PERMANENTS / HOTELS</v>
          </cell>
          <cell r="E353">
            <v>0</v>
          </cell>
          <cell r="F353">
            <v>0</v>
          </cell>
          <cell r="G353">
            <v>0</v>
          </cell>
          <cell r="H353">
            <v>0</v>
          </cell>
          <cell r="I353">
            <v>0</v>
          </cell>
          <cell r="J353">
            <v>223</v>
          </cell>
          <cell r="K353">
            <v>1562</v>
          </cell>
          <cell r="L353">
            <v>2677</v>
          </cell>
          <cell r="M353">
            <v>0</v>
          </cell>
          <cell r="N353">
            <v>0</v>
          </cell>
          <cell r="O353">
            <v>0</v>
          </cell>
          <cell r="P353">
            <v>0</v>
          </cell>
          <cell r="Q353">
            <v>4462</v>
          </cell>
        </row>
        <row r="354">
          <cell r="A354" t="str">
            <v>US35P015533911100015</v>
          </cell>
          <cell r="B354" t="str">
            <v>US35P01553</v>
          </cell>
          <cell r="C354">
            <v>3911100015</v>
          </cell>
          <cell r="D354" t="str">
            <v>TRAVEL EXPENSES PERMANENTS / OTHER</v>
          </cell>
          <cell r="E354">
            <v>0</v>
          </cell>
          <cell r="F354">
            <v>0</v>
          </cell>
          <cell r="G354">
            <v>0</v>
          </cell>
          <cell r="H354">
            <v>0</v>
          </cell>
          <cell r="I354">
            <v>0</v>
          </cell>
          <cell r="J354">
            <v>852</v>
          </cell>
          <cell r="K354">
            <v>5963</v>
          </cell>
          <cell r="L354">
            <v>10223</v>
          </cell>
          <cell r="M354">
            <v>0</v>
          </cell>
          <cell r="N354">
            <v>0</v>
          </cell>
          <cell r="O354">
            <v>0</v>
          </cell>
          <cell r="P354">
            <v>0</v>
          </cell>
          <cell r="Q354">
            <v>17038</v>
          </cell>
        </row>
        <row r="355">
          <cell r="A355" t="str">
            <v>US35P015533911100016</v>
          </cell>
          <cell r="B355" t="str">
            <v>US35P01553</v>
          </cell>
          <cell r="C355">
            <v>3911100016</v>
          </cell>
          <cell r="D355" t="str">
            <v>TRAVEL EXPENSES SEASONALS / MEALS</v>
          </cell>
          <cell r="E355">
            <v>0</v>
          </cell>
          <cell r="F355">
            <v>0</v>
          </cell>
          <cell r="G355">
            <v>0</v>
          </cell>
          <cell r="H355">
            <v>0</v>
          </cell>
          <cell r="I355">
            <v>0</v>
          </cell>
          <cell r="J355">
            <v>0</v>
          </cell>
          <cell r="K355">
            <v>0</v>
          </cell>
          <cell r="L355">
            <v>0</v>
          </cell>
          <cell r="M355">
            <v>0</v>
          </cell>
          <cell r="N355">
            <v>0</v>
          </cell>
          <cell r="O355">
            <v>0</v>
          </cell>
          <cell r="P355">
            <v>0</v>
          </cell>
          <cell r="Q355">
            <v>0</v>
          </cell>
        </row>
        <row r="356">
          <cell r="A356" t="str">
            <v>US35P015533921200003</v>
          </cell>
          <cell r="B356" t="str">
            <v>US35P01553</v>
          </cell>
          <cell r="C356">
            <v>3921200003</v>
          </cell>
          <cell r="D356" t="str">
            <v>GAS</v>
          </cell>
          <cell r="E356">
            <v>0</v>
          </cell>
          <cell r="F356">
            <v>0</v>
          </cell>
          <cell r="G356">
            <v>0</v>
          </cell>
          <cell r="H356">
            <v>0</v>
          </cell>
          <cell r="I356">
            <v>0</v>
          </cell>
          <cell r="J356">
            <v>1014</v>
          </cell>
          <cell r="K356">
            <v>7099</v>
          </cell>
          <cell r="L356">
            <v>12170</v>
          </cell>
          <cell r="M356">
            <v>0</v>
          </cell>
          <cell r="N356">
            <v>0</v>
          </cell>
          <cell r="O356">
            <v>0</v>
          </cell>
          <cell r="P356">
            <v>0</v>
          </cell>
          <cell r="Q356">
            <v>20283</v>
          </cell>
        </row>
        <row r="357">
          <cell r="A357" t="str">
            <v>US35P015533921200006</v>
          </cell>
          <cell r="B357" t="str">
            <v>US35P01553</v>
          </cell>
          <cell r="C357">
            <v>3921200006</v>
          </cell>
          <cell r="D357" t="str">
            <v>FACTORY SUPPLIES MAINTENANCE SUPPLIES</v>
          </cell>
          <cell r="E357">
            <v>0</v>
          </cell>
          <cell r="F357">
            <v>0</v>
          </cell>
          <cell r="G357">
            <v>0</v>
          </cell>
          <cell r="H357">
            <v>0</v>
          </cell>
          <cell r="I357">
            <v>0</v>
          </cell>
          <cell r="J357">
            <v>710</v>
          </cell>
          <cell r="K357">
            <v>4969</v>
          </cell>
          <cell r="L357">
            <v>8519</v>
          </cell>
          <cell r="M357">
            <v>0</v>
          </cell>
          <cell r="N357">
            <v>0</v>
          </cell>
          <cell r="O357">
            <v>0</v>
          </cell>
          <cell r="P357">
            <v>0</v>
          </cell>
          <cell r="Q357">
            <v>14198</v>
          </cell>
        </row>
        <row r="358">
          <cell r="A358" t="str">
            <v>US35P015533921200037</v>
          </cell>
          <cell r="B358" t="str">
            <v>US35P01553</v>
          </cell>
          <cell r="C358">
            <v>3921200037</v>
          </cell>
          <cell r="D358" t="str">
            <v>EXHAUSTIVE EQUIPMENT</v>
          </cell>
          <cell r="E358">
            <v>0</v>
          </cell>
          <cell r="F358">
            <v>0</v>
          </cell>
          <cell r="G358">
            <v>0</v>
          </cell>
          <cell r="H358">
            <v>0</v>
          </cell>
          <cell r="I358">
            <v>0</v>
          </cell>
          <cell r="J358">
            <v>0</v>
          </cell>
          <cell r="K358">
            <v>0</v>
          </cell>
          <cell r="L358">
            <v>0</v>
          </cell>
          <cell r="M358">
            <v>0</v>
          </cell>
          <cell r="N358">
            <v>0</v>
          </cell>
          <cell r="O358">
            <v>0</v>
          </cell>
          <cell r="P358">
            <v>0</v>
          </cell>
          <cell r="Q358">
            <v>0</v>
          </cell>
        </row>
        <row r="359">
          <cell r="A359" t="str">
            <v>US35P015533921200050</v>
          </cell>
          <cell r="B359" t="str">
            <v>US35P01553</v>
          </cell>
          <cell r="C359">
            <v>3921200050</v>
          </cell>
          <cell r="D359" t="str">
            <v>SAFETY EQUIPMENT - SUPPLIES</v>
          </cell>
          <cell r="E359">
            <v>0</v>
          </cell>
          <cell r="F359">
            <v>0</v>
          </cell>
          <cell r="G359">
            <v>0</v>
          </cell>
          <cell r="H359">
            <v>0</v>
          </cell>
          <cell r="I359">
            <v>0</v>
          </cell>
          <cell r="J359">
            <v>211</v>
          </cell>
          <cell r="K359">
            <v>1477</v>
          </cell>
          <cell r="L359">
            <v>2531</v>
          </cell>
          <cell r="M359">
            <v>0</v>
          </cell>
          <cell r="N359">
            <v>0</v>
          </cell>
          <cell r="O359">
            <v>0</v>
          </cell>
          <cell r="P359">
            <v>0</v>
          </cell>
          <cell r="Q359">
            <v>4219</v>
          </cell>
        </row>
        <row r="360">
          <cell r="A360" t="str">
            <v>US35P015533921200100</v>
          </cell>
          <cell r="B360" t="str">
            <v>US35P01553</v>
          </cell>
          <cell r="C360">
            <v>3921200100</v>
          </cell>
          <cell r="D360" t="str">
            <v>FIELD &amp; PRODUCTION SUPPLIES</v>
          </cell>
          <cell r="E360">
            <v>0</v>
          </cell>
          <cell r="F360">
            <v>0</v>
          </cell>
          <cell r="G360">
            <v>0</v>
          </cell>
          <cell r="H360">
            <v>0</v>
          </cell>
          <cell r="I360">
            <v>0</v>
          </cell>
          <cell r="J360">
            <v>649</v>
          </cell>
          <cell r="K360">
            <v>4543</v>
          </cell>
          <cell r="L360">
            <v>7789</v>
          </cell>
          <cell r="M360">
            <v>0</v>
          </cell>
          <cell r="N360">
            <v>0</v>
          </cell>
          <cell r="O360">
            <v>0</v>
          </cell>
          <cell r="P360">
            <v>0</v>
          </cell>
          <cell r="Q360">
            <v>12981</v>
          </cell>
        </row>
        <row r="361">
          <cell r="A361" t="str">
            <v>US35P015533951100002</v>
          </cell>
          <cell r="B361" t="str">
            <v>US35P01553</v>
          </cell>
          <cell r="C361">
            <v>3951100002</v>
          </cell>
          <cell r="D361" t="str">
            <v>RENTALS - REAL ESTATE</v>
          </cell>
          <cell r="E361">
            <v>0</v>
          </cell>
          <cell r="F361">
            <v>0</v>
          </cell>
          <cell r="G361">
            <v>0</v>
          </cell>
          <cell r="H361">
            <v>0</v>
          </cell>
          <cell r="I361">
            <v>0</v>
          </cell>
          <cell r="J361">
            <v>0</v>
          </cell>
          <cell r="K361">
            <v>0</v>
          </cell>
          <cell r="L361">
            <v>0</v>
          </cell>
          <cell r="M361">
            <v>0</v>
          </cell>
          <cell r="N361">
            <v>0</v>
          </cell>
          <cell r="O361">
            <v>0</v>
          </cell>
          <cell r="P361">
            <v>0</v>
          </cell>
          <cell r="Q361">
            <v>0</v>
          </cell>
        </row>
        <row r="362">
          <cell r="A362" t="str">
            <v>US35P015533951100005</v>
          </cell>
          <cell r="B362" t="str">
            <v>US35P01553</v>
          </cell>
          <cell r="C362">
            <v>3951100005</v>
          </cell>
          <cell r="D362" t="str">
            <v>OTHER RENTALS</v>
          </cell>
          <cell r="E362">
            <v>0</v>
          </cell>
          <cell r="F362">
            <v>0</v>
          </cell>
          <cell r="G362">
            <v>0</v>
          </cell>
          <cell r="H362">
            <v>0</v>
          </cell>
          <cell r="I362">
            <v>0</v>
          </cell>
          <cell r="J362">
            <v>3854</v>
          </cell>
          <cell r="K362">
            <v>26976</v>
          </cell>
          <cell r="L362">
            <v>46245</v>
          </cell>
          <cell r="M362">
            <v>0</v>
          </cell>
          <cell r="N362">
            <v>0</v>
          </cell>
          <cell r="O362">
            <v>0</v>
          </cell>
          <cell r="P362">
            <v>0</v>
          </cell>
          <cell r="Q362">
            <v>77075</v>
          </cell>
        </row>
        <row r="363">
          <cell r="A363" t="str">
            <v>US35P015533951200002</v>
          </cell>
          <cell r="B363" t="str">
            <v>US35P01553</v>
          </cell>
          <cell r="C363">
            <v>3951200002</v>
          </cell>
          <cell r="D363" t="str">
            <v>OPERATING LEASES - VEHICLES (SHORT DURAT</v>
          </cell>
          <cell r="E363">
            <v>0</v>
          </cell>
          <cell r="F363">
            <v>0</v>
          </cell>
          <cell r="G363">
            <v>0</v>
          </cell>
          <cell r="H363">
            <v>0</v>
          </cell>
          <cell r="I363">
            <v>0</v>
          </cell>
          <cell r="J363">
            <v>203</v>
          </cell>
          <cell r="K363">
            <v>1420</v>
          </cell>
          <cell r="L363">
            <v>2434</v>
          </cell>
          <cell r="M363">
            <v>0</v>
          </cell>
          <cell r="N363">
            <v>0</v>
          </cell>
          <cell r="O363">
            <v>0</v>
          </cell>
          <cell r="P363">
            <v>0</v>
          </cell>
          <cell r="Q363">
            <v>4057</v>
          </cell>
        </row>
        <row r="364">
          <cell r="A364" t="str">
            <v>US35P015533961100000</v>
          </cell>
          <cell r="B364" t="str">
            <v>US35P01553</v>
          </cell>
          <cell r="C364">
            <v>3961100000</v>
          </cell>
          <cell r="D364" t="str">
            <v>COMPREHENSIVE INSURANCES</v>
          </cell>
          <cell r="E364">
            <v>0</v>
          </cell>
          <cell r="F364">
            <v>0</v>
          </cell>
          <cell r="G364">
            <v>0</v>
          </cell>
          <cell r="H364">
            <v>0</v>
          </cell>
          <cell r="I364">
            <v>0</v>
          </cell>
          <cell r="J364">
            <v>2210</v>
          </cell>
          <cell r="K364">
            <v>15473</v>
          </cell>
          <cell r="L364">
            <v>26525</v>
          </cell>
          <cell r="M364">
            <v>0</v>
          </cell>
          <cell r="N364">
            <v>0</v>
          </cell>
          <cell r="O364">
            <v>0</v>
          </cell>
          <cell r="P364">
            <v>0</v>
          </cell>
          <cell r="Q364">
            <v>44208</v>
          </cell>
        </row>
        <row r="365">
          <cell r="A365" t="str">
            <v>US35P015603111100000</v>
          </cell>
          <cell r="B365" t="str">
            <v>US35P01560</v>
          </cell>
          <cell r="C365">
            <v>3111100000</v>
          </cell>
          <cell r="D365" t="str">
            <v>WAGES,SALARIES,ALLOWANCES AND COMMI/PERM</v>
          </cell>
          <cell r="E365">
            <v>8770</v>
          </cell>
          <cell r="F365">
            <v>8770</v>
          </cell>
          <cell r="G365">
            <v>8770</v>
          </cell>
          <cell r="H365">
            <v>8770</v>
          </cell>
          <cell r="I365">
            <v>8770</v>
          </cell>
          <cell r="J365">
            <v>8770</v>
          </cell>
          <cell r="K365">
            <v>8770</v>
          </cell>
          <cell r="L365">
            <v>8770</v>
          </cell>
          <cell r="M365">
            <v>8770</v>
          </cell>
          <cell r="N365">
            <v>8770</v>
          </cell>
          <cell r="O365">
            <v>8770</v>
          </cell>
          <cell r="P365">
            <v>8773</v>
          </cell>
          <cell r="Q365">
            <v>105243</v>
          </cell>
        </row>
        <row r="366">
          <cell r="A366" t="str">
            <v>US35P015603111100012</v>
          </cell>
          <cell r="B366" t="str">
            <v>US35P01560</v>
          </cell>
          <cell r="C366">
            <v>3111100012</v>
          </cell>
          <cell r="D366" t="str">
            <v>OVERTIME HOURS /PERMANENTS</v>
          </cell>
          <cell r="E366">
            <v>2339</v>
          </cell>
          <cell r="F366">
            <v>2339</v>
          </cell>
          <cell r="G366">
            <v>2339</v>
          </cell>
          <cell r="H366">
            <v>2339</v>
          </cell>
          <cell r="I366">
            <v>2339</v>
          </cell>
          <cell r="J366">
            <v>2339</v>
          </cell>
          <cell r="K366">
            <v>2339</v>
          </cell>
          <cell r="L366">
            <v>2339</v>
          </cell>
          <cell r="M366">
            <v>2339</v>
          </cell>
          <cell r="N366">
            <v>2339</v>
          </cell>
          <cell r="O366">
            <v>2339</v>
          </cell>
          <cell r="P366">
            <v>2334</v>
          </cell>
          <cell r="Q366">
            <v>28063</v>
          </cell>
        </row>
        <row r="367">
          <cell r="A367" t="str">
            <v>US35P015603121300013</v>
          </cell>
          <cell r="B367" t="str">
            <v>US35P01560</v>
          </cell>
          <cell r="C367">
            <v>3121300013</v>
          </cell>
          <cell r="D367" t="str">
            <v>FRINGE BENEFITS</v>
          </cell>
          <cell r="E367">
            <v>4199</v>
          </cell>
          <cell r="F367">
            <v>4199</v>
          </cell>
          <cell r="G367">
            <v>4199</v>
          </cell>
          <cell r="H367">
            <v>4199</v>
          </cell>
          <cell r="I367">
            <v>4199</v>
          </cell>
          <cell r="J367">
            <v>4199</v>
          </cell>
          <cell r="K367">
            <v>4199</v>
          </cell>
          <cell r="L367">
            <v>4199</v>
          </cell>
          <cell r="M367">
            <v>4199</v>
          </cell>
          <cell r="N367">
            <v>4199</v>
          </cell>
          <cell r="O367">
            <v>4199</v>
          </cell>
          <cell r="P367">
            <v>4201</v>
          </cell>
          <cell r="Q367">
            <v>50390</v>
          </cell>
        </row>
        <row r="368">
          <cell r="A368" t="str">
            <v>US35P015603201300001</v>
          </cell>
          <cell r="B368" t="str">
            <v>US35P01560</v>
          </cell>
          <cell r="C368">
            <v>3201300001</v>
          </cell>
          <cell r="D368" t="str">
            <v>HIRED PERSONNEL FROM 3RD PARTIES</v>
          </cell>
          <cell r="E368">
            <v>57942</v>
          </cell>
          <cell r="F368">
            <v>28971</v>
          </cell>
          <cell r="G368">
            <v>28971</v>
          </cell>
          <cell r="H368">
            <v>28971</v>
          </cell>
          <cell r="I368">
            <v>0</v>
          </cell>
          <cell r="J368">
            <v>0</v>
          </cell>
          <cell r="K368">
            <v>0</v>
          </cell>
          <cell r="L368">
            <v>0</v>
          </cell>
          <cell r="M368">
            <v>86913</v>
          </cell>
          <cell r="N368">
            <v>115884</v>
          </cell>
          <cell r="O368">
            <v>115884</v>
          </cell>
          <cell r="P368">
            <v>115884</v>
          </cell>
          <cell r="Q368">
            <v>579420</v>
          </cell>
        </row>
        <row r="369">
          <cell r="A369" t="str">
            <v>US35P015603201300005</v>
          </cell>
          <cell r="B369" t="str">
            <v>US35P01560</v>
          </cell>
          <cell r="C369">
            <v>3201300005</v>
          </cell>
          <cell r="D369" t="str">
            <v>O/S SERVICES - COMPUTER LIC. &amp; SUPPORT</v>
          </cell>
          <cell r="E369">
            <v>1363</v>
          </cell>
          <cell r="F369">
            <v>682</v>
          </cell>
          <cell r="G369">
            <v>682</v>
          </cell>
          <cell r="H369">
            <v>682</v>
          </cell>
          <cell r="I369">
            <v>0</v>
          </cell>
          <cell r="J369">
            <v>0</v>
          </cell>
          <cell r="K369">
            <v>0</v>
          </cell>
          <cell r="L369">
            <v>0</v>
          </cell>
          <cell r="M369">
            <v>2045</v>
          </cell>
          <cell r="N369">
            <v>2727</v>
          </cell>
          <cell r="O369">
            <v>2727</v>
          </cell>
          <cell r="P369">
            <v>2727</v>
          </cell>
          <cell r="Q369">
            <v>13635</v>
          </cell>
        </row>
        <row r="370">
          <cell r="A370" t="str">
            <v>US35P015603201400029</v>
          </cell>
          <cell r="B370" t="str">
            <v>US35P01560</v>
          </cell>
          <cell r="C370">
            <v>3201400029</v>
          </cell>
          <cell r="D370" t="str">
            <v>OTH OUTSIDE SERVICES OTHER</v>
          </cell>
          <cell r="E370">
            <v>2727</v>
          </cell>
          <cell r="F370">
            <v>1363</v>
          </cell>
          <cell r="G370">
            <v>1363</v>
          </cell>
          <cell r="H370">
            <v>1363</v>
          </cell>
          <cell r="I370">
            <v>0</v>
          </cell>
          <cell r="J370">
            <v>0</v>
          </cell>
          <cell r="K370">
            <v>0</v>
          </cell>
          <cell r="L370">
            <v>0</v>
          </cell>
          <cell r="M370">
            <v>4090</v>
          </cell>
          <cell r="N370">
            <v>5453</v>
          </cell>
          <cell r="O370">
            <v>5453</v>
          </cell>
          <cell r="P370">
            <v>5453</v>
          </cell>
          <cell r="Q370">
            <v>27265</v>
          </cell>
        </row>
        <row r="371">
          <cell r="A371" t="str">
            <v>US35P015603201400036</v>
          </cell>
          <cell r="B371" t="str">
            <v>US35P01560</v>
          </cell>
          <cell r="C371">
            <v>3201400036</v>
          </cell>
          <cell r="D371" t="str">
            <v>OTHER MAINTENANCE BUILDINGS</v>
          </cell>
          <cell r="E371">
            <v>2727</v>
          </cell>
          <cell r="F371">
            <v>1363</v>
          </cell>
          <cell r="G371">
            <v>1363</v>
          </cell>
          <cell r="H371">
            <v>1363</v>
          </cell>
          <cell r="I371">
            <v>0</v>
          </cell>
          <cell r="J371">
            <v>0</v>
          </cell>
          <cell r="K371">
            <v>0</v>
          </cell>
          <cell r="L371">
            <v>0</v>
          </cell>
          <cell r="M371">
            <v>4090</v>
          </cell>
          <cell r="N371">
            <v>5453</v>
          </cell>
          <cell r="O371">
            <v>5453</v>
          </cell>
          <cell r="P371">
            <v>5453</v>
          </cell>
          <cell r="Q371">
            <v>27265</v>
          </cell>
        </row>
        <row r="372">
          <cell r="A372" t="str">
            <v>US35P015603201400051</v>
          </cell>
          <cell r="B372" t="str">
            <v>US35P01560</v>
          </cell>
          <cell r="C372">
            <v>3201400051</v>
          </cell>
          <cell r="D372" t="str">
            <v>MAINTENANCE EQUIPMENT</v>
          </cell>
          <cell r="E372">
            <v>17042</v>
          </cell>
          <cell r="F372">
            <v>8521</v>
          </cell>
          <cell r="G372">
            <v>8521</v>
          </cell>
          <cell r="H372">
            <v>8521</v>
          </cell>
          <cell r="I372">
            <v>0</v>
          </cell>
          <cell r="J372">
            <v>0</v>
          </cell>
          <cell r="K372">
            <v>0</v>
          </cell>
          <cell r="L372">
            <v>0</v>
          </cell>
          <cell r="M372">
            <v>25563</v>
          </cell>
          <cell r="N372">
            <v>34084</v>
          </cell>
          <cell r="O372">
            <v>34084</v>
          </cell>
          <cell r="P372">
            <v>34084</v>
          </cell>
          <cell r="Q372">
            <v>170420</v>
          </cell>
        </row>
        <row r="373">
          <cell r="A373" t="str">
            <v>US35P015603311400099</v>
          </cell>
          <cell r="B373" t="str">
            <v>US35P01560</v>
          </cell>
          <cell r="C373">
            <v>3311400099</v>
          </cell>
          <cell r="D373" t="str">
            <v>CO DEPRECIATION</v>
          </cell>
          <cell r="E373">
            <v>37230</v>
          </cell>
          <cell r="F373">
            <v>37230</v>
          </cell>
          <cell r="G373">
            <v>37230</v>
          </cell>
          <cell r="H373">
            <v>37230</v>
          </cell>
          <cell r="I373">
            <v>37230</v>
          </cell>
          <cell r="J373">
            <v>37230</v>
          </cell>
          <cell r="K373">
            <v>37230</v>
          </cell>
          <cell r="L373">
            <v>37230</v>
          </cell>
          <cell r="M373">
            <v>37230</v>
          </cell>
          <cell r="N373">
            <v>37230</v>
          </cell>
          <cell r="O373">
            <v>37230</v>
          </cell>
          <cell r="P373">
            <v>37234</v>
          </cell>
          <cell r="Q373">
            <v>446764</v>
          </cell>
        </row>
        <row r="374">
          <cell r="A374" t="str">
            <v>US35P015603921200003</v>
          </cell>
          <cell r="B374" t="str">
            <v>US35P01560</v>
          </cell>
          <cell r="C374">
            <v>3921200003</v>
          </cell>
          <cell r="D374" t="str">
            <v>GAS</v>
          </cell>
          <cell r="E374">
            <v>68</v>
          </cell>
          <cell r="F374">
            <v>34</v>
          </cell>
          <cell r="G374">
            <v>34</v>
          </cell>
          <cell r="H374">
            <v>34</v>
          </cell>
          <cell r="I374">
            <v>0</v>
          </cell>
          <cell r="J374">
            <v>0</v>
          </cell>
          <cell r="K374">
            <v>0</v>
          </cell>
          <cell r="L374">
            <v>0</v>
          </cell>
          <cell r="M374">
            <v>102</v>
          </cell>
          <cell r="N374">
            <v>136</v>
          </cell>
          <cell r="O374">
            <v>136</v>
          </cell>
          <cell r="P374">
            <v>136</v>
          </cell>
          <cell r="Q374">
            <v>680</v>
          </cell>
        </row>
        <row r="375">
          <cell r="A375" t="str">
            <v>US35P015603921200006</v>
          </cell>
          <cell r="B375" t="str">
            <v>US35P01560</v>
          </cell>
          <cell r="C375">
            <v>3921200006</v>
          </cell>
          <cell r="D375" t="str">
            <v>FACTORY SUPPLIES MAINTENANCE SUPPLIES</v>
          </cell>
          <cell r="E375">
            <v>17042</v>
          </cell>
          <cell r="F375">
            <v>8521</v>
          </cell>
          <cell r="G375">
            <v>8521</v>
          </cell>
          <cell r="H375">
            <v>8521</v>
          </cell>
          <cell r="I375">
            <v>0</v>
          </cell>
          <cell r="J375">
            <v>0</v>
          </cell>
          <cell r="K375">
            <v>0</v>
          </cell>
          <cell r="L375">
            <v>0</v>
          </cell>
          <cell r="M375">
            <v>25563</v>
          </cell>
          <cell r="N375">
            <v>34084</v>
          </cell>
          <cell r="O375">
            <v>34084</v>
          </cell>
          <cell r="P375">
            <v>34084</v>
          </cell>
          <cell r="Q375">
            <v>170420</v>
          </cell>
        </row>
        <row r="376">
          <cell r="A376" t="str">
            <v>US35P015603921200050</v>
          </cell>
          <cell r="B376" t="str">
            <v>US35P01560</v>
          </cell>
          <cell r="C376">
            <v>3921200050</v>
          </cell>
          <cell r="D376" t="str">
            <v>SAFETY EQUIPMENT - SUPPLIES</v>
          </cell>
          <cell r="E376">
            <v>1704</v>
          </cell>
          <cell r="F376">
            <v>852</v>
          </cell>
          <cell r="G376">
            <v>852</v>
          </cell>
          <cell r="H376">
            <v>852</v>
          </cell>
          <cell r="I376">
            <v>0</v>
          </cell>
          <cell r="J376">
            <v>0</v>
          </cell>
          <cell r="K376">
            <v>0</v>
          </cell>
          <cell r="L376">
            <v>0</v>
          </cell>
          <cell r="M376">
            <v>2556</v>
          </cell>
          <cell r="N376">
            <v>3408</v>
          </cell>
          <cell r="O376">
            <v>3408</v>
          </cell>
          <cell r="P376">
            <v>3408</v>
          </cell>
          <cell r="Q376">
            <v>17040</v>
          </cell>
        </row>
        <row r="377">
          <cell r="A377" t="str">
            <v>US35P015603921200100</v>
          </cell>
          <cell r="B377" t="str">
            <v>US35P01560</v>
          </cell>
          <cell r="C377">
            <v>3921200100</v>
          </cell>
          <cell r="D377" t="str">
            <v>FIELD &amp; PRODUCTION SUPPLIES</v>
          </cell>
          <cell r="E377">
            <v>27267</v>
          </cell>
          <cell r="F377">
            <v>13633</v>
          </cell>
          <cell r="G377">
            <v>13633</v>
          </cell>
          <cell r="H377">
            <v>13633</v>
          </cell>
          <cell r="I377">
            <v>0</v>
          </cell>
          <cell r="J377">
            <v>0</v>
          </cell>
          <cell r="K377">
            <v>0</v>
          </cell>
          <cell r="L377">
            <v>0</v>
          </cell>
          <cell r="M377">
            <v>40900</v>
          </cell>
          <cell r="N377">
            <v>54534</v>
          </cell>
          <cell r="O377">
            <v>54534</v>
          </cell>
          <cell r="P377">
            <v>54534</v>
          </cell>
          <cell r="Q377">
            <v>272668</v>
          </cell>
        </row>
        <row r="378">
          <cell r="A378" t="str">
            <v>US35P015643111100000</v>
          </cell>
          <cell r="B378" t="str">
            <v>US35P01564</v>
          </cell>
          <cell r="C378">
            <v>3111100000</v>
          </cell>
          <cell r="D378" t="str">
            <v>WAGES,SALARIES,ALLOWANCES AND COMMI/PERM</v>
          </cell>
          <cell r="E378">
            <v>3175</v>
          </cell>
          <cell r="F378">
            <v>3175</v>
          </cell>
          <cell r="G378">
            <v>3175</v>
          </cell>
          <cell r="H378">
            <v>3175</v>
          </cell>
          <cell r="I378">
            <v>3175</v>
          </cell>
          <cell r="J378">
            <v>3175</v>
          </cell>
          <cell r="K378">
            <v>3175</v>
          </cell>
          <cell r="L378">
            <v>3175</v>
          </cell>
          <cell r="M378">
            <v>3175</v>
          </cell>
          <cell r="N378">
            <v>3175</v>
          </cell>
          <cell r="O378">
            <v>3175</v>
          </cell>
          <cell r="P378">
            <v>3172</v>
          </cell>
          <cell r="Q378">
            <v>38097</v>
          </cell>
        </row>
        <row r="379">
          <cell r="A379" t="str">
            <v>US35P015643111100012</v>
          </cell>
          <cell r="B379" t="str">
            <v>US35P01564</v>
          </cell>
          <cell r="C379">
            <v>3111100012</v>
          </cell>
          <cell r="D379" t="str">
            <v>OVERTIME HOURS /PERMANENTS</v>
          </cell>
          <cell r="E379">
            <v>635</v>
          </cell>
          <cell r="F379">
            <v>635</v>
          </cell>
          <cell r="G379">
            <v>635</v>
          </cell>
          <cell r="H379">
            <v>635</v>
          </cell>
          <cell r="I379">
            <v>635</v>
          </cell>
          <cell r="J379">
            <v>635</v>
          </cell>
          <cell r="K379">
            <v>635</v>
          </cell>
          <cell r="L379">
            <v>635</v>
          </cell>
          <cell r="M379">
            <v>635</v>
          </cell>
          <cell r="N379">
            <v>635</v>
          </cell>
          <cell r="O379">
            <v>635</v>
          </cell>
          <cell r="P379">
            <v>635</v>
          </cell>
          <cell r="Q379">
            <v>7620</v>
          </cell>
        </row>
        <row r="380">
          <cell r="A380" t="str">
            <v>US35P015643121300013</v>
          </cell>
          <cell r="B380" t="str">
            <v>US35P01564</v>
          </cell>
          <cell r="C380">
            <v>3121300013</v>
          </cell>
          <cell r="D380" t="str">
            <v>FRINGE BENEFITS</v>
          </cell>
          <cell r="E380">
            <v>1440</v>
          </cell>
          <cell r="F380">
            <v>1440</v>
          </cell>
          <cell r="G380">
            <v>1440</v>
          </cell>
          <cell r="H380">
            <v>1440</v>
          </cell>
          <cell r="I380">
            <v>1440</v>
          </cell>
          <cell r="J380">
            <v>1440</v>
          </cell>
          <cell r="K380">
            <v>1440</v>
          </cell>
          <cell r="L380">
            <v>1440</v>
          </cell>
          <cell r="M380">
            <v>1440</v>
          </cell>
          <cell r="N380">
            <v>1440</v>
          </cell>
          <cell r="O380">
            <v>1440</v>
          </cell>
          <cell r="P380">
            <v>1441</v>
          </cell>
          <cell r="Q380">
            <v>17281</v>
          </cell>
        </row>
        <row r="381">
          <cell r="A381" t="str">
            <v>US35P015643131100025</v>
          </cell>
          <cell r="B381" t="str">
            <v>US35P01564</v>
          </cell>
          <cell r="C381">
            <v>3131100025</v>
          </cell>
          <cell r="D381" t="str">
            <v>OTHER PERSONNEL EXPENSES</v>
          </cell>
          <cell r="E381">
            <v>111</v>
          </cell>
          <cell r="F381">
            <v>111</v>
          </cell>
          <cell r="G381">
            <v>0</v>
          </cell>
          <cell r="H381">
            <v>0</v>
          </cell>
          <cell r="I381">
            <v>0</v>
          </cell>
          <cell r="J381">
            <v>0</v>
          </cell>
          <cell r="K381">
            <v>0</v>
          </cell>
          <cell r="L381">
            <v>111</v>
          </cell>
          <cell r="M381">
            <v>444</v>
          </cell>
          <cell r="N381">
            <v>777</v>
          </cell>
          <cell r="O381">
            <v>444</v>
          </cell>
          <cell r="P381">
            <v>222</v>
          </cell>
          <cell r="Q381">
            <v>2220</v>
          </cell>
        </row>
        <row r="382">
          <cell r="A382" t="str">
            <v>US35P015643201300001</v>
          </cell>
          <cell r="B382" t="str">
            <v>US35P01564</v>
          </cell>
          <cell r="C382">
            <v>3201300001</v>
          </cell>
          <cell r="D382" t="str">
            <v>HIRED PERSONNEL FROM 3RD PARTIES</v>
          </cell>
          <cell r="E382">
            <v>29610</v>
          </cell>
          <cell r="F382">
            <v>29610</v>
          </cell>
          <cell r="G382">
            <v>0</v>
          </cell>
          <cell r="H382">
            <v>0</v>
          </cell>
          <cell r="I382">
            <v>0</v>
          </cell>
          <cell r="J382">
            <v>0</v>
          </cell>
          <cell r="K382">
            <v>0</v>
          </cell>
          <cell r="L382">
            <v>29610</v>
          </cell>
          <cell r="M382">
            <v>118441</v>
          </cell>
          <cell r="N382">
            <v>207271</v>
          </cell>
          <cell r="O382">
            <v>118441</v>
          </cell>
          <cell r="P382">
            <v>59220</v>
          </cell>
          <cell r="Q382">
            <v>592203</v>
          </cell>
        </row>
        <row r="383">
          <cell r="A383" t="str">
            <v>US35P015643201400029</v>
          </cell>
          <cell r="B383" t="str">
            <v>US35P01564</v>
          </cell>
          <cell r="C383">
            <v>3201400029</v>
          </cell>
          <cell r="D383" t="str">
            <v>OTH OUTSIDE SERVICES OTHER</v>
          </cell>
          <cell r="E383">
            <v>1851</v>
          </cell>
          <cell r="F383">
            <v>1851</v>
          </cell>
          <cell r="G383">
            <v>0</v>
          </cell>
          <cell r="H383">
            <v>0</v>
          </cell>
          <cell r="I383">
            <v>0</v>
          </cell>
          <cell r="J383">
            <v>0</v>
          </cell>
          <cell r="K383">
            <v>0</v>
          </cell>
          <cell r="L383">
            <v>1851</v>
          </cell>
          <cell r="M383">
            <v>7403</v>
          </cell>
          <cell r="N383">
            <v>12954</v>
          </cell>
          <cell r="O383">
            <v>7403</v>
          </cell>
          <cell r="P383">
            <v>3701</v>
          </cell>
          <cell r="Q383">
            <v>37014</v>
          </cell>
        </row>
        <row r="384">
          <cell r="A384" t="str">
            <v>US35P015643201400051</v>
          </cell>
          <cell r="B384" t="str">
            <v>US35P01564</v>
          </cell>
          <cell r="C384">
            <v>3201400051</v>
          </cell>
          <cell r="D384" t="str">
            <v>MAINTENANCE EQUIPMENT</v>
          </cell>
          <cell r="E384">
            <v>9993</v>
          </cell>
          <cell r="F384">
            <v>9993</v>
          </cell>
          <cell r="G384">
            <v>0</v>
          </cell>
          <cell r="H384">
            <v>0</v>
          </cell>
          <cell r="I384">
            <v>0</v>
          </cell>
          <cell r="J384">
            <v>0</v>
          </cell>
          <cell r="K384">
            <v>0</v>
          </cell>
          <cell r="L384">
            <v>9993</v>
          </cell>
          <cell r="M384">
            <v>39974</v>
          </cell>
          <cell r="N384">
            <v>69954</v>
          </cell>
          <cell r="O384">
            <v>39974</v>
          </cell>
          <cell r="P384">
            <v>19987</v>
          </cell>
          <cell r="Q384">
            <v>199868</v>
          </cell>
        </row>
        <row r="385">
          <cell r="A385" t="str">
            <v>US35P015643311400099</v>
          </cell>
          <cell r="B385" t="str">
            <v>US35P01564</v>
          </cell>
          <cell r="C385">
            <v>3311400099</v>
          </cell>
          <cell r="D385" t="str">
            <v>CO DEPRECIATION</v>
          </cell>
          <cell r="E385">
            <v>23834</v>
          </cell>
          <cell r="F385">
            <v>23834</v>
          </cell>
          <cell r="G385">
            <v>23834</v>
          </cell>
          <cell r="H385">
            <v>23834</v>
          </cell>
          <cell r="I385">
            <v>23834</v>
          </cell>
          <cell r="J385">
            <v>23834</v>
          </cell>
          <cell r="K385">
            <v>23834</v>
          </cell>
          <cell r="L385">
            <v>23834</v>
          </cell>
          <cell r="M385">
            <v>23666</v>
          </cell>
          <cell r="N385">
            <v>23666</v>
          </cell>
          <cell r="O385">
            <v>23666</v>
          </cell>
          <cell r="P385">
            <v>23649</v>
          </cell>
          <cell r="Q385">
            <v>285319</v>
          </cell>
        </row>
        <row r="386">
          <cell r="A386" t="str">
            <v>US35P015643921100001</v>
          </cell>
          <cell r="B386" t="str">
            <v>US35P01564</v>
          </cell>
          <cell r="C386">
            <v>3921100001</v>
          </cell>
          <cell r="D386" t="str">
            <v>UTILITY EXPENSES ELECTRICITY</v>
          </cell>
          <cell r="E386">
            <v>5552</v>
          </cell>
          <cell r="F386">
            <v>5552</v>
          </cell>
          <cell r="G386">
            <v>0</v>
          </cell>
          <cell r="H386">
            <v>0</v>
          </cell>
          <cell r="I386">
            <v>0</v>
          </cell>
          <cell r="J386">
            <v>0</v>
          </cell>
          <cell r="K386">
            <v>0</v>
          </cell>
          <cell r="L386">
            <v>5552</v>
          </cell>
          <cell r="M386">
            <v>22208</v>
          </cell>
          <cell r="N386">
            <v>38863</v>
          </cell>
          <cell r="O386">
            <v>22208</v>
          </cell>
          <cell r="P386">
            <v>11104</v>
          </cell>
          <cell r="Q386">
            <v>111039</v>
          </cell>
        </row>
        <row r="387">
          <cell r="A387" t="str">
            <v>US35P015643921200001</v>
          </cell>
          <cell r="B387" t="str">
            <v>US35P01564</v>
          </cell>
          <cell r="C387">
            <v>3921200001</v>
          </cell>
          <cell r="D387" t="str">
            <v>FUEL</v>
          </cell>
          <cell r="E387">
            <v>56</v>
          </cell>
          <cell r="F387">
            <v>56</v>
          </cell>
          <cell r="G387">
            <v>0</v>
          </cell>
          <cell r="H387">
            <v>0</v>
          </cell>
          <cell r="I387">
            <v>0</v>
          </cell>
          <cell r="J387">
            <v>0</v>
          </cell>
          <cell r="K387">
            <v>0</v>
          </cell>
          <cell r="L387">
            <v>56</v>
          </cell>
          <cell r="M387">
            <v>222</v>
          </cell>
          <cell r="N387">
            <v>389</v>
          </cell>
          <cell r="O387">
            <v>222</v>
          </cell>
          <cell r="P387">
            <v>111</v>
          </cell>
          <cell r="Q387">
            <v>1112</v>
          </cell>
        </row>
        <row r="388">
          <cell r="A388" t="str">
            <v>US35P015643921200003</v>
          </cell>
          <cell r="B388" t="str">
            <v>US35P01564</v>
          </cell>
          <cell r="C388">
            <v>3921200003</v>
          </cell>
          <cell r="D388" t="str">
            <v>GAS</v>
          </cell>
          <cell r="E388">
            <v>16656</v>
          </cell>
          <cell r="F388">
            <v>16656</v>
          </cell>
          <cell r="G388">
            <v>0</v>
          </cell>
          <cell r="H388">
            <v>0</v>
          </cell>
          <cell r="I388">
            <v>0</v>
          </cell>
          <cell r="J388">
            <v>0</v>
          </cell>
          <cell r="K388">
            <v>0</v>
          </cell>
          <cell r="L388">
            <v>16656</v>
          </cell>
          <cell r="M388">
            <v>66623</v>
          </cell>
          <cell r="N388">
            <v>116590</v>
          </cell>
          <cell r="O388">
            <v>66623</v>
          </cell>
          <cell r="P388">
            <v>33311</v>
          </cell>
          <cell r="Q388">
            <v>333115</v>
          </cell>
        </row>
        <row r="389">
          <cell r="A389" t="str">
            <v>US35P015643921200006</v>
          </cell>
          <cell r="B389" t="str">
            <v>US35P01564</v>
          </cell>
          <cell r="C389">
            <v>3921200006</v>
          </cell>
          <cell r="D389" t="str">
            <v>FACTORY SUPPLIES MAINTENANCE SUPPLIES</v>
          </cell>
          <cell r="E389">
            <v>1110</v>
          </cell>
          <cell r="F389">
            <v>1110</v>
          </cell>
          <cell r="G389">
            <v>0</v>
          </cell>
          <cell r="H389">
            <v>0</v>
          </cell>
          <cell r="I389">
            <v>0</v>
          </cell>
          <cell r="J389">
            <v>0</v>
          </cell>
          <cell r="K389">
            <v>0</v>
          </cell>
          <cell r="L389">
            <v>1110</v>
          </cell>
          <cell r="M389">
            <v>4442</v>
          </cell>
          <cell r="N389">
            <v>7773</v>
          </cell>
          <cell r="O389">
            <v>4442</v>
          </cell>
          <cell r="P389">
            <v>2221</v>
          </cell>
          <cell r="Q389">
            <v>22208</v>
          </cell>
        </row>
        <row r="390">
          <cell r="A390" t="str">
            <v>US35P015643921200050</v>
          </cell>
          <cell r="B390" t="str">
            <v>US35P01564</v>
          </cell>
          <cell r="C390">
            <v>3921200050</v>
          </cell>
          <cell r="D390" t="str">
            <v>SAFETY EQUIPMENT - SUPPLIES</v>
          </cell>
          <cell r="E390">
            <v>444</v>
          </cell>
          <cell r="F390">
            <v>444</v>
          </cell>
          <cell r="G390">
            <v>0</v>
          </cell>
          <cell r="H390">
            <v>0</v>
          </cell>
          <cell r="I390">
            <v>0</v>
          </cell>
          <cell r="J390">
            <v>0</v>
          </cell>
          <cell r="K390">
            <v>0</v>
          </cell>
          <cell r="L390">
            <v>444</v>
          </cell>
          <cell r="M390">
            <v>1777</v>
          </cell>
          <cell r="N390">
            <v>3109</v>
          </cell>
          <cell r="O390">
            <v>1777</v>
          </cell>
          <cell r="P390">
            <v>888</v>
          </cell>
          <cell r="Q390">
            <v>8883</v>
          </cell>
        </row>
        <row r="391">
          <cell r="A391" t="str">
            <v>US35P015753111100000</v>
          </cell>
          <cell r="B391" t="str">
            <v>US35P01575</v>
          </cell>
          <cell r="C391">
            <v>3111100000</v>
          </cell>
          <cell r="D391" t="str">
            <v>WAGES,SALARIES,ALLOWANCES AND COMMI/PERM</v>
          </cell>
          <cell r="E391">
            <v>1673</v>
          </cell>
          <cell r="F391">
            <v>1673</v>
          </cell>
          <cell r="G391">
            <v>1673</v>
          </cell>
          <cell r="H391">
            <v>1673</v>
          </cell>
          <cell r="I391">
            <v>1673</v>
          </cell>
          <cell r="J391">
            <v>1673</v>
          </cell>
          <cell r="K391">
            <v>1673</v>
          </cell>
          <cell r="L391">
            <v>1673</v>
          </cell>
          <cell r="M391">
            <v>1673</v>
          </cell>
          <cell r="N391">
            <v>1673</v>
          </cell>
          <cell r="O391">
            <v>1673</v>
          </cell>
          <cell r="P391">
            <v>1667</v>
          </cell>
          <cell r="Q391">
            <v>20070</v>
          </cell>
        </row>
        <row r="392">
          <cell r="A392" t="str">
            <v>US35P015753111100012</v>
          </cell>
          <cell r="B392" t="str">
            <v>US35P01575</v>
          </cell>
          <cell r="C392">
            <v>3111100012</v>
          </cell>
          <cell r="D392" t="str">
            <v>OVERTIME HOURS /PERMANENTS</v>
          </cell>
          <cell r="E392">
            <v>373</v>
          </cell>
          <cell r="F392">
            <v>373</v>
          </cell>
          <cell r="G392">
            <v>373</v>
          </cell>
          <cell r="H392">
            <v>373</v>
          </cell>
          <cell r="I392">
            <v>373</v>
          </cell>
          <cell r="J392">
            <v>373</v>
          </cell>
          <cell r="K392">
            <v>373</v>
          </cell>
          <cell r="L392">
            <v>373</v>
          </cell>
          <cell r="M392">
            <v>373</v>
          </cell>
          <cell r="N392">
            <v>373</v>
          </cell>
          <cell r="O392">
            <v>373</v>
          </cell>
          <cell r="P392">
            <v>377</v>
          </cell>
          <cell r="Q392">
            <v>4480</v>
          </cell>
        </row>
        <row r="393">
          <cell r="A393" t="str">
            <v>US35P015753121300013</v>
          </cell>
          <cell r="B393" t="str">
            <v>US35P01575</v>
          </cell>
          <cell r="C393">
            <v>3121300013</v>
          </cell>
          <cell r="D393" t="str">
            <v>FRINGE BENEFITS</v>
          </cell>
          <cell r="E393">
            <v>773</v>
          </cell>
          <cell r="F393">
            <v>773</v>
          </cell>
          <cell r="G393">
            <v>773</v>
          </cell>
          <cell r="H393">
            <v>773</v>
          </cell>
          <cell r="I393">
            <v>773</v>
          </cell>
          <cell r="J393">
            <v>773</v>
          </cell>
          <cell r="K393">
            <v>773</v>
          </cell>
          <cell r="L393">
            <v>773</v>
          </cell>
          <cell r="M393">
            <v>773</v>
          </cell>
          <cell r="N393">
            <v>773</v>
          </cell>
          <cell r="O393">
            <v>773</v>
          </cell>
          <cell r="P393">
            <v>777</v>
          </cell>
          <cell r="Q393">
            <v>9280</v>
          </cell>
        </row>
        <row r="394">
          <cell r="A394" t="str">
            <v>US35P015753201300001</v>
          </cell>
          <cell r="B394" t="str">
            <v>US35P01575</v>
          </cell>
          <cell r="C394">
            <v>3201300001</v>
          </cell>
          <cell r="D394" t="str">
            <v>HIRED PERSONNEL FROM 3RD PARTIES</v>
          </cell>
          <cell r="E394">
            <v>12100</v>
          </cell>
          <cell r="F394">
            <v>12100</v>
          </cell>
          <cell r="G394">
            <v>12100</v>
          </cell>
          <cell r="H394">
            <v>0</v>
          </cell>
          <cell r="I394">
            <v>12100</v>
          </cell>
          <cell r="J394">
            <v>36300</v>
          </cell>
          <cell r="K394">
            <v>72600</v>
          </cell>
          <cell r="L394">
            <v>72600</v>
          </cell>
          <cell r="M394">
            <v>0</v>
          </cell>
          <cell r="N394">
            <v>0</v>
          </cell>
          <cell r="O394">
            <v>0</v>
          </cell>
          <cell r="P394">
            <v>12100</v>
          </cell>
          <cell r="Q394">
            <v>242000</v>
          </cell>
        </row>
        <row r="395">
          <cell r="A395" t="str">
            <v>US35P015753201400029</v>
          </cell>
          <cell r="B395" t="str">
            <v>US35P01575</v>
          </cell>
          <cell r="C395">
            <v>3201400029</v>
          </cell>
          <cell r="D395" t="str">
            <v>OTH OUTSIDE SERVICES OTHER</v>
          </cell>
          <cell r="E395">
            <v>900</v>
          </cell>
          <cell r="F395">
            <v>900</v>
          </cell>
          <cell r="G395">
            <v>900</v>
          </cell>
          <cell r="H395">
            <v>0</v>
          </cell>
          <cell r="I395">
            <v>900</v>
          </cell>
          <cell r="J395">
            <v>2700</v>
          </cell>
          <cell r="K395">
            <v>5400</v>
          </cell>
          <cell r="L395">
            <v>5400</v>
          </cell>
          <cell r="M395">
            <v>0</v>
          </cell>
          <cell r="N395">
            <v>0</v>
          </cell>
          <cell r="O395">
            <v>0</v>
          </cell>
          <cell r="P395">
            <v>900</v>
          </cell>
          <cell r="Q395">
            <v>18000</v>
          </cell>
        </row>
        <row r="396">
          <cell r="A396" t="str">
            <v>US35P015753201400051</v>
          </cell>
          <cell r="B396" t="str">
            <v>US35P01575</v>
          </cell>
          <cell r="C396">
            <v>3201400051</v>
          </cell>
          <cell r="D396" t="str">
            <v>MAINTENANCE EQUIPMENT</v>
          </cell>
          <cell r="E396">
            <v>150</v>
          </cell>
          <cell r="F396">
            <v>150</v>
          </cell>
          <cell r="G396">
            <v>150</v>
          </cell>
          <cell r="H396">
            <v>0</v>
          </cell>
          <cell r="I396">
            <v>150</v>
          </cell>
          <cell r="J396">
            <v>450</v>
          </cell>
          <cell r="K396">
            <v>900</v>
          </cell>
          <cell r="L396">
            <v>900</v>
          </cell>
          <cell r="M396">
            <v>0</v>
          </cell>
          <cell r="N396">
            <v>0</v>
          </cell>
          <cell r="O396">
            <v>0</v>
          </cell>
          <cell r="P396">
            <v>150</v>
          </cell>
          <cell r="Q396">
            <v>3000</v>
          </cell>
        </row>
        <row r="397">
          <cell r="A397" t="str">
            <v>US35P015753311400099</v>
          </cell>
          <cell r="B397" t="str">
            <v>US35P01575</v>
          </cell>
          <cell r="C397">
            <v>3311400099</v>
          </cell>
          <cell r="D397" t="str">
            <v>CO DEPRECIATION</v>
          </cell>
          <cell r="E397">
            <v>521</v>
          </cell>
          <cell r="F397">
            <v>521</v>
          </cell>
          <cell r="G397">
            <v>521</v>
          </cell>
          <cell r="H397">
            <v>521</v>
          </cell>
          <cell r="I397">
            <v>521</v>
          </cell>
          <cell r="J397">
            <v>521</v>
          </cell>
          <cell r="K397">
            <v>521</v>
          </cell>
          <cell r="L397">
            <v>521</v>
          </cell>
          <cell r="M397">
            <v>521</v>
          </cell>
          <cell r="N397">
            <v>521</v>
          </cell>
          <cell r="O397">
            <v>521</v>
          </cell>
          <cell r="P397">
            <v>522</v>
          </cell>
          <cell r="Q397">
            <v>6253</v>
          </cell>
        </row>
        <row r="398">
          <cell r="A398" t="str">
            <v>US35P015753921200050</v>
          </cell>
          <cell r="B398" t="str">
            <v>US35P01575</v>
          </cell>
          <cell r="C398">
            <v>3921200050</v>
          </cell>
          <cell r="D398" t="str">
            <v>SAFETY EQUIPMENT - SUPPLIES</v>
          </cell>
          <cell r="E398">
            <v>25</v>
          </cell>
          <cell r="F398">
            <v>25</v>
          </cell>
          <cell r="G398">
            <v>25</v>
          </cell>
          <cell r="H398">
            <v>0</v>
          </cell>
          <cell r="I398">
            <v>25</v>
          </cell>
          <cell r="J398">
            <v>75</v>
          </cell>
          <cell r="K398">
            <v>150</v>
          </cell>
          <cell r="L398">
            <v>150</v>
          </cell>
          <cell r="M398">
            <v>0</v>
          </cell>
          <cell r="N398">
            <v>0</v>
          </cell>
          <cell r="O398">
            <v>0</v>
          </cell>
          <cell r="P398">
            <v>25</v>
          </cell>
          <cell r="Q398">
            <v>500</v>
          </cell>
        </row>
        <row r="399">
          <cell r="A399" t="str">
            <v>US35P015753921200100</v>
          </cell>
          <cell r="B399" t="str">
            <v>US35P01575</v>
          </cell>
          <cell r="C399">
            <v>3921200100</v>
          </cell>
          <cell r="D399" t="str">
            <v>FIELD &amp; PRODUCTION SUPPLIES</v>
          </cell>
          <cell r="E399">
            <v>750</v>
          </cell>
          <cell r="F399">
            <v>750</v>
          </cell>
          <cell r="G399">
            <v>750</v>
          </cell>
          <cell r="H399">
            <v>0</v>
          </cell>
          <cell r="I399">
            <v>750</v>
          </cell>
          <cell r="J399">
            <v>2250</v>
          </cell>
          <cell r="K399">
            <v>4500</v>
          </cell>
          <cell r="L399">
            <v>4500</v>
          </cell>
          <cell r="M399">
            <v>0</v>
          </cell>
          <cell r="N399">
            <v>0</v>
          </cell>
          <cell r="O399">
            <v>0</v>
          </cell>
          <cell r="P399">
            <v>750</v>
          </cell>
          <cell r="Q399">
            <v>15000</v>
          </cell>
        </row>
        <row r="400">
          <cell r="A400" t="str">
            <v>US35P015853111100000</v>
          </cell>
          <cell r="B400" t="str">
            <v>US35P01585</v>
          </cell>
          <cell r="C400">
            <v>3111100000</v>
          </cell>
          <cell r="D400" t="str">
            <v>WAGES,SALARIES,ALLOWANCES AND COMMI/PERM</v>
          </cell>
          <cell r="E400">
            <v>4949</v>
          </cell>
          <cell r="F400">
            <v>4949</v>
          </cell>
          <cell r="G400">
            <v>4949</v>
          </cell>
          <cell r="H400">
            <v>4949</v>
          </cell>
          <cell r="I400">
            <v>4949</v>
          </cell>
          <cell r="J400">
            <v>4949</v>
          </cell>
          <cell r="K400">
            <v>4949</v>
          </cell>
          <cell r="L400">
            <v>4949</v>
          </cell>
          <cell r="M400">
            <v>4949</v>
          </cell>
          <cell r="N400">
            <v>4949</v>
          </cell>
          <cell r="O400">
            <v>4949</v>
          </cell>
          <cell r="P400">
            <v>4949</v>
          </cell>
          <cell r="Q400">
            <v>59388</v>
          </cell>
        </row>
        <row r="401">
          <cell r="A401" t="str">
            <v>US35P015853111100012</v>
          </cell>
          <cell r="B401" t="str">
            <v>US35P01585</v>
          </cell>
          <cell r="C401">
            <v>3111100012</v>
          </cell>
          <cell r="D401" t="str">
            <v>OVERTIME HOURS /PERMANENTS</v>
          </cell>
          <cell r="E401">
            <v>1115</v>
          </cell>
          <cell r="F401">
            <v>1115</v>
          </cell>
          <cell r="G401">
            <v>1115</v>
          </cell>
          <cell r="H401">
            <v>1115</v>
          </cell>
          <cell r="I401">
            <v>1115</v>
          </cell>
          <cell r="J401">
            <v>1115</v>
          </cell>
          <cell r="K401">
            <v>1115</v>
          </cell>
          <cell r="L401">
            <v>1115</v>
          </cell>
          <cell r="M401">
            <v>1115</v>
          </cell>
          <cell r="N401">
            <v>1115</v>
          </cell>
          <cell r="O401">
            <v>1115</v>
          </cell>
          <cell r="P401">
            <v>1115</v>
          </cell>
          <cell r="Q401">
            <v>13380</v>
          </cell>
        </row>
        <row r="402">
          <cell r="A402" t="str">
            <v>US35P015853121300013</v>
          </cell>
          <cell r="B402" t="str">
            <v>US35P01585</v>
          </cell>
          <cell r="C402">
            <v>3121300013</v>
          </cell>
          <cell r="D402" t="str">
            <v>FRINGE BENEFITS</v>
          </cell>
          <cell r="E402">
            <v>2292</v>
          </cell>
          <cell r="F402">
            <v>2292</v>
          </cell>
          <cell r="G402">
            <v>2292</v>
          </cell>
          <cell r="H402">
            <v>2292</v>
          </cell>
          <cell r="I402">
            <v>2292</v>
          </cell>
          <cell r="J402">
            <v>2292</v>
          </cell>
          <cell r="K402">
            <v>2292</v>
          </cell>
          <cell r="L402">
            <v>2292</v>
          </cell>
          <cell r="M402">
            <v>2292</v>
          </cell>
          <cell r="N402">
            <v>2292</v>
          </cell>
          <cell r="O402">
            <v>2292</v>
          </cell>
          <cell r="P402">
            <v>2294</v>
          </cell>
          <cell r="Q402">
            <v>27506</v>
          </cell>
        </row>
        <row r="403">
          <cell r="A403" t="str">
            <v>US35P015853201300001</v>
          </cell>
          <cell r="B403" t="str">
            <v>US35P01585</v>
          </cell>
          <cell r="C403">
            <v>3201300001</v>
          </cell>
          <cell r="D403" t="str">
            <v>HIRED PERSONNEL FROM 3RD PARTIES</v>
          </cell>
          <cell r="E403">
            <v>6951</v>
          </cell>
          <cell r="F403">
            <v>6951</v>
          </cell>
          <cell r="G403">
            <v>5958</v>
          </cell>
          <cell r="H403">
            <v>5958</v>
          </cell>
          <cell r="I403">
            <v>9929</v>
          </cell>
          <cell r="J403">
            <v>9929</v>
          </cell>
          <cell r="K403">
            <v>9929</v>
          </cell>
          <cell r="L403">
            <v>9929</v>
          </cell>
          <cell r="M403">
            <v>9929</v>
          </cell>
          <cell r="N403">
            <v>9929</v>
          </cell>
          <cell r="O403">
            <v>6951</v>
          </cell>
          <cell r="P403">
            <v>6951</v>
          </cell>
          <cell r="Q403">
            <v>99294</v>
          </cell>
        </row>
        <row r="404">
          <cell r="A404" t="str">
            <v>US35P015903111100000</v>
          </cell>
          <cell r="B404" t="str">
            <v>US35P01590</v>
          </cell>
          <cell r="C404">
            <v>3111100000</v>
          </cell>
          <cell r="D404" t="str">
            <v>WAGES,SALARIES,ALLOWANCES AND COMMI/PERM</v>
          </cell>
          <cell r="E404">
            <v>1253</v>
          </cell>
          <cell r="F404">
            <v>1253</v>
          </cell>
          <cell r="G404">
            <v>1253</v>
          </cell>
          <cell r="H404">
            <v>1253</v>
          </cell>
          <cell r="I404">
            <v>1253</v>
          </cell>
          <cell r="J404">
            <v>1253</v>
          </cell>
          <cell r="K404">
            <v>1253</v>
          </cell>
          <cell r="L404">
            <v>1253</v>
          </cell>
          <cell r="M404">
            <v>1253</v>
          </cell>
          <cell r="N404">
            <v>1253</v>
          </cell>
          <cell r="O404">
            <v>1253</v>
          </cell>
          <cell r="P404">
            <v>1252</v>
          </cell>
          <cell r="Q404">
            <v>15035</v>
          </cell>
        </row>
        <row r="405">
          <cell r="A405" t="str">
            <v>US35P015903111100012</v>
          </cell>
          <cell r="B405" t="str">
            <v>US35P01590</v>
          </cell>
          <cell r="C405">
            <v>3111100012</v>
          </cell>
          <cell r="D405" t="str">
            <v>OVERTIME HOURS /PERMANENTS</v>
          </cell>
          <cell r="E405">
            <v>232</v>
          </cell>
          <cell r="F405">
            <v>232</v>
          </cell>
          <cell r="G405">
            <v>232</v>
          </cell>
          <cell r="H405">
            <v>232</v>
          </cell>
          <cell r="I405">
            <v>232</v>
          </cell>
          <cell r="J405">
            <v>232</v>
          </cell>
          <cell r="K405">
            <v>232</v>
          </cell>
          <cell r="L405">
            <v>232</v>
          </cell>
          <cell r="M405">
            <v>232</v>
          </cell>
          <cell r="N405">
            <v>232</v>
          </cell>
          <cell r="O405">
            <v>232</v>
          </cell>
          <cell r="P405">
            <v>227</v>
          </cell>
          <cell r="Q405">
            <v>2779</v>
          </cell>
        </row>
        <row r="406">
          <cell r="A406" t="str">
            <v>US35P015903121300013</v>
          </cell>
          <cell r="B406" t="str">
            <v>US35P01590</v>
          </cell>
          <cell r="C406">
            <v>3121300013</v>
          </cell>
          <cell r="D406" t="str">
            <v>FRINGE BENEFITS</v>
          </cell>
          <cell r="E406">
            <v>561</v>
          </cell>
          <cell r="F406">
            <v>561</v>
          </cell>
          <cell r="G406">
            <v>561</v>
          </cell>
          <cell r="H406">
            <v>561</v>
          </cell>
          <cell r="I406">
            <v>561</v>
          </cell>
          <cell r="J406">
            <v>561</v>
          </cell>
          <cell r="K406">
            <v>561</v>
          </cell>
          <cell r="L406">
            <v>561</v>
          </cell>
          <cell r="M406">
            <v>561</v>
          </cell>
          <cell r="N406">
            <v>561</v>
          </cell>
          <cell r="O406">
            <v>561</v>
          </cell>
          <cell r="P406">
            <v>563</v>
          </cell>
          <cell r="Q406">
            <v>6734</v>
          </cell>
        </row>
        <row r="407">
          <cell r="A407" t="str">
            <v>US35P015903201300001</v>
          </cell>
          <cell r="B407" t="str">
            <v>US35P01590</v>
          </cell>
          <cell r="C407">
            <v>3201300001</v>
          </cell>
          <cell r="D407" t="str">
            <v>HIRED PERSONNEL FROM 3RD PARTIES</v>
          </cell>
          <cell r="E407">
            <v>1500</v>
          </cell>
          <cell r="F407">
            <v>750</v>
          </cell>
          <cell r="G407">
            <v>750</v>
          </cell>
          <cell r="H407">
            <v>750</v>
          </cell>
          <cell r="I407">
            <v>750</v>
          </cell>
          <cell r="J407">
            <v>1500</v>
          </cell>
          <cell r="K407">
            <v>1500</v>
          </cell>
          <cell r="L407">
            <v>1500</v>
          </cell>
          <cell r="M407">
            <v>1500</v>
          </cell>
          <cell r="N407">
            <v>1500</v>
          </cell>
          <cell r="O407">
            <v>1500</v>
          </cell>
          <cell r="P407">
            <v>1500</v>
          </cell>
          <cell r="Q407">
            <v>15000</v>
          </cell>
        </row>
        <row r="408">
          <cell r="A408" t="str">
            <v>US35P015903201400051</v>
          </cell>
          <cell r="B408" t="str">
            <v>US35P01590</v>
          </cell>
          <cell r="C408">
            <v>3201400051</v>
          </cell>
          <cell r="D408" t="str">
            <v>MAINTENANCE EQUIPMENT</v>
          </cell>
          <cell r="E408">
            <v>270</v>
          </cell>
          <cell r="F408">
            <v>135</v>
          </cell>
          <cell r="G408">
            <v>135</v>
          </cell>
          <cell r="H408">
            <v>135</v>
          </cell>
          <cell r="I408">
            <v>135</v>
          </cell>
          <cell r="J408">
            <v>270</v>
          </cell>
          <cell r="K408">
            <v>270</v>
          </cell>
          <cell r="L408">
            <v>270</v>
          </cell>
          <cell r="M408">
            <v>270</v>
          </cell>
          <cell r="N408">
            <v>270</v>
          </cell>
          <cell r="O408">
            <v>270</v>
          </cell>
          <cell r="P408">
            <v>270</v>
          </cell>
          <cell r="Q408">
            <v>2700</v>
          </cell>
        </row>
        <row r="409">
          <cell r="A409" t="str">
            <v>US35P015903201400055</v>
          </cell>
          <cell r="B409" t="str">
            <v>US35P01590</v>
          </cell>
          <cell r="C409">
            <v>3201400055</v>
          </cell>
          <cell r="D409" t="str">
            <v>LABORATORY TESTING</v>
          </cell>
          <cell r="E409">
            <v>50</v>
          </cell>
          <cell r="F409">
            <v>25</v>
          </cell>
          <cell r="G409">
            <v>25</v>
          </cell>
          <cell r="H409">
            <v>25</v>
          </cell>
          <cell r="I409">
            <v>25</v>
          </cell>
          <cell r="J409">
            <v>50</v>
          </cell>
          <cell r="K409">
            <v>50</v>
          </cell>
          <cell r="L409">
            <v>50</v>
          </cell>
          <cell r="M409">
            <v>50</v>
          </cell>
          <cell r="N409">
            <v>50</v>
          </cell>
          <cell r="O409">
            <v>50</v>
          </cell>
          <cell r="P409">
            <v>50</v>
          </cell>
          <cell r="Q409">
            <v>500</v>
          </cell>
        </row>
        <row r="410">
          <cell r="A410" t="str">
            <v>US35P015903921200004</v>
          </cell>
          <cell r="B410" t="str">
            <v>US35P01590</v>
          </cell>
          <cell r="C410">
            <v>3921200004</v>
          </cell>
          <cell r="D410" t="str">
            <v>FACTORY SUPPLIES LABO SUPPLIES</v>
          </cell>
          <cell r="E410">
            <v>600</v>
          </cell>
          <cell r="F410">
            <v>300</v>
          </cell>
          <cell r="G410">
            <v>300</v>
          </cell>
          <cell r="H410">
            <v>300</v>
          </cell>
          <cell r="I410">
            <v>300</v>
          </cell>
          <cell r="J410">
            <v>600</v>
          </cell>
          <cell r="K410">
            <v>600</v>
          </cell>
          <cell r="L410">
            <v>600</v>
          </cell>
          <cell r="M410">
            <v>600</v>
          </cell>
          <cell r="N410">
            <v>600</v>
          </cell>
          <cell r="O410">
            <v>600</v>
          </cell>
          <cell r="P410">
            <v>600</v>
          </cell>
          <cell r="Q410">
            <v>6000</v>
          </cell>
        </row>
        <row r="411">
          <cell r="A411" t="str">
            <v>US35P015903991200012</v>
          </cell>
          <cell r="B411" t="str">
            <v>US35P01590</v>
          </cell>
          <cell r="C411">
            <v>3991200012</v>
          </cell>
          <cell r="D411" t="str">
            <v>DELIVERY SERVICES</v>
          </cell>
          <cell r="E411">
            <v>50</v>
          </cell>
          <cell r="F411">
            <v>25</v>
          </cell>
          <cell r="G411">
            <v>25</v>
          </cell>
          <cell r="H411">
            <v>25</v>
          </cell>
          <cell r="I411">
            <v>25</v>
          </cell>
          <cell r="J411">
            <v>50</v>
          </cell>
          <cell r="K411">
            <v>50</v>
          </cell>
          <cell r="L411">
            <v>50</v>
          </cell>
          <cell r="M411">
            <v>50</v>
          </cell>
          <cell r="N411">
            <v>50</v>
          </cell>
          <cell r="O411">
            <v>50</v>
          </cell>
          <cell r="P411">
            <v>50</v>
          </cell>
          <cell r="Q411">
            <v>500</v>
          </cell>
        </row>
        <row r="412">
          <cell r="A412" t="str">
            <v>US35P015923111100000</v>
          </cell>
          <cell r="B412" t="str">
            <v>US35P01592</v>
          </cell>
          <cell r="C412">
            <v>3111100000</v>
          </cell>
          <cell r="D412" t="str">
            <v>WAGES,SALARIES,ALLOWANCES AND COMMI/PERM</v>
          </cell>
          <cell r="E412">
            <v>477</v>
          </cell>
          <cell r="F412">
            <v>477</v>
          </cell>
          <cell r="G412">
            <v>477</v>
          </cell>
          <cell r="H412">
            <v>477</v>
          </cell>
          <cell r="I412">
            <v>477</v>
          </cell>
          <cell r="J412">
            <v>477</v>
          </cell>
          <cell r="K412">
            <v>477</v>
          </cell>
          <cell r="L412">
            <v>477</v>
          </cell>
          <cell r="M412">
            <v>477</v>
          </cell>
          <cell r="N412">
            <v>477</v>
          </cell>
          <cell r="O412">
            <v>477</v>
          </cell>
          <cell r="P412">
            <v>476</v>
          </cell>
          <cell r="Q412">
            <v>5723</v>
          </cell>
        </row>
        <row r="413">
          <cell r="A413" t="str">
            <v>US35P015923111100012</v>
          </cell>
          <cell r="B413" t="str">
            <v>US35P01592</v>
          </cell>
          <cell r="C413">
            <v>3111100012</v>
          </cell>
          <cell r="D413" t="str">
            <v>OVERTIME HOURS /PERMANENTS</v>
          </cell>
          <cell r="E413">
            <v>150</v>
          </cell>
          <cell r="F413">
            <v>150</v>
          </cell>
          <cell r="G413">
            <v>150</v>
          </cell>
          <cell r="H413">
            <v>150</v>
          </cell>
          <cell r="I413">
            <v>150</v>
          </cell>
          <cell r="J413">
            <v>150</v>
          </cell>
          <cell r="K413">
            <v>150</v>
          </cell>
          <cell r="L413">
            <v>150</v>
          </cell>
          <cell r="M413">
            <v>150</v>
          </cell>
          <cell r="N413">
            <v>150</v>
          </cell>
          <cell r="O413">
            <v>150</v>
          </cell>
          <cell r="P413">
            <v>152</v>
          </cell>
          <cell r="Q413">
            <v>1802</v>
          </cell>
        </row>
        <row r="414">
          <cell r="A414" t="str">
            <v>US35P015923121300013</v>
          </cell>
          <cell r="B414" t="str">
            <v>US35P01592</v>
          </cell>
          <cell r="C414">
            <v>3121300013</v>
          </cell>
          <cell r="D414" t="str">
            <v>FRINGE BENEFITS</v>
          </cell>
          <cell r="E414">
            <v>237</v>
          </cell>
          <cell r="F414">
            <v>237</v>
          </cell>
          <cell r="G414">
            <v>237</v>
          </cell>
          <cell r="H414">
            <v>237</v>
          </cell>
          <cell r="I414">
            <v>237</v>
          </cell>
          <cell r="J414">
            <v>237</v>
          </cell>
          <cell r="K414">
            <v>237</v>
          </cell>
          <cell r="L414">
            <v>237</v>
          </cell>
          <cell r="M414">
            <v>237</v>
          </cell>
          <cell r="N414">
            <v>237</v>
          </cell>
          <cell r="O414">
            <v>237</v>
          </cell>
          <cell r="P414">
            <v>237</v>
          </cell>
          <cell r="Q414">
            <v>2844</v>
          </cell>
        </row>
        <row r="415">
          <cell r="A415" t="str">
            <v>US35P015923201300001</v>
          </cell>
          <cell r="B415" t="str">
            <v>US35P01592</v>
          </cell>
          <cell r="C415">
            <v>3201300001</v>
          </cell>
          <cell r="D415" t="str">
            <v>HIRED PERSONNEL FROM 3RD PARTIES</v>
          </cell>
          <cell r="E415">
            <v>0</v>
          </cell>
          <cell r="F415">
            <v>0</v>
          </cell>
          <cell r="G415">
            <v>1000</v>
          </cell>
          <cell r="H415">
            <v>1000</v>
          </cell>
          <cell r="I415">
            <v>0</v>
          </cell>
          <cell r="J415">
            <v>0</v>
          </cell>
          <cell r="K415">
            <v>0</v>
          </cell>
          <cell r="L415">
            <v>0</v>
          </cell>
          <cell r="M415">
            <v>3500</v>
          </cell>
          <cell r="N415">
            <v>3500</v>
          </cell>
          <cell r="O415">
            <v>1000</v>
          </cell>
          <cell r="P415">
            <v>0</v>
          </cell>
          <cell r="Q415">
            <v>10000</v>
          </cell>
        </row>
        <row r="416">
          <cell r="A416" t="str">
            <v>US35P015923201400029</v>
          </cell>
          <cell r="B416" t="str">
            <v>US35P01592</v>
          </cell>
          <cell r="C416">
            <v>3201400029</v>
          </cell>
          <cell r="D416" t="str">
            <v>OTH OUTSIDE SERVICES OTHER</v>
          </cell>
          <cell r="E416">
            <v>0</v>
          </cell>
          <cell r="F416">
            <v>0</v>
          </cell>
          <cell r="G416">
            <v>200</v>
          </cell>
          <cell r="H416">
            <v>200</v>
          </cell>
          <cell r="I416">
            <v>0</v>
          </cell>
          <cell r="J416">
            <v>0</v>
          </cell>
          <cell r="K416">
            <v>0</v>
          </cell>
          <cell r="L416">
            <v>0</v>
          </cell>
          <cell r="M416">
            <v>700</v>
          </cell>
          <cell r="N416">
            <v>700</v>
          </cell>
          <cell r="O416">
            <v>200</v>
          </cell>
          <cell r="P416">
            <v>0</v>
          </cell>
          <cell r="Q416">
            <v>2000</v>
          </cell>
        </row>
        <row r="417">
          <cell r="A417" t="str">
            <v>US35P015923201400051</v>
          </cell>
          <cell r="B417" t="str">
            <v>US35P01592</v>
          </cell>
          <cell r="C417">
            <v>3201400051</v>
          </cell>
          <cell r="D417" t="str">
            <v>MAINTENANCE EQUIPMENT</v>
          </cell>
          <cell r="E417">
            <v>0</v>
          </cell>
          <cell r="F417">
            <v>0</v>
          </cell>
          <cell r="G417">
            <v>180</v>
          </cell>
          <cell r="H417">
            <v>180</v>
          </cell>
          <cell r="I417">
            <v>0</v>
          </cell>
          <cell r="J417">
            <v>0</v>
          </cell>
          <cell r="K417">
            <v>0</v>
          </cell>
          <cell r="L417">
            <v>0</v>
          </cell>
          <cell r="M417">
            <v>630</v>
          </cell>
          <cell r="N417">
            <v>630</v>
          </cell>
          <cell r="O417">
            <v>180</v>
          </cell>
          <cell r="P417">
            <v>0</v>
          </cell>
          <cell r="Q417">
            <v>1800</v>
          </cell>
        </row>
        <row r="418">
          <cell r="A418" t="str">
            <v>US35P015923921200006</v>
          </cell>
          <cell r="B418" t="str">
            <v>US35P01592</v>
          </cell>
          <cell r="C418">
            <v>3921200006</v>
          </cell>
          <cell r="D418" t="str">
            <v>FACTORY SUPPLIES MAINTENANCE SUPPLIES</v>
          </cell>
          <cell r="E418">
            <v>0</v>
          </cell>
          <cell r="F418">
            <v>0</v>
          </cell>
          <cell r="G418">
            <v>400</v>
          </cell>
          <cell r="H418">
            <v>400</v>
          </cell>
          <cell r="I418">
            <v>0</v>
          </cell>
          <cell r="J418">
            <v>0</v>
          </cell>
          <cell r="K418">
            <v>0</v>
          </cell>
          <cell r="L418">
            <v>0</v>
          </cell>
          <cell r="M418">
            <v>1400</v>
          </cell>
          <cell r="N418">
            <v>1400</v>
          </cell>
          <cell r="O418">
            <v>400</v>
          </cell>
          <cell r="P418">
            <v>0</v>
          </cell>
          <cell r="Q418">
            <v>4000</v>
          </cell>
        </row>
        <row r="419">
          <cell r="A419" t="str">
            <v>US35P015923921200050</v>
          </cell>
          <cell r="B419" t="str">
            <v>US35P01592</v>
          </cell>
          <cell r="C419">
            <v>3921200050</v>
          </cell>
          <cell r="D419" t="str">
            <v>SAFETY EQUIPMENT - SUPPLIES</v>
          </cell>
          <cell r="E419">
            <v>0</v>
          </cell>
          <cell r="F419">
            <v>0</v>
          </cell>
          <cell r="G419">
            <v>50</v>
          </cell>
          <cell r="H419">
            <v>50</v>
          </cell>
          <cell r="I419">
            <v>0</v>
          </cell>
          <cell r="J419">
            <v>0</v>
          </cell>
          <cell r="K419">
            <v>0</v>
          </cell>
          <cell r="L419">
            <v>0</v>
          </cell>
          <cell r="M419">
            <v>175</v>
          </cell>
          <cell r="N419">
            <v>175</v>
          </cell>
          <cell r="O419">
            <v>50</v>
          </cell>
          <cell r="P419">
            <v>0</v>
          </cell>
          <cell r="Q419">
            <v>500</v>
          </cell>
        </row>
        <row r="420">
          <cell r="A420" t="str">
            <v>US35P015923991200012</v>
          </cell>
          <cell r="B420" t="str">
            <v>US35P01592</v>
          </cell>
          <cell r="C420">
            <v>3991200012</v>
          </cell>
          <cell r="D420" t="str">
            <v>DELIVERY SERVICES</v>
          </cell>
          <cell r="E420">
            <v>0</v>
          </cell>
          <cell r="F420">
            <v>0</v>
          </cell>
          <cell r="G420">
            <v>50</v>
          </cell>
          <cell r="H420">
            <v>50</v>
          </cell>
          <cell r="I420">
            <v>0</v>
          </cell>
          <cell r="J420">
            <v>0</v>
          </cell>
          <cell r="K420">
            <v>0</v>
          </cell>
          <cell r="L420">
            <v>0</v>
          </cell>
          <cell r="M420">
            <v>175</v>
          </cell>
          <cell r="N420">
            <v>175</v>
          </cell>
          <cell r="O420">
            <v>50</v>
          </cell>
          <cell r="P420">
            <v>0</v>
          </cell>
          <cell r="Q420">
            <v>500</v>
          </cell>
        </row>
        <row r="421">
          <cell r="A421" t="str">
            <v>US59P015013111100000</v>
          </cell>
          <cell r="B421" t="str">
            <v>US59P01501</v>
          </cell>
          <cell r="C421">
            <v>3111100000</v>
          </cell>
          <cell r="D421" t="str">
            <v>WAGES,SALARIES,ALLOWANCES AND COMMI/PERM</v>
          </cell>
          <cell r="E421">
            <v>17593</v>
          </cell>
          <cell r="F421">
            <v>17593</v>
          </cell>
          <cell r="G421">
            <v>17593</v>
          </cell>
          <cell r="H421">
            <v>17593</v>
          </cell>
          <cell r="I421">
            <v>17593</v>
          </cell>
          <cell r="J421">
            <v>17593</v>
          </cell>
          <cell r="K421">
            <v>17593</v>
          </cell>
          <cell r="L421">
            <v>17593</v>
          </cell>
          <cell r="M421">
            <v>17593</v>
          </cell>
          <cell r="N421">
            <v>17593</v>
          </cell>
          <cell r="O421">
            <v>17593</v>
          </cell>
          <cell r="P421">
            <v>17593</v>
          </cell>
          <cell r="Q421">
            <v>211116</v>
          </cell>
        </row>
        <row r="422">
          <cell r="A422" t="str">
            <v>US59P015013111100012</v>
          </cell>
          <cell r="B422" t="str">
            <v>US59P01501</v>
          </cell>
          <cell r="C422">
            <v>3111100012</v>
          </cell>
          <cell r="D422" t="str">
            <v>OVERTIME HOURS /PERMANENTS</v>
          </cell>
          <cell r="E422">
            <v>193</v>
          </cell>
          <cell r="F422">
            <v>193</v>
          </cell>
          <cell r="G422">
            <v>193</v>
          </cell>
          <cell r="H422">
            <v>193</v>
          </cell>
          <cell r="I422">
            <v>193</v>
          </cell>
          <cell r="J422">
            <v>193</v>
          </cell>
          <cell r="K422">
            <v>193</v>
          </cell>
          <cell r="L422">
            <v>193</v>
          </cell>
          <cell r="M422">
            <v>193</v>
          </cell>
          <cell r="N422">
            <v>193</v>
          </cell>
          <cell r="O422">
            <v>193</v>
          </cell>
          <cell r="P422">
            <v>187</v>
          </cell>
          <cell r="Q422">
            <v>2310</v>
          </cell>
        </row>
        <row r="423">
          <cell r="A423" t="str">
            <v>US59P015013121300013</v>
          </cell>
          <cell r="B423" t="str">
            <v>US59P01501</v>
          </cell>
          <cell r="C423">
            <v>3121300013</v>
          </cell>
          <cell r="D423" t="str">
            <v>FRINGE BENEFITS</v>
          </cell>
          <cell r="E423">
            <v>6723</v>
          </cell>
          <cell r="F423">
            <v>6723</v>
          </cell>
          <cell r="G423">
            <v>6723</v>
          </cell>
          <cell r="H423">
            <v>6723</v>
          </cell>
          <cell r="I423">
            <v>6723</v>
          </cell>
          <cell r="J423">
            <v>6723</v>
          </cell>
          <cell r="K423">
            <v>6723</v>
          </cell>
          <cell r="L423">
            <v>6723</v>
          </cell>
          <cell r="M423">
            <v>6723</v>
          </cell>
          <cell r="N423">
            <v>6723</v>
          </cell>
          <cell r="O423">
            <v>6723</v>
          </cell>
          <cell r="P423">
            <v>6722</v>
          </cell>
          <cell r="Q423">
            <v>80675</v>
          </cell>
        </row>
        <row r="424">
          <cell r="A424" t="str">
            <v>US59P015013131100005</v>
          </cell>
          <cell r="B424" t="str">
            <v>US59P01501</v>
          </cell>
          <cell r="C424">
            <v>3131100005</v>
          </cell>
          <cell r="D424" t="str">
            <v>MOVINGS</v>
          </cell>
          <cell r="E424">
            <v>1458</v>
          </cell>
          <cell r="F424">
            <v>1458</v>
          </cell>
          <cell r="G424">
            <v>1458</v>
          </cell>
          <cell r="H424">
            <v>1458</v>
          </cell>
          <cell r="I424">
            <v>1458</v>
          </cell>
          <cell r="J424">
            <v>1458</v>
          </cell>
          <cell r="K424">
            <v>1458</v>
          </cell>
          <cell r="L424">
            <v>1458</v>
          </cell>
          <cell r="M424">
            <v>1458</v>
          </cell>
          <cell r="N424">
            <v>1458</v>
          </cell>
          <cell r="O424">
            <v>1458</v>
          </cell>
          <cell r="P424">
            <v>1458</v>
          </cell>
          <cell r="Q424">
            <v>17496</v>
          </cell>
        </row>
        <row r="425">
          <cell r="A425" t="str">
            <v>US59P015013131100007</v>
          </cell>
          <cell r="B425" t="str">
            <v>US59P01501</v>
          </cell>
          <cell r="C425">
            <v>3131100007</v>
          </cell>
          <cell r="D425" t="str">
            <v>EXTERNAL TRAINING</v>
          </cell>
          <cell r="E425">
            <v>21</v>
          </cell>
          <cell r="F425">
            <v>21</v>
          </cell>
          <cell r="G425">
            <v>21</v>
          </cell>
          <cell r="H425">
            <v>21</v>
          </cell>
          <cell r="I425">
            <v>21</v>
          </cell>
          <cell r="J425">
            <v>21</v>
          </cell>
          <cell r="K425">
            <v>21</v>
          </cell>
          <cell r="L425">
            <v>21</v>
          </cell>
          <cell r="M425">
            <v>21</v>
          </cell>
          <cell r="N425">
            <v>21</v>
          </cell>
          <cell r="O425">
            <v>21</v>
          </cell>
          <cell r="P425">
            <v>21</v>
          </cell>
          <cell r="Q425">
            <v>252</v>
          </cell>
        </row>
        <row r="426">
          <cell r="A426" t="str">
            <v>US59P015013201300001</v>
          </cell>
          <cell r="B426" t="str">
            <v>US59P01501</v>
          </cell>
          <cell r="C426">
            <v>3201300001</v>
          </cell>
          <cell r="D426" t="str">
            <v>HIRED PERSONNEL FROM 3RD PARTIES</v>
          </cell>
          <cell r="E426">
            <v>1458</v>
          </cell>
          <cell r="F426">
            <v>1458</v>
          </cell>
          <cell r="G426">
            <v>1458</v>
          </cell>
          <cell r="H426">
            <v>1458</v>
          </cell>
          <cell r="I426">
            <v>1458</v>
          </cell>
          <cell r="J426">
            <v>1458</v>
          </cell>
          <cell r="K426">
            <v>1458</v>
          </cell>
          <cell r="L426">
            <v>1458</v>
          </cell>
          <cell r="M426">
            <v>1458</v>
          </cell>
          <cell r="N426">
            <v>1458</v>
          </cell>
          <cell r="O426">
            <v>1458</v>
          </cell>
          <cell r="P426">
            <v>1458</v>
          </cell>
          <cell r="Q426">
            <v>17496</v>
          </cell>
        </row>
        <row r="427">
          <cell r="A427" t="str">
            <v>US59P015013201400025</v>
          </cell>
          <cell r="B427" t="str">
            <v>US59P01501</v>
          </cell>
          <cell r="C427">
            <v>3201400025</v>
          </cell>
          <cell r="D427" t="str">
            <v>CLEANING EXPENSES</v>
          </cell>
          <cell r="E427">
            <v>625</v>
          </cell>
          <cell r="F427">
            <v>625</v>
          </cell>
          <cell r="G427">
            <v>625</v>
          </cell>
          <cell r="H427">
            <v>625</v>
          </cell>
          <cell r="I427">
            <v>625</v>
          </cell>
          <cell r="J427">
            <v>625</v>
          </cell>
          <cell r="K427">
            <v>625</v>
          </cell>
          <cell r="L427">
            <v>625</v>
          </cell>
          <cell r="M427">
            <v>625</v>
          </cell>
          <cell r="N427">
            <v>625</v>
          </cell>
          <cell r="O427">
            <v>625</v>
          </cell>
          <cell r="P427">
            <v>625</v>
          </cell>
          <cell r="Q427">
            <v>7500</v>
          </cell>
        </row>
        <row r="428">
          <cell r="A428" t="str">
            <v>US59P015013201400029</v>
          </cell>
          <cell r="B428" t="str">
            <v>US59P01501</v>
          </cell>
          <cell r="C428">
            <v>3201400029</v>
          </cell>
          <cell r="D428" t="str">
            <v>OTH OUTSIDE SERVICES OTHER</v>
          </cell>
          <cell r="E428">
            <v>833</v>
          </cell>
          <cell r="F428">
            <v>833</v>
          </cell>
          <cell r="G428">
            <v>833</v>
          </cell>
          <cell r="H428">
            <v>833</v>
          </cell>
          <cell r="I428">
            <v>833</v>
          </cell>
          <cell r="J428">
            <v>833</v>
          </cell>
          <cell r="K428">
            <v>833</v>
          </cell>
          <cell r="L428">
            <v>833</v>
          </cell>
          <cell r="M428">
            <v>833</v>
          </cell>
          <cell r="N428">
            <v>833</v>
          </cell>
          <cell r="O428">
            <v>833</v>
          </cell>
          <cell r="P428">
            <v>833</v>
          </cell>
          <cell r="Q428">
            <v>9996</v>
          </cell>
        </row>
        <row r="429">
          <cell r="A429" t="str">
            <v>US59P015013201400051</v>
          </cell>
          <cell r="B429" t="str">
            <v>US59P01501</v>
          </cell>
          <cell r="C429">
            <v>3201400051</v>
          </cell>
          <cell r="D429" t="str">
            <v>MAINTENANCE EQUIPMENT</v>
          </cell>
          <cell r="E429">
            <v>833</v>
          </cell>
          <cell r="F429">
            <v>833</v>
          </cell>
          <cell r="G429">
            <v>833</v>
          </cell>
          <cell r="H429">
            <v>833</v>
          </cell>
          <cell r="I429">
            <v>833</v>
          </cell>
          <cell r="J429">
            <v>833</v>
          </cell>
          <cell r="K429">
            <v>833</v>
          </cell>
          <cell r="L429">
            <v>833</v>
          </cell>
          <cell r="M429">
            <v>833</v>
          </cell>
          <cell r="N429">
            <v>833</v>
          </cell>
          <cell r="O429">
            <v>833</v>
          </cell>
          <cell r="P429">
            <v>833</v>
          </cell>
          <cell r="Q429">
            <v>9996</v>
          </cell>
        </row>
        <row r="430">
          <cell r="A430" t="str">
            <v>US59P015013311400099</v>
          </cell>
          <cell r="B430" t="str">
            <v>US59P01501</v>
          </cell>
          <cell r="C430">
            <v>3311400099</v>
          </cell>
          <cell r="D430" t="str">
            <v>CO DEPRECIATION</v>
          </cell>
          <cell r="E430">
            <v>2648</v>
          </cell>
          <cell r="F430">
            <v>2648</v>
          </cell>
          <cell r="G430">
            <v>2648</v>
          </cell>
          <cell r="H430">
            <v>2648</v>
          </cell>
          <cell r="I430">
            <v>2648</v>
          </cell>
          <cell r="J430">
            <v>2648</v>
          </cell>
          <cell r="K430">
            <v>2648</v>
          </cell>
          <cell r="L430">
            <v>2648</v>
          </cell>
          <cell r="M430">
            <v>2540</v>
          </cell>
          <cell r="N430">
            <v>2540</v>
          </cell>
          <cell r="O430">
            <v>2540</v>
          </cell>
          <cell r="P430">
            <v>2540</v>
          </cell>
          <cell r="Q430">
            <v>31344</v>
          </cell>
        </row>
        <row r="431">
          <cell r="A431" t="str">
            <v>US59P015013501500034</v>
          </cell>
          <cell r="B431" t="str">
            <v>US59P01501</v>
          </cell>
          <cell r="C431">
            <v>3501500034</v>
          </cell>
          <cell r="D431" t="str">
            <v>PROPERTY TAXES</v>
          </cell>
          <cell r="E431">
            <v>7304</v>
          </cell>
          <cell r="F431">
            <v>7304</v>
          </cell>
          <cell r="G431">
            <v>7304</v>
          </cell>
          <cell r="H431">
            <v>7304</v>
          </cell>
          <cell r="I431">
            <v>7304</v>
          </cell>
          <cell r="J431">
            <v>7304</v>
          </cell>
          <cell r="K431">
            <v>7304</v>
          </cell>
          <cell r="L431">
            <v>7304</v>
          </cell>
          <cell r="M431">
            <v>7304</v>
          </cell>
          <cell r="N431">
            <v>7304</v>
          </cell>
          <cell r="O431">
            <v>7304</v>
          </cell>
          <cell r="P431">
            <v>7304</v>
          </cell>
          <cell r="Q431">
            <v>87648</v>
          </cell>
        </row>
        <row r="432">
          <cell r="A432" t="str">
            <v>US59P015013911100010</v>
          </cell>
          <cell r="B432" t="str">
            <v>US59P01501</v>
          </cell>
          <cell r="C432">
            <v>3911100010</v>
          </cell>
          <cell r="D432" t="str">
            <v>TRAVEL EXPENSES PERMANENTS / MEALS</v>
          </cell>
          <cell r="E432">
            <v>125</v>
          </cell>
          <cell r="F432">
            <v>125</v>
          </cell>
          <cell r="G432">
            <v>125</v>
          </cell>
          <cell r="H432">
            <v>125</v>
          </cell>
          <cell r="I432">
            <v>125</v>
          </cell>
          <cell r="J432">
            <v>125</v>
          </cell>
          <cell r="K432">
            <v>125</v>
          </cell>
          <cell r="L432">
            <v>125</v>
          </cell>
          <cell r="M432">
            <v>125</v>
          </cell>
          <cell r="N432">
            <v>125</v>
          </cell>
          <cell r="O432">
            <v>125</v>
          </cell>
          <cell r="P432">
            <v>125</v>
          </cell>
          <cell r="Q432">
            <v>1500</v>
          </cell>
        </row>
        <row r="433">
          <cell r="A433" t="str">
            <v>US59P015013911100011</v>
          </cell>
          <cell r="B433" t="str">
            <v>US59P01501</v>
          </cell>
          <cell r="C433">
            <v>3911100011</v>
          </cell>
          <cell r="D433" t="str">
            <v>TRAVEL EXPENSES PERMANENTS / KILOMETERS</v>
          </cell>
          <cell r="E433">
            <v>104</v>
          </cell>
          <cell r="F433">
            <v>104</v>
          </cell>
          <cell r="G433">
            <v>104</v>
          </cell>
          <cell r="H433">
            <v>104</v>
          </cell>
          <cell r="I433">
            <v>104</v>
          </cell>
          <cell r="J433">
            <v>104</v>
          </cell>
          <cell r="K433">
            <v>104</v>
          </cell>
          <cell r="L433">
            <v>104</v>
          </cell>
          <cell r="M433">
            <v>104</v>
          </cell>
          <cell r="N433">
            <v>104</v>
          </cell>
          <cell r="O433">
            <v>104</v>
          </cell>
          <cell r="P433">
            <v>104</v>
          </cell>
          <cell r="Q433">
            <v>1248</v>
          </cell>
        </row>
        <row r="434">
          <cell r="A434" t="str">
            <v>US59P015013911100012</v>
          </cell>
          <cell r="B434" t="str">
            <v>US59P01501</v>
          </cell>
          <cell r="C434">
            <v>3911100012</v>
          </cell>
          <cell r="D434" t="str">
            <v>TRAVEL EXPENSES PERMANENTS / HOTELS</v>
          </cell>
          <cell r="E434">
            <v>146</v>
          </cell>
          <cell r="F434">
            <v>146</v>
          </cell>
          <cell r="G434">
            <v>146</v>
          </cell>
          <cell r="H434">
            <v>146</v>
          </cell>
          <cell r="I434">
            <v>146</v>
          </cell>
          <cell r="J434">
            <v>146</v>
          </cell>
          <cell r="K434">
            <v>146</v>
          </cell>
          <cell r="L434">
            <v>146</v>
          </cell>
          <cell r="M434">
            <v>146</v>
          </cell>
          <cell r="N434">
            <v>146</v>
          </cell>
          <cell r="O434">
            <v>146</v>
          </cell>
          <cell r="P434">
            <v>146</v>
          </cell>
          <cell r="Q434">
            <v>1752</v>
          </cell>
        </row>
        <row r="435">
          <cell r="A435" t="str">
            <v>US59P015013911100015</v>
          </cell>
          <cell r="B435" t="str">
            <v>US59P01501</v>
          </cell>
          <cell r="C435">
            <v>3911100015</v>
          </cell>
          <cell r="D435" t="str">
            <v>TRAVEL EXPENSES PERMANENTS / OTHER</v>
          </cell>
          <cell r="E435">
            <v>0</v>
          </cell>
          <cell r="F435">
            <v>0</v>
          </cell>
          <cell r="G435">
            <v>0</v>
          </cell>
          <cell r="H435">
            <v>0</v>
          </cell>
          <cell r="I435">
            <v>0</v>
          </cell>
          <cell r="J435">
            <v>0</v>
          </cell>
          <cell r="K435">
            <v>0</v>
          </cell>
          <cell r="L435">
            <v>0</v>
          </cell>
          <cell r="M435">
            <v>0</v>
          </cell>
          <cell r="N435">
            <v>0</v>
          </cell>
          <cell r="O435">
            <v>0</v>
          </cell>
          <cell r="P435">
            <v>0</v>
          </cell>
          <cell r="Q435">
            <v>0</v>
          </cell>
        </row>
        <row r="436">
          <cell r="A436" t="str">
            <v>US59P015013911100022</v>
          </cell>
          <cell r="B436" t="str">
            <v>US59P01501</v>
          </cell>
          <cell r="C436">
            <v>3911100022</v>
          </cell>
          <cell r="D436" t="str">
            <v>TRAVEL EXPENSES - AIRFARE</v>
          </cell>
          <cell r="E436">
            <v>167</v>
          </cell>
          <cell r="F436">
            <v>167</v>
          </cell>
          <cell r="G436">
            <v>167</v>
          </cell>
          <cell r="H436">
            <v>167</v>
          </cell>
          <cell r="I436">
            <v>167</v>
          </cell>
          <cell r="J436">
            <v>167</v>
          </cell>
          <cell r="K436">
            <v>167</v>
          </cell>
          <cell r="L436">
            <v>167</v>
          </cell>
          <cell r="M436">
            <v>167</v>
          </cell>
          <cell r="N436">
            <v>167</v>
          </cell>
          <cell r="O436">
            <v>167</v>
          </cell>
          <cell r="P436">
            <v>167</v>
          </cell>
          <cell r="Q436">
            <v>2004</v>
          </cell>
        </row>
        <row r="437">
          <cell r="A437" t="str">
            <v>US59P015013911100041</v>
          </cell>
          <cell r="B437" t="str">
            <v>US59P01501</v>
          </cell>
          <cell r="C437">
            <v>3911100041</v>
          </cell>
          <cell r="D437" t="str">
            <v>TRAVEL EXPENSES - ENTERTAINMENT</v>
          </cell>
          <cell r="E437">
            <v>42</v>
          </cell>
          <cell r="F437">
            <v>42</v>
          </cell>
          <cell r="G437">
            <v>42</v>
          </cell>
          <cell r="H437">
            <v>42</v>
          </cell>
          <cell r="I437">
            <v>42</v>
          </cell>
          <cell r="J437">
            <v>42</v>
          </cell>
          <cell r="K437">
            <v>42</v>
          </cell>
          <cell r="L437">
            <v>42</v>
          </cell>
          <cell r="M437">
            <v>42</v>
          </cell>
          <cell r="N437">
            <v>42</v>
          </cell>
          <cell r="O437">
            <v>42</v>
          </cell>
          <cell r="P437">
            <v>42</v>
          </cell>
          <cell r="Q437">
            <v>504</v>
          </cell>
        </row>
        <row r="438">
          <cell r="A438" t="str">
            <v>US59P015013911200001</v>
          </cell>
          <cell r="B438" t="str">
            <v>US59P01501</v>
          </cell>
          <cell r="C438">
            <v>3911200001</v>
          </cell>
          <cell r="D438" t="str">
            <v>SYMPOSIUMS, CONFERENCES, MEETINGS</v>
          </cell>
          <cell r="E438">
            <v>167</v>
          </cell>
          <cell r="F438">
            <v>167</v>
          </cell>
          <cell r="G438">
            <v>167</v>
          </cell>
          <cell r="H438">
            <v>167</v>
          </cell>
          <cell r="I438">
            <v>167</v>
          </cell>
          <cell r="J438">
            <v>167</v>
          </cell>
          <cell r="K438">
            <v>167</v>
          </cell>
          <cell r="L438">
            <v>167</v>
          </cell>
          <cell r="M438">
            <v>167</v>
          </cell>
          <cell r="N438">
            <v>167</v>
          </cell>
          <cell r="O438">
            <v>167</v>
          </cell>
          <cell r="P438">
            <v>167</v>
          </cell>
          <cell r="Q438">
            <v>2004</v>
          </cell>
        </row>
        <row r="439">
          <cell r="A439" t="str">
            <v>US59P015013921100000</v>
          </cell>
          <cell r="B439" t="str">
            <v>US59P01501</v>
          </cell>
          <cell r="C439">
            <v>3921100000</v>
          </cell>
          <cell r="D439" t="str">
            <v>UTILITIES EXPENSES WATER</v>
          </cell>
          <cell r="E439">
            <v>125</v>
          </cell>
          <cell r="F439">
            <v>125</v>
          </cell>
          <cell r="G439">
            <v>125</v>
          </cell>
          <cell r="H439">
            <v>125</v>
          </cell>
          <cell r="I439">
            <v>125</v>
          </cell>
          <cell r="J439">
            <v>125</v>
          </cell>
          <cell r="K439">
            <v>125</v>
          </cell>
          <cell r="L439">
            <v>125</v>
          </cell>
          <cell r="M439">
            <v>125</v>
          </cell>
          <cell r="N439">
            <v>125</v>
          </cell>
          <cell r="O439">
            <v>125</v>
          </cell>
          <cell r="P439">
            <v>125</v>
          </cell>
          <cell r="Q439">
            <v>1500</v>
          </cell>
        </row>
        <row r="440">
          <cell r="A440" t="str">
            <v>US59P015013921100001</v>
          </cell>
          <cell r="B440" t="str">
            <v>US59P01501</v>
          </cell>
          <cell r="C440">
            <v>3921100001</v>
          </cell>
          <cell r="D440" t="str">
            <v>UTILITY EXPENSES ELECTRICITY</v>
          </cell>
          <cell r="E440">
            <v>3521</v>
          </cell>
          <cell r="F440">
            <v>3521</v>
          </cell>
          <cell r="G440">
            <v>3521</v>
          </cell>
          <cell r="H440">
            <v>3521</v>
          </cell>
          <cell r="I440">
            <v>3521</v>
          </cell>
          <cell r="J440">
            <v>3521</v>
          </cell>
          <cell r="K440">
            <v>3521</v>
          </cell>
          <cell r="L440">
            <v>3521</v>
          </cell>
          <cell r="M440">
            <v>3521</v>
          </cell>
          <cell r="N440">
            <v>3521</v>
          </cell>
          <cell r="O440">
            <v>3521</v>
          </cell>
          <cell r="P440">
            <v>3521</v>
          </cell>
          <cell r="Q440">
            <v>42252</v>
          </cell>
        </row>
        <row r="441">
          <cell r="A441" t="str">
            <v>US59P015013921200001</v>
          </cell>
          <cell r="B441" t="str">
            <v>US59P01501</v>
          </cell>
          <cell r="C441">
            <v>3921200001</v>
          </cell>
          <cell r="D441" t="str">
            <v>FUEL</v>
          </cell>
          <cell r="E441">
            <v>1667</v>
          </cell>
          <cell r="F441">
            <v>1667</v>
          </cell>
          <cell r="G441">
            <v>1667</v>
          </cell>
          <cell r="H441">
            <v>1667</v>
          </cell>
          <cell r="I441">
            <v>1667</v>
          </cell>
          <cell r="J441">
            <v>1667</v>
          </cell>
          <cell r="K441">
            <v>1667</v>
          </cell>
          <cell r="L441">
            <v>1667</v>
          </cell>
          <cell r="M441">
            <v>1667</v>
          </cell>
          <cell r="N441">
            <v>1667</v>
          </cell>
          <cell r="O441">
            <v>1667</v>
          </cell>
          <cell r="P441">
            <v>1667</v>
          </cell>
          <cell r="Q441">
            <v>20004</v>
          </cell>
        </row>
        <row r="442">
          <cell r="A442" t="str">
            <v>US59P015013921200006</v>
          </cell>
          <cell r="B442" t="str">
            <v>US59P01501</v>
          </cell>
          <cell r="C442">
            <v>3921200006</v>
          </cell>
          <cell r="D442" t="str">
            <v>FACTORY SUPPLIES MAINTENANCE SUPPLIES</v>
          </cell>
          <cell r="E442">
            <v>417</v>
          </cell>
          <cell r="F442">
            <v>417</v>
          </cell>
          <cell r="G442">
            <v>417</v>
          </cell>
          <cell r="H442">
            <v>417</v>
          </cell>
          <cell r="I442">
            <v>417</v>
          </cell>
          <cell r="J442">
            <v>417</v>
          </cell>
          <cell r="K442">
            <v>417</v>
          </cell>
          <cell r="L442">
            <v>417</v>
          </cell>
          <cell r="M442">
            <v>417</v>
          </cell>
          <cell r="N442">
            <v>417</v>
          </cell>
          <cell r="O442">
            <v>417</v>
          </cell>
          <cell r="P442">
            <v>417</v>
          </cell>
          <cell r="Q442">
            <v>5004</v>
          </cell>
        </row>
        <row r="443">
          <cell r="A443" t="str">
            <v>US59P015013921200010</v>
          </cell>
          <cell r="B443" t="str">
            <v>US59P01501</v>
          </cell>
          <cell r="C443">
            <v>3921200010</v>
          </cell>
          <cell r="D443" t="str">
            <v>ADMINISTRATIVE SUPPLIES</v>
          </cell>
          <cell r="E443">
            <v>1042</v>
          </cell>
          <cell r="F443">
            <v>1042</v>
          </cell>
          <cell r="G443">
            <v>1042</v>
          </cell>
          <cell r="H443">
            <v>1042</v>
          </cell>
          <cell r="I443">
            <v>1042</v>
          </cell>
          <cell r="J443">
            <v>1042</v>
          </cell>
          <cell r="K443">
            <v>1042</v>
          </cell>
          <cell r="L443">
            <v>1042</v>
          </cell>
          <cell r="M443">
            <v>1042</v>
          </cell>
          <cell r="N443">
            <v>1042</v>
          </cell>
          <cell r="O443">
            <v>1042</v>
          </cell>
          <cell r="P443">
            <v>1042</v>
          </cell>
          <cell r="Q443">
            <v>12504</v>
          </cell>
        </row>
        <row r="444">
          <cell r="A444" t="str">
            <v>US59P015013921200050</v>
          </cell>
          <cell r="B444" t="str">
            <v>US59P01501</v>
          </cell>
          <cell r="C444">
            <v>3921200050</v>
          </cell>
          <cell r="D444" t="str">
            <v>SAFETY EQUIPMENT - SUPPLIES</v>
          </cell>
          <cell r="E444">
            <v>417</v>
          </cell>
          <cell r="F444">
            <v>417</v>
          </cell>
          <cell r="G444">
            <v>417</v>
          </cell>
          <cell r="H444">
            <v>417</v>
          </cell>
          <cell r="I444">
            <v>417</v>
          </cell>
          <cell r="J444">
            <v>417</v>
          </cell>
          <cell r="K444">
            <v>417</v>
          </cell>
          <cell r="L444">
            <v>417</v>
          </cell>
          <cell r="M444">
            <v>417</v>
          </cell>
          <cell r="N444">
            <v>417</v>
          </cell>
          <cell r="O444">
            <v>417</v>
          </cell>
          <cell r="P444">
            <v>417</v>
          </cell>
          <cell r="Q444">
            <v>5004</v>
          </cell>
        </row>
        <row r="445">
          <cell r="A445" t="str">
            <v>US59P015013951100005</v>
          </cell>
          <cell r="B445" t="str">
            <v>US59P01501</v>
          </cell>
          <cell r="C445">
            <v>3951100005</v>
          </cell>
          <cell r="D445" t="str">
            <v>OTHER RENTALS</v>
          </cell>
          <cell r="E445">
            <v>1250</v>
          </cell>
          <cell r="F445">
            <v>1250</v>
          </cell>
          <cell r="G445">
            <v>1250</v>
          </cell>
          <cell r="H445">
            <v>1250</v>
          </cell>
          <cell r="I445">
            <v>1250</v>
          </cell>
          <cell r="J445">
            <v>1250</v>
          </cell>
          <cell r="K445">
            <v>1250</v>
          </cell>
          <cell r="L445">
            <v>1250</v>
          </cell>
          <cell r="M445">
            <v>1250</v>
          </cell>
          <cell r="N445">
            <v>1250</v>
          </cell>
          <cell r="O445">
            <v>1250</v>
          </cell>
          <cell r="P445">
            <v>1250</v>
          </cell>
          <cell r="Q445">
            <v>15000</v>
          </cell>
        </row>
        <row r="446">
          <cell r="A446" t="str">
            <v>US59P015013951200002</v>
          </cell>
          <cell r="B446" t="str">
            <v>US59P01501</v>
          </cell>
          <cell r="C446">
            <v>3951200002</v>
          </cell>
          <cell r="D446" t="str">
            <v>OPERATING LEASES - VEHICLES (SHORT DURAT</v>
          </cell>
          <cell r="E446">
            <v>833</v>
          </cell>
          <cell r="F446">
            <v>833</v>
          </cell>
          <cell r="G446">
            <v>833</v>
          </cell>
          <cell r="H446">
            <v>833</v>
          </cell>
          <cell r="I446">
            <v>833</v>
          </cell>
          <cell r="J446">
            <v>833</v>
          </cell>
          <cell r="K446">
            <v>833</v>
          </cell>
          <cell r="L446">
            <v>833</v>
          </cell>
          <cell r="M446">
            <v>833</v>
          </cell>
          <cell r="N446">
            <v>833</v>
          </cell>
          <cell r="O446">
            <v>833</v>
          </cell>
          <cell r="P446">
            <v>833</v>
          </cell>
          <cell r="Q446">
            <v>9996</v>
          </cell>
        </row>
        <row r="447">
          <cell r="A447" t="str">
            <v>US59P015013961100000</v>
          </cell>
          <cell r="B447" t="str">
            <v>US59P01501</v>
          </cell>
          <cell r="C447">
            <v>3961100000</v>
          </cell>
          <cell r="D447" t="str">
            <v>COMPREHENSIVE INSURANCES</v>
          </cell>
          <cell r="E447">
            <v>1676</v>
          </cell>
          <cell r="F447">
            <v>1676</v>
          </cell>
          <cell r="G447">
            <v>1676</v>
          </cell>
          <cell r="H447">
            <v>1676</v>
          </cell>
          <cell r="I447">
            <v>1676</v>
          </cell>
          <cell r="J447">
            <v>1676</v>
          </cell>
          <cell r="K447">
            <v>1676</v>
          </cell>
          <cell r="L447">
            <v>1676</v>
          </cell>
          <cell r="M447">
            <v>1676</v>
          </cell>
          <cell r="N447">
            <v>1676</v>
          </cell>
          <cell r="O447">
            <v>1676</v>
          </cell>
          <cell r="P447">
            <v>1676</v>
          </cell>
          <cell r="Q447">
            <v>20112</v>
          </cell>
        </row>
        <row r="448">
          <cell r="A448" t="str">
            <v>US59P015013991200001</v>
          </cell>
          <cell r="B448" t="str">
            <v>US59P01501</v>
          </cell>
          <cell r="C448">
            <v>3991200001</v>
          </cell>
          <cell r="D448" t="str">
            <v>POSTAGE EXPENSES</v>
          </cell>
          <cell r="E448">
            <v>83</v>
          </cell>
          <cell r="F448">
            <v>83</v>
          </cell>
          <cell r="G448">
            <v>83</v>
          </cell>
          <cell r="H448">
            <v>83</v>
          </cell>
          <cell r="I448">
            <v>83</v>
          </cell>
          <cell r="J448">
            <v>83</v>
          </cell>
          <cell r="K448">
            <v>83</v>
          </cell>
          <cell r="L448">
            <v>83</v>
          </cell>
          <cell r="M448">
            <v>83</v>
          </cell>
          <cell r="N448">
            <v>83</v>
          </cell>
          <cell r="O448">
            <v>83</v>
          </cell>
          <cell r="P448">
            <v>83</v>
          </cell>
          <cell r="Q448">
            <v>996</v>
          </cell>
        </row>
        <row r="449">
          <cell r="A449" t="str">
            <v>US59P015013991200012</v>
          </cell>
          <cell r="B449" t="str">
            <v>US59P01501</v>
          </cell>
          <cell r="C449">
            <v>3991200012</v>
          </cell>
          <cell r="D449" t="str">
            <v>DELIVERY SERVICES</v>
          </cell>
          <cell r="E449">
            <v>104</v>
          </cell>
          <cell r="F449">
            <v>104</v>
          </cell>
          <cell r="G449">
            <v>104</v>
          </cell>
          <cell r="H449">
            <v>104</v>
          </cell>
          <cell r="I449">
            <v>104</v>
          </cell>
          <cell r="J449">
            <v>104</v>
          </cell>
          <cell r="K449">
            <v>104</v>
          </cell>
          <cell r="L449">
            <v>104</v>
          </cell>
          <cell r="M449">
            <v>104</v>
          </cell>
          <cell r="N449">
            <v>104</v>
          </cell>
          <cell r="O449">
            <v>104</v>
          </cell>
          <cell r="P449">
            <v>104</v>
          </cell>
          <cell r="Q449">
            <v>1248</v>
          </cell>
        </row>
        <row r="450">
          <cell r="A450" t="str">
            <v>US59P015013991200015</v>
          </cell>
          <cell r="B450" t="str">
            <v>US59P01501</v>
          </cell>
          <cell r="C450">
            <v>3991200015</v>
          </cell>
          <cell r="D450" t="str">
            <v>TELEPHONE</v>
          </cell>
          <cell r="E450">
            <v>833</v>
          </cell>
          <cell r="F450">
            <v>833</v>
          </cell>
          <cell r="G450">
            <v>833</v>
          </cell>
          <cell r="H450">
            <v>833</v>
          </cell>
          <cell r="I450">
            <v>833</v>
          </cell>
          <cell r="J450">
            <v>833</v>
          </cell>
          <cell r="K450">
            <v>833</v>
          </cell>
          <cell r="L450">
            <v>833</v>
          </cell>
          <cell r="M450">
            <v>833</v>
          </cell>
          <cell r="N450">
            <v>833</v>
          </cell>
          <cell r="O450">
            <v>833</v>
          </cell>
          <cell r="P450">
            <v>833</v>
          </cell>
          <cell r="Q450">
            <v>9996</v>
          </cell>
        </row>
        <row r="451">
          <cell r="A451" t="str">
            <v>US59P015013991200018</v>
          </cell>
          <cell r="B451" t="str">
            <v>US59P01501</v>
          </cell>
          <cell r="C451">
            <v>3991200018</v>
          </cell>
          <cell r="D451" t="str">
            <v>SUBSCRIPTIONS</v>
          </cell>
          <cell r="E451">
            <v>21</v>
          </cell>
          <cell r="F451">
            <v>21</v>
          </cell>
          <cell r="G451">
            <v>21</v>
          </cell>
          <cell r="H451">
            <v>21</v>
          </cell>
          <cell r="I451">
            <v>21</v>
          </cell>
          <cell r="J451">
            <v>21</v>
          </cell>
          <cell r="K451">
            <v>21</v>
          </cell>
          <cell r="L451">
            <v>21</v>
          </cell>
          <cell r="M451">
            <v>21</v>
          </cell>
          <cell r="N451">
            <v>21</v>
          </cell>
          <cell r="O451">
            <v>21</v>
          </cell>
          <cell r="P451">
            <v>21</v>
          </cell>
          <cell r="Q451">
            <v>252</v>
          </cell>
        </row>
        <row r="452">
          <cell r="A452" t="str">
            <v>US59P015013991200068</v>
          </cell>
          <cell r="B452" t="str">
            <v>US59P01501</v>
          </cell>
          <cell r="C452">
            <v>3991200068</v>
          </cell>
          <cell r="D452" t="str">
            <v>ASSOCIATION AND DEVELOPMENT FUND</v>
          </cell>
          <cell r="E452">
            <v>17</v>
          </cell>
          <cell r="F452">
            <v>17</v>
          </cell>
          <cell r="G452">
            <v>17</v>
          </cell>
          <cell r="H452">
            <v>17</v>
          </cell>
          <cell r="I452">
            <v>17</v>
          </cell>
          <cell r="J452">
            <v>17</v>
          </cell>
          <cell r="K452">
            <v>17</v>
          </cell>
          <cell r="L452">
            <v>17</v>
          </cell>
          <cell r="M452">
            <v>17</v>
          </cell>
          <cell r="N452">
            <v>17</v>
          </cell>
          <cell r="O452">
            <v>17</v>
          </cell>
          <cell r="P452">
            <v>17</v>
          </cell>
          <cell r="Q452">
            <v>204</v>
          </cell>
        </row>
        <row r="453">
          <cell r="A453" t="str">
            <v>US59P015113991200101</v>
          </cell>
          <cell r="B453" t="str">
            <v>US59P01511</v>
          </cell>
          <cell r="C453">
            <v>3991200101</v>
          </cell>
          <cell r="D453" t="str">
            <v>EXPENSE RECOVERY</v>
          </cell>
          <cell r="E453">
            <v>-10527</v>
          </cell>
          <cell r="F453">
            <v>-5263</v>
          </cell>
          <cell r="G453">
            <v>-4211</v>
          </cell>
          <cell r="H453">
            <v>-5263</v>
          </cell>
          <cell r="I453">
            <v>0</v>
          </cell>
          <cell r="J453">
            <v>-11579</v>
          </cell>
          <cell r="K453">
            <v>0</v>
          </cell>
          <cell r="L453">
            <v>0</v>
          </cell>
          <cell r="M453">
            <v>-12632</v>
          </cell>
          <cell r="N453">
            <v>-18948</v>
          </cell>
          <cell r="O453">
            <v>-18948</v>
          </cell>
          <cell r="P453">
            <v>-17895</v>
          </cell>
          <cell r="Q453">
            <v>-105266</v>
          </cell>
        </row>
        <row r="454">
          <cell r="A454" t="str">
            <v>US59P015503111100000</v>
          </cell>
          <cell r="B454" t="str">
            <v>US59P01550</v>
          </cell>
          <cell r="C454">
            <v>3111100000</v>
          </cell>
          <cell r="D454" t="str">
            <v>WAGES,SALARIES,ALLOWANCES AND COMMI/PERM</v>
          </cell>
          <cell r="E454">
            <v>3690</v>
          </cell>
          <cell r="F454">
            <v>3690</v>
          </cell>
          <cell r="G454">
            <v>3690</v>
          </cell>
          <cell r="H454">
            <v>3690</v>
          </cell>
          <cell r="I454">
            <v>3690</v>
          </cell>
          <cell r="J454">
            <v>3690</v>
          </cell>
          <cell r="K454">
            <v>3690</v>
          </cell>
          <cell r="L454">
            <v>3690</v>
          </cell>
          <cell r="M454">
            <v>3690</v>
          </cell>
          <cell r="N454">
            <v>3690</v>
          </cell>
          <cell r="O454">
            <v>3690</v>
          </cell>
          <cell r="P454">
            <v>3690</v>
          </cell>
          <cell r="Q454">
            <v>44280</v>
          </cell>
        </row>
        <row r="455">
          <cell r="A455" t="str">
            <v>US59P015503111100012</v>
          </cell>
          <cell r="B455" t="str">
            <v>US59P01550</v>
          </cell>
          <cell r="C455">
            <v>3111100012</v>
          </cell>
          <cell r="D455" t="str">
            <v>OVERTIME HOURS /PERMANENTS</v>
          </cell>
          <cell r="E455">
            <v>1292</v>
          </cell>
          <cell r="F455">
            <v>1292</v>
          </cell>
          <cell r="G455">
            <v>1292</v>
          </cell>
          <cell r="H455">
            <v>1292</v>
          </cell>
          <cell r="I455">
            <v>1292</v>
          </cell>
          <cell r="J455">
            <v>1292</v>
          </cell>
          <cell r="K455">
            <v>1292</v>
          </cell>
          <cell r="L455">
            <v>1292</v>
          </cell>
          <cell r="M455">
            <v>1292</v>
          </cell>
          <cell r="N455">
            <v>1292</v>
          </cell>
          <cell r="O455">
            <v>1292</v>
          </cell>
          <cell r="P455">
            <v>1287</v>
          </cell>
          <cell r="Q455">
            <v>15499</v>
          </cell>
        </row>
        <row r="456">
          <cell r="A456" t="str">
            <v>US59P015503121300013</v>
          </cell>
          <cell r="B456" t="str">
            <v>US59P01550</v>
          </cell>
          <cell r="C456">
            <v>3121300013</v>
          </cell>
          <cell r="D456" t="str">
            <v>FRINGE BENEFITS</v>
          </cell>
          <cell r="E456">
            <v>1883</v>
          </cell>
          <cell r="F456">
            <v>1883</v>
          </cell>
          <cell r="G456">
            <v>1883</v>
          </cell>
          <cell r="H456">
            <v>1883</v>
          </cell>
          <cell r="I456">
            <v>1883</v>
          </cell>
          <cell r="J456">
            <v>1883</v>
          </cell>
          <cell r="K456">
            <v>1883</v>
          </cell>
          <cell r="L456">
            <v>1883</v>
          </cell>
          <cell r="M456">
            <v>1883</v>
          </cell>
          <cell r="N456">
            <v>1883</v>
          </cell>
          <cell r="O456">
            <v>1883</v>
          </cell>
          <cell r="P456">
            <v>1883</v>
          </cell>
          <cell r="Q456">
            <v>22596</v>
          </cell>
        </row>
        <row r="457">
          <cell r="A457" t="str">
            <v>US59P015503201300001</v>
          </cell>
          <cell r="B457" t="str">
            <v>US59P01550</v>
          </cell>
          <cell r="C457">
            <v>3201300001</v>
          </cell>
          <cell r="D457" t="str">
            <v>HIRED PERSONNEL FROM 3RD PARTIES</v>
          </cell>
          <cell r="E457">
            <v>1152</v>
          </cell>
          <cell r="F457">
            <v>1152</v>
          </cell>
          <cell r="G457">
            <v>1152</v>
          </cell>
          <cell r="H457">
            <v>1152</v>
          </cell>
          <cell r="I457">
            <v>1921</v>
          </cell>
          <cell r="J457">
            <v>1921</v>
          </cell>
          <cell r="K457">
            <v>5762</v>
          </cell>
          <cell r="L457">
            <v>5762</v>
          </cell>
          <cell r="M457">
            <v>7682</v>
          </cell>
          <cell r="N457">
            <v>7682</v>
          </cell>
          <cell r="O457">
            <v>1921</v>
          </cell>
          <cell r="P457">
            <v>1152</v>
          </cell>
          <cell r="Q457">
            <v>38411</v>
          </cell>
        </row>
        <row r="458">
          <cell r="A458" t="str">
            <v>US59P015503201300012</v>
          </cell>
          <cell r="B458" t="str">
            <v>US59P01550</v>
          </cell>
          <cell r="C458">
            <v>3201300012</v>
          </cell>
          <cell r="D458" t="str">
            <v>HIRED PERSONNEL THIRD PARTY - ROUGING</v>
          </cell>
          <cell r="E458">
            <v>4240</v>
          </cell>
          <cell r="F458">
            <v>4240</v>
          </cell>
          <cell r="G458">
            <v>4240</v>
          </cell>
          <cell r="H458">
            <v>4240</v>
          </cell>
          <cell r="I458">
            <v>7067</v>
          </cell>
          <cell r="J458">
            <v>7067</v>
          </cell>
          <cell r="K458">
            <v>21202</v>
          </cell>
          <cell r="L458">
            <v>21202</v>
          </cell>
          <cell r="M458">
            <v>28270</v>
          </cell>
          <cell r="N458">
            <v>28270</v>
          </cell>
          <cell r="O458">
            <v>7067</v>
          </cell>
          <cell r="P458">
            <v>4240</v>
          </cell>
          <cell r="Q458">
            <v>141345</v>
          </cell>
        </row>
        <row r="459">
          <cell r="A459" t="str">
            <v>US59P015503201400002</v>
          </cell>
          <cell r="B459" t="str">
            <v>US59P01550</v>
          </cell>
          <cell r="C459">
            <v>3201400002</v>
          </cell>
          <cell r="D459" t="str">
            <v>MAINTENANCE OF VEHICLES</v>
          </cell>
          <cell r="E459">
            <v>65</v>
          </cell>
          <cell r="F459">
            <v>65</v>
          </cell>
          <cell r="G459">
            <v>65</v>
          </cell>
          <cell r="H459">
            <v>65</v>
          </cell>
          <cell r="I459">
            <v>108</v>
          </cell>
          <cell r="J459">
            <v>108</v>
          </cell>
          <cell r="K459">
            <v>323</v>
          </cell>
          <cell r="L459">
            <v>323</v>
          </cell>
          <cell r="M459">
            <v>430</v>
          </cell>
          <cell r="N459">
            <v>430</v>
          </cell>
          <cell r="O459">
            <v>108</v>
          </cell>
          <cell r="P459">
            <v>65</v>
          </cell>
          <cell r="Q459">
            <v>2155</v>
          </cell>
        </row>
        <row r="460">
          <cell r="A460" t="str">
            <v>US59P015503201400029</v>
          </cell>
          <cell r="B460" t="str">
            <v>US59P01550</v>
          </cell>
          <cell r="C460">
            <v>3201400029</v>
          </cell>
          <cell r="D460" t="str">
            <v>OTH OUTSIDE SERVICES OTHER</v>
          </cell>
          <cell r="E460">
            <v>7046</v>
          </cell>
          <cell r="F460">
            <v>7046</v>
          </cell>
          <cell r="G460">
            <v>7046</v>
          </cell>
          <cell r="H460">
            <v>7046</v>
          </cell>
          <cell r="I460">
            <v>11744</v>
          </cell>
          <cell r="J460">
            <v>11744</v>
          </cell>
          <cell r="K460">
            <v>35231</v>
          </cell>
          <cell r="L460">
            <v>35231</v>
          </cell>
          <cell r="M460">
            <v>46975</v>
          </cell>
          <cell r="N460">
            <v>46975</v>
          </cell>
          <cell r="O460">
            <v>11744</v>
          </cell>
          <cell r="P460">
            <v>7046</v>
          </cell>
          <cell r="Q460">
            <v>234874</v>
          </cell>
        </row>
        <row r="461">
          <cell r="A461" t="str">
            <v>US59P015503201400054</v>
          </cell>
          <cell r="B461" t="str">
            <v>US59P01550</v>
          </cell>
          <cell r="C461">
            <v>3201400054</v>
          </cell>
          <cell r="D461" t="str">
            <v>TECHNICAL SERVICES</v>
          </cell>
          <cell r="E461">
            <v>2581</v>
          </cell>
          <cell r="F461">
            <v>2581</v>
          </cell>
          <cell r="G461">
            <v>2581</v>
          </cell>
          <cell r="H461">
            <v>2581</v>
          </cell>
          <cell r="I461">
            <v>4302</v>
          </cell>
          <cell r="J461">
            <v>4302</v>
          </cell>
          <cell r="K461">
            <v>12906</v>
          </cell>
          <cell r="L461">
            <v>12906</v>
          </cell>
          <cell r="M461">
            <v>17208</v>
          </cell>
          <cell r="N461">
            <v>17208</v>
          </cell>
          <cell r="O461">
            <v>4302</v>
          </cell>
          <cell r="P461">
            <v>2581</v>
          </cell>
          <cell r="Q461">
            <v>86039</v>
          </cell>
        </row>
        <row r="462">
          <cell r="A462" t="str">
            <v>US59P015503201400056</v>
          </cell>
          <cell r="B462" t="str">
            <v>US59P01550</v>
          </cell>
          <cell r="C462">
            <v>3201400056</v>
          </cell>
          <cell r="D462" t="str">
            <v>FIELD AND PRODUCTION EXPENSES</v>
          </cell>
          <cell r="E462">
            <v>1198</v>
          </cell>
          <cell r="F462">
            <v>1198</v>
          </cell>
          <cell r="G462">
            <v>1198</v>
          </cell>
          <cell r="H462">
            <v>1198</v>
          </cell>
          <cell r="I462">
            <v>1997</v>
          </cell>
          <cell r="J462">
            <v>1997</v>
          </cell>
          <cell r="K462">
            <v>5992</v>
          </cell>
          <cell r="L462">
            <v>5992</v>
          </cell>
          <cell r="M462">
            <v>7989</v>
          </cell>
          <cell r="N462">
            <v>7989</v>
          </cell>
          <cell r="O462">
            <v>1997</v>
          </cell>
          <cell r="P462">
            <v>1198</v>
          </cell>
          <cell r="Q462">
            <v>39943</v>
          </cell>
        </row>
        <row r="463">
          <cell r="A463" t="str">
            <v>US59P015503201400057</v>
          </cell>
          <cell r="B463" t="str">
            <v>US59P01550</v>
          </cell>
          <cell r="C463">
            <v>3201400057</v>
          </cell>
          <cell r="D463" t="str">
            <v>FIELD AND PRODUCTION SERVICES - SPRAYING</v>
          </cell>
          <cell r="E463">
            <v>11062</v>
          </cell>
          <cell r="F463">
            <v>11062</v>
          </cell>
          <cell r="G463">
            <v>11062</v>
          </cell>
          <cell r="H463">
            <v>11062</v>
          </cell>
          <cell r="I463">
            <v>18437</v>
          </cell>
          <cell r="J463">
            <v>18437</v>
          </cell>
          <cell r="K463">
            <v>55311</v>
          </cell>
          <cell r="L463">
            <v>55311</v>
          </cell>
          <cell r="M463">
            <v>73748</v>
          </cell>
          <cell r="N463">
            <v>73748</v>
          </cell>
          <cell r="O463">
            <v>18437</v>
          </cell>
          <cell r="P463">
            <v>11062</v>
          </cell>
          <cell r="Q463">
            <v>368739</v>
          </cell>
        </row>
        <row r="464">
          <cell r="A464" t="str">
            <v>US59P015503311400099</v>
          </cell>
          <cell r="B464" t="str">
            <v>US59P01550</v>
          </cell>
          <cell r="C464">
            <v>3311400099</v>
          </cell>
          <cell r="D464" t="str">
            <v>CO DEPRECIATION</v>
          </cell>
          <cell r="E464">
            <v>101</v>
          </cell>
          <cell r="F464">
            <v>101</v>
          </cell>
          <cell r="G464">
            <v>101</v>
          </cell>
          <cell r="H464">
            <v>101</v>
          </cell>
          <cell r="I464">
            <v>101</v>
          </cell>
          <cell r="J464">
            <v>101</v>
          </cell>
          <cell r="K464">
            <v>101</v>
          </cell>
          <cell r="L464">
            <v>101</v>
          </cell>
          <cell r="M464">
            <v>101</v>
          </cell>
          <cell r="N464">
            <v>101</v>
          </cell>
          <cell r="O464">
            <v>101</v>
          </cell>
          <cell r="P464">
            <v>101</v>
          </cell>
          <cell r="Q464">
            <v>1212</v>
          </cell>
        </row>
        <row r="465">
          <cell r="A465" t="str">
            <v>US59P015503911100015</v>
          </cell>
          <cell r="B465" t="str">
            <v>US59P01550</v>
          </cell>
          <cell r="C465">
            <v>3911100015</v>
          </cell>
          <cell r="D465" t="str">
            <v>TRAVEL EXPENSES PERMANENTS / OTHER</v>
          </cell>
          <cell r="E465">
            <v>74</v>
          </cell>
          <cell r="F465">
            <v>74</v>
          </cell>
          <cell r="G465">
            <v>74</v>
          </cell>
          <cell r="H465">
            <v>74</v>
          </cell>
          <cell r="I465">
            <v>123</v>
          </cell>
          <cell r="J465">
            <v>123</v>
          </cell>
          <cell r="K465">
            <v>369</v>
          </cell>
          <cell r="L465">
            <v>369</v>
          </cell>
          <cell r="M465">
            <v>492</v>
          </cell>
          <cell r="N465">
            <v>492</v>
          </cell>
          <cell r="O465">
            <v>123</v>
          </cell>
          <cell r="P465">
            <v>74</v>
          </cell>
          <cell r="Q465">
            <v>2461</v>
          </cell>
        </row>
        <row r="466">
          <cell r="A466" t="str">
            <v>US59P015503911200001</v>
          </cell>
          <cell r="B466" t="str">
            <v>US59P01550</v>
          </cell>
          <cell r="C466">
            <v>3911200001</v>
          </cell>
          <cell r="D466" t="str">
            <v>SYMPOSIUMS, CONFERENCES, MEETINGS</v>
          </cell>
          <cell r="E466">
            <v>9</v>
          </cell>
          <cell r="F466">
            <v>9</v>
          </cell>
          <cell r="G466">
            <v>9</v>
          </cell>
          <cell r="H466">
            <v>9</v>
          </cell>
          <cell r="I466">
            <v>15</v>
          </cell>
          <cell r="J466">
            <v>15</v>
          </cell>
          <cell r="K466">
            <v>46</v>
          </cell>
          <cell r="L466">
            <v>46</v>
          </cell>
          <cell r="M466">
            <v>61</v>
          </cell>
          <cell r="N466">
            <v>61</v>
          </cell>
          <cell r="O466">
            <v>15</v>
          </cell>
          <cell r="P466">
            <v>9</v>
          </cell>
          <cell r="Q466">
            <v>304</v>
          </cell>
        </row>
        <row r="467">
          <cell r="A467" t="str">
            <v>US59P015503921200001</v>
          </cell>
          <cell r="B467" t="str">
            <v>US59P01550</v>
          </cell>
          <cell r="C467">
            <v>3921200001</v>
          </cell>
          <cell r="D467" t="str">
            <v>FUEL</v>
          </cell>
          <cell r="E467">
            <v>922</v>
          </cell>
          <cell r="F467">
            <v>922</v>
          </cell>
          <cell r="G467">
            <v>922</v>
          </cell>
          <cell r="H467">
            <v>922</v>
          </cell>
          <cell r="I467">
            <v>1536</v>
          </cell>
          <cell r="J467">
            <v>1536</v>
          </cell>
          <cell r="K467">
            <v>4609</v>
          </cell>
          <cell r="L467">
            <v>4609</v>
          </cell>
          <cell r="M467">
            <v>6146</v>
          </cell>
          <cell r="N467">
            <v>6146</v>
          </cell>
          <cell r="O467">
            <v>1536</v>
          </cell>
          <cell r="P467">
            <v>922</v>
          </cell>
          <cell r="Q467">
            <v>30728</v>
          </cell>
        </row>
        <row r="468">
          <cell r="A468" t="str">
            <v>US59P015503921200006</v>
          </cell>
          <cell r="B468" t="str">
            <v>US59P01550</v>
          </cell>
          <cell r="C468">
            <v>3921200006</v>
          </cell>
          <cell r="D468" t="str">
            <v>FACTORY SUPPLIES MAINTENANCE SUPPLIES</v>
          </cell>
          <cell r="E468">
            <v>2212</v>
          </cell>
          <cell r="F468">
            <v>2212</v>
          </cell>
          <cell r="G468">
            <v>2212</v>
          </cell>
          <cell r="H468">
            <v>2212</v>
          </cell>
          <cell r="I468">
            <v>3687</v>
          </cell>
          <cell r="J468">
            <v>3687</v>
          </cell>
          <cell r="K468">
            <v>11062</v>
          </cell>
          <cell r="L468">
            <v>11062</v>
          </cell>
          <cell r="M468">
            <v>14750</v>
          </cell>
          <cell r="N468">
            <v>14750</v>
          </cell>
          <cell r="O468">
            <v>3687</v>
          </cell>
          <cell r="P468">
            <v>2212</v>
          </cell>
          <cell r="Q468">
            <v>73745</v>
          </cell>
        </row>
        <row r="469">
          <cell r="A469" t="str">
            <v>US59P015503921200050</v>
          </cell>
          <cell r="B469" t="str">
            <v>US59P01550</v>
          </cell>
          <cell r="C469">
            <v>3921200050</v>
          </cell>
          <cell r="D469" t="str">
            <v>SAFETY EQUIPMENT - SUPPLIES</v>
          </cell>
          <cell r="E469">
            <v>83</v>
          </cell>
          <cell r="F469">
            <v>83</v>
          </cell>
          <cell r="G469">
            <v>83</v>
          </cell>
          <cell r="H469">
            <v>83</v>
          </cell>
          <cell r="I469">
            <v>138</v>
          </cell>
          <cell r="J469">
            <v>138</v>
          </cell>
          <cell r="K469">
            <v>415</v>
          </cell>
          <cell r="L469">
            <v>415</v>
          </cell>
          <cell r="M469">
            <v>553</v>
          </cell>
          <cell r="N469">
            <v>553</v>
          </cell>
          <cell r="O469">
            <v>138</v>
          </cell>
          <cell r="P469">
            <v>83</v>
          </cell>
          <cell r="Q469">
            <v>2765</v>
          </cell>
        </row>
        <row r="470">
          <cell r="A470" t="str">
            <v>US59P015503921200100</v>
          </cell>
          <cell r="B470" t="str">
            <v>US59P01550</v>
          </cell>
          <cell r="C470">
            <v>3921200100</v>
          </cell>
          <cell r="D470" t="str">
            <v>FIELD &amp; PRODUCTION SUPPLIES</v>
          </cell>
          <cell r="E470">
            <v>46</v>
          </cell>
          <cell r="F470">
            <v>46</v>
          </cell>
          <cell r="G470">
            <v>46</v>
          </cell>
          <cell r="H470">
            <v>46</v>
          </cell>
          <cell r="I470">
            <v>77</v>
          </cell>
          <cell r="J470">
            <v>77</v>
          </cell>
          <cell r="K470">
            <v>230</v>
          </cell>
          <cell r="L470">
            <v>230</v>
          </cell>
          <cell r="M470">
            <v>307</v>
          </cell>
          <cell r="N470">
            <v>307</v>
          </cell>
          <cell r="O470">
            <v>77</v>
          </cell>
          <cell r="P470">
            <v>46</v>
          </cell>
          <cell r="Q470">
            <v>1535</v>
          </cell>
        </row>
        <row r="471">
          <cell r="A471" t="str">
            <v>US59P015503941100013</v>
          </cell>
          <cell r="B471" t="str">
            <v>US59P01550</v>
          </cell>
          <cell r="C471">
            <v>3941100013</v>
          </cell>
          <cell r="D471" t="str">
            <v>FREIGHT IN</v>
          </cell>
          <cell r="E471">
            <v>5551</v>
          </cell>
          <cell r="F471">
            <v>5551</v>
          </cell>
          <cell r="G471">
            <v>5551</v>
          </cell>
          <cell r="H471">
            <v>5551</v>
          </cell>
          <cell r="I471">
            <v>9252</v>
          </cell>
          <cell r="J471">
            <v>9252</v>
          </cell>
          <cell r="K471">
            <v>27756</v>
          </cell>
          <cell r="L471">
            <v>27756</v>
          </cell>
          <cell r="M471">
            <v>37009</v>
          </cell>
          <cell r="N471">
            <v>37009</v>
          </cell>
          <cell r="O471">
            <v>9252</v>
          </cell>
          <cell r="P471">
            <v>5551</v>
          </cell>
          <cell r="Q471">
            <v>185041</v>
          </cell>
        </row>
        <row r="472">
          <cell r="A472" t="str">
            <v>US59P015503951100002</v>
          </cell>
          <cell r="B472" t="str">
            <v>US59P01550</v>
          </cell>
          <cell r="C472">
            <v>3951100002</v>
          </cell>
          <cell r="D472" t="str">
            <v>RENTALS - REAL ESTATE</v>
          </cell>
          <cell r="E472">
            <v>37</v>
          </cell>
          <cell r="F472">
            <v>37</v>
          </cell>
          <cell r="G472">
            <v>37</v>
          </cell>
          <cell r="H472">
            <v>37</v>
          </cell>
          <cell r="I472">
            <v>61</v>
          </cell>
          <cell r="J472">
            <v>61</v>
          </cell>
          <cell r="K472">
            <v>184</v>
          </cell>
          <cell r="L472">
            <v>184</v>
          </cell>
          <cell r="M472">
            <v>246</v>
          </cell>
          <cell r="N472">
            <v>246</v>
          </cell>
          <cell r="O472">
            <v>61</v>
          </cell>
          <cell r="P472">
            <v>37</v>
          </cell>
          <cell r="Q472">
            <v>1228</v>
          </cell>
        </row>
        <row r="473">
          <cell r="A473" t="str">
            <v>US59P015503951200002</v>
          </cell>
          <cell r="B473" t="str">
            <v>US59P01550</v>
          </cell>
          <cell r="C473">
            <v>3951200002</v>
          </cell>
          <cell r="D473" t="str">
            <v>OPERATING LEASES - VEHICLES (SHORT DURAT</v>
          </cell>
          <cell r="E473">
            <v>157</v>
          </cell>
          <cell r="F473">
            <v>157</v>
          </cell>
          <cell r="G473">
            <v>157</v>
          </cell>
          <cell r="H473">
            <v>157</v>
          </cell>
          <cell r="I473">
            <v>261</v>
          </cell>
          <cell r="J473">
            <v>261</v>
          </cell>
          <cell r="K473">
            <v>784</v>
          </cell>
          <cell r="L473">
            <v>784</v>
          </cell>
          <cell r="M473">
            <v>1045</v>
          </cell>
          <cell r="N473">
            <v>1045</v>
          </cell>
          <cell r="O473">
            <v>261</v>
          </cell>
          <cell r="P473">
            <v>157</v>
          </cell>
          <cell r="Q473">
            <v>5226</v>
          </cell>
        </row>
        <row r="474">
          <cell r="A474" t="str">
            <v>US59P015503961100000</v>
          </cell>
          <cell r="B474" t="str">
            <v>US59P01550</v>
          </cell>
          <cell r="C474">
            <v>3961100000</v>
          </cell>
          <cell r="D474" t="str">
            <v>COMPREHENSIVE INSURANCES</v>
          </cell>
          <cell r="E474">
            <v>3044</v>
          </cell>
          <cell r="F474">
            <v>3044</v>
          </cell>
          <cell r="G474">
            <v>3044</v>
          </cell>
          <cell r="H474">
            <v>3044</v>
          </cell>
          <cell r="I474">
            <v>5073</v>
          </cell>
          <cell r="J474">
            <v>5073</v>
          </cell>
          <cell r="K474">
            <v>15220</v>
          </cell>
          <cell r="L474">
            <v>15220</v>
          </cell>
          <cell r="M474">
            <v>20293</v>
          </cell>
          <cell r="N474">
            <v>20293</v>
          </cell>
          <cell r="O474">
            <v>5073</v>
          </cell>
          <cell r="P474">
            <v>3044</v>
          </cell>
          <cell r="Q474">
            <v>101465</v>
          </cell>
        </row>
        <row r="475">
          <cell r="A475" t="str">
            <v>US59P015533111100000</v>
          </cell>
          <cell r="B475" t="str">
            <v>US59P01553</v>
          </cell>
          <cell r="C475">
            <v>3111100000</v>
          </cell>
          <cell r="D475" t="str">
            <v>WAGES,SALARIES,ALLOWANCES AND COMMI/PERM</v>
          </cell>
          <cell r="E475">
            <v>2015</v>
          </cell>
          <cell r="F475">
            <v>2015</v>
          </cell>
          <cell r="G475">
            <v>2015</v>
          </cell>
          <cell r="H475">
            <v>2015</v>
          </cell>
          <cell r="I475">
            <v>2015</v>
          </cell>
          <cell r="J475">
            <v>2015</v>
          </cell>
          <cell r="K475">
            <v>2015</v>
          </cell>
          <cell r="L475">
            <v>2015</v>
          </cell>
          <cell r="M475">
            <v>2015</v>
          </cell>
          <cell r="N475">
            <v>2015</v>
          </cell>
          <cell r="O475">
            <v>2015</v>
          </cell>
          <cell r="P475">
            <v>2010</v>
          </cell>
          <cell r="Q475">
            <v>24175</v>
          </cell>
        </row>
        <row r="476">
          <cell r="A476" t="str">
            <v>US59P015533111100012</v>
          </cell>
          <cell r="B476" t="str">
            <v>US59P01553</v>
          </cell>
          <cell r="C476">
            <v>3111100012</v>
          </cell>
          <cell r="D476" t="str">
            <v>OVERTIME HOURS /PERMANENTS</v>
          </cell>
          <cell r="E476">
            <v>524</v>
          </cell>
          <cell r="F476">
            <v>524</v>
          </cell>
          <cell r="G476">
            <v>524</v>
          </cell>
          <cell r="H476">
            <v>524</v>
          </cell>
          <cell r="I476">
            <v>524</v>
          </cell>
          <cell r="J476">
            <v>524</v>
          </cell>
          <cell r="K476">
            <v>524</v>
          </cell>
          <cell r="L476">
            <v>524</v>
          </cell>
          <cell r="M476">
            <v>524</v>
          </cell>
          <cell r="N476">
            <v>524</v>
          </cell>
          <cell r="O476">
            <v>524</v>
          </cell>
          <cell r="P476">
            <v>521</v>
          </cell>
          <cell r="Q476">
            <v>6285</v>
          </cell>
        </row>
        <row r="477">
          <cell r="A477" t="str">
            <v>US59P015533121300013</v>
          </cell>
          <cell r="B477" t="str">
            <v>US59P01553</v>
          </cell>
          <cell r="C477">
            <v>3121300013</v>
          </cell>
          <cell r="D477" t="str">
            <v>FRINGE BENEFITS</v>
          </cell>
          <cell r="E477">
            <v>960</v>
          </cell>
          <cell r="F477">
            <v>960</v>
          </cell>
          <cell r="G477">
            <v>960</v>
          </cell>
          <cell r="H477">
            <v>960</v>
          </cell>
          <cell r="I477">
            <v>960</v>
          </cell>
          <cell r="J477">
            <v>960</v>
          </cell>
          <cell r="K477">
            <v>960</v>
          </cell>
          <cell r="L477">
            <v>960</v>
          </cell>
          <cell r="M477">
            <v>960</v>
          </cell>
          <cell r="N477">
            <v>960</v>
          </cell>
          <cell r="O477">
            <v>960</v>
          </cell>
          <cell r="P477">
            <v>954</v>
          </cell>
          <cell r="Q477">
            <v>11514</v>
          </cell>
        </row>
        <row r="478">
          <cell r="A478" t="str">
            <v>US59P015533201300001</v>
          </cell>
          <cell r="B478" t="str">
            <v>US59P01553</v>
          </cell>
          <cell r="C478">
            <v>3201300001</v>
          </cell>
          <cell r="D478" t="str">
            <v>HIRED PERSONNEL FROM 3RD PARTIES</v>
          </cell>
          <cell r="E478">
            <v>0</v>
          </cell>
          <cell r="F478">
            <v>0</v>
          </cell>
          <cell r="G478">
            <v>0</v>
          </cell>
          <cell r="H478">
            <v>0</v>
          </cell>
          <cell r="I478">
            <v>0</v>
          </cell>
          <cell r="J478">
            <v>1174</v>
          </cell>
          <cell r="K478">
            <v>8221</v>
          </cell>
          <cell r="L478">
            <v>14093</v>
          </cell>
          <cell r="M478">
            <v>0</v>
          </cell>
          <cell r="N478">
            <v>0</v>
          </cell>
          <cell r="O478">
            <v>0</v>
          </cell>
          <cell r="P478">
            <v>0</v>
          </cell>
          <cell r="Q478">
            <v>23488</v>
          </cell>
        </row>
        <row r="479">
          <cell r="A479" t="str">
            <v>US59P015533201300012</v>
          </cell>
          <cell r="B479" t="str">
            <v>US59P01553</v>
          </cell>
          <cell r="C479">
            <v>3201300012</v>
          </cell>
          <cell r="D479" t="str">
            <v>HIRED PERSONNEL THIRD PARTY - ROUGING</v>
          </cell>
          <cell r="E479">
            <v>0</v>
          </cell>
          <cell r="F479">
            <v>0</v>
          </cell>
          <cell r="G479">
            <v>0</v>
          </cell>
          <cell r="H479">
            <v>0</v>
          </cell>
          <cell r="I479">
            <v>0</v>
          </cell>
          <cell r="J479">
            <v>28749</v>
          </cell>
          <cell r="K479">
            <v>201241</v>
          </cell>
          <cell r="L479">
            <v>344984</v>
          </cell>
          <cell r="M479">
            <v>0</v>
          </cell>
          <cell r="N479">
            <v>0</v>
          </cell>
          <cell r="O479">
            <v>0</v>
          </cell>
          <cell r="P479">
            <v>0</v>
          </cell>
          <cell r="Q479">
            <v>574974</v>
          </cell>
        </row>
        <row r="480">
          <cell r="A480" t="str">
            <v>US59P015533201400051</v>
          </cell>
          <cell r="B480" t="str">
            <v>US59P01553</v>
          </cell>
          <cell r="C480">
            <v>3201400051</v>
          </cell>
          <cell r="D480" t="str">
            <v>MAINTENANCE EQUIPMENT</v>
          </cell>
          <cell r="E480">
            <v>0</v>
          </cell>
          <cell r="F480">
            <v>0</v>
          </cell>
          <cell r="G480">
            <v>0</v>
          </cell>
          <cell r="H480">
            <v>0</v>
          </cell>
          <cell r="I480">
            <v>0</v>
          </cell>
          <cell r="J480">
            <v>70</v>
          </cell>
          <cell r="K480">
            <v>493</v>
          </cell>
          <cell r="L480">
            <v>846</v>
          </cell>
          <cell r="M480">
            <v>0</v>
          </cell>
          <cell r="N480">
            <v>0</v>
          </cell>
          <cell r="O480">
            <v>0</v>
          </cell>
          <cell r="P480">
            <v>0</v>
          </cell>
          <cell r="Q480">
            <v>1409</v>
          </cell>
        </row>
        <row r="481">
          <cell r="A481" t="str">
            <v>US59P015533311400099</v>
          </cell>
          <cell r="B481" t="str">
            <v>US59P01553</v>
          </cell>
          <cell r="C481">
            <v>3311400099</v>
          </cell>
          <cell r="D481" t="str">
            <v>CO DEPRECIATION</v>
          </cell>
          <cell r="E481">
            <v>5589</v>
          </cell>
          <cell r="F481">
            <v>5589</v>
          </cell>
          <cell r="G481">
            <v>5589</v>
          </cell>
          <cell r="H481">
            <v>5589</v>
          </cell>
          <cell r="I481">
            <v>5589</v>
          </cell>
          <cell r="J481">
            <v>5589</v>
          </cell>
          <cell r="K481">
            <v>5589</v>
          </cell>
          <cell r="L481">
            <v>5589</v>
          </cell>
          <cell r="M481">
            <v>5589</v>
          </cell>
          <cell r="N481">
            <v>5589</v>
          </cell>
          <cell r="O481">
            <v>5589</v>
          </cell>
          <cell r="P481">
            <v>5591</v>
          </cell>
          <cell r="Q481">
            <v>67070</v>
          </cell>
        </row>
        <row r="482">
          <cell r="A482" t="str">
            <v>US59P015533911100015</v>
          </cell>
          <cell r="B482" t="str">
            <v>US59P01553</v>
          </cell>
          <cell r="C482">
            <v>3911100015</v>
          </cell>
          <cell r="D482" t="str">
            <v>TRAVEL EXPENSES PERMANENTS / OTHER</v>
          </cell>
          <cell r="E482">
            <v>0</v>
          </cell>
          <cell r="F482">
            <v>0</v>
          </cell>
          <cell r="G482">
            <v>0</v>
          </cell>
          <cell r="H482">
            <v>0</v>
          </cell>
          <cell r="I482">
            <v>0</v>
          </cell>
          <cell r="J482">
            <v>117</v>
          </cell>
          <cell r="K482">
            <v>822</v>
          </cell>
          <cell r="L482">
            <v>1409</v>
          </cell>
          <cell r="M482">
            <v>0</v>
          </cell>
          <cell r="N482">
            <v>0</v>
          </cell>
          <cell r="O482">
            <v>0</v>
          </cell>
          <cell r="P482">
            <v>0</v>
          </cell>
          <cell r="Q482">
            <v>2348</v>
          </cell>
        </row>
        <row r="483">
          <cell r="A483" t="str">
            <v>US59P015533921200003</v>
          </cell>
          <cell r="B483" t="str">
            <v>US59P01553</v>
          </cell>
          <cell r="C483">
            <v>3921200003</v>
          </cell>
          <cell r="D483" t="str">
            <v>GAS</v>
          </cell>
          <cell r="E483">
            <v>0</v>
          </cell>
          <cell r="F483">
            <v>0</v>
          </cell>
          <cell r="G483">
            <v>0</v>
          </cell>
          <cell r="H483">
            <v>0</v>
          </cell>
          <cell r="I483">
            <v>0</v>
          </cell>
          <cell r="J483">
            <v>470</v>
          </cell>
          <cell r="K483">
            <v>3288</v>
          </cell>
          <cell r="L483">
            <v>5637</v>
          </cell>
          <cell r="M483">
            <v>0</v>
          </cell>
          <cell r="N483">
            <v>0</v>
          </cell>
          <cell r="O483">
            <v>0</v>
          </cell>
          <cell r="P483">
            <v>0</v>
          </cell>
          <cell r="Q483">
            <v>9395</v>
          </cell>
        </row>
        <row r="484">
          <cell r="A484" t="str">
            <v>US59P015533921200006</v>
          </cell>
          <cell r="B484" t="str">
            <v>US59P01553</v>
          </cell>
          <cell r="C484">
            <v>3921200006</v>
          </cell>
          <cell r="D484" t="str">
            <v>FACTORY SUPPLIES MAINTENANCE SUPPLIES</v>
          </cell>
          <cell r="E484">
            <v>0</v>
          </cell>
          <cell r="F484">
            <v>0</v>
          </cell>
          <cell r="G484">
            <v>0</v>
          </cell>
          <cell r="H484">
            <v>0</v>
          </cell>
          <cell r="I484">
            <v>0</v>
          </cell>
          <cell r="J484">
            <v>517</v>
          </cell>
          <cell r="K484">
            <v>3617</v>
          </cell>
          <cell r="L484">
            <v>6201</v>
          </cell>
          <cell r="M484">
            <v>0</v>
          </cell>
          <cell r="N484">
            <v>0</v>
          </cell>
          <cell r="O484">
            <v>0</v>
          </cell>
          <cell r="P484">
            <v>0</v>
          </cell>
          <cell r="Q484">
            <v>10335</v>
          </cell>
        </row>
        <row r="485">
          <cell r="A485" t="str">
            <v>US59P015533921200037</v>
          </cell>
          <cell r="B485" t="str">
            <v>US59P01553</v>
          </cell>
          <cell r="C485">
            <v>3921200037</v>
          </cell>
          <cell r="D485" t="str">
            <v>EXHAUSTIVE EQUIPMENT</v>
          </cell>
          <cell r="E485">
            <v>0</v>
          </cell>
          <cell r="F485">
            <v>0</v>
          </cell>
          <cell r="G485">
            <v>0</v>
          </cell>
          <cell r="H485">
            <v>0</v>
          </cell>
          <cell r="I485">
            <v>0</v>
          </cell>
          <cell r="J485">
            <v>35</v>
          </cell>
          <cell r="K485">
            <v>247</v>
          </cell>
          <cell r="L485">
            <v>423</v>
          </cell>
          <cell r="M485">
            <v>0</v>
          </cell>
          <cell r="N485">
            <v>0</v>
          </cell>
          <cell r="O485">
            <v>0</v>
          </cell>
          <cell r="P485">
            <v>0</v>
          </cell>
          <cell r="Q485">
            <v>705</v>
          </cell>
        </row>
        <row r="486">
          <cell r="A486" t="str">
            <v>US59P015533921200050</v>
          </cell>
          <cell r="B486" t="str">
            <v>US59P01553</v>
          </cell>
          <cell r="C486">
            <v>3921200050</v>
          </cell>
          <cell r="D486" t="str">
            <v>SAFETY EQUIPMENT - SUPPLIES</v>
          </cell>
          <cell r="E486">
            <v>0</v>
          </cell>
          <cell r="F486">
            <v>0</v>
          </cell>
          <cell r="G486">
            <v>0</v>
          </cell>
          <cell r="H486">
            <v>0</v>
          </cell>
          <cell r="I486">
            <v>0</v>
          </cell>
          <cell r="J486">
            <v>235</v>
          </cell>
          <cell r="K486">
            <v>1644</v>
          </cell>
          <cell r="L486">
            <v>2819</v>
          </cell>
          <cell r="M486">
            <v>0</v>
          </cell>
          <cell r="N486">
            <v>0</v>
          </cell>
          <cell r="O486">
            <v>0</v>
          </cell>
          <cell r="P486">
            <v>0</v>
          </cell>
          <cell r="Q486">
            <v>4698</v>
          </cell>
        </row>
        <row r="487">
          <cell r="A487" t="str">
            <v>US59P015533951100002</v>
          </cell>
          <cell r="B487" t="str">
            <v>US59P01553</v>
          </cell>
          <cell r="C487">
            <v>3951100002</v>
          </cell>
          <cell r="D487" t="str">
            <v>RENTALS - REAL ESTATE</v>
          </cell>
          <cell r="E487">
            <v>0</v>
          </cell>
          <cell r="F487">
            <v>0</v>
          </cell>
          <cell r="G487">
            <v>0</v>
          </cell>
          <cell r="H487">
            <v>0</v>
          </cell>
          <cell r="I487">
            <v>0</v>
          </cell>
          <cell r="J487">
            <v>4698</v>
          </cell>
          <cell r="K487">
            <v>32883</v>
          </cell>
          <cell r="L487">
            <v>56370</v>
          </cell>
          <cell r="M487">
            <v>0</v>
          </cell>
          <cell r="N487">
            <v>0</v>
          </cell>
          <cell r="O487">
            <v>0</v>
          </cell>
          <cell r="P487">
            <v>0</v>
          </cell>
          <cell r="Q487">
            <v>93951</v>
          </cell>
        </row>
        <row r="488">
          <cell r="A488" t="str">
            <v>US59P015533951100005</v>
          </cell>
          <cell r="B488" t="str">
            <v>US59P01553</v>
          </cell>
          <cell r="C488">
            <v>3951100005</v>
          </cell>
          <cell r="D488" t="str">
            <v>OTHER RENTALS</v>
          </cell>
          <cell r="E488">
            <v>0</v>
          </cell>
          <cell r="F488">
            <v>0</v>
          </cell>
          <cell r="G488">
            <v>0</v>
          </cell>
          <cell r="H488">
            <v>0</v>
          </cell>
          <cell r="I488">
            <v>0</v>
          </cell>
          <cell r="J488">
            <v>505</v>
          </cell>
          <cell r="K488">
            <v>3535</v>
          </cell>
          <cell r="L488">
            <v>6060</v>
          </cell>
          <cell r="M488">
            <v>0</v>
          </cell>
          <cell r="N488">
            <v>0</v>
          </cell>
          <cell r="O488">
            <v>0</v>
          </cell>
          <cell r="P488">
            <v>0</v>
          </cell>
          <cell r="Q488">
            <v>10100</v>
          </cell>
        </row>
        <row r="489">
          <cell r="A489" t="str">
            <v>US59P015533951200002</v>
          </cell>
          <cell r="B489" t="str">
            <v>US59P01553</v>
          </cell>
          <cell r="C489">
            <v>3951200002</v>
          </cell>
          <cell r="D489" t="str">
            <v>OPERATING LEASES - VEHICLES (SHORT DURAT</v>
          </cell>
          <cell r="E489">
            <v>0</v>
          </cell>
          <cell r="F489">
            <v>0</v>
          </cell>
          <cell r="G489">
            <v>0</v>
          </cell>
          <cell r="H489">
            <v>0</v>
          </cell>
          <cell r="I489">
            <v>0</v>
          </cell>
          <cell r="J489">
            <v>423</v>
          </cell>
          <cell r="K489">
            <v>2959</v>
          </cell>
          <cell r="L489">
            <v>5073</v>
          </cell>
          <cell r="M489">
            <v>0</v>
          </cell>
          <cell r="N489">
            <v>0</v>
          </cell>
          <cell r="O489">
            <v>0</v>
          </cell>
          <cell r="P489">
            <v>0</v>
          </cell>
          <cell r="Q489">
            <v>8455</v>
          </cell>
        </row>
        <row r="490">
          <cell r="A490" t="str">
            <v>US59P015533961100000</v>
          </cell>
          <cell r="B490" t="str">
            <v>US59P01553</v>
          </cell>
          <cell r="C490">
            <v>3961100000</v>
          </cell>
          <cell r="D490" t="str">
            <v>COMPREHENSIVE INSURANCES</v>
          </cell>
          <cell r="E490">
            <v>0</v>
          </cell>
          <cell r="F490">
            <v>0</v>
          </cell>
          <cell r="G490">
            <v>0</v>
          </cell>
          <cell r="H490">
            <v>0</v>
          </cell>
          <cell r="I490">
            <v>0</v>
          </cell>
          <cell r="J490">
            <v>2149</v>
          </cell>
          <cell r="K490">
            <v>15044</v>
          </cell>
          <cell r="L490">
            <v>25789</v>
          </cell>
          <cell r="M490">
            <v>0</v>
          </cell>
          <cell r="N490">
            <v>0</v>
          </cell>
          <cell r="O490">
            <v>0</v>
          </cell>
          <cell r="P490">
            <v>0</v>
          </cell>
          <cell r="Q490">
            <v>42982</v>
          </cell>
        </row>
        <row r="491">
          <cell r="A491" t="str">
            <v>US59P015603111100000</v>
          </cell>
          <cell r="B491" t="str">
            <v>US59P01560</v>
          </cell>
          <cell r="C491">
            <v>3111100000</v>
          </cell>
          <cell r="D491" t="str">
            <v>WAGES,SALARIES,ALLOWANCES AND COMMI/PERM</v>
          </cell>
          <cell r="E491">
            <v>8355</v>
          </cell>
          <cell r="F491">
            <v>8355</v>
          </cell>
          <cell r="G491">
            <v>8355</v>
          </cell>
          <cell r="H491">
            <v>8355</v>
          </cell>
          <cell r="I491">
            <v>8355</v>
          </cell>
          <cell r="J491">
            <v>8355</v>
          </cell>
          <cell r="K491">
            <v>8355</v>
          </cell>
          <cell r="L491">
            <v>8355</v>
          </cell>
          <cell r="M491">
            <v>8355</v>
          </cell>
          <cell r="N491">
            <v>8355</v>
          </cell>
          <cell r="O491">
            <v>8355</v>
          </cell>
          <cell r="P491">
            <v>8349</v>
          </cell>
          <cell r="Q491">
            <v>100254</v>
          </cell>
        </row>
        <row r="492">
          <cell r="A492" t="str">
            <v>US59P015603111100012</v>
          </cell>
          <cell r="B492" t="str">
            <v>US59P01560</v>
          </cell>
          <cell r="C492">
            <v>3111100012</v>
          </cell>
          <cell r="D492" t="str">
            <v>OVERTIME HOURS /PERMANENTS</v>
          </cell>
          <cell r="E492">
            <v>1671</v>
          </cell>
          <cell r="F492">
            <v>1671</v>
          </cell>
          <cell r="G492">
            <v>1671</v>
          </cell>
          <cell r="H492">
            <v>1671</v>
          </cell>
          <cell r="I492">
            <v>1671</v>
          </cell>
          <cell r="J492">
            <v>1671</v>
          </cell>
          <cell r="K492">
            <v>1671</v>
          </cell>
          <cell r="L492">
            <v>1671</v>
          </cell>
          <cell r="M492">
            <v>1671</v>
          </cell>
          <cell r="N492">
            <v>1671</v>
          </cell>
          <cell r="O492">
            <v>1671</v>
          </cell>
          <cell r="P492">
            <v>1669</v>
          </cell>
          <cell r="Q492">
            <v>20050</v>
          </cell>
        </row>
        <row r="493">
          <cell r="A493" t="str">
            <v>US59P015603121300013</v>
          </cell>
          <cell r="B493" t="str">
            <v>US59P01560</v>
          </cell>
          <cell r="C493">
            <v>3121300013</v>
          </cell>
          <cell r="D493" t="str">
            <v>FRINGE BENEFITS</v>
          </cell>
          <cell r="E493">
            <v>3790</v>
          </cell>
          <cell r="F493">
            <v>3790</v>
          </cell>
          <cell r="G493">
            <v>3790</v>
          </cell>
          <cell r="H493">
            <v>3790</v>
          </cell>
          <cell r="I493">
            <v>3790</v>
          </cell>
          <cell r="J493">
            <v>3790</v>
          </cell>
          <cell r="K493">
            <v>3790</v>
          </cell>
          <cell r="L493">
            <v>3790</v>
          </cell>
          <cell r="M493">
            <v>3790</v>
          </cell>
          <cell r="N493">
            <v>3790</v>
          </cell>
          <cell r="O493">
            <v>3790</v>
          </cell>
          <cell r="P493">
            <v>3785</v>
          </cell>
          <cell r="Q493">
            <v>45475</v>
          </cell>
        </row>
        <row r="494">
          <cell r="A494" t="str">
            <v>US59P015603201300001</v>
          </cell>
          <cell r="B494" t="str">
            <v>US59P01560</v>
          </cell>
          <cell r="C494">
            <v>3201300001</v>
          </cell>
          <cell r="D494" t="str">
            <v>HIRED PERSONNEL FROM 3RD PARTIES</v>
          </cell>
          <cell r="E494">
            <v>9741</v>
          </cell>
          <cell r="F494">
            <v>4870</v>
          </cell>
          <cell r="G494">
            <v>4870</v>
          </cell>
          <cell r="H494">
            <v>4870</v>
          </cell>
          <cell r="I494">
            <v>0</v>
          </cell>
          <cell r="J494">
            <v>0</v>
          </cell>
          <cell r="K494">
            <v>0</v>
          </cell>
          <cell r="L494">
            <v>0</v>
          </cell>
          <cell r="M494">
            <v>14611</v>
          </cell>
          <cell r="N494">
            <v>19481</v>
          </cell>
          <cell r="O494">
            <v>19481</v>
          </cell>
          <cell r="P494">
            <v>19481</v>
          </cell>
          <cell r="Q494">
            <v>97405</v>
          </cell>
        </row>
        <row r="495">
          <cell r="A495" t="str">
            <v>US59P015603201300005</v>
          </cell>
          <cell r="B495" t="str">
            <v>US59P01560</v>
          </cell>
          <cell r="C495">
            <v>3201300005</v>
          </cell>
          <cell r="D495" t="str">
            <v>O/S SERVICES - COMPUTER LIC. &amp; SUPPORT</v>
          </cell>
          <cell r="E495">
            <v>278</v>
          </cell>
          <cell r="F495">
            <v>139</v>
          </cell>
          <cell r="G495">
            <v>139</v>
          </cell>
          <cell r="H495">
            <v>139</v>
          </cell>
          <cell r="I495">
            <v>0</v>
          </cell>
          <cell r="J495">
            <v>0</v>
          </cell>
          <cell r="K495">
            <v>0</v>
          </cell>
          <cell r="L495">
            <v>0</v>
          </cell>
          <cell r="M495">
            <v>417</v>
          </cell>
          <cell r="N495">
            <v>557</v>
          </cell>
          <cell r="O495">
            <v>557</v>
          </cell>
          <cell r="P495">
            <v>557</v>
          </cell>
          <cell r="Q495">
            <v>2783</v>
          </cell>
        </row>
        <row r="496">
          <cell r="A496" t="str">
            <v>US59P015603201400029</v>
          </cell>
          <cell r="B496" t="str">
            <v>US59P01560</v>
          </cell>
          <cell r="C496">
            <v>3201400029</v>
          </cell>
          <cell r="D496" t="str">
            <v>OTH OUTSIDE SERVICES OTHER</v>
          </cell>
          <cell r="E496">
            <v>1392</v>
          </cell>
          <cell r="F496">
            <v>696</v>
          </cell>
          <cell r="G496">
            <v>696</v>
          </cell>
          <cell r="H496">
            <v>696</v>
          </cell>
          <cell r="I496">
            <v>0</v>
          </cell>
          <cell r="J496">
            <v>0</v>
          </cell>
          <cell r="K496">
            <v>0</v>
          </cell>
          <cell r="L496">
            <v>0</v>
          </cell>
          <cell r="M496">
            <v>2087</v>
          </cell>
          <cell r="N496">
            <v>2783</v>
          </cell>
          <cell r="O496">
            <v>2783</v>
          </cell>
          <cell r="P496">
            <v>2783</v>
          </cell>
          <cell r="Q496">
            <v>13916</v>
          </cell>
        </row>
        <row r="497">
          <cell r="A497" t="str">
            <v>US59P015603201400036</v>
          </cell>
          <cell r="B497" t="str">
            <v>US59P01560</v>
          </cell>
          <cell r="C497">
            <v>3201400036</v>
          </cell>
          <cell r="D497" t="str">
            <v>OTHER MAINTENANCE BUILDINGS</v>
          </cell>
          <cell r="E497">
            <v>1113</v>
          </cell>
          <cell r="F497">
            <v>557</v>
          </cell>
          <cell r="G497">
            <v>557</v>
          </cell>
          <cell r="H497">
            <v>557</v>
          </cell>
          <cell r="I497">
            <v>0</v>
          </cell>
          <cell r="J497">
            <v>0</v>
          </cell>
          <cell r="K497">
            <v>0</v>
          </cell>
          <cell r="L497">
            <v>0</v>
          </cell>
          <cell r="M497">
            <v>1670</v>
          </cell>
          <cell r="N497">
            <v>2226</v>
          </cell>
          <cell r="O497">
            <v>2226</v>
          </cell>
          <cell r="P497">
            <v>2226</v>
          </cell>
          <cell r="Q497">
            <v>11132</v>
          </cell>
        </row>
        <row r="498">
          <cell r="A498" t="str">
            <v>US59P015603201400051</v>
          </cell>
          <cell r="B498" t="str">
            <v>US59P01560</v>
          </cell>
          <cell r="C498">
            <v>3201400051</v>
          </cell>
          <cell r="D498" t="str">
            <v>MAINTENANCE EQUIPMENT</v>
          </cell>
          <cell r="E498">
            <v>1113</v>
          </cell>
          <cell r="F498">
            <v>557</v>
          </cell>
          <cell r="G498">
            <v>557</v>
          </cell>
          <cell r="H498">
            <v>557</v>
          </cell>
          <cell r="I498">
            <v>0</v>
          </cell>
          <cell r="J498">
            <v>0</v>
          </cell>
          <cell r="K498">
            <v>0</v>
          </cell>
          <cell r="L498">
            <v>0</v>
          </cell>
          <cell r="M498">
            <v>1670</v>
          </cell>
          <cell r="N498">
            <v>2226</v>
          </cell>
          <cell r="O498">
            <v>2226</v>
          </cell>
          <cell r="P498">
            <v>2226</v>
          </cell>
          <cell r="Q498">
            <v>11132</v>
          </cell>
        </row>
        <row r="499">
          <cell r="A499" t="str">
            <v>US59P015603311400099</v>
          </cell>
          <cell r="B499" t="str">
            <v>US59P01560</v>
          </cell>
          <cell r="C499">
            <v>3311400099</v>
          </cell>
          <cell r="D499" t="str">
            <v>CO DEPRECIATION</v>
          </cell>
          <cell r="E499">
            <v>16579</v>
          </cell>
          <cell r="F499">
            <v>16579</v>
          </cell>
          <cell r="G499">
            <v>16579</v>
          </cell>
          <cell r="H499">
            <v>16579</v>
          </cell>
          <cell r="I499">
            <v>16579</v>
          </cell>
          <cell r="J499">
            <v>16579</v>
          </cell>
          <cell r="K499">
            <v>16579</v>
          </cell>
          <cell r="L499">
            <v>16579</v>
          </cell>
          <cell r="M499">
            <v>16579</v>
          </cell>
          <cell r="N499">
            <v>16579</v>
          </cell>
          <cell r="O499">
            <v>16579</v>
          </cell>
          <cell r="P499">
            <v>16574</v>
          </cell>
          <cell r="Q499">
            <v>198943</v>
          </cell>
        </row>
        <row r="500">
          <cell r="A500" t="str">
            <v>US59P015603921200003</v>
          </cell>
          <cell r="B500" t="str">
            <v>US59P01560</v>
          </cell>
          <cell r="C500">
            <v>3921200003</v>
          </cell>
          <cell r="D500" t="str">
            <v>GAS</v>
          </cell>
          <cell r="E500">
            <v>1392</v>
          </cell>
          <cell r="F500">
            <v>696</v>
          </cell>
          <cell r="G500">
            <v>696</v>
          </cell>
          <cell r="H500">
            <v>696</v>
          </cell>
          <cell r="I500">
            <v>0</v>
          </cell>
          <cell r="J500">
            <v>0</v>
          </cell>
          <cell r="K500">
            <v>0</v>
          </cell>
          <cell r="L500">
            <v>0</v>
          </cell>
          <cell r="M500">
            <v>2087</v>
          </cell>
          <cell r="N500">
            <v>2783</v>
          </cell>
          <cell r="O500">
            <v>2783</v>
          </cell>
          <cell r="P500">
            <v>2783</v>
          </cell>
          <cell r="Q500">
            <v>13916</v>
          </cell>
        </row>
        <row r="501">
          <cell r="A501" t="str">
            <v>US59P015603921200006</v>
          </cell>
          <cell r="B501" t="str">
            <v>US59P01560</v>
          </cell>
          <cell r="C501">
            <v>3921200006</v>
          </cell>
          <cell r="D501" t="str">
            <v>FACTORY SUPPLIES MAINTENANCE SUPPLIES</v>
          </cell>
          <cell r="E501">
            <v>1392</v>
          </cell>
          <cell r="F501">
            <v>696</v>
          </cell>
          <cell r="G501">
            <v>696</v>
          </cell>
          <cell r="H501">
            <v>696</v>
          </cell>
          <cell r="I501">
            <v>0</v>
          </cell>
          <cell r="J501">
            <v>0</v>
          </cell>
          <cell r="K501">
            <v>0</v>
          </cell>
          <cell r="L501">
            <v>0</v>
          </cell>
          <cell r="M501">
            <v>2087</v>
          </cell>
          <cell r="N501">
            <v>2783</v>
          </cell>
          <cell r="O501">
            <v>2783</v>
          </cell>
          <cell r="P501">
            <v>2783</v>
          </cell>
          <cell r="Q501">
            <v>13916</v>
          </cell>
        </row>
        <row r="502">
          <cell r="A502" t="str">
            <v>US59P015603921200050</v>
          </cell>
          <cell r="B502" t="str">
            <v>US59P01560</v>
          </cell>
          <cell r="C502">
            <v>3921200050</v>
          </cell>
          <cell r="D502" t="str">
            <v>SAFETY EQUIPMENT - SUPPLIES</v>
          </cell>
          <cell r="E502">
            <v>2783</v>
          </cell>
          <cell r="F502">
            <v>1392</v>
          </cell>
          <cell r="G502">
            <v>1392</v>
          </cell>
          <cell r="H502">
            <v>1392</v>
          </cell>
          <cell r="I502">
            <v>0</v>
          </cell>
          <cell r="J502">
            <v>0</v>
          </cell>
          <cell r="K502">
            <v>0</v>
          </cell>
          <cell r="L502">
            <v>0</v>
          </cell>
          <cell r="M502">
            <v>4175</v>
          </cell>
          <cell r="N502">
            <v>5566</v>
          </cell>
          <cell r="O502">
            <v>5566</v>
          </cell>
          <cell r="P502">
            <v>5566</v>
          </cell>
          <cell r="Q502">
            <v>27832</v>
          </cell>
        </row>
        <row r="503">
          <cell r="A503" t="str">
            <v>US59P015603921200100</v>
          </cell>
          <cell r="B503" t="str">
            <v>US59P01560</v>
          </cell>
          <cell r="C503">
            <v>3921200100</v>
          </cell>
          <cell r="D503" t="str">
            <v>FIELD &amp; PRODUCTION SUPPLIES</v>
          </cell>
          <cell r="E503">
            <v>1948</v>
          </cell>
          <cell r="F503">
            <v>974</v>
          </cell>
          <cell r="G503">
            <v>974</v>
          </cell>
          <cell r="H503">
            <v>974</v>
          </cell>
          <cell r="I503">
            <v>0</v>
          </cell>
          <cell r="J503">
            <v>0</v>
          </cell>
          <cell r="K503">
            <v>0</v>
          </cell>
          <cell r="L503">
            <v>0</v>
          </cell>
          <cell r="M503">
            <v>2922</v>
          </cell>
          <cell r="N503">
            <v>3896</v>
          </cell>
          <cell r="O503">
            <v>3896</v>
          </cell>
          <cell r="P503">
            <v>3896</v>
          </cell>
          <cell r="Q503">
            <v>19480</v>
          </cell>
        </row>
        <row r="504">
          <cell r="A504" t="str">
            <v>US59P015643111100000</v>
          </cell>
          <cell r="B504" t="str">
            <v>US59P01564</v>
          </cell>
          <cell r="C504">
            <v>3111100000</v>
          </cell>
          <cell r="D504" t="str">
            <v>WAGES,SALARIES,ALLOWANCES AND COMMI/PERM</v>
          </cell>
          <cell r="E504">
            <v>6449</v>
          </cell>
          <cell r="F504">
            <v>6449</v>
          </cell>
          <cell r="G504">
            <v>6449</v>
          </cell>
          <cell r="H504">
            <v>6449</v>
          </cell>
          <cell r="I504">
            <v>6449</v>
          </cell>
          <cell r="J504">
            <v>6449</v>
          </cell>
          <cell r="K504">
            <v>6449</v>
          </cell>
          <cell r="L504">
            <v>6449</v>
          </cell>
          <cell r="M504">
            <v>6449</v>
          </cell>
          <cell r="N504">
            <v>6449</v>
          </cell>
          <cell r="O504">
            <v>6449</v>
          </cell>
          <cell r="P504">
            <v>6448</v>
          </cell>
          <cell r="Q504">
            <v>77387</v>
          </cell>
        </row>
        <row r="505">
          <cell r="A505" t="str">
            <v>US59P015643111100012</v>
          </cell>
          <cell r="B505" t="str">
            <v>US59P01564</v>
          </cell>
          <cell r="C505">
            <v>3111100012</v>
          </cell>
          <cell r="D505" t="str">
            <v>OVERTIME HOURS /PERMANENTS</v>
          </cell>
          <cell r="E505">
            <v>2580</v>
          </cell>
          <cell r="F505">
            <v>2580</v>
          </cell>
          <cell r="G505">
            <v>2580</v>
          </cell>
          <cell r="H505">
            <v>2580</v>
          </cell>
          <cell r="I505">
            <v>2580</v>
          </cell>
          <cell r="J505">
            <v>2580</v>
          </cell>
          <cell r="K505">
            <v>2580</v>
          </cell>
          <cell r="L505">
            <v>2580</v>
          </cell>
          <cell r="M505">
            <v>2580</v>
          </cell>
          <cell r="N505">
            <v>2580</v>
          </cell>
          <cell r="O505">
            <v>2580</v>
          </cell>
          <cell r="P505">
            <v>2577</v>
          </cell>
          <cell r="Q505">
            <v>30957</v>
          </cell>
        </row>
        <row r="506">
          <cell r="A506" t="str">
            <v>US59P015643121300013</v>
          </cell>
          <cell r="B506" t="str">
            <v>US59P01564</v>
          </cell>
          <cell r="C506">
            <v>3121300013</v>
          </cell>
          <cell r="D506" t="str">
            <v>FRINGE BENEFITS</v>
          </cell>
          <cell r="E506">
            <v>3413</v>
          </cell>
          <cell r="F506">
            <v>3413</v>
          </cell>
          <cell r="G506">
            <v>3413</v>
          </cell>
          <cell r="H506">
            <v>3413</v>
          </cell>
          <cell r="I506">
            <v>3413</v>
          </cell>
          <cell r="J506">
            <v>3413</v>
          </cell>
          <cell r="K506">
            <v>3413</v>
          </cell>
          <cell r="L506">
            <v>3413</v>
          </cell>
          <cell r="M506">
            <v>3413</v>
          </cell>
          <cell r="N506">
            <v>3413</v>
          </cell>
          <cell r="O506">
            <v>3413</v>
          </cell>
          <cell r="P506">
            <v>3411</v>
          </cell>
          <cell r="Q506">
            <v>40954</v>
          </cell>
        </row>
        <row r="507">
          <cell r="A507" t="str">
            <v>US59P015643131100025</v>
          </cell>
          <cell r="B507" t="str">
            <v>US59P01564</v>
          </cell>
          <cell r="C507">
            <v>3131100025</v>
          </cell>
          <cell r="D507" t="str">
            <v>OTHER PERSONNEL EXPENSES</v>
          </cell>
          <cell r="E507">
            <v>30</v>
          </cell>
          <cell r="F507">
            <v>30</v>
          </cell>
          <cell r="G507">
            <v>0</v>
          </cell>
          <cell r="H507">
            <v>0</v>
          </cell>
          <cell r="I507">
            <v>0</v>
          </cell>
          <cell r="J507">
            <v>0</v>
          </cell>
          <cell r="K507">
            <v>0</v>
          </cell>
          <cell r="L507">
            <v>30</v>
          </cell>
          <cell r="M507">
            <v>120</v>
          </cell>
          <cell r="N507">
            <v>211</v>
          </cell>
          <cell r="O507">
            <v>120</v>
          </cell>
          <cell r="P507">
            <v>60</v>
          </cell>
          <cell r="Q507">
            <v>601</v>
          </cell>
        </row>
        <row r="508">
          <cell r="A508" t="str">
            <v>US59P015643201300001</v>
          </cell>
          <cell r="B508" t="str">
            <v>US59P01564</v>
          </cell>
          <cell r="C508">
            <v>3201300001</v>
          </cell>
          <cell r="D508" t="str">
            <v>HIRED PERSONNEL FROM 3RD PARTIES</v>
          </cell>
          <cell r="E508">
            <v>9023</v>
          </cell>
          <cell r="F508">
            <v>9023</v>
          </cell>
          <cell r="G508">
            <v>0</v>
          </cell>
          <cell r="H508">
            <v>0</v>
          </cell>
          <cell r="I508">
            <v>0</v>
          </cell>
          <cell r="J508">
            <v>0</v>
          </cell>
          <cell r="K508">
            <v>0</v>
          </cell>
          <cell r="L508">
            <v>9023</v>
          </cell>
          <cell r="M508">
            <v>36091</v>
          </cell>
          <cell r="N508">
            <v>63159</v>
          </cell>
          <cell r="O508">
            <v>36091</v>
          </cell>
          <cell r="P508">
            <v>18045</v>
          </cell>
          <cell r="Q508">
            <v>180455</v>
          </cell>
        </row>
        <row r="509">
          <cell r="A509" t="str">
            <v>US59P015643201400029</v>
          </cell>
          <cell r="B509" t="str">
            <v>US59P01564</v>
          </cell>
          <cell r="C509">
            <v>3201400029</v>
          </cell>
          <cell r="D509" t="str">
            <v>OTH OUTSIDE SERVICES OTHER</v>
          </cell>
          <cell r="E509">
            <v>1504</v>
          </cell>
          <cell r="F509">
            <v>1504</v>
          </cell>
          <cell r="G509">
            <v>0</v>
          </cell>
          <cell r="H509">
            <v>0</v>
          </cell>
          <cell r="I509">
            <v>0</v>
          </cell>
          <cell r="J509">
            <v>0</v>
          </cell>
          <cell r="K509">
            <v>0</v>
          </cell>
          <cell r="L509">
            <v>1504</v>
          </cell>
          <cell r="M509">
            <v>6015</v>
          </cell>
          <cell r="N509">
            <v>10527</v>
          </cell>
          <cell r="O509">
            <v>6015</v>
          </cell>
          <cell r="P509">
            <v>3008</v>
          </cell>
          <cell r="Q509">
            <v>30077</v>
          </cell>
        </row>
        <row r="510">
          <cell r="A510" t="str">
            <v>US59P015643201400036</v>
          </cell>
          <cell r="B510" t="str">
            <v>US59P01564</v>
          </cell>
          <cell r="C510">
            <v>3201400036</v>
          </cell>
          <cell r="D510" t="str">
            <v>OTHER MAINTENANCE BUILDINGS</v>
          </cell>
          <cell r="E510">
            <v>75</v>
          </cell>
          <cell r="F510">
            <v>75</v>
          </cell>
          <cell r="G510">
            <v>0</v>
          </cell>
          <cell r="H510">
            <v>0</v>
          </cell>
          <cell r="I510">
            <v>0</v>
          </cell>
          <cell r="J510">
            <v>0</v>
          </cell>
          <cell r="K510">
            <v>0</v>
          </cell>
          <cell r="L510">
            <v>75</v>
          </cell>
          <cell r="M510">
            <v>301</v>
          </cell>
          <cell r="N510">
            <v>526</v>
          </cell>
          <cell r="O510">
            <v>301</v>
          </cell>
          <cell r="P510">
            <v>150</v>
          </cell>
          <cell r="Q510">
            <v>1503</v>
          </cell>
        </row>
        <row r="511">
          <cell r="A511" t="str">
            <v>US59P015643201400051</v>
          </cell>
          <cell r="B511" t="str">
            <v>US59P01564</v>
          </cell>
          <cell r="C511">
            <v>3201400051</v>
          </cell>
          <cell r="D511" t="str">
            <v>MAINTENANCE EQUIPMENT</v>
          </cell>
          <cell r="E511">
            <v>451</v>
          </cell>
          <cell r="F511">
            <v>451</v>
          </cell>
          <cell r="G511">
            <v>0</v>
          </cell>
          <cell r="H511">
            <v>0</v>
          </cell>
          <cell r="I511">
            <v>0</v>
          </cell>
          <cell r="J511">
            <v>0</v>
          </cell>
          <cell r="K511">
            <v>0</v>
          </cell>
          <cell r="L511">
            <v>451</v>
          </cell>
          <cell r="M511">
            <v>1805</v>
          </cell>
          <cell r="N511">
            <v>3158</v>
          </cell>
          <cell r="O511">
            <v>1805</v>
          </cell>
          <cell r="P511">
            <v>902</v>
          </cell>
          <cell r="Q511">
            <v>9023</v>
          </cell>
        </row>
        <row r="512">
          <cell r="A512" t="str">
            <v>US59P015643311400099</v>
          </cell>
          <cell r="B512" t="str">
            <v>US59P01564</v>
          </cell>
          <cell r="C512">
            <v>3311400099</v>
          </cell>
          <cell r="D512" t="str">
            <v>CO DEPRECIATION</v>
          </cell>
          <cell r="E512">
            <v>22172</v>
          </cell>
          <cell r="F512">
            <v>22172</v>
          </cell>
          <cell r="G512">
            <v>22172</v>
          </cell>
          <cell r="H512">
            <v>22172</v>
          </cell>
          <cell r="I512">
            <v>22172</v>
          </cell>
          <cell r="J512">
            <v>22172</v>
          </cell>
          <cell r="K512">
            <v>22172</v>
          </cell>
          <cell r="L512">
            <v>22172</v>
          </cell>
          <cell r="M512">
            <v>22172</v>
          </cell>
          <cell r="N512">
            <v>22172</v>
          </cell>
          <cell r="O512">
            <v>22172</v>
          </cell>
          <cell r="P512">
            <v>22177</v>
          </cell>
          <cell r="Q512">
            <v>266069</v>
          </cell>
        </row>
        <row r="513">
          <cell r="A513" t="str">
            <v>US59P015643921100001</v>
          </cell>
          <cell r="B513" t="str">
            <v>US59P01564</v>
          </cell>
          <cell r="C513">
            <v>3921100001</v>
          </cell>
          <cell r="D513" t="str">
            <v>UTILITY EXPENSES ELECTRICITY</v>
          </cell>
          <cell r="E513">
            <v>6466</v>
          </cell>
          <cell r="F513">
            <v>6466</v>
          </cell>
          <cell r="G513">
            <v>0</v>
          </cell>
          <cell r="H513">
            <v>0</v>
          </cell>
          <cell r="I513">
            <v>0</v>
          </cell>
          <cell r="J513">
            <v>0</v>
          </cell>
          <cell r="K513">
            <v>0</v>
          </cell>
          <cell r="L513">
            <v>6466</v>
          </cell>
          <cell r="M513">
            <v>25865</v>
          </cell>
          <cell r="N513">
            <v>45264</v>
          </cell>
          <cell r="O513">
            <v>25865</v>
          </cell>
          <cell r="P513">
            <v>12933</v>
          </cell>
          <cell r="Q513">
            <v>129325</v>
          </cell>
        </row>
        <row r="514">
          <cell r="A514" t="str">
            <v>US59P015643921200001</v>
          </cell>
          <cell r="B514" t="str">
            <v>US59P01564</v>
          </cell>
          <cell r="C514">
            <v>3921200001</v>
          </cell>
          <cell r="D514" t="str">
            <v>FUEL</v>
          </cell>
          <cell r="E514">
            <v>15</v>
          </cell>
          <cell r="F514">
            <v>15</v>
          </cell>
          <cell r="G514">
            <v>0</v>
          </cell>
          <cell r="H514">
            <v>0</v>
          </cell>
          <cell r="I514">
            <v>0</v>
          </cell>
          <cell r="J514">
            <v>0</v>
          </cell>
          <cell r="K514">
            <v>0</v>
          </cell>
          <cell r="L514">
            <v>15</v>
          </cell>
          <cell r="M514">
            <v>60</v>
          </cell>
          <cell r="N514">
            <v>105</v>
          </cell>
          <cell r="O514">
            <v>60</v>
          </cell>
          <cell r="P514">
            <v>30</v>
          </cell>
          <cell r="Q514">
            <v>300</v>
          </cell>
        </row>
        <row r="515">
          <cell r="A515" t="str">
            <v>US59P015643921200003</v>
          </cell>
          <cell r="B515" t="str">
            <v>US59P01564</v>
          </cell>
          <cell r="C515">
            <v>3921200003</v>
          </cell>
          <cell r="D515" t="str">
            <v>GAS</v>
          </cell>
          <cell r="E515">
            <v>6316</v>
          </cell>
          <cell r="F515">
            <v>6316</v>
          </cell>
          <cell r="G515">
            <v>0</v>
          </cell>
          <cell r="H515">
            <v>0</v>
          </cell>
          <cell r="I515">
            <v>0</v>
          </cell>
          <cell r="J515">
            <v>0</v>
          </cell>
          <cell r="K515">
            <v>0</v>
          </cell>
          <cell r="L515">
            <v>6316</v>
          </cell>
          <cell r="M515">
            <v>25264</v>
          </cell>
          <cell r="N515">
            <v>44211</v>
          </cell>
          <cell r="O515">
            <v>25264</v>
          </cell>
          <cell r="P515">
            <v>12632</v>
          </cell>
          <cell r="Q515">
            <v>126319</v>
          </cell>
        </row>
        <row r="516">
          <cell r="A516" t="str">
            <v>US59P015643921200006</v>
          </cell>
          <cell r="B516" t="str">
            <v>US59P01564</v>
          </cell>
          <cell r="C516">
            <v>3921200006</v>
          </cell>
          <cell r="D516" t="str">
            <v>FACTORY SUPPLIES MAINTENANCE SUPPLIES</v>
          </cell>
          <cell r="E516">
            <v>2406</v>
          </cell>
          <cell r="F516">
            <v>2406</v>
          </cell>
          <cell r="G516">
            <v>0</v>
          </cell>
          <cell r="H516">
            <v>0</v>
          </cell>
          <cell r="I516">
            <v>0</v>
          </cell>
          <cell r="J516">
            <v>0</v>
          </cell>
          <cell r="K516">
            <v>0</v>
          </cell>
          <cell r="L516">
            <v>2406</v>
          </cell>
          <cell r="M516">
            <v>9624</v>
          </cell>
          <cell r="N516">
            <v>16842</v>
          </cell>
          <cell r="O516">
            <v>9624</v>
          </cell>
          <cell r="P516">
            <v>4812</v>
          </cell>
          <cell r="Q516">
            <v>48120</v>
          </cell>
        </row>
        <row r="517">
          <cell r="A517" t="str">
            <v>US59P015643921200050</v>
          </cell>
          <cell r="B517" t="str">
            <v>US59P01564</v>
          </cell>
          <cell r="C517">
            <v>3921200050</v>
          </cell>
          <cell r="D517" t="str">
            <v>SAFETY EQUIPMENT - SUPPLIES</v>
          </cell>
          <cell r="E517">
            <v>135</v>
          </cell>
          <cell r="F517">
            <v>135</v>
          </cell>
          <cell r="G517">
            <v>0</v>
          </cell>
          <cell r="H517">
            <v>0</v>
          </cell>
          <cell r="I517">
            <v>0</v>
          </cell>
          <cell r="J517">
            <v>0</v>
          </cell>
          <cell r="K517">
            <v>0</v>
          </cell>
          <cell r="L517">
            <v>135</v>
          </cell>
          <cell r="M517">
            <v>541</v>
          </cell>
          <cell r="N517">
            <v>947</v>
          </cell>
          <cell r="O517">
            <v>541</v>
          </cell>
          <cell r="P517">
            <v>271</v>
          </cell>
          <cell r="Q517">
            <v>2705</v>
          </cell>
        </row>
        <row r="518">
          <cell r="A518" t="str">
            <v>US59P015643941100002</v>
          </cell>
          <cell r="B518" t="str">
            <v>US59P01564</v>
          </cell>
          <cell r="C518">
            <v>3941100002</v>
          </cell>
          <cell r="D518" t="str">
            <v>FREIGHT BETWEEN PLANTS</v>
          </cell>
          <cell r="E518">
            <v>6015</v>
          </cell>
          <cell r="F518">
            <v>6015</v>
          </cell>
          <cell r="G518">
            <v>0</v>
          </cell>
          <cell r="H518">
            <v>0</v>
          </cell>
          <cell r="I518">
            <v>0</v>
          </cell>
          <cell r="J518">
            <v>0</v>
          </cell>
          <cell r="K518">
            <v>0</v>
          </cell>
          <cell r="L518">
            <v>6015</v>
          </cell>
          <cell r="M518">
            <v>24061</v>
          </cell>
          <cell r="N518">
            <v>42106</v>
          </cell>
          <cell r="O518">
            <v>24061</v>
          </cell>
          <cell r="P518">
            <v>12030</v>
          </cell>
          <cell r="Q518">
            <v>120303</v>
          </cell>
        </row>
        <row r="519">
          <cell r="A519" t="str">
            <v>US59P015643941100013</v>
          </cell>
          <cell r="B519" t="str">
            <v>US59P01564</v>
          </cell>
          <cell r="C519">
            <v>3941100013</v>
          </cell>
          <cell r="D519" t="str">
            <v>FREIGHT IN</v>
          </cell>
          <cell r="E519">
            <v>301</v>
          </cell>
          <cell r="F519">
            <v>301</v>
          </cell>
          <cell r="G519">
            <v>0</v>
          </cell>
          <cell r="H519">
            <v>0</v>
          </cell>
          <cell r="I519">
            <v>0</v>
          </cell>
          <cell r="J519">
            <v>0</v>
          </cell>
          <cell r="K519">
            <v>0</v>
          </cell>
          <cell r="L519">
            <v>301</v>
          </cell>
          <cell r="M519">
            <v>1203</v>
          </cell>
          <cell r="N519">
            <v>2105</v>
          </cell>
          <cell r="O519">
            <v>1203</v>
          </cell>
          <cell r="P519">
            <v>602</v>
          </cell>
          <cell r="Q519">
            <v>6016</v>
          </cell>
        </row>
        <row r="520">
          <cell r="A520" t="str">
            <v>US59P015753201400051</v>
          </cell>
          <cell r="B520" t="str">
            <v>US59P01575</v>
          </cell>
          <cell r="C520">
            <v>3201400051</v>
          </cell>
          <cell r="D520" t="str">
            <v>MAINTENANCE EQUIPMENT</v>
          </cell>
          <cell r="E520">
            <v>125</v>
          </cell>
          <cell r="F520">
            <v>125</v>
          </cell>
          <cell r="G520">
            <v>125</v>
          </cell>
          <cell r="H520">
            <v>0</v>
          </cell>
          <cell r="I520">
            <v>125</v>
          </cell>
          <cell r="J520">
            <v>375</v>
          </cell>
          <cell r="K520">
            <v>750</v>
          </cell>
          <cell r="L520">
            <v>750</v>
          </cell>
          <cell r="M520">
            <v>0</v>
          </cell>
          <cell r="N520">
            <v>0</v>
          </cell>
          <cell r="O520">
            <v>0</v>
          </cell>
          <cell r="P520">
            <v>125</v>
          </cell>
          <cell r="Q520">
            <v>2500</v>
          </cell>
        </row>
        <row r="521">
          <cell r="A521" t="str">
            <v>US59P015753311400099</v>
          </cell>
          <cell r="B521" t="str">
            <v>US59P01575</v>
          </cell>
          <cell r="C521">
            <v>3311400099</v>
          </cell>
          <cell r="D521" t="str">
            <v>CO DEPRECIATION</v>
          </cell>
          <cell r="E521">
            <v>45</v>
          </cell>
          <cell r="F521">
            <v>45</v>
          </cell>
          <cell r="G521">
            <v>45</v>
          </cell>
          <cell r="H521">
            <v>45</v>
          </cell>
          <cell r="I521">
            <v>45</v>
          </cell>
          <cell r="J521">
            <v>45</v>
          </cell>
          <cell r="K521">
            <v>45</v>
          </cell>
          <cell r="L521">
            <v>45</v>
          </cell>
          <cell r="M521">
            <v>45</v>
          </cell>
          <cell r="N521">
            <v>45</v>
          </cell>
          <cell r="O521">
            <v>45</v>
          </cell>
          <cell r="P521">
            <v>45</v>
          </cell>
          <cell r="Q521">
            <v>540</v>
          </cell>
        </row>
        <row r="522">
          <cell r="A522" t="str">
            <v>US59P015753921200006</v>
          </cell>
          <cell r="B522" t="str">
            <v>US59P01575</v>
          </cell>
          <cell r="C522">
            <v>3921200006</v>
          </cell>
          <cell r="D522" t="str">
            <v>FACTORY SUPPLIES MAINTENANCE SUPPLIES</v>
          </cell>
          <cell r="E522">
            <v>75</v>
          </cell>
          <cell r="F522">
            <v>75</v>
          </cell>
          <cell r="G522">
            <v>75</v>
          </cell>
          <cell r="H522">
            <v>0</v>
          </cell>
          <cell r="I522">
            <v>75</v>
          </cell>
          <cell r="J522">
            <v>225</v>
          </cell>
          <cell r="K522">
            <v>450</v>
          </cell>
          <cell r="L522">
            <v>450</v>
          </cell>
          <cell r="M522">
            <v>0</v>
          </cell>
          <cell r="N522">
            <v>0</v>
          </cell>
          <cell r="O522">
            <v>0</v>
          </cell>
          <cell r="P522">
            <v>75</v>
          </cell>
          <cell r="Q522">
            <v>1500</v>
          </cell>
        </row>
        <row r="523">
          <cell r="A523" t="str">
            <v>US59P015753921200050</v>
          </cell>
          <cell r="B523" t="str">
            <v>US59P01575</v>
          </cell>
          <cell r="C523">
            <v>3921200050</v>
          </cell>
          <cell r="D523" t="str">
            <v>SAFETY EQUIPMENT - SUPPLIES</v>
          </cell>
          <cell r="E523">
            <v>25</v>
          </cell>
          <cell r="F523">
            <v>25</v>
          </cell>
          <cell r="G523">
            <v>25</v>
          </cell>
          <cell r="H523">
            <v>0</v>
          </cell>
          <cell r="I523">
            <v>25</v>
          </cell>
          <cell r="J523">
            <v>75</v>
          </cell>
          <cell r="K523">
            <v>150</v>
          </cell>
          <cell r="L523">
            <v>150</v>
          </cell>
          <cell r="M523">
            <v>0</v>
          </cell>
          <cell r="N523">
            <v>0</v>
          </cell>
          <cell r="O523">
            <v>0</v>
          </cell>
          <cell r="P523">
            <v>25</v>
          </cell>
          <cell r="Q523">
            <v>500</v>
          </cell>
        </row>
        <row r="524">
          <cell r="A524" t="str">
            <v>US59P015853111100000</v>
          </cell>
          <cell r="B524" t="str">
            <v>US59P01585</v>
          </cell>
          <cell r="C524">
            <v>3111100000</v>
          </cell>
          <cell r="D524" t="str">
            <v>WAGES,SALARIES,ALLOWANCES AND COMMI/PERM</v>
          </cell>
          <cell r="E524">
            <v>1715</v>
          </cell>
          <cell r="F524">
            <v>1715</v>
          </cell>
          <cell r="G524">
            <v>1715</v>
          </cell>
          <cell r="H524">
            <v>1715</v>
          </cell>
          <cell r="I524">
            <v>1715</v>
          </cell>
          <cell r="J524">
            <v>1715</v>
          </cell>
          <cell r="K524">
            <v>1715</v>
          </cell>
          <cell r="L524">
            <v>1715</v>
          </cell>
          <cell r="M524">
            <v>1715</v>
          </cell>
          <cell r="N524">
            <v>1715</v>
          </cell>
          <cell r="O524">
            <v>1715</v>
          </cell>
          <cell r="P524">
            <v>1720</v>
          </cell>
          <cell r="Q524">
            <v>20585</v>
          </cell>
        </row>
        <row r="525">
          <cell r="A525" t="str">
            <v>US59P015853111100012</v>
          </cell>
          <cell r="B525" t="str">
            <v>US59P01585</v>
          </cell>
          <cell r="C525">
            <v>3111100012</v>
          </cell>
          <cell r="D525" t="str">
            <v>OVERTIME HOURS /PERMANENTS</v>
          </cell>
          <cell r="E525">
            <v>586</v>
          </cell>
          <cell r="F525">
            <v>586</v>
          </cell>
          <cell r="G525">
            <v>586</v>
          </cell>
          <cell r="H525">
            <v>586</v>
          </cell>
          <cell r="I525">
            <v>586</v>
          </cell>
          <cell r="J525">
            <v>586</v>
          </cell>
          <cell r="K525">
            <v>586</v>
          </cell>
          <cell r="L525">
            <v>586</v>
          </cell>
          <cell r="M525">
            <v>586</v>
          </cell>
          <cell r="N525">
            <v>586</v>
          </cell>
          <cell r="O525">
            <v>586</v>
          </cell>
          <cell r="P525">
            <v>584</v>
          </cell>
          <cell r="Q525">
            <v>7030</v>
          </cell>
        </row>
        <row r="526">
          <cell r="A526" t="str">
            <v>US59P015853121300013</v>
          </cell>
          <cell r="B526" t="str">
            <v>US59P01585</v>
          </cell>
          <cell r="C526">
            <v>3121300013</v>
          </cell>
          <cell r="D526" t="str">
            <v>FRINGE BENEFITS</v>
          </cell>
          <cell r="E526">
            <v>870</v>
          </cell>
          <cell r="F526">
            <v>870</v>
          </cell>
          <cell r="G526">
            <v>870</v>
          </cell>
          <cell r="H526">
            <v>870</v>
          </cell>
          <cell r="I526">
            <v>870</v>
          </cell>
          <cell r="J526">
            <v>870</v>
          </cell>
          <cell r="K526">
            <v>870</v>
          </cell>
          <cell r="L526">
            <v>870</v>
          </cell>
          <cell r="M526">
            <v>870</v>
          </cell>
          <cell r="N526">
            <v>870</v>
          </cell>
          <cell r="O526">
            <v>870</v>
          </cell>
          <cell r="P526">
            <v>868</v>
          </cell>
          <cell r="Q526">
            <v>10438</v>
          </cell>
        </row>
        <row r="527">
          <cell r="A527" t="str">
            <v>US59P015853201300001</v>
          </cell>
          <cell r="B527" t="str">
            <v>US59P01585</v>
          </cell>
          <cell r="C527">
            <v>3201300001</v>
          </cell>
          <cell r="D527" t="str">
            <v>HIRED PERSONNEL FROM 3RD PARTIES</v>
          </cell>
          <cell r="E527">
            <v>1575</v>
          </cell>
          <cell r="F527">
            <v>1575</v>
          </cell>
          <cell r="G527">
            <v>1350</v>
          </cell>
          <cell r="H527">
            <v>1350</v>
          </cell>
          <cell r="I527">
            <v>2250</v>
          </cell>
          <cell r="J527">
            <v>2250</v>
          </cell>
          <cell r="K527">
            <v>2250</v>
          </cell>
          <cell r="L527">
            <v>2250</v>
          </cell>
          <cell r="M527">
            <v>2250</v>
          </cell>
          <cell r="N527">
            <v>2250</v>
          </cell>
          <cell r="O527">
            <v>1575</v>
          </cell>
          <cell r="P527">
            <v>1575</v>
          </cell>
          <cell r="Q527">
            <v>22500</v>
          </cell>
        </row>
        <row r="528">
          <cell r="A528" t="str">
            <v>US59P015903111100000</v>
          </cell>
          <cell r="B528" t="str">
            <v>US59P01590</v>
          </cell>
          <cell r="C528">
            <v>3111100000</v>
          </cell>
          <cell r="D528" t="str">
            <v>WAGES,SALARIES,ALLOWANCES AND COMMI/PERM</v>
          </cell>
          <cell r="E528">
            <v>5832</v>
          </cell>
          <cell r="F528">
            <v>5832</v>
          </cell>
          <cell r="G528">
            <v>5832</v>
          </cell>
          <cell r="H528">
            <v>5832</v>
          </cell>
          <cell r="I528">
            <v>5832</v>
          </cell>
          <cell r="J528">
            <v>5832</v>
          </cell>
          <cell r="K528">
            <v>5832</v>
          </cell>
          <cell r="L528">
            <v>5832</v>
          </cell>
          <cell r="M528">
            <v>5832</v>
          </cell>
          <cell r="N528">
            <v>5832</v>
          </cell>
          <cell r="O528">
            <v>5832</v>
          </cell>
          <cell r="P528">
            <v>5837</v>
          </cell>
          <cell r="Q528">
            <v>69989</v>
          </cell>
        </row>
        <row r="529">
          <cell r="A529" t="str">
            <v>US59P015903111100012</v>
          </cell>
          <cell r="B529" t="str">
            <v>US59P01590</v>
          </cell>
          <cell r="C529">
            <v>3111100012</v>
          </cell>
          <cell r="D529" t="str">
            <v>OVERTIME HOURS /PERMANENTS</v>
          </cell>
          <cell r="E529">
            <v>1029</v>
          </cell>
          <cell r="F529">
            <v>1029</v>
          </cell>
          <cell r="G529">
            <v>1029</v>
          </cell>
          <cell r="H529">
            <v>1029</v>
          </cell>
          <cell r="I529">
            <v>1029</v>
          </cell>
          <cell r="J529">
            <v>1029</v>
          </cell>
          <cell r="K529">
            <v>1029</v>
          </cell>
          <cell r="L529">
            <v>1029</v>
          </cell>
          <cell r="M529">
            <v>1029</v>
          </cell>
          <cell r="N529">
            <v>1029</v>
          </cell>
          <cell r="O529">
            <v>1029</v>
          </cell>
          <cell r="P529">
            <v>1032</v>
          </cell>
          <cell r="Q529">
            <v>12351</v>
          </cell>
        </row>
        <row r="530">
          <cell r="A530" t="str">
            <v>US59P015903121300013</v>
          </cell>
          <cell r="B530" t="str">
            <v>US59P01590</v>
          </cell>
          <cell r="C530">
            <v>3121300013</v>
          </cell>
          <cell r="D530" t="str">
            <v>FRINGE BENEFITS</v>
          </cell>
          <cell r="E530">
            <v>2594</v>
          </cell>
          <cell r="F530">
            <v>2594</v>
          </cell>
          <cell r="G530">
            <v>2594</v>
          </cell>
          <cell r="H530">
            <v>2594</v>
          </cell>
          <cell r="I530">
            <v>2594</v>
          </cell>
          <cell r="J530">
            <v>2594</v>
          </cell>
          <cell r="K530">
            <v>2594</v>
          </cell>
          <cell r="L530">
            <v>2594</v>
          </cell>
          <cell r="M530">
            <v>2594</v>
          </cell>
          <cell r="N530">
            <v>2594</v>
          </cell>
          <cell r="O530">
            <v>2594</v>
          </cell>
          <cell r="P530">
            <v>2591</v>
          </cell>
          <cell r="Q530">
            <v>31125</v>
          </cell>
        </row>
        <row r="531">
          <cell r="A531" t="str">
            <v>US59P015903201300001</v>
          </cell>
          <cell r="B531" t="str">
            <v>US59P01590</v>
          </cell>
          <cell r="C531">
            <v>3201300001</v>
          </cell>
          <cell r="D531" t="str">
            <v>HIRED PERSONNEL FROM 3RD PARTIES</v>
          </cell>
          <cell r="E531">
            <v>1500</v>
          </cell>
          <cell r="F531">
            <v>750</v>
          </cell>
          <cell r="G531">
            <v>750</v>
          </cell>
          <cell r="H531">
            <v>750</v>
          </cell>
          <cell r="I531">
            <v>750</v>
          </cell>
          <cell r="J531">
            <v>1500</v>
          </cell>
          <cell r="K531">
            <v>1500</v>
          </cell>
          <cell r="L531">
            <v>1500</v>
          </cell>
          <cell r="M531">
            <v>1500</v>
          </cell>
          <cell r="N531">
            <v>1500</v>
          </cell>
          <cell r="O531">
            <v>1500</v>
          </cell>
          <cell r="P531">
            <v>1500</v>
          </cell>
          <cell r="Q531">
            <v>15000</v>
          </cell>
        </row>
        <row r="532">
          <cell r="A532" t="str">
            <v>US59P015903201400051</v>
          </cell>
          <cell r="B532" t="str">
            <v>US59P01590</v>
          </cell>
          <cell r="C532">
            <v>3201400051</v>
          </cell>
          <cell r="D532" t="str">
            <v>MAINTENANCE EQUIPMENT</v>
          </cell>
          <cell r="E532">
            <v>60</v>
          </cell>
          <cell r="F532">
            <v>30</v>
          </cell>
          <cell r="G532">
            <v>30</v>
          </cell>
          <cell r="H532">
            <v>30</v>
          </cell>
          <cell r="I532">
            <v>30</v>
          </cell>
          <cell r="J532">
            <v>60</v>
          </cell>
          <cell r="K532">
            <v>60</v>
          </cell>
          <cell r="L532">
            <v>60</v>
          </cell>
          <cell r="M532">
            <v>60</v>
          </cell>
          <cell r="N532">
            <v>60</v>
          </cell>
          <cell r="O532">
            <v>60</v>
          </cell>
          <cell r="P532">
            <v>60</v>
          </cell>
          <cell r="Q532">
            <v>600</v>
          </cell>
        </row>
        <row r="533">
          <cell r="A533" t="str">
            <v>US59P015903201400055</v>
          </cell>
          <cell r="B533" t="str">
            <v>US59P01590</v>
          </cell>
          <cell r="C533">
            <v>3201400055</v>
          </cell>
          <cell r="D533" t="str">
            <v>LABORATORY TESTING</v>
          </cell>
          <cell r="E533">
            <v>200</v>
          </cell>
          <cell r="F533">
            <v>100</v>
          </cell>
          <cell r="G533">
            <v>100</v>
          </cell>
          <cell r="H533">
            <v>100</v>
          </cell>
          <cell r="I533">
            <v>100</v>
          </cell>
          <cell r="J533">
            <v>200</v>
          </cell>
          <cell r="K533">
            <v>200</v>
          </cell>
          <cell r="L533">
            <v>200</v>
          </cell>
          <cell r="M533">
            <v>200</v>
          </cell>
          <cell r="N533">
            <v>200</v>
          </cell>
          <cell r="O533">
            <v>200</v>
          </cell>
          <cell r="P533">
            <v>200</v>
          </cell>
          <cell r="Q533">
            <v>2000</v>
          </cell>
        </row>
        <row r="534">
          <cell r="A534" t="str">
            <v>US59P015903921200004</v>
          </cell>
          <cell r="B534" t="str">
            <v>US59P01590</v>
          </cell>
          <cell r="C534">
            <v>3921200004</v>
          </cell>
          <cell r="D534" t="str">
            <v>FACTORY SUPPLIES LABO SUPPLIES</v>
          </cell>
          <cell r="E534">
            <v>750</v>
          </cell>
          <cell r="F534">
            <v>375</v>
          </cell>
          <cell r="G534">
            <v>375</v>
          </cell>
          <cell r="H534">
            <v>375</v>
          </cell>
          <cell r="I534">
            <v>375</v>
          </cell>
          <cell r="J534">
            <v>750</v>
          </cell>
          <cell r="K534">
            <v>750</v>
          </cell>
          <cell r="L534">
            <v>750</v>
          </cell>
          <cell r="M534">
            <v>750</v>
          </cell>
          <cell r="N534">
            <v>750</v>
          </cell>
          <cell r="O534">
            <v>750</v>
          </cell>
          <cell r="P534">
            <v>750</v>
          </cell>
          <cell r="Q534">
            <v>7500</v>
          </cell>
        </row>
        <row r="535">
          <cell r="A535" t="str">
            <v>US59P015903991200012</v>
          </cell>
          <cell r="B535" t="str">
            <v>US59P01590</v>
          </cell>
          <cell r="C535">
            <v>3991200012</v>
          </cell>
          <cell r="D535" t="str">
            <v>DELIVERY SERVICES</v>
          </cell>
          <cell r="E535">
            <v>400</v>
          </cell>
          <cell r="F535">
            <v>200</v>
          </cell>
          <cell r="G535">
            <v>200</v>
          </cell>
          <cell r="H535">
            <v>200</v>
          </cell>
          <cell r="I535">
            <v>200</v>
          </cell>
          <cell r="J535">
            <v>400</v>
          </cell>
          <cell r="K535">
            <v>400</v>
          </cell>
          <cell r="L535">
            <v>400</v>
          </cell>
          <cell r="M535">
            <v>400</v>
          </cell>
          <cell r="N535">
            <v>400</v>
          </cell>
          <cell r="O535">
            <v>400</v>
          </cell>
          <cell r="P535">
            <v>400</v>
          </cell>
          <cell r="Q535">
            <v>4000</v>
          </cell>
        </row>
        <row r="536">
          <cell r="A536" t="str">
            <v>US59P3C5013111100000</v>
          </cell>
          <cell r="B536" t="str">
            <v>US59P3C501</v>
          </cell>
          <cell r="C536">
            <v>3111100000</v>
          </cell>
          <cell r="D536" t="str">
            <v>WAGES,SALARIES,ALLOWANCES AND COMMI/PERM</v>
          </cell>
          <cell r="E536">
            <v>24247</v>
          </cell>
          <cell r="F536">
            <v>24247</v>
          </cell>
          <cell r="G536">
            <v>24247</v>
          </cell>
          <cell r="H536">
            <v>24247</v>
          </cell>
          <cell r="I536">
            <v>24247</v>
          </cell>
          <cell r="J536">
            <v>24247</v>
          </cell>
          <cell r="K536">
            <v>24247</v>
          </cell>
          <cell r="L536">
            <v>24247</v>
          </cell>
          <cell r="M536">
            <v>24247</v>
          </cell>
          <cell r="N536">
            <v>24247</v>
          </cell>
          <cell r="O536">
            <v>24247</v>
          </cell>
          <cell r="P536">
            <v>24247</v>
          </cell>
          <cell r="Q536">
            <v>290964</v>
          </cell>
        </row>
        <row r="537">
          <cell r="A537" t="str">
            <v>US59P3C5013111100012</v>
          </cell>
          <cell r="B537" t="str">
            <v>US59P3C501</v>
          </cell>
          <cell r="C537">
            <v>3111100012</v>
          </cell>
          <cell r="D537" t="str">
            <v>OVERTIME HOURS /PERMANENTS</v>
          </cell>
          <cell r="E537">
            <v>756</v>
          </cell>
          <cell r="F537">
            <v>756</v>
          </cell>
          <cell r="G537">
            <v>756</v>
          </cell>
          <cell r="H537">
            <v>756</v>
          </cell>
          <cell r="I537">
            <v>756</v>
          </cell>
          <cell r="J537">
            <v>756</v>
          </cell>
          <cell r="K537">
            <v>756</v>
          </cell>
          <cell r="L537">
            <v>756</v>
          </cell>
          <cell r="M537">
            <v>756</v>
          </cell>
          <cell r="N537">
            <v>756</v>
          </cell>
          <cell r="O537">
            <v>756</v>
          </cell>
          <cell r="P537">
            <v>756</v>
          </cell>
          <cell r="Q537">
            <v>9072</v>
          </cell>
        </row>
        <row r="538">
          <cell r="A538" t="str">
            <v>US59P3C5013111100900</v>
          </cell>
          <cell r="B538" t="str">
            <v>US59P3C501</v>
          </cell>
          <cell r="C538">
            <v>3111100900</v>
          </cell>
          <cell r="D538" t="str">
            <v>WAGES &amp; SALARIES / SEASONALS</v>
          </cell>
          <cell r="E538">
            <v>0</v>
          </cell>
          <cell r="F538">
            <v>0</v>
          </cell>
          <cell r="G538">
            <v>0</v>
          </cell>
          <cell r="H538">
            <v>0</v>
          </cell>
          <cell r="I538">
            <v>0</v>
          </cell>
          <cell r="J538">
            <v>0</v>
          </cell>
          <cell r="K538">
            <v>0</v>
          </cell>
          <cell r="L538">
            <v>0</v>
          </cell>
          <cell r="M538">
            <v>0</v>
          </cell>
          <cell r="N538">
            <v>0</v>
          </cell>
          <cell r="O538">
            <v>0</v>
          </cell>
          <cell r="P538">
            <v>0</v>
          </cell>
          <cell r="Q538">
            <v>0</v>
          </cell>
        </row>
        <row r="539">
          <cell r="A539" t="str">
            <v>US59P3C5013121300013</v>
          </cell>
          <cell r="B539" t="str">
            <v>US59P3C501</v>
          </cell>
          <cell r="C539">
            <v>3121300013</v>
          </cell>
          <cell r="D539" t="str">
            <v>FRINGE BENEFITS</v>
          </cell>
          <cell r="E539">
            <v>9451</v>
          </cell>
          <cell r="F539">
            <v>9451</v>
          </cell>
          <cell r="G539">
            <v>9451</v>
          </cell>
          <cell r="H539">
            <v>9451</v>
          </cell>
          <cell r="I539">
            <v>9451</v>
          </cell>
          <cell r="J539">
            <v>9451</v>
          </cell>
          <cell r="K539">
            <v>9451</v>
          </cell>
          <cell r="L539">
            <v>9451</v>
          </cell>
          <cell r="M539">
            <v>9451</v>
          </cell>
          <cell r="N539">
            <v>9451</v>
          </cell>
          <cell r="O539">
            <v>9451</v>
          </cell>
          <cell r="P539">
            <v>9451</v>
          </cell>
          <cell r="Q539">
            <v>113412</v>
          </cell>
        </row>
        <row r="540">
          <cell r="A540" t="str">
            <v>US59P3C5013131100005</v>
          </cell>
          <cell r="B540" t="str">
            <v>US59P3C501</v>
          </cell>
          <cell r="C540">
            <v>3131100005</v>
          </cell>
          <cell r="D540" t="str">
            <v>MOVINGS</v>
          </cell>
          <cell r="E540">
            <v>1458</v>
          </cell>
          <cell r="F540">
            <v>1458</v>
          </cell>
          <cell r="G540">
            <v>1458</v>
          </cell>
          <cell r="H540">
            <v>1458</v>
          </cell>
          <cell r="I540">
            <v>1458</v>
          </cell>
          <cell r="J540">
            <v>1458</v>
          </cell>
          <cell r="K540">
            <v>1458</v>
          </cell>
          <cell r="L540">
            <v>1458</v>
          </cell>
          <cell r="M540">
            <v>1458</v>
          </cell>
          <cell r="N540">
            <v>1458</v>
          </cell>
          <cell r="O540">
            <v>1458</v>
          </cell>
          <cell r="P540">
            <v>1458</v>
          </cell>
          <cell r="Q540">
            <v>17496</v>
          </cell>
        </row>
        <row r="541">
          <cell r="A541" t="str">
            <v>US59P3C5013131100007</v>
          </cell>
          <cell r="B541" t="str">
            <v>US59P3C501</v>
          </cell>
          <cell r="C541">
            <v>3131100007</v>
          </cell>
          <cell r="D541" t="str">
            <v>EXTERNAL TRAINING</v>
          </cell>
          <cell r="E541">
            <v>21</v>
          </cell>
          <cell r="F541">
            <v>21</v>
          </cell>
          <cell r="G541">
            <v>21</v>
          </cell>
          <cell r="H541">
            <v>21</v>
          </cell>
          <cell r="I541">
            <v>21</v>
          </cell>
          <cell r="J541">
            <v>21</v>
          </cell>
          <cell r="K541">
            <v>21</v>
          </cell>
          <cell r="L541">
            <v>21</v>
          </cell>
          <cell r="M541">
            <v>21</v>
          </cell>
          <cell r="N541">
            <v>21</v>
          </cell>
          <cell r="O541">
            <v>21</v>
          </cell>
          <cell r="P541">
            <v>21</v>
          </cell>
          <cell r="Q541">
            <v>252</v>
          </cell>
        </row>
        <row r="542">
          <cell r="A542" t="str">
            <v>US59P3C5013131100025</v>
          </cell>
          <cell r="B542" t="str">
            <v>US59P3C501</v>
          </cell>
          <cell r="C542">
            <v>3131100025</v>
          </cell>
          <cell r="D542" t="str">
            <v>OTHER PERSONNEL EXPENSES</v>
          </cell>
          <cell r="E542">
            <v>0</v>
          </cell>
          <cell r="F542">
            <v>0</v>
          </cell>
          <cell r="G542">
            <v>0</v>
          </cell>
          <cell r="H542">
            <v>0</v>
          </cell>
          <cell r="I542">
            <v>0</v>
          </cell>
          <cell r="J542">
            <v>0</v>
          </cell>
          <cell r="K542">
            <v>0</v>
          </cell>
          <cell r="L542">
            <v>0</v>
          </cell>
          <cell r="M542">
            <v>0</v>
          </cell>
          <cell r="N542">
            <v>0</v>
          </cell>
          <cell r="O542">
            <v>0</v>
          </cell>
          <cell r="P542">
            <v>0</v>
          </cell>
          <cell r="Q542">
            <v>0</v>
          </cell>
        </row>
        <row r="543">
          <cell r="A543" t="str">
            <v>US59P3C5013131100031</v>
          </cell>
          <cell r="B543" t="str">
            <v>US59P3C501</v>
          </cell>
          <cell r="C543">
            <v>3131100031</v>
          </cell>
          <cell r="D543" t="str">
            <v>TUITION REIMBERSEMENT</v>
          </cell>
          <cell r="E543">
            <v>0</v>
          </cell>
          <cell r="F543">
            <v>0</v>
          </cell>
          <cell r="G543">
            <v>0</v>
          </cell>
          <cell r="H543">
            <v>0</v>
          </cell>
          <cell r="I543">
            <v>0</v>
          </cell>
          <cell r="J543">
            <v>0</v>
          </cell>
          <cell r="K543">
            <v>0</v>
          </cell>
          <cell r="L543">
            <v>0</v>
          </cell>
          <cell r="M543">
            <v>0</v>
          </cell>
          <cell r="N543">
            <v>0</v>
          </cell>
          <cell r="O543">
            <v>0</v>
          </cell>
          <cell r="P543">
            <v>0</v>
          </cell>
          <cell r="Q543">
            <v>0</v>
          </cell>
        </row>
        <row r="544">
          <cell r="A544" t="str">
            <v>US59P3C5013201300001</v>
          </cell>
          <cell r="B544" t="str">
            <v>US59P3C501</v>
          </cell>
          <cell r="C544">
            <v>3201300001</v>
          </cell>
          <cell r="D544" t="str">
            <v>HIRED PERSONNEL FROM 3RD PARTIES</v>
          </cell>
          <cell r="E544">
            <v>3333</v>
          </cell>
          <cell r="F544">
            <v>3333</v>
          </cell>
          <cell r="G544">
            <v>3333</v>
          </cell>
          <cell r="H544">
            <v>3333</v>
          </cell>
          <cell r="I544">
            <v>3333</v>
          </cell>
          <cell r="J544">
            <v>3333</v>
          </cell>
          <cell r="K544">
            <v>3333</v>
          </cell>
          <cell r="L544">
            <v>3333</v>
          </cell>
          <cell r="M544">
            <v>3333</v>
          </cell>
          <cell r="N544">
            <v>3333</v>
          </cell>
          <cell r="O544">
            <v>3333</v>
          </cell>
          <cell r="P544">
            <v>3333</v>
          </cell>
          <cell r="Q544">
            <v>39996</v>
          </cell>
        </row>
        <row r="545">
          <cell r="A545" t="str">
            <v>US59P3C5013201300005</v>
          </cell>
          <cell r="B545" t="str">
            <v>US59P3C501</v>
          </cell>
          <cell r="C545">
            <v>3201300005</v>
          </cell>
          <cell r="D545" t="str">
            <v>O/S SERVICES - COMPUTER LIC. &amp; SUPPORT</v>
          </cell>
          <cell r="E545">
            <v>0</v>
          </cell>
          <cell r="F545">
            <v>0</v>
          </cell>
          <cell r="G545">
            <v>0</v>
          </cell>
          <cell r="H545">
            <v>0</v>
          </cell>
          <cell r="I545">
            <v>0</v>
          </cell>
          <cell r="J545">
            <v>0</v>
          </cell>
          <cell r="K545">
            <v>0</v>
          </cell>
          <cell r="L545">
            <v>0</v>
          </cell>
          <cell r="M545">
            <v>0</v>
          </cell>
          <cell r="N545">
            <v>0</v>
          </cell>
          <cell r="O545">
            <v>0</v>
          </cell>
          <cell r="P545">
            <v>0</v>
          </cell>
          <cell r="Q545">
            <v>0</v>
          </cell>
        </row>
        <row r="546">
          <cell r="A546" t="str">
            <v>US59P3C5013201400025</v>
          </cell>
          <cell r="B546" t="str">
            <v>US59P3C501</v>
          </cell>
          <cell r="C546">
            <v>3201400025</v>
          </cell>
          <cell r="D546" t="str">
            <v>CLEANING EXPENSES</v>
          </cell>
          <cell r="E546">
            <v>625</v>
          </cell>
          <cell r="F546">
            <v>625</v>
          </cell>
          <cell r="G546">
            <v>625</v>
          </cell>
          <cell r="H546">
            <v>625</v>
          </cell>
          <cell r="I546">
            <v>625</v>
          </cell>
          <cell r="J546">
            <v>625</v>
          </cell>
          <cell r="K546">
            <v>625</v>
          </cell>
          <cell r="L546">
            <v>625</v>
          </cell>
          <cell r="M546">
            <v>625</v>
          </cell>
          <cell r="N546">
            <v>625</v>
          </cell>
          <cell r="O546">
            <v>625</v>
          </cell>
          <cell r="P546">
            <v>625</v>
          </cell>
          <cell r="Q546">
            <v>7500</v>
          </cell>
        </row>
        <row r="547">
          <cell r="A547" t="str">
            <v>US59P3C5013201400029</v>
          </cell>
          <cell r="B547" t="str">
            <v>US59P3C501</v>
          </cell>
          <cell r="C547">
            <v>3201400029</v>
          </cell>
          <cell r="D547" t="str">
            <v>OTH OUTSIDE SERVICES OTHER</v>
          </cell>
          <cell r="E547">
            <v>833</v>
          </cell>
          <cell r="F547">
            <v>833</v>
          </cell>
          <cell r="G547">
            <v>833</v>
          </cell>
          <cell r="H547">
            <v>833</v>
          </cell>
          <cell r="I547">
            <v>833</v>
          </cell>
          <cell r="J547">
            <v>833</v>
          </cell>
          <cell r="K547">
            <v>833</v>
          </cell>
          <cell r="L547">
            <v>833</v>
          </cell>
          <cell r="M547">
            <v>833</v>
          </cell>
          <cell r="N547">
            <v>833</v>
          </cell>
          <cell r="O547">
            <v>833</v>
          </cell>
          <cell r="P547">
            <v>833</v>
          </cell>
          <cell r="Q547">
            <v>9996</v>
          </cell>
        </row>
        <row r="548">
          <cell r="A548" t="str">
            <v>US59P3C5013201400036</v>
          </cell>
          <cell r="B548" t="str">
            <v>US59P3C501</v>
          </cell>
          <cell r="C548">
            <v>3201400036</v>
          </cell>
          <cell r="D548" t="str">
            <v>OTHER MAINTENANCE BUILDINGS</v>
          </cell>
          <cell r="E548">
            <v>0</v>
          </cell>
          <cell r="F548">
            <v>0</v>
          </cell>
          <cell r="G548">
            <v>0</v>
          </cell>
          <cell r="H548">
            <v>0</v>
          </cell>
          <cell r="I548">
            <v>0</v>
          </cell>
          <cell r="J548">
            <v>0</v>
          </cell>
          <cell r="K548">
            <v>0</v>
          </cell>
          <cell r="L548">
            <v>0</v>
          </cell>
          <cell r="M548">
            <v>0</v>
          </cell>
          <cell r="N548">
            <v>0</v>
          </cell>
          <cell r="O548">
            <v>0</v>
          </cell>
          <cell r="P548">
            <v>0</v>
          </cell>
          <cell r="Q548">
            <v>0</v>
          </cell>
        </row>
        <row r="549">
          <cell r="A549" t="str">
            <v>US59P3C5013201400051</v>
          </cell>
          <cell r="B549" t="str">
            <v>US59P3C501</v>
          </cell>
          <cell r="C549">
            <v>3201400051</v>
          </cell>
          <cell r="D549" t="str">
            <v>MAINTENANCE EQUIPMENT</v>
          </cell>
          <cell r="E549">
            <v>833</v>
          </cell>
          <cell r="F549">
            <v>833</v>
          </cell>
          <cell r="G549">
            <v>833</v>
          </cell>
          <cell r="H549">
            <v>833</v>
          </cell>
          <cell r="I549">
            <v>833</v>
          </cell>
          <cell r="J549">
            <v>833</v>
          </cell>
          <cell r="K549">
            <v>833</v>
          </cell>
          <cell r="L549">
            <v>833</v>
          </cell>
          <cell r="M549">
            <v>833</v>
          </cell>
          <cell r="N549">
            <v>833</v>
          </cell>
          <cell r="O549">
            <v>833</v>
          </cell>
          <cell r="P549">
            <v>833</v>
          </cell>
          <cell r="Q549">
            <v>9996</v>
          </cell>
        </row>
        <row r="550">
          <cell r="A550" t="str">
            <v>US59P3C5013311400099</v>
          </cell>
          <cell r="B550" t="str">
            <v>US59P3C501</v>
          </cell>
          <cell r="C550">
            <v>3311400099</v>
          </cell>
          <cell r="D550" t="str">
            <v>CO DEPRECIATION</v>
          </cell>
          <cell r="E550">
            <v>37</v>
          </cell>
          <cell r="F550">
            <v>37</v>
          </cell>
          <cell r="G550">
            <v>37</v>
          </cell>
          <cell r="H550">
            <v>37</v>
          </cell>
          <cell r="I550">
            <v>37</v>
          </cell>
          <cell r="J550">
            <v>37</v>
          </cell>
          <cell r="K550">
            <v>37</v>
          </cell>
          <cell r="L550">
            <v>37</v>
          </cell>
          <cell r="M550">
            <v>37</v>
          </cell>
          <cell r="N550">
            <v>37</v>
          </cell>
          <cell r="O550">
            <v>37</v>
          </cell>
          <cell r="P550">
            <v>37</v>
          </cell>
          <cell r="Q550">
            <v>444</v>
          </cell>
        </row>
        <row r="551">
          <cell r="A551" t="str">
            <v>US59P3C5013501500031</v>
          </cell>
          <cell r="B551" t="str">
            <v>US59P3C501</v>
          </cell>
          <cell r="C551">
            <v>3501500031</v>
          </cell>
          <cell r="D551" t="str">
            <v>BUSINESS LICENSES &amp; LOCAL TAXES</v>
          </cell>
          <cell r="E551">
            <v>0</v>
          </cell>
          <cell r="F551">
            <v>0</v>
          </cell>
          <cell r="G551">
            <v>0</v>
          </cell>
          <cell r="H551">
            <v>0</v>
          </cell>
          <cell r="I551">
            <v>0</v>
          </cell>
          <cell r="J551">
            <v>0</v>
          </cell>
          <cell r="K551">
            <v>0</v>
          </cell>
          <cell r="L551">
            <v>0</v>
          </cell>
          <cell r="M551">
            <v>0</v>
          </cell>
          <cell r="N551">
            <v>0</v>
          </cell>
          <cell r="O551">
            <v>0</v>
          </cell>
          <cell r="P551">
            <v>0</v>
          </cell>
          <cell r="Q551">
            <v>0</v>
          </cell>
        </row>
        <row r="552">
          <cell r="A552" t="str">
            <v>US59P3C5013501500034</v>
          </cell>
          <cell r="B552" t="str">
            <v>US59P3C501</v>
          </cell>
          <cell r="C552">
            <v>3501500034</v>
          </cell>
          <cell r="D552" t="str">
            <v>PROPERTY TAXES</v>
          </cell>
          <cell r="E552">
            <v>0</v>
          </cell>
          <cell r="F552">
            <v>0</v>
          </cell>
          <cell r="G552">
            <v>0</v>
          </cell>
          <cell r="H552">
            <v>0</v>
          </cell>
          <cell r="I552">
            <v>0</v>
          </cell>
          <cell r="J552">
            <v>0</v>
          </cell>
          <cell r="K552">
            <v>0</v>
          </cell>
          <cell r="L552">
            <v>0</v>
          </cell>
          <cell r="M552">
            <v>0</v>
          </cell>
          <cell r="N552">
            <v>0</v>
          </cell>
          <cell r="O552">
            <v>0</v>
          </cell>
          <cell r="P552">
            <v>0</v>
          </cell>
          <cell r="Q552">
            <v>0</v>
          </cell>
        </row>
        <row r="553">
          <cell r="A553" t="str">
            <v>US59P3C5013911100008</v>
          </cell>
          <cell r="B553" t="str">
            <v>US59P3C501</v>
          </cell>
          <cell r="C553">
            <v>3911100008</v>
          </cell>
          <cell r="D553" t="str">
            <v>T&amp;R VEHICLE RENTING (LONG DURATION)</v>
          </cell>
          <cell r="E553">
            <v>42</v>
          </cell>
          <cell r="F553">
            <v>42</v>
          </cell>
          <cell r="G553">
            <v>42</v>
          </cell>
          <cell r="H553">
            <v>42</v>
          </cell>
          <cell r="I553">
            <v>42</v>
          </cell>
          <cell r="J553">
            <v>42</v>
          </cell>
          <cell r="K553">
            <v>42</v>
          </cell>
          <cell r="L553">
            <v>42</v>
          </cell>
          <cell r="M553">
            <v>42</v>
          </cell>
          <cell r="N553">
            <v>42</v>
          </cell>
          <cell r="O553">
            <v>42</v>
          </cell>
          <cell r="P553">
            <v>42</v>
          </cell>
          <cell r="Q553">
            <v>504</v>
          </cell>
        </row>
        <row r="554">
          <cell r="A554" t="str">
            <v>US59P3C5013911100010</v>
          </cell>
          <cell r="B554" t="str">
            <v>US59P3C501</v>
          </cell>
          <cell r="C554">
            <v>3911100010</v>
          </cell>
          <cell r="D554" t="str">
            <v>TRAVEL EXPENSES PERMANENTS / MEALS</v>
          </cell>
          <cell r="E554">
            <v>208</v>
          </cell>
          <cell r="F554">
            <v>208</v>
          </cell>
          <cell r="G554">
            <v>208</v>
          </cell>
          <cell r="H554">
            <v>208</v>
          </cell>
          <cell r="I554">
            <v>208</v>
          </cell>
          <cell r="J554">
            <v>208</v>
          </cell>
          <cell r="K554">
            <v>208</v>
          </cell>
          <cell r="L554">
            <v>208</v>
          </cell>
          <cell r="M554">
            <v>208</v>
          </cell>
          <cell r="N554">
            <v>208</v>
          </cell>
          <cell r="O554">
            <v>208</v>
          </cell>
          <cell r="P554">
            <v>208</v>
          </cell>
          <cell r="Q554">
            <v>2496</v>
          </cell>
        </row>
        <row r="555">
          <cell r="A555" t="str">
            <v>US59P3C5013911100011</v>
          </cell>
          <cell r="B555" t="str">
            <v>US59P3C501</v>
          </cell>
          <cell r="C555">
            <v>3911100011</v>
          </cell>
          <cell r="D555" t="str">
            <v>TRAVEL EXPENSES PERMANENTS / KILOMETERS</v>
          </cell>
          <cell r="E555">
            <v>187</v>
          </cell>
          <cell r="F555">
            <v>187</v>
          </cell>
          <cell r="G555">
            <v>187</v>
          </cell>
          <cell r="H555">
            <v>187</v>
          </cell>
          <cell r="I555">
            <v>187</v>
          </cell>
          <cell r="J555">
            <v>187</v>
          </cell>
          <cell r="K555">
            <v>187</v>
          </cell>
          <cell r="L555">
            <v>187</v>
          </cell>
          <cell r="M555">
            <v>187</v>
          </cell>
          <cell r="N555">
            <v>187</v>
          </cell>
          <cell r="O555">
            <v>187</v>
          </cell>
          <cell r="P555">
            <v>187</v>
          </cell>
          <cell r="Q555">
            <v>2244</v>
          </cell>
        </row>
        <row r="556">
          <cell r="A556" t="str">
            <v>US59P3C5013911100012</v>
          </cell>
          <cell r="B556" t="str">
            <v>US59P3C501</v>
          </cell>
          <cell r="C556">
            <v>3911100012</v>
          </cell>
          <cell r="D556" t="str">
            <v>TRAVEL EXPENSES PERMANENTS / HOTELS</v>
          </cell>
          <cell r="E556">
            <v>271</v>
          </cell>
          <cell r="F556">
            <v>271</v>
          </cell>
          <cell r="G556">
            <v>271</v>
          </cell>
          <cell r="H556">
            <v>271</v>
          </cell>
          <cell r="I556">
            <v>271</v>
          </cell>
          <cell r="J556">
            <v>271</v>
          </cell>
          <cell r="K556">
            <v>271</v>
          </cell>
          <cell r="L556">
            <v>271</v>
          </cell>
          <cell r="M556">
            <v>271</v>
          </cell>
          <cell r="N556">
            <v>271</v>
          </cell>
          <cell r="O556">
            <v>271</v>
          </cell>
          <cell r="P556">
            <v>125</v>
          </cell>
          <cell r="Q556">
            <v>3106</v>
          </cell>
        </row>
        <row r="557">
          <cell r="A557" t="str">
            <v>US59P3C5013911100015</v>
          </cell>
          <cell r="B557" t="str">
            <v>US59P3C501</v>
          </cell>
          <cell r="C557">
            <v>3911100015</v>
          </cell>
          <cell r="D557" t="str">
            <v>TRAVEL EXPENSES PERMANENTS / OTHER</v>
          </cell>
          <cell r="E557">
            <v>42</v>
          </cell>
          <cell r="F557">
            <v>42</v>
          </cell>
          <cell r="G557">
            <v>42</v>
          </cell>
          <cell r="H557">
            <v>42</v>
          </cell>
          <cell r="I557">
            <v>42</v>
          </cell>
          <cell r="J557">
            <v>42</v>
          </cell>
          <cell r="K557">
            <v>42</v>
          </cell>
          <cell r="L557">
            <v>42</v>
          </cell>
          <cell r="M557">
            <v>42</v>
          </cell>
          <cell r="N557">
            <v>42</v>
          </cell>
          <cell r="O557">
            <v>42</v>
          </cell>
          <cell r="P557">
            <v>42</v>
          </cell>
          <cell r="Q557">
            <v>504</v>
          </cell>
        </row>
        <row r="558">
          <cell r="A558" t="str">
            <v>US59P3C5013911100022</v>
          </cell>
          <cell r="B558" t="str">
            <v>US59P3C501</v>
          </cell>
          <cell r="C558">
            <v>3911100022</v>
          </cell>
          <cell r="D558" t="str">
            <v>TRAVEL EXPENSES - AIRFARE</v>
          </cell>
          <cell r="E558">
            <v>167</v>
          </cell>
          <cell r="F558">
            <v>167</v>
          </cell>
          <cell r="G558">
            <v>167</v>
          </cell>
          <cell r="H558">
            <v>167</v>
          </cell>
          <cell r="I558">
            <v>167</v>
          </cell>
          <cell r="J558">
            <v>167</v>
          </cell>
          <cell r="K558">
            <v>167</v>
          </cell>
          <cell r="L558">
            <v>167</v>
          </cell>
          <cell r="M558">
            <v>167</v>
          </cell>
          <cell r="N558">
            <v>167</v>
          </cell>
          <cell r="O558">
            <v>167</v>
          </cell>
          <cell r="P558">
            <v>167</v>
          </cell>
          <cell r="Q558">
            <v>2004</v>
          </cell>
        </row>
        <row r="559">
          <cell r="A559" t="str">
            <v>US59P3C5013911100027</v>
          </cell>
          <cell r="B559" t="str">
            <v>US59P3C501</v>
          </cell>
          <cell r="C559">
            <v>3911100027</v>
          </cell>
          <cell r="D559" t="str">
            <v>TRAVEL EXPENSES MEETINGS 100 %</v>
          </cell>
          <cell r="E559">
            <v>83</v>
          </cell>
          <cell r="F559">
            <v>83</v>
          </cell>
          <cell r="G559">
            <v>83</v>
          </cell>
          <cell r="H559">
            <v>83</v>
          </cell>
          <cell r="I559">
            <v>83</v>
          </cell>
          <cell r="J559">
            <v>83</v>
          </cell>
          <cell r="K559">
            <v>83</v>
          </cell>
          <cell r="L559">
            <v>83</v>
          </cell>
          <cell r="M559">
            <v>83</v>
          </cell>
          <cell r="N559">
            <v>83</v>
          </cell>
          <cell r="O559">
            <v>83</v>
          </cell>
          <cell r="P559">
            <v>83</v>
          </cell>
          <cell r="Q559">
            <v>996</v>
          </cell>
        </row>
        <row r="560">
          <cell r="A560" t="str">
            <v>US59P3C5013911100041</v>
          </cell>
          <cell r="B560" t="str">
            <v>US59P3C501</v>
          </cell>
          <cell r="C560">
            <v>3911100041</v>
          </cell>
          <cell r="D560" t="str">
            <v>TRAVEL EXPENSES - ENTERTAINMENT</v>
          </cell>
          <cell r="E560">
            <v>84</v>
          </cell>
          <cell r="F560">
            <v>84</v>
          </cell>
          <cell r="G560">
            <v>84</v>
          </cell>
          <cell r="H560">
            <v>84</v>
          </cell>
          <cell r="I560">
            <v>84</v>
          </cell>
          <cell r="J560">
            <v>84</v>
          </cell>
          <cell r="K560">
            <v>84</v>
          </cell>
          <cell r="L560">
            <v>84</v>
          </cell>
          <cell r="M560">
            <v>84</v>
          </cell>
          <cell r="N560">
            <v>84</v>
          </cell>
          <cell r="O560">
            <v>84</v>
          </cell>
          <cell r="P560">
            <v>84</v>
          </cell>
          <cell r="Q560">
            <v>1008</v>
          </cell>
        </row>
        <row r="561">
          <cell r="A561" t="str">
            <v>US59P3C5013911200000</v>
          </cell>
          <cell r="B561" t="str">
            <v>US59P3C501</v>
          </cell>
          <cell r="C561">
            <v>3911200000</v>
          </cell>
          <cell r="D561" t="str">
            <v>PROMOTIONAL EXPENSES ADVERTISEMENT</v>
          </cell>
          <cell r="E561">
            <v>0</v>
          </cell>
          <cell r="F561">
            <v>0</v>
          </cell>
          <cell r="G561">
            <v>0</v>
          </cell>
          <cell r="H561">
            <v>0</v>
          </cell>
          <cell r="I561">
            <v>0</v>
          </cell>
          <cell r="J561">
            <v>0</v>
          </cell>
          <cell r="K561">
            <v>0</v>
          </cell>
          <cell r="L561">
            <v>0</v>
          </cell>
          <cell r="M561">
            <v>0</v>
          </cell>
          <cell r="N561">
            <v>0</v>
          </cell>
          <cell r="O561">
            <v>0</v>
          </cell>
          <cell r="P561">
            <v>0</v>
          </cell>
          <cell r="Q561">
            <v>0</v>
          </cell>
        </row>
        <row r="562">
          <cell r="A562" t="str">
            <v>US59P3C5013911200001</v>
          </cell>
          <cell r="B562" t="str">
            <v>US59P3C501</v>
          </cell>
          <cell r="C562">
            <v>3911200001</v>
          </cell>
          <cell r="D562" t="str">
            <v>SYMPOSIUMS, CONFERENCES, MEETINGS</v>
          </cell>
          <cell r="E562">
            <v>167</v>
          </cell>
          <cell r="F562">
            <v>167</v>
          </cell>
          <cell r="G562">
            <v>167</v>
          </cell>
          <cell r="H562">
            <v>167</v>
          </cell>
          <cell r="I562">
            <v>167</v>
          </cell>
          <cell r="J562">
            <v>167</v>
          </cell>
          <cell r="K562">
            <v>167</v>
          </cell>
          <cell r="L562">
            <v>167</v>
          </cell>
          <cell r="M562">
            <v>167</v>
          </cell>
          <cell r="N562">
            <v>167</v>
          </cell>
          <cell r="O562">
            <v>167</v>
          </cell>
          <cell r="P562">
            <v>167</v>
          </cell>
          <cell r="Q562">
            <v>2004</v>
          </cell>
        </row>
        <row r="563">
          <cell r="A563" t="str">
            <v>US59P3C5013911200007</v>
          </cell>
          <cell r="B563" t="str">
            <v>US59P3C501</v>
          </cell>
          <cell r="C563">
            <v>3911200007</v>
          </cell>
          <cell r="D563" t="str">
            <v>PROMOTIONAL EXP ADVERTISING AND PROMOTIO</v>
          </cell>
          <cell r="E563">
            <v>0</v>
          </cell>
          <cell r="F563">
            <v>0</v>
          </cell>
          <cell r="G563">
            <v>0</v>
          </cell>
          <cell r="H563">
            <v>0</v>
          </cell>
          <cell r="I563">
            <v>0</v>
          </cell>
          <cell r="J563">
            <v>0</v>
          </cell>
          <cell r="K563">
            <v>0</v>
          </cell>
          <cell r="L563">
            <v>0</v>
          </cell>
          <cell r="M563">
            <v>0</v>
          </cell>
          <cell r="N563">
            <v>0</v>
          </cell>
          <cell r="O563">
            <v>0</v>
          </cell>
          <cell r="P563">
            <v>0</v>
          </cell>
          <cell r="Q563">
            <v>0</v>
          </cell>
        </row>
        <row r="564">
          <cell r="A564" t="str">
            <v>US59P3C5013921100000</v>
          </cell>
          <cell r="B564" t="str">
            <v>US59P3C501</v>
          </cell>
          <cell r="C564">
            <v>3921100000</v>
          </cell>
          <cell r="D564" t="str">
            <v>UTILITIES EXPENSES WATER</v>
          </cell>
          <cell r="E564">
            <v>125</v>
          </cell>
          <cell r="F564">
            <v>125</v>
          </cell>
          <cell r="G564">
            <v>125</v>
          </cell>
          <cell r="H564">
            <v>125</v>
          </cell>
          <cell r="I564">
            <v>125</v>
          </cell>
          <cell r="J564">
            <v>125</v>
          </cell>
          <cell r="K564">
            <v>125</v>
          </cell>
          <cell r="L564">
            <v>125</v>
          </cell>
          <cell r="M564">
            <v>125</v>
          </cell>
          <cell r="N564">
            <v>125</v>
          </cell>
          <cell r="O564">
            <v>125</v>
          </cell>
          <cell r="P564">
            <v>125</v>
          </cell>
          <cell r="Q564">
            <v>1500</v>
          </cell>
        </row>
        <row r="565">
          <cell r="A565" t="str">
            <v>US59P3C5013921100001</v>
          </cell>
          <cell r="B565" t="str">
            <v>US59P3C501</v>
          </cell>
          <cell r="C565">
            <v>3921100001</v>
          </cell>
          <cell r="D565" t="str">
            <v>UTILITY EXPENSES ELECTRICITY</v>
          </cell>
          <cell r="E565">
            <v>3521</v>
          </cell>
          <cell r="F565">
            <v>3521</v>
          </cell>
          <cell r="G565">
            <v>3521</v>
          </cell>
          <cell r="H565">
            <v>3521</v>
          </cell>
          <cell r="I565">
            <v>3521</v>
          </cell>
          <cell r="J565">
            <v>3521</v>
          </cell>
          <cell r="K565">
            <v>3521</v>
          </cell>
          <cell r="L565">
            <v>3521</v>
          </cell>
          <cell r="M565">
            <v>3521</v>
          </cell>
          <cell r="N565">
            <v>3521</v>
          </cell>
          <cell r="O565">
            <v>3521</v>
          </cell>
          <cell r="P565">
            <v>3521</v>
          </cell>
          <cell r="Q565">
            <v>42252</v>
          </cell>
        </row>
        <row r="566">
          <cell r="A566" t="str">
            <v>US59P3C5013921200001</v>
          </cell>
          <cell r="B566" t="str">
            <v>US59P3C501</v>
          </cell>
          <cell r="C566">
            <v>3921200001</v>
          </cell>
          <cell r="D566" t="str">
            <v>FUEL</v>
          </cell>
          <cell r="E566">
            <v>1667</v>
          </cell>
          <cell r="F566">
            <v>1667</v>
          </cell>
          <cell r="G566">
            <v>1667</v>
          </cell>
          <cell r="H566">
            <v>1667</v>
          </cell>
          <cell r="I566">
            <v>1667</v>
          </cell>
          <cell r="J566">
            <v>1667</v>
          </cell>
          <cell r="K566">
            <v>1667</v>
          </cell>
          <cell r="L566">
            <v>1667</v>
          </cell>
          <cell r="M566">
            <v>1667</v>
          </cell>
          <cell r="N566">
            <v>1667</v>
          </cell>
          <cell r="O566">
            <v>1667</v>
          </cell>
          <cell r="P566">
            <v>1667</v>
          </cell>
          <cell r="Q566">
            <v>20004</v>
          </cell>
        </row>
        <row r="567">
          <cell r="A567" t="str">
            <v>US59P3C5013921200006</v>
          </cell>
          <cell r="B567" t="str">
            <v>US59P3C501</v>
          </cell>
          <cell r="C567">
            <v>3921200006</v>
          </cell>
          <cell r="D567" t="str">
            <v>FACTORY SUPPLIES MAINTENANCE SUPPLIES</v>
          </cell>
          <cell r="E567">
            <v>417</v>
          </cell>
          <cell r="F567">
            <v>417</v>
          </cell>
          <cell r="G567">
            <v>417</v>
          </cell>
          <cell r="H567">
            <v>417</v>
          </cell>
          <cell r="I567">
            <v>417</v>
          </cell>
          <cell r="J567">
            <v>417</v>
          </cell>
          <cell r="K567">
            <v>417</v>
          </cell>
          <cell r="L567">
            <v>417</v>
          </cell>
          <cell r="M567">
            <v>417</v>
          </cell>
          <cell r="N567">
            <v>417</v>
          </cell>
          <cell r="O567">
            <v>417</v>
          </cell>
          <cell r="P567">
            <v>417</v>
          </cell>
          <cell r="Q567">
            <v>5004</v>
          </cell>
        </row>
        <row r="568">
          <cell r="A568" t="str">
            <v>US59P3C5013921200010</v>
          </cell>
          <cell r="B568" t="str">
            <v>US59P3C501</v>
          </cell>
          <cell r="C568">
            <v>3921200010</v>
          </cell>
          <cell r="D568" t="str">
            <v>ADMINISTRATIVE SUPPLIES</v>
          </cell>
          <cell r="E568">
            <v>1167</v>
          </cell>
          <cell r="F568">
            <v>1167</v>
          </cell>
          <cell r="G568">
            <v>1167</v>
          </cell>
          <cell r="H568">
            <v>1167</v>
          </cell>
          <cell r="I568">
            <v>1167</v>
          </cell>
          <cell r="J568">
            <v>1167</v>
          </cell>
          <cell r="K568">
            <v>1167</v>
          </cell>
          <cell r="L568">
            <v>1167</v>
          </cell>
          <cell r="M568">
            <v>1167</v>
          </cell>
          <cell r="N568">
            <v>1167</v>
          </cell>
          <cell r="O568">
            <v>1167</v>
          </cell>
          <cell r="P568">
            <v>1167</v>
          </cell>
          <cell r="Q568">
            <v>14004</v>
          </cell>
        </row>
        <row r="569">
          <cell r="A569" t="str">
            <v>US59P3C5013921200050</v>
          </cell>
          <cell r="B569" t="str">
            <v>US59P3C501</v>
          </cell>
          <cell r="C569">
            <v>3921200050</v>
          </cell>
          <cell r="D569" t="str">
            <v>SAFETY EQUIPMENT - SUPPLIES</v>
          </cell>
          <cell r="E569">
            <v>500</v>
          </cell>
          <cell r="F569">
            <v>500</v>
          </cell>
          <cell r="G569">
            <v>500</v>
          </cell>
          <cell r="H569">
            <v>500</v>
          </cell>
          <cell r="I569">
            <v>500</v>
          </cell>
          <cell r="J569">
            <v>500</v>
          </cell>
          <cell r="K569">
            <v>500</v>
          </cell>
          <cell r="L569">
            <v>500</v>
          </cell>
          <cell r="M569">
            <v>500</v>
          </cell>
          <cell r="N569">
            <v>500</v>
          </cell>
          <cell r="O569">
            <v>500</v>
          </cell>
          <cell r="P569">
            <v>500</v>
          </cell>
          <cell r="Q569">
            <v>6000</v>
          </cell>
        </row>
        <row r="570">
          <cell r="A570" t="str">
            <v>US59P3C5013951100005</v>
          </cell>
          <cell r="B570" t="str">
            <v>US59P3C501</v>
          </cell>
          <cell r="C570">
            <v>3951100005</v>
          </cell>
          <cell r="D570" t="str">
            <v>OTHER RENTALS</v>
          </cell>
          <cell r="E570">
            <v>1250</v>
          </cell>
          <cell r="F570">
            <v>1250</v>
          </cell>
          <cell r="G570">
            <v>1250</v>
          </cell>
          <cell r="H570">
            <v>1250</v>
          </cell>
          <cell r="I570">
            <v>1250</v>
          </cell>
          <cell r="J570">
            <v>1250</v>
          </cell>
          <cell r="K570">
            <v>1250</v>
          </cell>
          <cell r="L570">
            <v>1250</v>
          </cell>
          <cell r="M570">
            <v>1250</v>
          </cell>
          <cell r="N570">
            <v>1250</v>
          </cell>
          <cell r="O570">
            <v>1250</v>
          </cell>
          <cell r="P570">
            <v>1250</v>
          </cell>
          <cell r="Q570">
            <v>15000</v>
          </cell>
        </row>
        <row r="571">
          <cell r="A571" t="str">
            <v>US59P3C5013951200002</v>
          </cell>
          <cell r="B571" t="str">
            <v>US59P3C501</v>
          </cell>
          <cell r="C571">
            <v>3951200002</v>
          </cell>
          <cell r="D571" t="str">
            <v>OPERATING LEASES - VEHICLES (SHORT DURAT</v>
          </cell>
          <cell r="E571">
            <v>833</v>
          </cell>
          <cell r="F571">
            <v>833</v>
          </cell>
          <cell r="G571">
            <v>833</v>
          </cell>
          <cell r="H571">
            <v>833</v>
          </cell>
          <cell r="I571">
            <v>833</v>
          </cell>
          <cell r="J571">
            <v>833</v>
          </cell>
          <cell r="K571">
            <v>833</v>
          </cell>
          <cell r="L571">
            <v>833</v>
          </cell>
          <cell r="M571">
            <v>833</v>
          </cell>
          <cell r="N571">
            <v>833</v>
          </cell>
          <cell r="O571">
            <v>833</v>
          </cell>
          <cell r="P571">
            <v>833</v>
          </cell>
          <cell r="Q571">
            <v>9996</v>
          </cell>
        </row>
        <row r="572">
          <cell r="A572" t="str">
            <v>US59P3C5013951200008</v>
          </cell>
          <cell r="B572" t="str">
            <v>US59P3C501</v>
          </cell>
          <cell r="C572">
            <v>3951200008</v>
          </cell>
          <cell r="D572" t="str">
            <v>OPERATING LEASES - PERSONAL COMPUTER</v>
          </cell>
          <cell r="E572">
            <v>139</v>
          </cell>
          <cell r="F572">
            <v>139</v>
          </cell>
          <cell r="G572">
            <v>139</v>
          </cell>
          <cell r="H572">
            <v>139</v>
          </cell>
          <cell r="I572">
            <v>139</v>
          </cell>
          <cell r="J572">
            <v>139</v>
          </cell>
          <cell r="K572">
            <v>139</v>
          </cell>
          <cell r="L572">
            <v>139</v>
          </cell>
          <cell r="M572">
            <v>139</v>
          </cell>
          <cell r="N572">
            <v>139</v>
          </cell>
          <cell r="O572">
            <v>139</v>
          </cell>
          <cell r="P572">
            <v>139</v>
          </cell>
          <cell r="Q572">
            <v>1668</v>
          </cell>
        </row>
        <row r="573">
          <cell r="A573" t="str">
            <v>US59P3C5013961100000</v>
          </cell>
          <cell r="B573" t="str">
            <v>US59P3C501</v>
          </cell>
          <cell r="C573">
            <v>3961100000</v>
          </cell>
          <cell r="D573" t="str">
            <v>COMPREHENSIVE INSURANCES</v>
          </cell>
          <cell r="E573">
            <v>1676</v>
          </cell>
          <cell r="F573">
            <v>1676</v>
          </cell>
          <cell r="G573">
            <v>1676</v>
          </cell>
          <cell r="H573">
            <v>1676</v>
          </cell>
          <cell r="I573">
            <v>1676</v>
          </cell>
          <cell r="J573">
            <v>1676</v>
          </cell>
          <cell r="K573">
            <v>1676</v>
          </cell>
          <cell r="L573">
            <v>1676</v>
          </cell>
          <cell r="M573">
            <v>1676</v>
          </cell>
          <cell r="N573">
            <v>1676</v>
          </cell>
          <cell r="O573">
            <v>1676</v>
          </cell>
          <cell r="P573">
            <v>1676</v>
          </cell>
          <cell r="Q573">
            <v>20112</v>
          </cell>
        </row>
        <row r="574">
          <cell r="A574" t="str">
            <v>US59P3C5013991200001</v>
          </cell>
          <cell r="B574" t="str">
            <v>US59P3C501</v>
          </cell>
          <cell r="C574">
            <v>3991200001</v>
          </cell>
          <cell r="D574" t="str">
            <v>POSTAGE EXPENSES</v>
          </cell>
          <cell r="E574">
            <v>183</v>
          </cell>
          <cell r="F574">
            <v>183</v>
          </cell>
          <cell r="G574">
            <v>183</v>
          </cell>
          <cell r="H574">
            <v>183</v>
          </cell>
          <cell r="I574">
            <v>183</v>
          </cell>
          <cell r="J574">
            <v>183</v>
          </cell>
          <cell r="K574">
            <v>183</v>
          </cell>
          <cell r="L574">
            <v>183</v>
          </cell>
          <cell r="M574">
            <v>183</v>
          </cell>
          <cell r="N574">
            <v>183</v>
          </cell>
          <cell r="O574">
            <v>183</v>
          </cell>
          <cell r="P574">
            <v>183</v>
          </cell>
          <cell r="Q574">
            <v>2196</v>
          </cell>
        </row>
        <row r="575">
          <cell r="A575" t="str">
            <v>US59P3C5013991200012</v>
          </cell>
          <cell r="B575" t="str">
            <v>US59P3C501</v>
          </cell>
          <cell r="C575">
            <v>3991200012</v>
          </cell>
          <cell r="D575" t="str">
            <v>DELIVERY SERVICES</v>
          </cell>
          <cell r="E575">
            <v>271</v>
          </cell>
          <cell r="F575">
            <v>271</v>
          </cell>
          <cell r="G575">
            <v>271</v>
          </cell>
          <cell r="H575">
            <v>271</v>
          </cell>
          <cell r="I575">
            <v>271</v>
          </cell>
          <cell r="J575">
            <v>271</v>
          </cell>
          <cell r="K575">
            <v>271</v>
          </cell>
          <cell r="L575">
            <v>271</v>
          </cell>
          <cell r="M575">
            <v>271</v>
          </cell>
          <cell r="N575">
            <v>271</v>
          </cell>
          <cell r="O575">
            <v>271</v>
          </cell>
          <cell r="P575">
            <v>271</v>
          </cell>
          <cell r="Q575">
            <v>3252</v>
          </cell>
        </row>
        <row r="576">
          <cell r="A576" t="str">
            <v>US59P3C5013991200015</v>
          </cell>
          <cell r="B576" t="str">
            <v>US59P3C501</v>
          </cell>
          <cell r="C576">
            <v>3991200015</v>
          </cell>
          <cell r="D576" t="str">
            <v>TELEPHONE</v>
          </cell>
          <cell r="E576">
            <v>1083</v>
          </cell>
          <cell r="F576">
            <v>1083</v>
          </cell>
          <cell r="G576">
            <v>1083</v>
          </cell>
          <cell r="H576">
            <v>1083</v>
          </cell>
          <cell r="I576">
            <v>1083</v>
          </cell>
          <cell r="J576">
            <v>1083</v>
          </cell>
          <cell r="K576">
            <v>1083</v>
          </cell>
          <cell r="L576">
            <v>1083</v>
          </cell>
          <cell r="M576">
            <v>1083</v>
          </cell>
          <cell r="N576">
            <v>1083</v>
          </cell>
          <cell r="O576">
            <v>1083</v>
          </cell>
          <cell r="P576">
            <v>1083</v>
          </cell>
          <cell r="Q576">
            <v>12996</v>
          </cell>
        </row>
        <row r="577">
          <cell r="A577" t="str">
            <v>US59P3C5013991200018</v>
          </cell>
          <cell r="B577" t="str">
            <v>US59P3C501</v>
          </cell>
          <cell r="C577">
            <v>3991200018</v>
          </cell>
          <cell r="D577" t="str">
            <v>SUBSCRIPTIONS</v>
          </cell>
          <cell r="E577">
            <v>21</v>
          </cell>
          <cell r="F577">
            <v>21</v>
          </cell>
          <cell r="G577">
            <v>21</v>
          </cell>
          <cell r="H577">
            <v>21</v>
          </cell>
          <cell r="I577">
            <v>21</v>
          </cell>
          <cell r="J577">
            <v>21</v>
          </cell>
          <cell r="K577">
            <v>21</v>
          </cell>
          <cell r="L577">
            <v>21</v>
          </cell>
          <cell r="M577">
            <v>21</v>
          </cell>
          <cell r="N577">
            <v>21</v>
          </cell>
          <cell r="O577">
            <v>21</v>
          </cell>
          <cell r="P577">
            <v>21</v>
          </cell>
          <cell r="Q577">
            <v>252</v>
          </cell>
        </row>
        <row r="578">
          <cell r="A578" t="str">
            <v>US59P3C5013991200023</v>
          </cell>
          <cell r="B578" t="str">
            <v>US59P3C501</v>
          </cell>
          <cell r="C578">
            <v>3991200023</v>
          </cell>
          <cell r="D578" t="str">
            <v>OTHER COMMUNICATION MEANS</v>
          </cell>
          <cell r="E578">
            <v>0</v>
          </cell>
          <cell r="F578">
            <v>0</v>
          </cell>
          <cell r="G578">
            <v>0</v>
          </cell>
          <cell r="H578">
            <v>0</v>
          </cell>
          <cell r="I578">
            <v>0</v>
          </cell>
          <cell r="J578">
            <v>0</v>
          </cell>
          <cell r="K578">
            <v>0</v>
          </cell>
          <cell r="L578">
            <v>0</v>
          </cell>
          <cell r="M578">
            <v>0</v>
          </cell>
          <cell r="N578">
            <v>0</v>
          </cell>
          <cell r="O578">
            <v>0</v>
          </cell>
          <cell r="P578">
            <v>0</v>
          </cell>
          <cell r="Q578">
            <v>0</v>
          </cell>
        </row>
        <row r="579">
          <cell r="A579" t="str">
            <v>US59P3C5013991200068</v>
          </cell>
          <cell r="B579" t="str">
            <v>US59P3C501</v>
          </cell>
          <cell r="C579">
            <v>3991200068</v>
          </cell>
          <cell r="D579" t="str">
            <v>ASSOCIATION AND DEVELOPMENT FUND</v>
          </cell>
          <cell r="E579">
            <v>17</v>
          </cell>
          <cell r="F579">
            <v>17</v>
          </cell>
          <cell r="G579">
            <v>17</v>
          </cell>
          <cell r="H579">
            <v>17</v>
          </cell>
          <cell r="I579">
            <v>17</v>
          </cell>
          <cell r="J579">
            <v>17</v>
          </cell>
          <cell r="K579">
            <v>17</v>
          </cell>
          <cell r="L579">
            <v>17</v>
          </cell>
          <cell r="M579">
            <v>17</v>
          </cell>
          <cell r="N579">
            <v>17</v>
          </cell>
          <cell r="O579">
            <v>17</v>
          </cell>
          <cell r="P579">
            <v>17</v>
          </cell>
          <cell r="Q579">
            <v>204</v>
          </cell>
        </row>
        <row r="580">
          <cell r="A580" t="str">
            <v>US59P3C5013991200069</v>
          </cell>
          <cell r="B580" t="str">
            <v>US59P3C501</v>
          </cell>
          <cell r="C580">
            <v>3991200069</v>
          </cell>
          <cell r="D580" t="str">
            <v>COMPANY MEMBERSHIP DUES</v>
          </cell>
          <cell r="E580">
            <v>0</v>
          </cell>
          <cell r="F580">
            <v>0</v>
          </cell>
          <cell r="G580">
            <v>0</v>
          </cell>
          <cell r="H580">
            <v>0</v>
          </cell>
          <cell r="I580">
            <v>0</v>
          </cell>
          <cell r="J580">
            <v>0</v>
          </cell>
          <cell r="K580">
            <v>0</v>
          </cell>
          <cell r="L580">
            <v>0</v>
          </cell>
          <cell r="M580">
            <v>0</v>
          </cell>
          <cell r="N580">
            <v>0</v>
          </cell>
          <cell r="O580">
            <v>0</v>
          </cell>
          <cell r="P580">
            <v>0</v>
          </cell>
          <cell r="Q580">
            <v>0</v>
          </cell>
        </row>
        <row r="581">
          <cell r="A581" t="str">
            <v>US59P3C5113991200099</v>
          </cell>
          <cell r="B581" t="str">
            <v>US59P3C511</v>
          </cell>
          <cell r="C581">
            <v>3991200099</v>
          </cell>
          <cell r="D581" t="str">
            <v>OTHER EXPENSES TO 3RD PARTIES - ADJUSTME</v>
          </cell>
          <cell r="E581">
            <v>0</v>
          </cell>
          <cell r="F581">
            <v>0</v>
          </cell>
          <cell r="G581">
            <v>0</v>
          </cell>
          <cell r="H581">
            <v>0</v>
          </cell>
          <cell r="I581">
            <v>0</v>
          </cell>
          <cell r="J581">
            <v>0</v>
          </cell>
          <cell r="K581">
            <v>0</v>
          </cell>
          <cell r="L581">
            <v>0</v>
          </cell>
          <cell r="M581">
            <v>0</v>
          </cell>
          <cell r="N581">
            <v>0</v>
          </cell>
          <cell r="O581">
            <v>0</v>
          </cell>
          <cell r="P581">
            <v>0</v>
          </cell>
          <cell r="Q581">
            <v>0</v>
          </cell>
        </row>
        <row r="582">
          <cell r="A582" t="str">
            <v>US59P3C5113991200101</v>
          </cell>
          <cell r="B582" t="str">
            <v>US59P3C511</v>
          </cell>
          <cell r="C582">
            <v>3991200101</v>
          </cell>
          <cell r="D582" t="str">
            <v>EXPENSE RECOVERY</v>
          </cell>
          <cell r="E582">
            <v>-96666</v>
          </cell>
          <cell r="F582">
            <v>-96666</v>
          </cell>
          <cell r="G582">
            <v>-96666</v>
          </cell>
          <cell r="H582">
            <v>-96666</v>
          </cell>
          <cell r="I582">
            <v>-96666</v>
          </cell>
          <cell r="J582">
            <v>-96666</v>
          </cell>
          <cell r="K582">
            <v>0</v>
          </cell>
          <cell r="L582">
            <v>0</v>
          </cell>
          <cell r="M582">
            <v>0</v>
          </cell>
          <cell r="N582">
            <v>0</v>
          </cell>
          <cell r="O582">
            <v>0</v>
          </cell>
          <cell r="P582">
            <v>0</v>
          </cell>
          <cell r="Q582">
            <v>-579996</v>
          </cell>
        </row>
        <row r="583">
          <cell r="A583" t="str">
            <v>US59P3C5153991200099</v>
          </cell>
          <cell r="B583" t="str">
            <v>US59P3C515</v>
          </cell>
          <cell r="C583">
            <v>3991200099</v>
          </cell>
          <cell r="D583" t="str">
            <v>OTHER EXPENSES TO 3RD PARTIES - ADJUSTME</v>
          </cell>
          <cell r="E583">
            <v>-97745</v>
          </cell>
          <cell r="F583">
            <v>-97745</v>
          </cell>
          <cell r="G583">
            <v>-97745</v>
          </cell>
          <cell r="H583">
            <v>-97745</v>
          </cell>
          <cell r="I583">
            <v>-97745</v>
          </cell>
          <cell r="J583">
            <v>-97745</v>
          </cell>
          <cell r="K583">
            <v>-97745</v>
          </cell>
          <cell r="L583">
            <v>-97745</v>
          </cell>
          <cell r="M583">
            <v>-97745</v>
          </cell>
          <cell r="N583">
            <v>0</v>
          </cell>
          <cell r="O583">
            <v>0</v>
          </cell>
          <cell r="P583">
            <v>0</v>
          </cell>
          <cell r="Q583">
            <v>-879705</v>
          </cell>
        </row>
        <row r="584">
          <cell r="A584" t="str">
            <v>US59P3C5503111100000</v>
          </cell>
          <cell r="B584" t="str">
            <v>US59P3C550</v>
          </cell>
          <cell r="C584">
            <v>3111100000</v>
          </cell>
          <cell r="D584" t="str">
            <v>WAGES,SALARIES,ALLOWANCES AND COMMI/PERM</v>
          </cell>
          <cell r="E584">
            <v>7209</v>
          </cell>
          <cell r="F584">
            <v>7209</v>
          </cell>
          <cell r="G584">
            <v>7209</v>
          </cell>
          <cell r="H584">
            <v>7209</v>
          </cell>
          <cell r="I584">
            <v>7209</v>
          </cell>
          <cell r="J584">
            <v>7209</v>
          </cell>
          <cell r="K584">
            <v>7209</v>
          </cell>
          <cell r="L584">
            <v>7209</v>
          </cell>
          <cell r="M584">
            <v>7209</v>
          </cell>
          <cell r="N584">
            <v>7209</v>
          </cell>
          <cell r="O584">
            <v>7209</v>
          </cell>
          <cell r="P584">
            <v>7209</v>
          </cell>
          <cell r="Q584">
            <v>86508</v>
          </cell>
        </row>
        <row r="585">
          <cell r="A585" t="str">
            <v>US59P3C5503111100012</v>
          </cell>
          <cell r="B585" t="str">
            <v>US59P3C550</v>
          </cell>
          <cell r="C585">
            <v>3111100012</v>
          </cell>
          <cell r="D585" t="str">
            <v>OVERTIME HOURS /PERMANENTS</v>
          </cell>
          <cell r="E585">
            <v>500</v>
          </cell>
          <cell r="F585">
            <v>500</v>
          </cell>
          <cell r="G585">
            <v>500</v>
          </cell>
          <cell r="H585">
            <v>500</v>
          </cell>
          <cell r="I585">
            <v>500</v>
          </cell>
          <cell r="J585">
            <v>500</v>
          </cell>
          <cell r="K585">
            <v>500</v>
          </cell>
          <cell r="L585">
            <v>500</v>
          </cell>
          <cell r="M585">
            <v>500</v>
          </cell>
          <cell r="N585">
            <v>500</v>
          </cell>
          <cell r="O585">
            <v>500</v>
          </cell>
          <cell r="P585">
            <v>500</v>
          </cell>
          <cell r="Q585">
            <v>6000</v>
          </cell>
        </row>
        <row r="586">
          <cell r="A586" t="str">
            <v>US59P3C5503121300013</v>
          </cell>
          <cell r="B586" t="str">
            <v>US59P3C550</v>
          </cell>
          <cell r="C586">
            <v>3121300013</v>
          </cell>
          <cell r="D586" t="str">
            <v>FRINGE BENEFITS</v>
          </cell>
          <cell r="E586">
            <v>2914</v>
          </cell>
          <cell r="F586">
            <v>2914</v>
          </cell>
          <cell r="G586">
            <v>2914</v>
          </cell>
          <cell r="H586">
            <v>2914</v>
          </cell>
          <cell r="I586">
            <v>2914</v>
          </cell>
          <cell r="J586">
            <v>2914</v>
          </cell>
          <cell r="K586">
            <v>2914</v>
          </cell>
          <cell r="L586">
            <v>2914</v>
          </cell>
          <cell r="M586">
            <v>2914</v>
          </cell>
          <cell r="N586">
            <v>2914</v>
          </cell>
          <cell r="O586">
            <v>2914</v>
          </cell>
          <cell r="P586">
            <v>2914</v>
          </cell>
          <cell r="Q586">
            <v>34968</v>
          </cell>
        </row>
        <row r="587">
          <cell r="A587" t="str">
            <v>US59P3C5503201300001</v>
          </cell>
          <cell r="B587" t="str">
            <v>US59P3C550</v>
          </cell>
          <cell r="C587">
            <v>3201300001</v>
          </cell>
          <cell r="D587" t="str">
            <v>HIRED PERSONNEL FROM 3RD PARTIES</v>
          </cell>
          <cell r="E587">
            <v>2816</v>
          </cell>
          <cell r="F587">
            <v>2816</v>
          </cell>
          <cell r="G587">
            <v>2816</v>
          </cell>
          <cell r="H587">
            <v>2816</v>
          </cell>
          <cell r="I587">
            <v>2816</v>
          </cell>
          <cell r="J587">
            <v>2816</v>
          </cell>
          <cell r="K587">
            <v>2816</v>
          </cell>
          <cell r="L587">
            <v>2816</v>
          </cell>
          <cell r="M587">
            <v>2816</v>
          </cell>
          <cell r="N587">
            <v>2816</v>
          </cell>
          <cell r="O587">
            <v>2816</v>
          </cell>
          <cell r="P587">
            <v>2816</v>
          </cell>
          <cell r="Q587">
            <v>33792</v>
          </cell>
        </row>
        <row r="588">
          <cell r="A588" t="str">
            <v>US59P3C5503201300002</v>
          </cell>
          <cell r="B588" t="str">
            <v>US59P3C550</v>
          </cell>
          <cell r="C588">
            <v>3201300002</v>
          </cell>
          <cell r="D588" t="str">
            <v>O/S SERVICES</v>
          </cell>
          <cell r="E588">
            <v>167</v>
          </cell>
          <cell r="F588">
            <v>167</v>
          </cell>
          <cell r="G588">
            <v>167</v>
          </cell>
          <cell r="H588">
            <v>167</v>
          </cell>
          <cell r="I588">
            <v>167</v>
          </cell>
          <cell r="J588">
            <v>167</v>
          </cell>
          <cell r="K588">
            <v>167</v>
          </cell>
          <cell r="L588">
            <v>167</v>
          </cell>
          <cell r="M588">
            <v>167</v>
          </cell>
          <cell r="N588">
            <v>167</v>
          </cell>
          <cell r="O588">
            <v>167</v>
          </cell>
          <cell r="P588">
            <v>167</v>
          </cell>
          <cell r="Q588">
            <v>2004</v>
          </cell>
        </row>
        <row r="589">
          <cell r="A589" t="str">
            <v>US59P3C5503201400029</v>
          </cell>
          <cell r="B589" t="str">
            <v>US59P3C550</v>
          </cell>
          <cell r="C589">
            <v>3201400029</v>
          </cell>
          <cell r="D589" t="str">
            <v>OTH OUTSIDE SERVICES OTHER</v>
          </cell>
          <cell r="E589">
            <v>83</v>
          </cell>
          <cell r="F589">
            <v>83</v>
          </cell>
          <cell r="G589">
            <v>83</v>
          </cell>
          <cell r="H589">
            <v>83</v>
          </cell>
          <cell r="I589">
            <v>83</v>
          </cell>
          <cell r="J589">
            <v>83</v>
          </cell>
          <cell r="K589">
            <v>83</v>
          </cell>
          <cell r="L589">
            <v>83</v>
          </cell>
          <cell r="M589">
            <v>83</v>
          </cell>
          <cell r="N589">
            <v>83</v>
          </cell>
          <cell r="O589">
            <v>83</v>
          </cell>
          <cell r="P589">
            <v>83</v>
          </cell>
          <cell r="Q589">
            <v>996</v>
          </cell>
        </row>
        <row r="590">
          <cell r="A590" t="str">
            <v>US59P3C5503201400056</v>
          </cell>
          <cell r="B590" t="str">
            <v>US59P3C550</v>
          </cell>
          <cell r="C590">
            <v>3201400056</v>
          </cell>
          <cell r="D590" t="str">
            <v>FIELD AND PRODUCTION EXPENSES</v>
          </cell>
          <cell r="E590">
            <v>42</v>
          </cell>
          <cell r="F590">
            <v>42</v>
          </cell>
          <cell r="G590">
            <v>42</v>
          </cell>
          <cell r="H590">
            <v>42</v>
          </cell>
          <cell r="I590">
            <v>42</v>
          </cell>
          <cell r="J590">
            <v>42</v>
          </cell>
          <cell r="K590">
            <v>42</v>
          </cell>
          <cell r="L590">
            <v>42</v>
          </cell>
          <cell r="M590">
            <v>42</v>
          </cell>
          <cell r="N590">
            <v>42</v>
          </cell>
          <cell r="O590">
            <v>42</v>
          </cell>
          <cell r="P590">
            <v>42</v>
          </cell>
          <cell r="Q590">
            <v>504</v>
          </cell>
        </row>
        <row r="591">
          <cell r="A591" t="str">
            <v>US59P3C5503911200001</v>
          </cell>
          <cell r="B591" t="str">
            <v>US59P3C550</v>
          </cell>
          <cell r="C591">
            <v>3911200001</v>
          </cell>
          <cell r="D591" t="str">
            <v>SYMPOSIUMS, CONFERENCES, MEETINGS</v>
          </cell>
          <cell r="E591">
            <v>208</v>
          </cell>
          <cell r="F591">
            <v>208</v>
          </cell>
          <cell r="G591">
            <v>208</v>
          </cell>
          <cell r="H591">
            <v>208</v>
          </cell>
          <cell r="I591">
            <v>208</v>
          </cell>
          <cell r="J591">
            <v>208</v>
          </cell>
          <cell r="K591">
            <v>208</v>
          </cell>
          <cell r="L591">
            <v>208</v>
          </cell>
          <cell r="M591">
            <v>208</v>
          </cell>
          <cell r="N591">
            <v>208</v>
          </cell>
          <cell r="O591">
            <v>208</v>
          </cell>
          <cell r="P591">
            <v>208</v>
          </cell>
          <cell r="Q591">
            <v>2496</v>
          </cell>
        </row>
        <row r="592">
          <cell r="A592" t="str">
            <v>US59P3C5503921200006</v>
          </cell>
          <cell r="B592" t="str">
            <v>US59P3C550</v>
          </cell>
          <cell r="C592">
            <v>3921200006</v>
          </cell>
          <cell r="D592" t="str">
            <v>FACTORY SUPPLIES MAINTENANCE SUPPLIES</v>
          </cell>
          <cell r="E592">
            <v>167</v>
          </cell>
          <cell r="F592">
            <v>167</v>
          </cell>
          <cell r="G592">
            <v>167</v>
          </cell>
          <cell r="H592">
            <v>167</v>
          </cell>
          <cell r="I592">
            <v>167</v>
          </cell>
          <cell r="J592">
            <v>167</v>
          </cell>
          <cell r="K592">
            <v>167</v>
          </cell>
          <cell r="L592">
            <v>167</v>
          </cell>
          <cell r="M592">
            <v>167</v>
          </cell>
          <cell r="N592">
            <v>167</v>
          </cell>
          <cell r="O592">
            <v>167</v>
          </cell>
          <cell r="P592">
            <v>167</v>
          </cell>
          <cell r="Q592">
            <v>2004</v>
          </cell>
        </row>
        <row r="593">
          <cell r="A593" t="str">
            <v>US59P3C5503921200010</v>
          </cell>
          <cell r="B593" t="str">
            <v>US59P3C550</v>
          </cell>
          <cell r="C593">
            <v>3921200010</v>
          </cell>
          <cell r="D593" t="str">
            <v>ADMINISTRATIVE SUPPLIES</v>
          </cell>
          <cell r="E593">
            <v>100</v>
          </cell>
          <cell r="F593">
            <v>100</v>
          </cell>
          <cell r="G593">
            <v>100</v>
          </cell>
          <cell r="H593">
            <v>100</v>
          </cell>
          <cell r="I593">
            <v>100</v>
          </cell>
          <cell r="J593">
            <v>100</v>
          </cell>
          <cell r="K593">
            <v>100</v>
          </cell>
          <cell r="L593">
            <v>100</v>
          </cell>
          <cell r="M593">
            <v>100</v>
          </cell>
          <cell r="N593">
            <v>100</v>
          </cell>
          <cell r="O593">
            <v>100</v>
          </cell>
          <cell r="P593">
            <v>100</v>
          </cell>
          <cell r="Q593">
            <v>1200</v>
          </cell>
        </row>
        <row r="594">
          <cell r="A594" t="str">
            <v>US59P3C5503951100000</v>
          </cell>
          <cell r="B594" t="str">
            <v>US59P3C550</v>
          </cell>
          <cell r="C594">
            <v>3951100000</v>
          </cell>
          <cell r="D594" t="str">
            <v>LEASING ON MACHINERY &amp; EQUIPMENT</v>
          </cell>
          <cell r="E594">
            <v>125</v>
          </cell>
          <cell r="F594">
            <v>125</v>
          </cell>
          <cell r="G594">
            <v>125</v>
          </cell>
          <cell r="H594">
            <v>125</v>
          </cell>
          <cell r="I594">
            <v>125</v>
          </cell>
          <cell r="J594">
            <v>125</v>
          </cell>
          <cell r="K594">
            <v>125</v>
          </cell>
          <cell r="L594">
            <v>125</v>
          </cell>
          <cell r="M594">
            <v>125</v>
          </cell>
          <cell r="N594">
            <v>125</v>
          </cell>
          <cell r="O594">
            <v>125</v>
          </cell>
          <cell r="P594">
            <v>125</v>
          </cell>
          <cell r="Q594">
            <v>1500</v>
          </cell>
        </row>
        <row r="595">
          <cell r="A595" t="str">
            <v>US59P3C5503951100005</v>
          </cell>
          <cell r="B595" t="str">
            <v>US59P3C550</v>
          </cell>
          <cell r="C595">
            <v>3951100005</v>
          </cell>
          <cell r="D595" t="str">
            <v>OTHER RENTALS</v>
          </cell>
          <cell r="E595">
            <v>0</v>
          </cell>
          <cell r="F595">
            <v>0</v>
          </cell>
          <cell r="G595">
            <v>0</v>
          </cell>
          <cell r="H595">
            <v>0</v>
          </cell>
          <cell r="I595">
            <v>0</v>
          </cell>
          <cell r="J595">
            <v>0</v>
          </cell>
          <cell r="K595">
            <v>0</v>
          </cell>
          <cell r="L595">
            <v>0</v>
          </cell>
          <cell r="M595">
            <v>0</v>
          </cell>
          <cell r="N595">
            <v>0</v>
          </cell>
          <cell r="O595">
            <v>0</v>
          </cell>
          <cell r="P595">
            <v>0</v>
          </cell>
          <cell r="Q595">
            <v>0</v>
          </cell>
        </row>
        <row r="596">
          <cell r="A596" t="str">
            <v>US59P3C5503951200002</v>
          </cell>
          <cell r="B596" t="str">
            <v>US59P3C550</v>
          </cell>
          <cell r="C596">
            <v>3951200002</v>
          </cell>
          <cell r="D596" t="str">
            <v>OPERATING LEASES - VEHICLES (SHORT DURAT</v>
          </cell>
          <cell r="E596">
            <v>625</v>
          </cell>
          <cell r="F596">
            <v>625</v>
          </cell>
          <cell r="G596">
            <v>625</v>
          </cell>
          <cell r="H596">
            <v>625</v>
          </cell>
          <cell r="I596">
            <v>625</v>
          </cell>
          <cell r="J596">
            <v>625</v>
          </cell>
          <cell r="K596">
            <v>625</v>
          </cell>
          <cell r="L596">
            <v>625</v>
          </cell>
          <cell r="M596">
            <v>625</v>
          </cell>
          <cell r="N596">
            <v>625</v>
          </cell>
          <cell r="O596">
            <v>625</v>
          </cell>
          <cell r="P596">
            <v>625</v>
          </cell>
          <cell r="Q596">
            <v>7500</v>
          </cell>
        </row>
        <row r="597">
          <cell r="A597" t="str">
            <v>US59P3C5603111100000</v>
          </cell>
          <cell r="B597" t="str">
            <v>US59P3C560</v>
          </cell>
          <cell r="C597">
            <v>3111100000</v>
          </cell>
          <cell r="D597" t="str">
            <v>WAGES,SALARIES,ALLOWANCES AND COMMI/PERM</v>
          </cell>
          <cell r="E597">
            <v>13583</v>
          </cell>
          <cell r="F597">
            <v>13583</v>
          </cell>
          <cell r="G597">
            <v>13583</v>
          </cell>
          <cell r="H597">
            <v>13583</v>
          </cell>
          <cell r="I597">
            <v>13583</v>
          </cell>
          <cell r="J597">
            <v>13583</v>
          </cell>
          <cell r="K597">
            <v>13583</v>
          </cell>
          <cell r="L597">
            <v>13583</v>
          </cell>
          <cell r="M597">
            <v>13583</v>
          </cell>
          <cell r="N597">
            <v>13583</v>
          </cell>
          <cell r="O597">
            <v>13583</v>
          </cell>
          <cell r="P597">
            <v>13583</v>
          </cell>
          <cell r="Q597">
            <v>162996</v>
          </cell>
        </row>
        <row r="598">
          <cell r="A598" t="str">
            <v>US59P3C5603111100012</v>
          </cell>
          <cell r="B598" t="str">
            <v>US59P3C560</v>
          </cell>
          <cell r="C598">
            <v>3111100012</v>
          </cell>
          <cell r="D598" t="str">
            <v>OVERTIME HOURS /PERMANENTS</v>
          </cell>
          <cell r="E598">
            <v>1667</v>
          </cell>
          <cell r="F598">
            <v>1667</v>
          </cell>
          <cell r="G598">
            <v>1667</v>
          </cell>
          <cell r="H598">
            <v>1667</v>
          </cell>
          <cell r="I598">
            <v>1667</v>
          </cell>
          <cell r="J598">
            <v>1667</v>
          </cell>
          <cell r="K598">
            <v>1667</v>
          </cell>
          <cell r="L598">
            <v>1667</v>
          </cell>
          <cell r="M598">
            <v>1667</v>
          </cell>
          <cell r="N598">
            <v>1667</v>
          </cell>
          <cell r="O598">
            <v>1667</v>
          </cell>
          <cell r="P598">
            <v>1667</v>
          </cell>
          <cell r="Q598">
            <v>20004</v>
          </cell>
        </row>
        <row r="599">
          <cell r="A599" t="str">
            <v>US59P3C5603121300013</v>
          </cell>
          <cell r="B599" t="str">
            <v>US59P3C560</v>
          </cell>
          <cell r="C599">
            <v>3121300013</v>
          </cell>
          <cell r="D599" t="str">
            <v>FRINGE BENEFITS</v>
          </cell>
          <cell r="E599">
            <v>5764</v>
          </cell>
          <cell r="F599">
            <v>5764</v>
          </cell>
          <cell r="G599">
            <v>5764</v>
          </cell>
          <cell r="H599">
            <v>5764</v>
          </cell>
          <cell r="I599">
            <v>5764</v>
          </cell>
          <cell r="J599">
            <v>5764</v>
          </cell>
          <cell r="K599">
            <v>5764</v>
          </cell>
          <cell r="L599">
            <v>5764</v>
          </cell>
          <cell r="M599">
            <v>5764</v>
          </cell>
          <cell r="N599">
            <v>5764</v>
          </cell>
          <cell r="O599">
            <v>5764</v>
          </cell>
          <cell r="P599">
            <v>5764</v>
          </cell>
          <cell r="Q599">
            <v>69168</v>
          </cell>
        </row>
        <row r="600">
          <cell r="A600" t="str">
            <v>US59P3C5603201300001</v>
          </cell>
          <cell r="B600" t="str">
            <v>US59P3C560</v>
          </cell>
          <cell r="C600">
            <v>3201300001</v>
          </cell>
          <cell r="D600" t="str">
            <v>HIRED PERSONNEL FROM 3RD PARTIES</v>
          </cell>
          <cell r="E600">
            <v>6250</v>
          </cell>
          <cell r="F600">
            <v>6250</v>
          </cell>
          <cell r="G600">
            <v>6250</v>
          </cell>
          <cell r="H600">
            <v>6250</v>
          </cell>
          <cell r="I600">
            <v>6250</v>
          </cell>
          <cell r="J600">
            <v>6250</v>
          </cell>
          <cell r="K600">
            <v>6250</v>
          </cell>
          <cell r="L600">
            <v>6250</v>
          </cell>
          <cell r="M600">
            <v>6250</v>
          </cell>
          <cell r="N600">
            <v>6250</v>
          </cell>
          <cell r="O600">
            <v>6250</v>
          </cell>
          <cell r="P600">
            <v>6250</v>
          </cell>
          <cell r="Q600">
            <v>75000</v>
          </cell>
        </row>
        <row r="601">
          <cell r="A601" t="str">
            <v>US59P3C5603201300002</v>
          </cell>
          <cell r="B601" t="str">
            <v>US59P3C560</v>
          </cell>
          <cell r="C601">
            <v>3201300002</v>
          </cell>
          <cell r="D601" t="str">
            <v>O/S SERVICES</v>
          </cell>
          <cell r="E601">
            <v>500</v>
          </cell>
          <cell r="F601">
            <v>500</v>
          </cell>
          <cell r="G601">
            <v>500</v>
          </cell>
          <cell r="H601">
            <v>500</v>
          </cell>
          <cell r="I601">
            <v>500</v>
          </cell>
          <cell r="J601">
            <v>500</v>
          </cell>
          <cell r="K601">
            <v>500</v>
          </cell>
          <cell r="L601">
            <v>500</v>
          </cell>
          <cell r="M601">
            <v>500</v>
          </cell>
          <cell r="N601">
            <v>500</v>
          </cell>
          <cell r="O601">
            <v>500</v>
          </cell>
          <cell r="P601">
            <v>500</v>
          </cell>
          <cell r="Q601">
            <v>6000</v>
          </cell>
        </row>
        <row r="602">
          <cell r="A602" t="str">
            <v>US59P3C5603201400025</v>
          </cell>
          <cell r="B602" t="str">
            <v>US59P3C560</v>
          </cell>
          <cell r="C602">
            <v>3201400025</v>
          </cell>
          <cell r="D602" t="str">
            <v>CLEANING EXPENSES</v>
          </cell>
          <cell r="E602">
            <v>208</v>
          </cell>
          <cell r="F602">
            <v>208</v>
          </cell>
          <cell r="G602">
            <v>208</v>
          </cell>
          <cell r="H602">
            <v>208</v>
          </cell>
          <cell r="I602">
            <v>208</v>
          </cell>
          <cell r="J602">
            <v>208</v>
          </cell>
          <cell r="K602">
            <v>208</v>
          </cell>
          <cell r="L602">
            <v>208</v>
          </cell>
          <cell r="M602">
            <v>208</v>
          </cell>
          <cell r="N602">
            <v>208</v>
          </cell>
          <cell r="O602">
            <v>208</v>
          </cell>
          <cell r="P602">
            <v>208</v>
          </cell>
          <cell r="Q602">
            <v>2496</v>
          </cell>
        </row>
        <row r="603">
          <cell r="A603" t="str">
            <v>US59P3C5603201400029</v>
          </cell>
          <cell r="B603" t="str">
            <v>US59P3C560</v>
          </cell>
          <cell r="C603">
            <v>3201400029</v>
          </cell>
          <cell r="D603" t="str">
            <v>OTH OUTSIDE SERVICES OTHER</v>
          </cell>
          <cell r="E603">
            <v>125</v>
          </cell>
          <cell r="F603">
            <v>125</v>
          </cell>
          <cell r="G603">
            <v>125</v>
          </cell>
          <cell r="H603">
            <v>125</v>
          </cell>
          <cell r="I603">
            <v>125</v>
          </cell>
          <cell r="J603">
            <v>125</v>
          </cell>
          <cell r="K603">
            <v>125</v>
          </cell>
          <cell r="L603">
            <v>125</v>
          </cell>
          <cell r="M603">
            <v>125</v>
          </cell>
          <cell r="N603">
            <v>125</v>
          </cell>
          <cell r="O603">
            <v>125</v>
          </cell>
          <cell r="P603">
            <v>125</v>
          </cell>
          <cell r="Q603">
            <v>1500</v>
          </cell>
        </row>
        <row r="604">
          <cell r="A604" t="str">
            <v>US59P3C5603201400051</v>
          </cell>
          <cell r="B604" t="str">
            <v>US59P3C560</v>
          </cell>
          <cell r="C604">
            <v>3201400051</v>
          </cell>
          <cell r="D604" t="str">
            <v>MAINTENANCE EQUIPMENT</v>
          </cell>
          <cell r="E604">
            <v>500</v>
          </cell>
          <cell r="F604">
            <v>500</v>
          </cell>
          <cell r="G604">
            <v>500</v>
          </cell>
          <cell r="H604">
            <v>500</v>
          </cell>
          <cell r="I604">
            <v>500</v>
          </cell>
          <cell r="J604">
            <v>500</v>
          </cell>
          <cell r="K604">
            <v>500</v>
          </cell>
          <cell r="L604">
            <v>500</v>
          </cell>
          <cell r="M604">
            <v>500</v>
          </cell>
          <cell r="N604">
            <v>500</v>
          </cell>
          <cell r="O604">
            <v>500</v>
          </cell>
          <cell r="P604">
            <v>500</v>
          </cell>
          <cell r="Q604">
            <v>6000</v>
          </cell>
        </row>
        <row r="605">
          <cell r="A605" t="str">
            <v>US59P3C5603311400099</v>
          </cell>
          <cell r="B605" t="str">
            <v>US59P3C560</v>
          </cell>
          <cell r="C605">
            <v>3311400099</v>
          </cell>
          <cell r="D605" t="str">
            <v>CO DEPRECIATION</v>
          </cell>
          <cell r="E605">
            <v>34286</v>
          </cell>
          <cell r="F605">
            <v>34286</v>
          </cell>
          <cell r="G605">
            <v>34286</v>
          </cell>
          <cell r="H605">
            <v>34286</v>
          </cell>
          <cell r="I605">
            <v>34286</v>
          </cell>
          <cell r="J605">
            <v>34286</v>
          </cell>
          <cell r="K605">
            <v>34286</v>
          </cell>
          <cell r="L605">
            <v>34286</v>
          </cell>
          <cell r="M605">
            <v>34286</v>
          </cell>
          <cell r="N605">
            <v>34286</v>
          </cell>
          <cell r="O605">
            <v>34286</v>
          </cell>
          <cell r="P605">
            <v>34290</v>
          </cell>
          <cell r="Q605">
            <v>411436</v>
          </cell>
        </row>
        <row r="606">
          <cell r="A606" t="str">
            <v>US59P3C5603911200001</v>
          </cell>
          <cell r="B606" t="str">
            <v>US59P3C560</v>
          </cell>
          <cell r="C606">
            <v>3911200001</v>
          </cell>
          <cell r="D606" t="str">
            <v>SYMPOSIUMS, CONFERENCES, MEETINGS</v>
          </cell>
          <cell r="E606">
            <v>125</v>
          </cell>
          <cell r="F606">
            <v>125</v>
          </cell>
          <cell r="G606">
            <v>125</v>
          </cell>
          <cell r="H606">
            <v>125</v>
          </cell>
          <cell r="I606">
            <v>125</v>
          </cell>
          <cell r="J606">
            <v>125</v>
          </cell>
          <cell r="K606">
            <v>125</v>
          </cell>
          <cell r="L606">
            <v>125</v>
          </cell>
          <cell r="M606">
            <v>125</v>
          </cell>
          <cell r="N606">
            <v>125</v>
          </cell>
          <cell r="O606">
            <v>125</v>
          </cell>
          <cell r="P606">
            <v>125</v>
          </cell>
          <cell r="Q606">
            <v>1500</v>
          </cell>
        </row>
        <row r="607">
          <cell r="A607" t="str">
            <v>US59P3C5603921100000</v>
          </cell>
          <cell r="B607" t="str">
            <v>US59P3C560</v>
          </cell>
          <cell r="C607">
            <v>3921100000</v>
          </cell>
          <cell r="D607" t="str">
            <v>UTILITIES EXPENSES WATER</v>
          </cell>
          <cell r="E607">
            <v>42</v>
          </cell>
          <cell r="F607">
            <v>42</v>
          </cell>
          <cell r="G607">
            <v>42</v>
          </cell>
          <cell r="H607">
            <v>42</v>
          </cell>
          <cell r="I607">
            <v>42</v>
          </cell>
          <cell r="J607">
            <v>42</v>
          </cell>
          <cell r="K607">
            <v>42</v>
          </cell>
          <cell r="L607">
            <v>42</v>
          </cell>
          <cell r="M607">
            <v>42</v>
          </cell>
          <cell r="N607">
            <v>42</v>
          </cell>
          <cell r="O607">
            <v>42</v>
          </cell>
          <cell r="P607">
            <v>42</v>
          </cell>
          <cell r="Q607">
            <v>504</v>
          </cell>
        </row>
        <row r="608">
          <cell r="A608" t="str">
            <v>US59P3C5603921100001</v>
          </cell>
          <cell r="B608" t="str">
            <v>US59P3C560</v>
          </cell>
          <cell r="C608">
            <v>3921100001</v>
          </cell>
          <cell r="D608" t="str">
            <v>UTILITY EXPENSES ELECTRICITY</v>
          </cell>
          <cell r="E608">
            <v>2500</v>
          </cell>
          <cell r="F608">
            <v>2500</v>
          </cell>
          <cell r="G608">
            <v>2500</v>
          </cell>
          <cell r="H608">
            <v>2500</v>
          </cell>
          <cell r="I608">
            <v>2500</v>
          </cell>
          <cell r="J608">
            <v>2500</v>
          </cell>
          <cell r="K608">
            <v>2500</v>
          </cell>
          <cell r="L608">
            <v>2500</v>
          </cell>
          <cell r="M608">
            <v>2500</v>
          </cell>
          <cell r="N608">
            <v>2500</v>
          </cell>
          <cell r="O608">
            <v>2500</v>
          </cell>
          <cell r="P608">
            <v>2500</v>
          </cell>
          <cell r="Q608">
            <v>30000</v>
          </cell>
        </row>
        <row r="609">
          <cell r="A609" t="str">
            <v>US59P3C5603921200006</v>
          </cell>
          <cell r="B609" t="str">
            <v>US59P3C560</v>
          </cell>
          <cell r="C609">
            <v>3921200006</v>
          </cell>
          <cell r="D609" t="str">
            <v>FACTORY SUPPLIES MAINTENANCE SUPPLIES</v>
          </cell>
          <cell r="E609">
            <v>417</v>
          </cell>
          <cell r="F609">
            <v>417</v>
          </cell>
          <cell r="G609">
            <v>417</v>
          </cell>
          <cell r="H609">
            <v>417</v>
          </cell>
          <cell r="I609">
            <v>417</v>
          </cell>
          <cell r="J609">
            <v>417</v>
          </cell>
          <cell r="K609">
            <v>417</v>
          </cell>
          <cell r="L609">
            <v>417</v>
          </cell>
          <cell r="M609">
            <v>417</v>
          </cell>
          <cell r="N609">
            <v>417</v>
          </cell>
          <cell r="O609">
            <v>417</v>
          </cell>
          <cell r="P609">
            <v>417</v>
          </cell>
          <cell r="Q609">
            <v>5004</v>
          </cell>
        </row>
        <row r="610">
          <cell r="A610" t="str">
            <v>US59P3C5603921200010</v>
          </cell>
          <cell r="B610" t="str">
            <v>US59P3C560</v>
          </cell>
          <cell r="C610">
            <v>3921200010</v>
          </cell>
          <cell r="D610" t="str">
            <v>ADMINISTRATIVE SUPPLIES</v>
          </cell>
          <cell r="E610">
            <v>208</v>
          </cell>
          <cell r="F610">
            <v>208</v>
          </cell>
          <cell r="G610">
            <v>208</v>
          </cell>
          <cell r="H610">
            <v>208</v>
          </cell>
          <cell r="I610">
            <v>208</v>
          </cell>
          <cell r="J610">
            <v>208</v>
          </cell>
          <cell r="K610">
            <v>208</v>
          </cell>
          <cell r="L610">
            <v>208</v>
          </cell>
          <cell r="M610">
            <v>208</v>
          </cell>
          <cell r="N610">
            <v>208</v>
          </cell>
          <cell r="O610">
            <v>208</v>
          </cell>
          <cell r="P610">
            <v>208</v>
          </cell>
          <cell r="Q610">
            <v>2496</v>
          </cell>
        </row>
        <row r="611">
          <cell r="A611" t="str">
            <v>US59P3C5603921200037</v>
          </cell>
          <cell r="B611" t="str">
            <v>US59P3C560</v>
          </cell>
          <cell r="C611">
            <v>3921200037</v>
          </cell>
          <cell r="D611" t="str">
            <v>EXHAUSTIVE EQUIPMENT</v>
          </cell>
          <cell r="E611">
            <v>250</v>
          </cell>
          <cell r="F611">
            <v>250</v>
          </cell>
          <cell r="G611">
            <v>250</v>
          </cell>
          <cell r="H611">
            <v>250</v>
          </cell>
          <cell r="I611">
            <v>250</v>
          </cell>
          <cell r="J611">
            <v>250</v>
          </cell>
          <cell r="K611">
            <v>250</v>
          </cell>
          <cell r="L611">
            <v>250</v>
          </cell>
          <cell r="M611">
            <v>250</v>
          </cell>
          <cell r="N611">
            <v>250</v>
          </cell>
          <cell r="O611">
            <v>250</v>
          </cell>
          <cell r="P611">
            <v>250</v>
          </cell>
          <cell r="Q611">
            <v>3000</v>
          </cell>
        </row>
        <row r="612">
          <cell r="A612" t="str">
            <v>US59P3C5603921200050</v>
          </cell>
          <cell r="B612" t="str">
            <v>US59P3C560</v>
          </cell>
          <cell r="C612">
            <v>3921200050</v>
          </cell>
          <cell r="D612" t="str">
            <v>SAFETY EQUIPMENT - SUPPLIES</v>
          </cell>
          <cell r="E612">
            <v>375</v>
          </cell>
          <cell r="F612">
            <v>375</v>
          </cell>
          <cell r="G612">
            <v>375</v>
          </cell>
          <cell r="H612">
            <v>375</v>
          </cell>
          <cell r="I612">
            <v>375</v>
          </cell>
          <cell r="J612">
            <v>375</v>
          </cell>
          <cell r="K612">
            <v>375</v>
          </cell>
          <cell r="L612">
            <v>375</v>
          </cell>
          <cell r="M612">
            <v>375</v>
          </cell>
          <cell r="N612">
            <v>375</v>
          </cell>
          <cell r="O612">
            <v>375</v>
          </cell>
          <cell r="P612">
            <v>375</v>
          </cell>
          <cell r="Q612">
            <v>4500</v>
          </cell>
        </row>
        <row r="613">
          <cell r="A613" t="str">
            <v>US59P3C5603941100013</v>
          </cell>
          <cell r="B613" t="str">
            <v>US59P3C560</v>
          </cell>
          <cell r="C613">
            <v>3941100013</v>
          </cell>
          <cell r="D613" t="str">
            <v>FREIGHT IN</v>
          </cell>
          <cell r="E613">
            <v>3333</v>
          </cell>
          <cell r="F613">
            <v>3333</v>
          </cell>
          <cell r="G613">
            <v>3333</v>
          </cell>
          <cell r="H613">
            <v>3333</v>
          </cell>
          <cell r="I613">
            <v>3333</v>
          </cell>
          <cell r="J613">
            <v>3333</v>
          </cell>
          <cell r="K613">
            <v>3333</v>
          </cell>
          <cell r="L613">
            <v>3333</v>
          </cell>
          <cell r="M613">
            <v>3333</v>
          </cell>
          <cell r="N613">
            <v>3333</v>
          </cell>
          <cell r="O613">
            <v>3333</v>
          </cell>
          <cell r="P613">
            <v>3333</v>
          </cell>
          <cell r="Q613">
            <v>39996</v>
          </cell>
        </row>
        <row r="614">
          <cell r="A614" t="str">
            <v>US59P3C5603951100005</v>
          </cell>
          <cell r="B614" t="str">
            <v>US59P3C560</v>
          </cell>
          <cell r="C614">
            <v>3951100005</v>
          </cell>
          <cell r="D614" t="str">
            <v>OTHER RENTALS</v>
          </cell>
          <cell r="E614">
            <v>125</v>
          </cell>
          <cell r="F614">
            <v>125</v>
          </cell>
          <cell r="G614">
            <v>125</v>
          </cell>
          <cell r="H614">
            <v>125</v>
          </cell>
          <cell r="I614">
            <v>125</v>
          </cell>
          <cell r="J614">
            <v>125</v>
          </cell>
          <cell r="K614">
            <v>125</v>
          </cell>
          <cell r="L614">
            <v>125</v>
          </cell>
          <cell r="M614">
            <v>125</v>
          </cell>
          <cell r="N614">
            <v>125</v>
          </cell>
          <cell r="O614">
            <v>125</v>
          </cell>
          <cell r="P614">
            <v>125</v>
          </cell>
          <cell r="Q614">
            <v>1500</v>
          </cell>
        </row>
        <row r="615">
          <cell r="A615" t="str">
            <v>US59P3C5603951200002</v>
          </cell>
          <cell r="B615" t="str">
            <v>US59P3C560</v>
          </cell>
          <cell r="C615">
            <v>3951200002</v>
          </cell>
          <cell r="D615" t="str">
            <v>OPERATING LEASES - VEHICLES (SHORT DURAT</v>
          </cell>
          <cell r="E615">
            <v>125</v>
          </cell>
          <cell r="F615">
            <v>125</v>
          </cell>
          <cell r="G615">
            <v>125</v>
          </cell>
          <cell r="H615">
            <v>125</v>
          </cell>
          <cell r="I615">
            <v>125</v>
          </cell>
          <cell r="J615">
            <v>125</v>
          </cell>
          <cell r="K615">
            <v>125</v>
          </cell>
          <cell r="L615">
            <v>125</v>
          </cell>
          <cell r="M615">
            <v>125</v>
          </cell>
          <cell r="N615">
            <v>125</v>
          </cell>
          <cell r="O615">
            <v>125</v>
          </cell>
          <cell r="P615">
            <v>125</v>
          </cell>
          <cell r="Q615">
            <v>1500</v>
          </cell>
        </row>
        <row r="616">
          <cell r="A616" t="str">
            <v>US59P3C5603991200012</v>
          </cell>
          <cell r="B616" t="str">
            <v>US59P3C560</v>
          </cell>
          <cell r="C616">
            <v>3991200012</v>
          </cell>
          <cell r="D616" t="str">
            <v>DELIVERY SERVICES</v>
          </cell>
          <cell r="E616">
            <v>208</v>
          </cell>
          <cell r="F616">
            <v>208</v>
          </cell>
          <cell r="G616">
            <v>208</v>
          </cell>
          <cell r="H616">
            <v>208</v>
          </cell>
          <cell r="I616">
            <v>208</v>
          </cell>
          <cell r="J616">
            <v>208</v>
          </cell>
          <cell r="K616">
            <v>208</v>
          </cell>
          <cell r="L616">
            <v>208</v>
          </cell>
          <cell r="M616">
            <v>208</v>
          </cell>
          <cell r="N616">
            <v>208</v>
          </cell>
          <cell r="O616">
            <v>208</v>
          </cell>
          <cell r="P616">
            <v>208</v>
          </cell>
          <cell r="Q616">
            <v>2496</v>
          </cell>
        </row>
        <row r="617">
          <cell r="A617" t="str">
            <v>US59PZA5013501500034</v>
          </cell>
          <cell r="B617" t="str">
            <v>US59PZA501</v>
          </cell>
          <cell r="C617">
            <v>3501500034</v>
          </cell>
          <cell r="D617" t="str">
            <v>PROPERTY TAXES</v>
          </cell>
          <cell r="E617">
            <v>0</v>
          </cell>
          <cell r="F617">
            <v>0</v>
          </cell>
          <cell r="G617">
            <v>0</v>
          </cell>
          <cell r="H617">
            <v>0</v>
          </cell>
          <cell r="I617">
            <v>0</v>
          </cell>
          <cell r="J617">
            <v>0</v>
          </cell>
          <cell r="K617">
            <v>0</v>
          </cell>
          <cell r="L617">
            <v>0</v>
          </cell>
          <cell r="M617">
            <v>0</v>
          </cell>
          <cell r="N617">
            <v>0</v>
          </cell>
          <cell r="O617">
            <v>0</v>
          </cell>
          <cell r="P617">
            <v>0</v>
          </cell>
          <cell r="Q617">
            <v>0</v>
          </cell>
        </row>
        <row r="618">
          <cell r="A618" t="str">
            <v>USCLP015013311400099</v>
          </cell>
          <cell r="B618" t="str">
            <v>USCLP01501</v>
          </cell>
          <cell r="C618">
            <v>3311400099</v>
          </cell>
          <cell r="D618" t="str">
            <v>CO DEPRECIATION</v>
          </cell>
          <cell r="E618">
            <v>2572</v>
          </cell>
          <cell r="F618">
            <v>2572</v>
          </cell>
          <cell r="G618">
            <v>2572</v>
          </cell>
          <cell r="H618">
            <v>2572</v>
          </cell>
          <cell r="I618">
            <v>2572</v>
          </cell>
          <cell r="J618">
            <v>2572</v>
          </cell>
          <cell r="K618">
            <v>2572</v>
          </cell>
          <cell r="L618">
            <v>2572</v>
          </cell>
          <cell r="M618">
            <v>2572</v>
          </cell>
          <cell r="N618">
            <v>2572</v>
          </cell>
          <cell r="O618">
            <v>2572</v>
          </cell>
          <cell r="P618">
            <v>2572</v>
          </cell>
          <cell r="Q618">
            <v>30864</v>
          </cell>
        </row>
        <row r="619">
          <cell r="A619" t="str">
            <v>USCLP015013501500034</v>
          </cell>
          <cell r="B619" t="str">
            <v>USCLP01501</v>
          </cell>
          <cell r="C619">
            <v>3501500034</v>
          </cell>
          <cell r="D619" t="str">
            <v>PROPERTY TAXES</v>
          </cell>
          <cell r="E619">
            <v>4775</v>
          </cell>
          <cell r="F619">
            <v>4775</v>
          </cell>
          <cell r="G619">
            <v>4775</v>
          </cell>
          <cell r="H619">
            <v>4775</v>
          </cell>
          <cell r="I619">
            <v>4775</v>
          </cell>
          <cell r="J619">
            <v>4775</v>
          </cell>
          <cell r="K619">
            <v>4775</v>
          </cell>
          <cell r="L619">
            <v>4775</v>
          </cell>
          <cell r="M619">
            <v>4775</v>
          </cell>
          <cell r="N619">
            <v>4775</v>
          </cell>
          <cell r="O619">
            <v>4775</v>
          </cell>
          <cell r="P619">
            <v>4780</v>
          </cell>
          <cell r="Q619">
            <v>57305</v>
          </cell>
        </row>
        <row r="620">
          <cell r="A620" t="str">
            <v>USCLP015753311400099</v>
          </cell>
          <cell r="B620" t="str">
            <v>USCLP01575</v>
          </cell>
          <cell r="C620">
            <v>3311400099</v>
          </cell>
          <cell r="D620" t="str">
            <v>CO DEPRECIATION</v>
          </cell>
          <cell r="E620">
            <v>50</v>
          </cell>
          <cell r="F620">
            <v>50</v>
          </cell>
          <cell r="G620">
            <v>50</v>
          </cell>
          <cell r="H620">
            <v>50</v>
          </cell>
          <cell r="I620">
            <v>50</v>
          </cell>
          <cell r="J620">
            <v>50</v>
          </cell>
          <cell r="K620">
            <v>50</v>
          </cell>
          <cell r="L620">
            <v>50</v>
          </cell>
          <cell r="M620">
            <v>50</v>
          </cell>
          <cell r="N620">
            <v>50</v>
          </cell>
          <cell r="O620">
            <v>50</v>
          </cell>
          <cell r="P620">
            <v>50</v>
          </cell>
          <cell r="Q620">
            <v>600</v>
          </cell>
        </row>
        <row r="621">
          <cell r="A621" t="str">
            <v>USCOP015013201400029</v>
          </cell>
          <cell r="B621" t="str">
            <v>USCOP01501</v>
          </cell>
          <cell r="C621">
            <v>3201400029</v>
          </cell>
          <cell r="D621" t="str">
            <v>OTH OUTSIDE SERVICES OTHER</v>
          </cell>
          <cell r="E621">
            <v>2500</v>
          </cell>
          <cell r="F621">
            <v>2500</v>
          </cell>
          <cell r="G621">
            <v>2500</v>
          </cell>
          <cell r="H621">
            <v>2500</v>
          </cell>
          <cell r="I621">
            <v>2500</v>
          </cell>
          <cell r="J621">
            <v>2500</v>
          </cell>
          <cell r="K621">
            <v>2500</v>
          </cell>
          <cell r="L621">
            <v>2500</v>
          </cell>
          <cell r="M621">
            <v>2500</v>
          </cell>
          <cell r="N621">
            <v>2500</v>
          </cell>
          <cell r="O621">
            <v>2500</v>
          </cell>
          <cell r="P621">
            <v>2500</v>
          </cell>
          <cell r="Q621">
            <v>30000</v>
          </cell>
        </row>
        <row r="622">
          <cell r="A622" t="str">
            <v>USCOP015013311400099</v>
          </cell>
          <cell r="B622" t="str">
            <v>USCOP01501</v>
          </cell>
          <cell r="C622">
            <v>3311400099</v>
          </cell>
          <cell r="D622" t="str">
            <v>CO DEPRECIATION</v>
          </cell>
          <cell r="E622">
            <v>2601</v>
          </cell>
          <cell r="F622">
            <v>2601</v>
          </cell>
          <cell r="G622">
            <v>2601</v>
          </cell>
          <cell r="H622">
            <v>2601</v>
          </cell>
          <cell r="I622">
            <v>2601</v>
          </cell>
          <cell r="J622">
            <v>2601</v>
          </cell>
          <cell r="K622">
            <v>2601</v>
          </cell>
          <cell r="L622">
            <v>2601</v>
          </cell>
          <cell r="M622">
            <v>2386</v>
          </cell>
          <cell r="N622">
            <v>2386</v>
          </cell>
          <cell r="O622">
            <v>2386</v>
          </cell>
          <cell r="P622">
            <v>2386</v>
          </cell>
          <cell r="Q622">
            <v>30352</v>
          </cell>
        </row>
        <row r="623">
          <cell r="A623" t="str">
            <v>USCOP015013501500034</v>
          </cell>
          <cell r="B623" t="str">
            <v>USCOP01501</v>
          </cell>
          <cell r="C623">
            <v>3501500034</v>
          </cell>
          <cell r="D623" t="str">
            <v>PROPERTY TAXES</v>
          </cell>
          <cell r="E623">
            <v>3263</v>
          </cell>
          <cell r="F623">
            <v>3263</v>
          </cell>
          <cell r="G623">
            <v>3263</v>
          </cell>
          <cell r="H623">
            <v>3263</v>
          </cell>
          <cell r="I623">
            <v>3263</v>
          </cell>
          <cell r="J623">
            <v>3263</v>
          </cell>
          <cell r="K623">
            <v>3263</v>
          </cell>
          <cell r="L623">
            <v>3263</v>
          </cell>
          <cell r="M623">
            <v>3263</v>
          </cell>
          <cell r="N623">
            <v>3263</v>
          </cell>
          <cell r="O623">
            <v>3263</v>
          </cell>
          <cell r="P623">
            <v>3261</v>
          </cell>
          <cell r="Q623">
            <v>39154</v>
          </cell>
        </row>
        <row r="624">
          <cell r="A624" t="str">
            <v>USCOP015753311400099</v>
          </cell>
          <cell r="B624" t="str">
            <v>USCOP01575</v>
          </cell>
          <cell r="C624">
            <v>3311400099</v>
          </cell>
          <cell r="D624" t="str">
            <v>CO DEPRECIATION</v>
          </cell>
          <cell r="E624">
            <v>0</v>
          </cell>
          <cell r="F624">
            <v>0</v>
          </cell>
          <cell r="G624">
            <v>0</v>
          </cell>
          <cell r="H624">
            <v>0</v>
          </cell>
          <cell r="I624">
            <v>0</v>
          </cell>
          <cell r="J624">
            <v>0</v>
          </cell>
          <cell r="K624">
            <v>0</v>
          </cell>
          <cell r="L624">
            <v>0</v>
          </cell>
          <cell r="M624">
            <v>0</v>
          </cell>
          <cell r="N624">
            <v>0</v>
          </cell>
          <cell r="O624">
            <v>0</v>
          </cell>
          <cell r="P624">
            <v>0</v>
          </cell>
          <cell r="Q624">
            <v>0</v>
          </cell>
        </row>
        <row r="625">
          <cell r="A625" t="str">
            <v>USCRP015013111100000</v>
          </cell>
          <cell r="B625" t="str">
            <v>USCRP01501</v>
          </cell>
          <cell r="C625">
            <v>3111100000</v>
          </cell>
          <cell r="D625" t="str">
            <v>WAGES,SALARIES,ALLOWANCES AND COMMI/PERM</v>
          </cell>
          <cell r="E625">
            <v>38985</v>
          </cell>
          <cell r="F625">
            <v>38985</v>
          </cell>
          <cell r="G625">
            <v>38985</v>
          </cell>
          <cell r="H625">
            <v>38985</v>
          </cell>
          <cell r="I625">
            <v>38985</v>
          </cell>
          <cell r="J625">
            <v>38985</v>
          </cell>
          <cell r="K625">
            <v>38985</v>
          </cell>
          <cell r="L625">
            <v>38985</v>
          </cell>
          <cell r="M625">
            <v>38985</v>
          </cell>
          <cell r="N625">
            <v>38985</v>
          </cell>
          <cell r="O625">
            <v>38985</v>
          </cell>
          <cell r="P625">
            <v>38984</v>
          </cell>
          <cell r="Q625">
            <v>467819</v>
          </cell>
        </row>
        <row r="626">
          <cell r="A626" t="str">
            <v>USCRP015013111100012</v>
          </cell>
          <cell r="B626" t="str">
            <v>USCRP01501</v>
          </cell>
          <cell r="C626">
            <v>3111100012</v>
          </cell>
          <cell r="D626" t="str">
            <v>OVERTIME HOURS /PERMANENTS</v>
          </cell>
          <cell r="E626">
            <v>343</v>
          </cell>
          <cell r="F626">
            <v>343</v>
          </cell>
          <cell r="G626">
            <v>343</v>
          </cell>
          <cell r="H626">
            <v>343</v>
          </cell>
          <cell r="I626">
            <v>343</v>
          </cell>
          <cell r="J626">
            <v>343</v>
          </cell>
          <cell r="K626">
            <v>343</v>
          </cell>
          <cell r="L626">
            <v>343</v>
          </cell>
          <cell r="M626">
            <v>343</v>
          </cell>
          <cell r="N626">
            <v>343</v>
          </cell>
          <cell r="O626">
            <v>343</v>
          </cell>
          <cell r="P626">
            <v>340</v>
          </cell>
          <cell r="Q626">
            <v>4113</v>
          </cell>
        </row>
        <row r="627">
          <cell r="A627" t="str">
            <v>USCRP015013121300013</v>
          </cell>
          <cell r="B627" t="str">
            <v>USCRP01501</v>
          </cell>
          <cell r="C627">
            <v>3121300013</v>
          </cell>
          <cell r="D627" t="str">
            <v>FRINGE BENEFITS</v>
          </cell>
          <cell r="E627">
            <v>14866</v>
          </cell>
          <cell r="F627">
            <v>14866</v>
          </cell>
          <cell r="G627">
            <v>14866</v>
          </cell>
          <cell r="H627">
            <v>14866</v>
          </cell>
          <cell r="I627">
            <v>14866</v>
          </cell>
          <cell r="J627">
            <v>14866</v>
          </cell>
          <cell r="K627">
            <v>14866</v>
          </cell>
          <cell r="L627">
            <v>14866</v>
          </cell>
          <cell r="M627">
            <v>14866</v>
          </cell>
          <cell r="N627">
            <v>14866</v>
          </cell>
          <cell r="O627">
            <v>14866</v>
          </cell>
          <cell r="P627">
            <v>14864</v>
          </cell>
          <cell r="Q627">
            <v>178390</v>
          </cell>
        </row>
        <row r="628">
          <cell r="A628" t="str">
            <v>USCRP015013131100007</v>
          </cell>
          <cell r="B628" t="str">
            <v>USCRP01501</v>
          </cell>
          <cell r="C628">
            <v>3131100007</v>
          </cell>
          <cell r="D628" t="str">
            <v>EXTERNAL TRAINING</v>
          </cell>
          <cell r="E628">
            <v>250</v>
          </cell>
          <cell r="F628">
            <v>250</v>
          </cell>
          <cell r="G628">
            <v>250</v>
          </cell>
          <cell r="H628">
            <v>250</v>
          </cell>
          <cell r="I628">
            <v>250</v>
          </cell>
          <cell r="J628">
            <v>250</v>
          </cell>
          <cell r="K628">
            <v>250</v>
          </cell>
          <cell r="L628">
            <v>250</v>
          </cell>
          <cell r="M628">
            <v>250</v>
          </cell>
          <cell r="N628">
            <v>250</v>
          </cell>
          <cell r="O628">
            <v>250</v>
          </cell>
          <cell r="P628">
            <v>250</v>
          </cell>
          <cell r="Q628">
            <v>3000</v>
          </cell>
        </row>
        <row r="629">
          <cell r="A629" t="str">
            <v>USCRP015013131100025</v>
          </cell>
          <cell r="B629" t="str">
            <v>USCRP01501</v>
          </cell>
          <cell r="C629">
            <v>3131100025</v>
          </cell>
          <cell r="D629" t="str">
            <v>OTHER PERSONNEL EXPENSES</v>
          </cell>
          <cell r="E629">
            <v>1667</v>
          </cell>
          <cell r="F629">
            <v>1667</v>
          </cell>
          <cell r="G629">
            <v>1667</v>
          </cell>
          <cell r="H629">
            <v>1667</v>
          </cell>
          <cell r="I629">
            <v>1667</v>
          </cell>
          <cell r="J629">
            <v>1667</v>
          </cell>
          <cell r="K629">
            <v>1667</v>
          </cell>
          <cell r="L629">
            <v>1667</v>
          </cell>
          <cell r="M629">
            <v>1667</v>
          </cell>
          <cell r="N629">
            <v>1667</v>
          </cell>
          <cell r="O629">
            <v>1667</v>
          </cell>
          <cell r="P629">
            <v>1667</v>
          </cell>
          <cell r="Q629">
            <v>20004</v>
          </cell>
        </row>
        <row r="630">
          <cell r="A630" t="str">
            <v>USCRP015013201300001</v>
          </cell>
          <cell r="B630" t="str">
            <v>USCRP01501</v>
          </cell>
          <cell r="C630">
            <v>3201300001</v>
          </cell>
          <cell r="D630" t="str">
            <v>HIRED PERSONNEL FROM 3RD PARTIES</v>
          </cell>
          <cell r="E630">
            <v>2500</v>
          </cell>
          <cell r="F630">
            <v>2500</v>
          </cell>
          <cell r="G630">
            <v>2500</v>
          </cell>
          <cell r="H630">
            <v>2500</v>
          </cell>
          <cell r="I630">
            <v>2500</v>
          </cell>
          <cell r="J630">
            <v>2500</v>
          </cell>
          <cell r="K630">
            <v>2500</v>
          </cell>
          <cell r="L630">
            <v>2500</v>
          </cell>
          <cell r="M630">
            <v>2500</v>
          </cell>
          <cell r="N630">
            <v>2500</v>
          </cell>
          <cell r="O630">
            <v>2500</v>
          </cell>
          <cell r="P630">
            <v>2500</v>
          </cell>
          <cell r="Q630">
            <v>30000</v>
          </cell>
        </row>
        <row r="631">
          <cell r="A631" t="str">
            <v>USCRP015013201400025</v>
          </cell>
          <cell r="B631" t="str">
            <v>USCRP01501</v>
          </cell>
          <cell r="C631">
            <v>3201400025</v>
          </cell>
          <cell r="D631" t="str">
            <v>CLEANING EXPENSES</v>
          </cell>
          <cell r="E631">
            <v>1667</v>
          </cell>
          <cell r="F631">
            <v>1667</v>
          </cell>
          <cell r="G631">
            <v>1667</v>
          </cell>
          <cell r="H631">
            <v>1667</v>
          </cell>
          <cell r="I631">
            <v>1667</v>
          </cell>
          <cell r="J631">
            <v>1667</v>
          </cell>
          <cell r="K631">
            <v>1667</v>
          </cell>
          <cell r="L631">
            <v>1667</v>
          </cell>
          <cell r="M631">
            <v>1667</v>
          </cell>
          <cell r="N631">
            <v>1667</v>
          </cell>
          <cell r="O631">
            <v>1667</v>
          </cell>
          <cell r="P631">
            <v>1667</v>
          </cell>
          <cell r="Q631">
            <v>20004</v>
          </cell>
        </row>
        <row r="632">
          <cell r="A632" t="str">
            <v>USCRP015013201400029</v>
          </cell>
          <cell r="B632" t="str">
            <v>USCRP01501</v>
          </cell>
          <cell r="C632">
            <v>3201400029</v>
          </cell>
          <cell r="D632" t="str">
            <v>OTH OUTSIDE SERVICES OTHER</v>
          </cell>
          <cell r="E632">
            <v>12500</v>
          </cell>
          <cell r="F632">
            <v>12500</v>
          </cell>
          <cell r="G632">
            <v>12500</v>
          </cell>
          <cell r="H632">
            <v>12500</v>
          </cell>
          <cell r="I632">
            <v>12500</v>
          </cell>
          <cell r="J632">
            <v>12500</v>
          </cell>
          <cell r="K632">
            <v>12500</v>
          </cell>
          <cell r="L632">
            <v>12500</v>
          </cell>
          <cell r="M632">
            <v>12500</v>
          </cell>
          <cell r="N632">
            <v>12500</v>
          </cell>
          <cell r="O632">
            <v>12500</v>
          </cell>
          <cell r="P632">
            <v>12500</v>
          </cell>
          <cell r="Q632">
            <v>150000</v>
          </cell>
        </row>
        <row r="633">
          <cell r="A633" t="str">
            <v>USCRP015013201400036</v>
          </cell>
          <cell r="B633" t="str">
            <v>USCRP01501</v>
          </cell>
          <cell r="C633">
            <v>3201400036</v>
          </cell>
          <cell r="D633" t="str">
            <v>OTHER MAINTENANCE BUILDINGS</v>
          </cell>
          <cell r="E633">
            <v>3333</v>
          </cell>
          <cell r="F633">
            <v>3333</v>
          </cell>
          <cell r="G633">
            <v>3333</v>
          </cell>
          <cell r="H633">
            <v>3333</v>
          </cell>
          <cell r="I633">
            <v>3333</v>
          </cell>
          <cell r="J633">
            <v>3333</v>
          </cell>
          <cell r="K633">
            <v>3333</v>
          </cell>
          <cell r="L633">
            <v>3333</v>
          </cell>
          <cell r="M633">
            <v>3333</v>
          </cell>
          <cell r="N633">
            <v>3333</v>
          </cell>
          <cell r="O633">
            <v>3333</v>
          </cell>
          <cell r="P633">
            <v>3333</v>
          </cell>
          <cell r="Q633">
            <v>39996</v>
          </cell>
        </row>
        <row r="634">
          <cell r="A634" t="str">
            <v>USCRP015013201400051</v>
          </cell>
          <cell r="B634" t="str">
            <v>USCRP01501</v>
          </cell>
          <cell r="C634">
            <v>3201400051</v>
          </cell>
          <cell r="D634" t="str">
            <v>MAINTENANCE EQUIPMENT</v>
          </cell>
          <cell r="E634">
            <v>6667</v>
          </cell>
          <cell r="F634">
            <v>6667</v>
          </cell>
          <cell r="G634">
            <v>6667</v>
          </cell>
          <cell r="H634">
            <v>6667</v>
          </cell>
          <cell r="I634">
            <v>6667</v>
          </cell>
          <cell r="J634">
            <v>6667</v>
          </cell>
          <cell r="K634">
            <v>6667</v>
          </cell>
          <cell r="L634">
            <v>6667</v>
          </cell>
          <cell r="M634">
            <v>6667</v>
          </cell>
          <cell r="N634">
            <v>6667</v>
          </cell>
          <cell r="O634">
            <v>6667</v>
          </cell>
          <cell r="P634">
            <v>6667</v>
          </cell>
          <cell r="Q634">
            <v>80004</v>
          </cell>
        </row>
        <row r="635">
          <cell r="A635" t="str">
            <v>USCRP015013311400099</v>
          </cell>
          <cell r="B635" t="str">
            <v>USCRP01501</v>
          </cell>
          <cell r="C635">
            <v>3311400099</v>
          </cell>
          <cell r="D635" t="str">
            <v>CO DEPRECIATION</v>
          </cell>
          <cell r="E635">
            <v>34976</v>
          </cell>
          <cell r="F635">
            <v>34976</v>
          </cell>
          <cell r="G635">
            <v>34976</v>
          </cell>
          <cell r="H635">
            <v>34976</v>
          </cell>
          <cell r="I635">
            <v>34976</v>
          </cell>
          <cell r="J635">
            <v>34976</v>
          </cell>
          <cell r="K635">
            <v>34976</v>
          </cell>
          <cell r="L635">
            <v>34976</v>
          </cell>
          <cell r="M635">
            <v>34976</v>
          </cell>
          <cell r="N635">
            <v>34976</v>
          </cell>
          <cell r="O635">
            <v>34976</v>
          </cell>
          <cell r="P635">
            <v>34973</v>
          </cell>
          <cell r="Q635">
            <v>419709</v>
          </cell>
        </row>
        <row r="636">
          <cell r="A636" t="str">
            <v>USCRP015013501500031</v>
          </cell>
          <cell r="B636" t="str">
            <v>USCRP01501</v>
          </cell>
          <cell r="C636">
            <v>3501500031</v>
          </cell>
          <cell r="D636" t="str">
            <v>BUSINESS LICENSES &amp; LOCAL TAXES</v>
          </cell>
          <cell r="E636">
            <v>167</v>
          </cell>
          <cell r="F636">
            <v>167</v>
          </cell>
          <cell r="G636">
            <v>167</v>
          </cell>
          <cell r="H636">
            <v>167</v>
          </cell>
          <cell r="I636">
            <v>167</v>
          </cell>
          <cell r="J636">
            <v>167</v>
          </cell>
          <cell r="K636">
            <v>167</v>
          </cell>
          <cell r="L636">
            <v>167</v>
          </cell>
          <cell r="M636">
            <v>167</v>
          </cell>
          <cell r="N636">
            <v>167</v>
          </cell>
          <cell r="O636">
            <v>167</v>
          </cell>
          <cell r="P636">
            <v>167</v>
          </cell>
          <cell r="Q636">
            <v>2004</v>
          </cell>
        </row>
        <row r="637">
          <cell r="A637" t="str">
            <v>USCRP015013501500034</v>
          </cell>
          <cell r="B637" t="str">
            <v>USCRP01501</v>
          </cell>
          <cell r="C637">
            <v>3501500034</v>
          </cell>
          <cell r="D637" t="str">
            <v>PROPERTY TAXES</v>
          </cell>
          <cell r="E637">
            <v>16182</v>
          </cell>
          <cell r="F637">
            <v>16182</v>
          </cell>
          <cell r="G637">
            <v>16182</v>
          </cell>
          <cell r="H637">
            <v>16182</v>
          </cell>
          <cell r="I637">
            <v>16182</v>
          </cell>
          <cell r="J637">
            <v>16182</v>
          </cell>
          <cell r="K637">
            <v>16182</v>
          </cell>
          <cell r="L637">
            <v>16182</v>
          </cell>
          <cell r="M637">
            <v>16182</v>
          </cell>
          <cell r="N637">
            <v>16182</v>
          </cell>
          <cell r="O637">
            <v>16182</v>
          </cell>
          <cell r="P637">
            <v>16184</v>
          </cell>
          <cell r="Q637">
            <v>194186</v>
          </cell>
        </row>
        <row r="638">
          <cell r="A638" t="str">
            <v>USCRP015013911100010</v>
          </cell>
          <cell r="B638" t="str">
            <v>USCRP01501</v>
          </cell>
          <cell r="C638">
            <v>3911100010</v>
          </cell>
          <cell r="D638" t="str">
            <v>TRAVEL EXPENSES PERMANENTS / MEALS</v>
          </cell>
          <cell r="E638">
            <v>167</v>
          </cell>
          <cell r="F638">
            <v>167</v>
          </cell>
          <cell r="G638">
            <v>167</v>
          </cell>
          <cell r="H638">
            <v>167</v>
          </cell>
          <cell r="I638">
            <v>167</v>
          </cell>
          <cell r="J638">
            <v>167</v>
          </cell>
          <cell r="K638">
            <v>167</v>
          </cell>
          <cell r="L638">
            <v>167</v>
          </cell>
          <cell r="M638">
            <v>167</v>
          </cell>
          <cell r="N638">
            <v>167</v>
          </cell>
          <cell r="O638">
            <v>167</v>
          </cell>
          <cell r="P638">
            <v>167</v>
          </cell>
          <cell r="Q638">
            <v>2004</v>
          </cell>
        </row>
        <row r="639">
          <cell r="A639" t="str">
            <v>USCRP015013911100012</v>
          </cell>
          <cell r="B639" t="str">
            <v>USCRP01501</v>
          </cell>
          <cell r="C639">
            <v>3911100012</v>
          </cell>
          <cell r="D639" t="str">
            <v>TRAVEL EXPENSES PERMANENTS / HOTELS</v>
          </cell>
          <cell r="E639">
            <v>250</v>
          </cell>
          <cell r="F639">
            <v>250</v>
          </cell>
          <cell r="G639">
            <v>250</v>
          </cell>
          <cell r="H639">
            <v>250</v>
          </cell>
          <cell r="I639">
            <v>250</v>
          </cell>
          <cell r="J639">
            <v>250</v>
          </cell>
          <cell r="K639">
            <v>250</v>
          </cell>
          <cell r="L639">
            <v>250</v>
          </cell>
          <cell r="M639">
            <v>250</v>
          </cell>
          <cell r="N639">
            <v>250</v>
          </cell>
          <cell r="O639">
            <v>250</v>
          </cell>
          <cell r="P639">
            <v>250</v>
          </cell>
          <cell r="Q639">
            <v>3000</v>
          </cell>
        </row>
        <row r="640">
          <cell r="A640" t="str">
            <v>USCRP015013911200001</v>
          </cell>
          <cell r="B640" t="str">
            <v>USCRP01501</v>
          </cell>
          <cell r="C640">
            <v>3911200001</v>
          </cell>
          <cell r="D640" t="str">
            <v>SYMPOSIUMS, CONFERENCES, MEETINGS</v>
          </cell>
          <cell r="E640">
            <v>750</v>
          </cell>
          <cell r="F640">
            <v>750</v>
          </cell>
          <cell r="G640">
            <v>750</v>
          </cell>
          <cell r="H640">
            <v>750</v>
          </cell>
          <cell r="I640">
            <v>750</v>
          </cell>
          <cell r="J640">
            <v>750</v>
          </cell>
          <cell r="K640">
            <v>750</v>
          </cell>
          <cell r="L640">
            <v>750</v>
          </cell>
          <cell r="M640">
            <v>750</v>
          </cell>
          <cell r="N640">
            <v>750</v>
          </cell>
          <cell r="O640">
            <v>750</v>
          </cell>
          <cell r="P640">
            <v>750</v>
          </cell>
          <cell r="Q640">
            <v>9000</v>
          </cell>
        </row>
        <row r="641">
          <cell r="A641" t="str">
            <v>USCRP015013911200007</v>
          </cell>
          <cell r="B641" t="str">
            <v>USCRP01501</v>
          </cell>
          <cell r="C641">
            <v>3911200007</v>
          </cell>
          <cell r="D641" t="str">
            <v>PROMOTIONAL EXP ADVERTISING AND PROMOTIO</v>
          </cell>
          <cell r="E641">
            <v>62</v>
          </cell>
          <cell r="F641">
            <v>62</v>
          </cell>
          <cell r="G641">
            <v>62</v>
          </cell>
          <cell r="H641">
            <v>62</v>
          </cell>
          <cell r="I641">
            <v>62</v>
          </cell>
          <cell r="J641">
            <v>62</v>
          </cell>
          <cell r="K641">
            <v>62</v>
          </cell>
          <cell r="L641">
            <v>62</v>
          </cell>
          <cell r="M641">
            <v>62</v>
          </cell>
          <cell r="N641">
            <v>62</v>
          </cell>
          <cell r="O641">
            <v>62</v>
          </cell>
          <cell r="P641">
            <v>62</v>
          </cell>
          <cell r="Q641">
            <v>744</v>
          </cell>
        </row>
        <row r="642">
          <cell r="A642" t="str">
            <v>USCRP015013921100000</v>
          </cell>
          <cell r="B642" t="str">
            <v>USCRP01501</v>
          </cell>
          <cell r="C642">
            <v>3921100000</v>
          </cell>
          <cell r="D642" t="str">
            <v>UTILITIES EXPENSES WATER</v>
          </cell>
          <cell r="E642">
            <v>167</v>
          </cell>
          <cell r="F642">
            <v>167</v>
          </cell>
          <cell r="G642">
            <v>167</v>
          </cell>
          <cell r="H642">
            <v>167</v>
          </cell>
          <cell r="I642">
            <v>167</v>
          </cell>
          <cell r="J642">
            <v>167</v>
          </cell>
          <cell r="K642">
            <v>167</v>
          </cell>
          <cell r="L642">
            <v>167</v>
          </cell>
          <cell r="M642">
            <v>167</v>
          </cell>
          <cell r="N642">
            <v>167</v>
          </cell>
          <cell r="O642">
            <v>167</v>
          </cell>
          <cell r="P642">
            <v>167</v>
          </cell>
          <cell r="Q642">
            <v>2004</v>
          </cell>
        </row>
        <row r="643">
          <cell r="A643" t="str">
            <v>USCRP015013921100001</v>
          </cell>
          <cell r="B643" t="str">
            <v>USCRP01501</v>
          </cell>
          <cell r="C643">
            <v>3921100001</v>
          </cell>
          <cell r="D643" t="str">
            <v>UTILITY EXPENSES ELECTRICITY</v>
          </cell>
          <cell r="E643">
            <v>17500</v>
          </cell>
          <cell r="F643">
            <v>17500</v>
          </cell>
          <cell r="G643">
            <v>17500</v>
          </cell>
          <cell r="H643">
            <v>17500</v>
          </cell>
          <cell r="I643">
            <v>17500</v>
          </cell>
          <cell r="J643">
            <v>17500</v>
          </cell>
          <cell r="K643">
            <v>17500</v>
          </cell>
          <cell r="L643">
            <v>17500</v>
          </cell>
          <cell r="M643">
            <v>17500</v>
          </cell>
          <cell r="N643">
            <v>17500</v>
          </cell>
          <cell r="O643">
            <v>17500</v>
          </cell>
          <cell r="P643">
            <v>17500</v>
          </cell>
          <cell r="Q643">
            <v>210000</v>
          </cell>
        </row>
        <row r="644">
          <cell r="A644" t="str">
            <v>USCRP015013921200001</v>
          </cell>
          <cell r="B644" t="str">
            <v>USCRP01501</v>
          </cell>
          <cell r="C644">
            <v>3921200001</v>
          </cell>
          <cell r="D644" t="str">
            <v>FUEL</v>
          </cell>
          <cell r="E644">
            <v>6250</v>
          </cell>
          <cell r="F644">
            <v>6250</v>
          </cell>
          <cell r="G644">
            <v>6250</v>
          </cell>
          <cell r="H644">
            <v>6250</v>
          </cell>
          <cell r="I644">
            <v>6250</v>
          </cell>
          <cell r="J644">
            <v>6250</v>
          </cell>
          <cell r="K644">
            <v>6250</v>
          </cell>
          <cell r="L644">
            <v>6250</v>
          </cell>
          <cell r="M644">
            <v>6250</v>
          </cell>
          <cell r="N644">
            <v>6250</v>
          </cell>
          <cell r="O644">
            <v>6250</v>
          </cell>
          <cell r="P644">
            <v>6250</v>
          </cell>
          <cell r="Q644">
            <v>75000</v>
          </cell>
        </row>
        <row r="645">
          <cell r="A645" t="str">
            <v>USCRP015013921200010</v>
          </cell>
          <cell r="B645" t="str">
            <v>USCRP01501</v>
          </cell>
          <cell r="C645">
            <v>3921200010</v>
          </cell>
          <cell r="D645" t="str">
            <v>ADMINISTRATIVE SUPPLIES</v>
          </cell>
          <cell r="E645">
            <v>1667</v>
          </cell>
          <cell r="F645">
            <v>1667</v>
          </cell>
          <cell r="G645">
            <v>1667</v>
          </cell>
          <cell r="H645">
            <v>1667</v>
          </cell>
          <cell r="I645">
            <v>1667</v>
          </cell>
          <cell r="J645">
            <v>1667</v>
          </cell>
          <cell r="K645">
            <v>1667</v>
          </cell>
          <cell r="L645">
            <v>1667</v>
          </cell>
          <cell r="M645">
            <v>1667</v>
          </cell>
          <cell r="N645">
            <v>1667</v>
          </cell>
          <cell r="O645">
            <v>1667</v>
          </cell>
          <cell r="P645">
            <v>1667</v>
          </cell>
          <cell r="Q645">
            <v>20004</v>
          </cell>
        </row>
        <row r="646">
          <cell r="A646" t="str">
            <v>USCRP015013921200050</v>
          </cell>
          <cell r="B646" t="str">
            <v>USCRP01501</v>
          </cell>
          <cell r="C646">
            <v>3921200050</v>
          </cell>
          <cell r="D646" t="str">
            <v>SAFETY EQUIPMENT - SUPPLIES</v>
          </cell>
          <cell r="E646">
            <v>417</v>
          </cell>
          <cell r="F646">
            <v>417</v>
          </cell>
          <cell r="G646">
            <v>417</v>
          </cell>
          <cell r="H646">
            <v>417</v>
          </cell>
          <cell r="I646">
            <v>417</v>
          </cell>
          <cell r="J646">
            <v>417</v>
          </cell>
          <cell r="K646">
            <v>417</v>
          </cell>
          <cell r="L646">
            <v>417</v>
          </cell>
          <cell r="M646">
            <v>417</v>
          </cell>
          <cell r="N646">
            <v>417</v>
          </cell>
          <cell r="O646">
            <v>417</v>
          </cell>
          <cell r="P646">
            <v>417</v>
          </cell>
          <cell r="Q646">
            <v>5004</v>
          </cell>
        </row>
        <row r="647">
          <cell r="A647" t="str">
            <v>USCRP015013951200002</v>
          </cell>
          <cell r="B647" t="str">
            <v>USCRP01501</v>
          </cell>
          <cell r="C647">
            <v>3951200002</v>
          </cell>
          <cell r="D647" t="str">
            <v>OPERATING LEASES - VEHICLES (SHORT DURAT</v>
          </cell>
          <cell r="E647">
            <v>625</v>
          </cell>
          <cell r="F647">
            <v>625</v>
          </cell>
          <cell r="G647">
            <v>625</v>
          </cell>
          <cell r="H647">
            <v>625</v>
          </cell>
          <cell r="I647">
            <v>625</v>
          </cell>
          <cell r="J647">
            <v>625</v>
          </cell>
          <cell r="K647">
            <v>625</v>
          </cell>
          <cell r="L647">
            <v>625</v>
          </cell>
          <cell r="M647">
            <v>625</v>
          </cell>
          <cell r="N647">
            <v>625</v>
          </cell>
          <cell r="O647">
            <v>625</v>
          </cell>
          <cell r="P647">
            <v>625</v>
          </cell>
          <cell r="Q647">
            <v>7500</v>
          </cell>
        </row>
        <row r="648">
          <cell r="A648" t="str">
            <v>USCRP015013961100000</v>
          </cell>
          <cell r="B648" t="str">
            <v>USCRP01501</v>
          </cell>
          <cell r="C648">
            <v>3961100000</v>
          </cell>
          <cell r="D648" t="str">
            <v>COMPREHENSIVE INSURANCES</v>
          </cell>
          <cell r="E648">
            <v>498</v>
          </cell>
          <cell r="F648">
            <v>498</v>
          </cell>
          <cell r="G648">
            <v>498</v>
          </cell>
          <cell r="H648">
            <v>498</v>
          </cell>
          <cell r="I648">
            <v>498</v>
          </cell>
          <cell r="J648">
            <v>498</v>
          </cell>
          <cell r="K648">
            <v>498</v>
          </cell>
          <cell r="L648">
            <v>498</v>
          </cell>
          <cell r="M648">
            <v>498</v>
          </cell>
          <cell r="N648">
            <v>498</v>
          </cell>
          <cell r="O648">
            <v>498</v>
          </cell>
          <cell r="P648">
            <v>498</v>
          </cell>
          <cell r="Q648">
            <v>5976</v>
          </cell>
        </row>
        <row r="649">
          <cell r="A649" t="str">
            <v>USCRP015013991200001</v>
          </cell>
          <cell r="B649" t="str">
            <v>USCRP01501</v>
          </cell>
          <cell r="C649">
            <v>3991200001</v>
          </cell>
          <cell r="D649" t="str">
            <v>POSTAGE EXPENSES</v>
          </cell>
          <cell r="E649">
            <v>25</v>
          </cell>
          <cell r="F649">
            <v>25</v>
          </cell>
          <cell r="G649">
            <v>25</v>
          </cell>
          <cell r="H649">
            <v>25</v>
          </cell>
          <cell r="I649">
            <v>25</v>
          </cell>
          <cell r="J649">
            <v>25</v>
          </cell>
          <cell r="K649">
            <v>25</v>
          </cell>
          <cell r="L649">
            <v>25</v>
          </cell>
          <cell r="M649">
            <v>25</v>
          </cell>
          <cell r="N649">
            <v>25</v>
          </cell>
          <cell r="O649">
            <v>25</v>
          </cell>
          <cell r="P649">
            <v>25</v>
          </cell>
          <cell r="Q649">
            <v>300</v>
          </cell>
        </row>
        <row r="650">
          <cell r="A650" t="str">
            <v>USCRP015013991200012</v>
          </cell>
          <cell r="B650" t="str">
            <v>USCRP01501</v>
          </cell>
          <cell r="C650">
            <v>3991200012</v>
          </cell>
          <cell r="D650" t="str">
            <v>DELIVERY SERVICES</v>
          </cell>
          <cell r="E650">
            <v>42</v>
          </cell>
          <cell r="F650">
            <v>42</v>
          </cell>
          <cell r="G650">
            <v>42</v>
          </cell>
          <cell r="H650">
            <v>42</v>
          </cell>
          <cell r="I650">
            <v>42</v>
          </cell>
          <cell r="J650">
            <v>42</v>
          </cell>
          <cell r="K650">
            <v>42</v>
          </cell>
          <cell r="L650">
            <v>42</v>
          </cell>
          <cell r="M650">
            <v>42</v>
          </cell>
          <cell r="N650">
            <v>42</v>
          </cell>
          <cell r="O650">
            <v>42</v>
          </cell>
          <cell r="P650">
            <v>42</v>
          </cell>
          <cell r="Q650">
            <v>504</v>
          </cell>
        </row>
        <row r="651">
          <cell r="A651" t="str">
            <v>USCRP015013991200015</v>
          </cell>
          <cell r="B651" t="str">
            <v>USCRP01501</v>
          </cell>
          <cell r="C651">
            <v>3991200015</v>
          </cell>
          <cell r="D651" t="str">
            <v>TELEPHONE</v>
          </cell>
          <cell r="E651">
            <v>1250</v>
          </cell>
          <cell r="F651">
            <v>1250</v>
          </cell>
          <cell r="G651">
            <v>1250</v>
          </cell>
          <cell r="H651">
            <v>1250</v>
          </cell>
          <cell r="I651">
            <v>1250</v>
          </cell>
          <cell r="J651">
            <v>1250</v>
          </cell>
          <cell r="K651">
            <v>1250</v>
          </cell>
          <cell r="L651">
            <v>1250</v>
          </cell>
          <cell r="M651">
            <v>1250</v>
          </cell>
          <cell r="N651">
            <v>1250</v>
          </cell>
          <cell r="O651">
            <v>1250</v>
          </cell>
          <cell r="P651">
            <v>1250</v>
          </cell>
          <cell r="Q651">
            <v>15000</v>
          </cell>
        </row>
        <row r="652">
          <cell r="A652" t="str">
            <v>USCRP015013991200018</v>
          </cell>
          <cell r="B652" t="str">
            <v>USCRP01501</v>
          </cell>
          <cell r="C652">
            <v>3991200018</v>
          </cell>
          <cell r="D652" t="str">
            <v>SUBSCRIPTIONS</v>
          </cell>
          <cell r="E652">
            <v>208</v>
          </cell>
          <cell r="F652">
            <v>208</v>
          </cell>
          <cell r="G652">
            <v>208</v>
          </cell>
          <cell r="H652">
            <v>208</v>
          </cell>
          <cell r="I652">
            <v>208</v>
          </cell>
          <cell r="J652">
            <v>208</v>
          </cell>
          <cell r="K652">
            <v>208</v>
          </cell>
          <cell r="L652">
            <v>208</v>
          </cell>
          <cell r="M652">
            <v>208</v>
          </cell>
          <cell r="N652">
            <v>208</v>
          </cell>
          <cell r="O652">
            <v>208</v>
          </cell>
          <cell r="P652">
            <v>208</v>
          </cell>
          <cell r="Q652">
            <v>2496</v>
          </cell>
        </row>
        <row r="653">
          <cell r="A653" t="str">
            <v>USCRP015013991200069</v>
          </cell>
          <cell r="B653" t="str">
            <v>USCRP01501</v>
          </cell>
          <cell r="C653">
            <v>3991200069</v>
          </cell>
          <cell r="D653" t="str">
            <v>COMPANY MEMBERSHIP DUES</v>
          </cell>
          <cell r="E653">
            <v>50</v>
          </cell>
          <cell r="F653">
            <v>50</v>
          </cell>
          <cell r="G653">
            <v>50</v>
          </cell>
          <cell r="H653">
            <v>50</v>
          </cell>
          <cell r="I653">
            <v>50</v>
          </cell>
          <cell r="J653">
            <v>50</v>
          </cell>
          <cell r="K653">
            <v>50</v>
          </cell>
          <cell r="L653">
            <v>50</v>
          </cell>
          <cell r="M653">
            <v>50</v>
          </cell>
          <cell r="N653">
            <v>50</v>
          </cell>
          <cell r="O653">
            <v>50</v>
          </cell>
          <cell r="P653">
            <v>50</v>
          </cell>
          <cell r="Q653">
            <v>600</v>
          </cell>
        </row>
        <row r="654">
          <cell r="A654" t="str">
            <v>USCRP015113991200101</v>
          </cell>
          <cell r="B654" t="str">
            <v>USCRP01511</v>
          </cell>
          <cell r="C654">
            <v>3991200101</v>
          </cell>
          <cell r="D654" t="str">
            <v>EXPENSE RECOVERY</v>
          </cell>
          <cell r="E654">
            <v>-28736</v>
          </cell>
          <cell r="F654">
            <v>-14368</v>
          </cell>
          <cell r="G654">
            <v>-11495</v>
          </cell>
          <cell r="H654">
            <v>-14368</v>
          </cell>
          <cell r="I654">
            <v>0</v>
          </cell>
          <cell r="J654">
            <v>-31610</v>
          </cell>
          <cell r="K654">
            <v>0</v>
          </cell>
          <cell r="L654">
            <v>0</v>
          </cell>
          <cell r="M654">
            <v>-34484</v>
          </cell>
          <cell r="N654">
            <v>-51725</v>
          </cell>
          <cell r="O654">
            <v>-51725</v>
          </cell>
          <cell r="P654">
            <v>-48852</v>
          </cell>
          <cell r="Q654">
            <v>-287363</v>
          </cell>
        </row>
        <row r="655">
          <cell r="A655" t="str">
            <v>USCRP015503111100000</v>
          </cell>
          <cell r="B655" t="str">
            <v>USCRP01550</v>
          </cell>
          <cell r="C655">
            <v>3111100000</v>
          </cell>
          <cell r="D655" t="str">
            <v>WAGES,SALARIES,ALLOWANCES AND COMMI/PERM</v>
          </cell>
          <cell r="E655">
            <v>4847</v>
          </cell>
          <cell r="F655">
            <v>4847</v>
          </cell>
          <cell r="G655">
            <v>4847</v>
          </cell>
          <cell r="H655">
            <v>4847</v>
          </cell>
          <cell r="I655">
            <v>4847</v>
          </cell>
          <cell r="J655">
            <v>4847</v>
          </cell>
          <cell r="K655">
            <v>4847</v>
          </cell>
          <cell r="L655">
            <v>4847</v>
          </cell>
          <cell r="M655">
            <v>4847</v>
          </cell>
          <cell r="N655">
            <v>4847</v>
          </cell>
          <cell r="O655">
            <v>4847</v>
          </cell>
          <cell r="P655">
            <v>4849</v>
          </cell>
          <cell r="Q655">
            <v>58166</v>
          </cell>
        </row>
        <row r="656">
          <cell r="A656" t="str">
            <v>USCRP015503111100012</v>
          </cell>
          <cell r="B656" t="str">
            <v>USCRP01550</v>
          </cell>
          <cell r="C656">
            <v>3111100012</v>
          </cell>
          <cell r="D656" t="str">
            <v>OVERTIME HOURS /PERMANENTS</v>
          </cell>
          <cell r="E656">
            <v>272</v>
          </cell>
          <cell r="F656">
            <v>272</v>
          </cell>
          <cell r="G656">
            <v>272</v>
          </cell>
          <cell r="H656">
            <v>272</v>
          </cell>
          <cell r="I656">
            <v>272</v>
          </cell>
          <cell r="J656">
            <v>272</v>
          </cell>
          <cell r="K656">
            <v>272</v>
          </cell>
          <cell r="L656">
            <v>272</v>
          </cell>
          <cell r="M656">
            <v>272</v>
          </cell>
          <cell r="N656">
            <v>272</v>
          </cell>
          <cell r="O656">
            <v>272</v>
          </cell>
          <cell r="P656">
            <v>266</v>
          </cell>
          <cell r="Q656">
            <v>3258</v>
          </cell>
        </row>
        <row r="657">
          <cell r="A657" t="str">
            <v>USCRP015503121300013</v>
          </cell>
          <cell r="B657" t="str">
            <v>USCRP01550</v>
          </cell>
          <cell r="C657">
            <v>3121300013</v>
          </cell>
          <cell r="D657" t="str">
            <v>FRINGE BENEFITS</v>
          </cell>
          <cell r="E657">
            <v>1935</v>
          </cell>
          <cell r="F657">
            <v>1935</v>
          </cell>
          <cell r="G657">
            <v>1935</v>
          </cell>
          <cell r="H657">
            <v>1935</v>
          </cell>
          <cell r="I657">
            <v>1935</v>
          </cell>
          <cell r="J657">
            <v>1935</v>
          </cell>
          <cell r="K657">
            <v>1935</v>
          </cell>
          <cell r="L657">
            <v>1935</v>
          </cell>
          <cell r="M657">
            <v>1935</v>
          </cell>
          <cell r="N657">
            <v>1935</v>
          </cell>
          <cell r="O657">
            <v>1935</v>
          </cell>
          <cell r="P657">
            <v>1933</v>
          </cell>
          <cell r="Q657">
            <v>23218</v>
          </cell>
        </row>
        <row r="658">
          <cell r="A658" t="str">
            <v>USCRP015503201300001</v>
          </cell>
          <cell r="B658" t="str">
            <v>USCRP01550</v>
          </cell>
          <cell r="C658">
            <v>3201300001</v>
          </cell>
          <cell r="D658" t="str">
            <v>HIRED PERSONNEL FROM 3RD PARTIES</v>
          </cell>
          <cell r="E658">
            <v>814</v>
          </cell>
          <cell r="F658">
            <v>814</v>
          </cell>
          <cell r="G658">
            <v>814</v>
          </cell>
          <cell r="H658">
            <v>814</v>
          </cell>
          <cell r="I658">
            <v>1356</v>
          </cell>
          <cell r="J658">
            <v>1356</v>
          </cell>
          <cell r="K658">
            <v>4069</v>
          </cell>
          <cell r="L658">
            <v>4069</v>
          </cell>
          <cell r="M658">
            <v>5426</v>
          </cell>
          <cell r="N658">
            <v>5426</v>
          </cell>
          <cell r="O658">
            <v>1356</v>
          </cell>
          <cell r="P658">
            <v>814</v>
          </cell>
          <cell r="Q658">
            <v>27128</v>
          </cell>
        </row>
        <row r="659">
          <cell r="A659" t="str">
            <v>USCRP015503201300012</v>
          </cell>
          <cell r="B659" t="str">
            <v>USCRP01550</v>
          </cell>
          <cell r="C659">
            <v>3201300012</v>
          </cell>
          <cell r="D659" t="str">
            <v>HIRED PERSONNEL THIRD PARTY - ROUGING</v>
          </cell>
          <cell r="E659">
            <v>3662</v>
          </cell>
          <cell r="F659">
            <v>3662</v>
          </cell>
          <cell r="G659">
            <v>3662</v>
          </cell>
          <cell r="H659">
            <v>3662</v>
          </cell>
          <cell r="I659">
            <v>6104</v>
          </cell>
          <cell r="J659">
            <v>6104</v>
          </cell>
          <cell r="K659">
            <v>18311</v>
          </cell>
          <cell r="L659">
            <v>18311</v>
          </cell>
          <cell r="M659">
            <v>24415</v>
          </cell>
          <cell r="N659">
            <v>24415</v>
          </cell>
          <cell r="O659">
            <v>6104</v>
          </cell>
          <cell r="P659">
            <v>3662</v>
          </cell>
          <cell r="Q659">
            <v>122074</v>
          </cell>
        </row>
        <row r="660">
          <cell r="A660" t="str">
            <v>USCRP015503201400002</v>
          </cell>
          <cell r="B660" t="str">
            <v>USCRP01550</v>
          </cell>
          <cell r="C660">
            <v>3201400002</v>
          </cell>
          <cell r="D660" t="str">
            <v>MAINTENANCE OF VEHICLES</v>
          </cell>
          <cell r="E660">
            <v>68</v>
          </cell>
          <cell r="F660">
            <v>68</v>
          </cell>
          <cell r="G660">
            <v>68</v>
          </cell>
          <cell r="H660">
            <v>68</v>
          </cell>
          <cell r="I660">
            <v>113</v>
          </cell>
          <cell r="J660">
            <v>113</v>
          </cell>
          <cell r="K660">
            <v>339</v>
          </cell>
          <cell r="L660">
            <v>339</v>
          </cell>
          <cell r="M660">
            <v>452</v>
          </cell>
          <cell r="N660">
            <v>452</v>
          </cell>
          <cell r="O660">
            <v>113</v>
          </cell>
          <cell r="P660">
            <v>68</v>
          </cell>
          <cell r="Q660">
            <v>2261</v>
          </cell>
        </row>
        <row r="661">
          <cell r="A661" t="str">
            <v>USCRP015503201400029</v>
          </cell>
          <cell r="B661" t="str">
            <v>USCRP01550</v>
          </cell>
          <cell r="C661">
            <v>3201400029</v>
          </cell>
          <cell r="D661" t="str">
            <v>OTH OUTSIDE SERVICES OTHER</v>
          </cell>
          <cell r="E661">
            <v>10451</v>
          </cell>
          <cell r="F661">
            <v>10451</v>
          </cell>
          <cell r="G661">
            <v>10451</v>
          </cell>
          <cell r="H661">
            <v>10451</v>
          </cell>
          <cell r="I661">
            <v>17419</v>
          </cell>
          <cell r="J661">
            <v>17419</v>
          </cell>
          <cell r="K661">
            <v>52256</v>
          </cell>
          <cell r="L661">
            <v>52256</v>
          </cell>
          <cell r="M661">
            <v>69675</v>
          </cell>
          <cell r="N661">
            <v>69675</v>
          </cell>
          <cell r="O661">
            <v>17419</v>
          </cell>
          <cell r="P661">
            <v>10451</v>
          </cell>
          <cell r="Q661">
            <v>348374</v>
          </cell>
        </row>
        <row r="662">
          <cell r="A662" t="str">
            <v>USCRP015503201400054</v>
          </cell>
          <cell r="B662" t="str">
            <v>USCRP01550</v>
          </cell>
          <cell r="C662">
            <v>3201400054</v>
          </cell>
          <cell r="D662" t="str">
            <v>TECHNICAL SERVICES</v>
          </cell>
          <cell r="E662">
            <v>3255</v>
          </cell>
          <cell r="F662">
            <v>3255</v>
          </cell>
          <cell r="G662">
            <v>3255</v>
          </cell>
          <cell r="H662">
            <v>3255</v>
          </cell>
          <cell r="I662">
            <v>5426</v>
          </cell>
          <cell r="J662">
            <v>5426</v>
          </cell>
          <cell r="K662">
            <v>16277</v>
          </cell>
          <cell r="L662">
            <v>16277</v>
          </cell>
          <cell r="M662">
            <v>21702</v>
          </cell>
          <cell r="N662">
            <v>21702</v>
          </cell>
          <cell r="O662">
            <v>5426</v>
          </cell>
          <cell r="P662">
            <v>3255</v>
          </cell>
          <cell r="Q662">
            <v>108511</v>
          </cell>
        </row>
        <row r="663">
          <cell r="A663" t="str">
            <v>USCRP015503201400056</v>
          </cell>
          <cell r="B663" t="str">
            <v>USCRP01550</v>
          </cell>
          <cell r="C663">
            <v>3201400056</v>
          </cell>
          <cell r="D663" t="str">
            <v>FIELD AND PRODUCTION EXPENSES</v>
          </cell>
          <cell r="E663">
            <v>814</v>
          </cell>
          <cell r="F663">
            <v>814</v>
          </cell>
          <cell r="G663">
            <v>814</v>
          </cell>
          <cell r="H663">
            <v>814</v>
          </cell>
          <cell r="I663">
            <v>1356</v>
          </cell>
          <cell r="J663">
            <v>1356</v>
          </cell>
          <cell r="K663">
            <v>4069</v>
          </cell>
          <cell r="L663">
            <v>4069</v>
          </cell>
          <cell r="M663">
            <v>5426</v>
          </cell>
          <cell r="N663">
            <v>5426</v>
          </cell>
          <cell r="O663">
            <v>1356</v>
          </cell>
          <cell r="P663">
            <v>814</v>
          </cell>
          <cell r="Q663">
            <v>27128</v>
          </cell>
        </row>
        <row r="664">
          <cell r="A664" t="str">
            <v>USCRP015503201400057</v>
          </cell>
          <cell r="B664" t="str">
            <v>USCRP01550</v>
          </cell>
          <cell r="C664">
            <v>3201400057</v>
          </cell>
          <cell r="D664" t="str">
            <v>FIELD AND PRODUCTION SERVICES - SPRAYING</v>
          </cell>
          <cell r="E664">
            <v>12208</v>
          </cell>
          <cell r="F664">
            <v>12208</v>
          </cell>
          <cell r="G664">
            <v>12208</v>
          </cell>
          <cell r="H664">
            <v>12208</v>
          </cell>
          <cell r="I664">
            <v>20346</v>
          </cell>
          <cell r="J664">
            <v>20346</v>
          </cell>
          <cell r="K664">
            <v>61038</v>
          </cell>
          <cell r="L664">
            <v>61038</v>
          </cell>
          <cell r="M664">
            <v>81383</v>
          </cell>
          <cell r="N664">
            <v>81383</v>
          </cell>
          <cell r="O664">
            <v>20346</v>
          </cell>
          <cell r="P664">
            <v>12208</v>
          </cell>
          <cell r="Q664">
            <v>406920</v>
          </cell>
        </row>
        <row r="665">
          <cell r="A665" t="str">
            <v>USCRP015503911100010</v>
          </cell>
          <cell r="B665" t="str">
            <v>USCRP01550</v>
          </cell>
          <cell r="C665">
            <v>3911100010</v>
          </cell>
          <cell r="D665" t="str">
            <v>TRAVEL EXPENSES PERMANENTS / MEALS</v>
          </cell>
          <cell r="E665">
            <v>68</v>
          </cell>
          <cell r="F665">
            <v>68</v>
          </cell>
          <cell r="G665">
            <v>68</v>
          </cell>
          <cell r="H665">
            <v>68</v>
          </cell>
          <cell r="I665">
            <v>113</v>
          </cell>
          <cell r="J665">
            <v>113</v>
          </cell>
          <cell r="K665">
            <v>339</v>
          </cell>
          <cell r="L665">
            <v>339</v>
          </cell>
          <cell r="M665">
            <v>452</v>
          </cell>
          <cell r="N665">
            <v>452</v>
          </cell>
          <cell r="O665">
            <v>113</v>
          </cell>
          <cell r="P665">
            <v>68</v>
          </cell>
          <cell r="Q665">
            <v>2261</v>
          </cell>
        </row>
        <row r="666">
          <cell r="A666" t="str">
            <v>USCRP015503911100012</v>
          </cell>
          <cell r="B666" t="str">
            <v>USCRP01550</v>
          </cell>
          <cell r="C666">
            <v>3911100012</v>
          </cell>
          <cell r="D666" t="str">
            <v>TRAVEL EXPENSES PERMANENTS / HOTELS</v>
          </cell>
          <cell r="E666">
            <v>136</v>
          </cell>
          <cell r="F666">
            <v>136</v>
          </cell>
          <cell r="G666">
            <v>136</v>
          </cell>
          <cell r="H666">
            <v>136</v>
          </cell>
          <cell r="I666">
            <v>226</v>
          </cell>
          <cell r="J666">
            <v>226</v>
          </cell>
          <cell r="K666">
            <v>678</v>
          </cell>
          <cell r="L666">
            <v>678</v>
          </cell>
          <cell r="M666">
            <v>904</v>
          </cell>
          <cell r="N666">
            <v>904</v>
          </cell>
          <cell r="O666">
            <v>226</v>
          </cell>
          <cell r="P666">
            <v>136</v>
          </cell>
          <cell r="Q666">
            <v>4522</v>
          </cell>
        </row>
        <row r="667">
          <cell r="A667" t="str">
            <v>USCRP015503911200001</v>
          </cell>
          <cell r="B667" t="str">
            <v>USCRP01550</v>
          </cell>
          <cell r="C667">
            <v>3911200001</v>
          </cell>
          <cell r="D667" t="str">
            <v>SYMPOSIUMS, CONFERENCES, MEETINGS</v>
          </cell>
          <cell r="E667">
            <v>41</v>
          </cell>
          <cell r="F667">
            <v>41</v>
          </cell>
          <cell r="G667">
            <v>41</v>
          </cell>
          <cell r="H667">
            <v>41</v>
          </cell>
          <cell r="I667">
            <v>68</v>
          </cell>
          <cell r="J667">
            <v>68</v>
          </cell>
          <cell r="K667">
            <v>203</v>
          </cell>
          <cell r="L667">
            <v>203</v>
          </cell>
          <cell r="M667">
            <v>271</v>
          </cell>
          <cell r="N667">
            <v>271</v>
          </cell>
          <cell r="O667">
            <v>68</v>
          </cell>
          <cell r="P667">
            <v>41</v>
          </cell>
          <cell r="Q667">
            <v>1357</v>
          </cell>
        </row>
        <row r="668">
          <cell r="A668" t="str">
            <v>USCRP015503921200001</v>
          </cell>
          <cell r="B668" t="str">
            <v>USCRP01550</v>
          </cell>
          <cell r="C668">
            <v>3921200001</v>
          </cell>
          <cell r="D668" t="str">
            <v>FUEL</v>
          </cell>
          <cell r="E668">
            <v>705</v>
          </cell>
          <cell r="F668">
            <v>705</v>
          </cell>
          <cell r="G668">
            <v>705</v>
          </cell>
          <cell r="H668">
            <v>705</v>
          </cell>
          <cell r="I668">
            <v>1176</v>
          </cell>
          <cell r="J668">
            <v>1176</v>
          </cell>
          <cell r="K668">
            <v>3527</v>
          </cell>
          <cell r="L668">
            <v>3527</v>
          </cell>
          <cell r="M668">
            <v>4702</v>
          </cell>
          <cell r="N668">
            <v>4702</v>
          </cell>
          <cell r="O668">
            <v>1176</v>
          </cell>
          <cell r="P668">
            <v>705</v>
          </cell>
          <cell r="Q668">
            <v>23511</v>
          </cell>
        </row>
        <row r="669">
          <cell r="A669" t="str">
            <v>USCRP015503921200006</v>
          </cell>
          <cell r="B669" t="str">
            <v>USCRP01550</v>
          </cell>
          <cell r="C669">
            <v>3921200006</v>
          </cell>
          <cell r="D669" t="str">
            <v>FACTORY SUPPLIES MAINTENANCE SUPPLIES</v>
          </cell>
          <cell r="E669">
            <v>68</v>
          </cell>
          <cell r="F669">
            <v>68</v>
          </cell>
          <cell r="G669">
            <v>68</v>
          </cell>
          <cell r="H669">
            <v>68</v>
          </cell>
          <cell r="I669">
            <v>113</v>
          </cell>
          <cell r="J669">
            <v>113</v>
          </cell>
          <cell r="K669">
            <v>339</v>
          </cell>
          <cell r="L669">
            <v>339</v>
          </cell>
          <cell r="M669">
            <v>452</v>
          </cell>
          <cell r="N669">
            <v>452</v>
          </cell>
          <cell r="O669">
            <v>113</v>
          </cell>
          <cell r="P669">
            <v>68</v>
          </cell>
          <cell r="Q669">
            <v>2261</v>
          </cell>
        </row>
        <row r="670">
          <cell r="A670" t="str">
            <v>USCRP015503921200050</v>
          </cell>
          <cell r="B670" t="str">
            <v>USCRP01550</v>
          </cell>
          <cell r="C670">
            <v>3921200050</v>
          </cell>
          <cell r="D670" t="str">
            <v>SAFETY EQUIPMENT - SUPPLIES</v>
          </cell>
          <cell r="E670">
            <v>203</v>
          </cell>
          <cell r="F670">
            <v>203</v>
          </cell>
          <cell r="G670">
            <v>203</v>
          </cell>
          <cell r="H670">
            <v>203</v>
          </cell>
          <cell r="I670">
            <v>339</v>
          </cell>
          <cell r="J670">
            <v>339</v>
          </cell>
          <cell r="K670">
            <v>1017</v>
          </cell>
          <cell r="L670">
            <v>1017</v>
          </cell>
          <cell r="M670">
            <v>1356</v>
          </cell>
          <cell r="N670">
            <v>1356</v>
          </cell>
          <cell r="O670">
            <v>339</v>
          </cell>
          <cell r="P670">
            <v>203</v>
          </cell>
          <cell r="Q670">
            <v>6778</v>
          </cell>
        </row>
        <row r="671">
          <cell r="A671" t="str">
            <v>USCRP015503921200100</v>
          </cell>
          <cell r="B671" t="str">
            <v>USCRP01550</v>
          </cell>
          <cell r="C671">
            <v>3921200100</v>
          </cell>
          <cell r="D671" t="str">
            <v>FIELD &amp; PRODUCTION SUPPLIES</v>
          </cell>
          <cell r="E671">
            <v>41</v>
          </cell>
          <cell r="F671">
            <v>41</v>
          </cell>
          <cell r="G671">
            <v>41</v>
          </cell>
          <cell r="H671">
            <v>41</v>
          </cell>
          <cell r="I671">
            <v>68</v>
          </cell>
          <cell r="J671">
            <v>68</v>
          </cell>
          <cell r="K671">
            <v>203</v>
          </cell>
          <cell r="L671">
            <v>203</v>
          </cell>
          <cell r="M671">
            <v>271</v>
          </cell>
          <cell r="N671">
            <v>271</v>
          </cell>
          <cell r="O671">
            <v>68</v>
          </cell>
          <cell r="P671">
            <v>41</v>
          </cell>
          <cell r="Q671">
            <v>1357</v>
          </cell>
        </row>
        <row r="672">
          <cell r="A672" t="str">
            <v>USCRP015503941100013</v>
          </cell>
          <cell r="B672" t="str">
            <v>USCRP01550</v>
          </cell>
          <cell r="C672">
            <v>3941100013</v>
          </cell>
          <cell r="D672" t="str">
            <v>FREIGHT IN</v>
          </cell>
          <cell r="E672">
            <v>9623</v>
          </cell>
          <cell r="F672">
            <v>9623</v>
          </cell>
          <cell r="G672">
            <v>9623</v>
          </cell>
          <cell r="H672">
            <v>9623</v>
          </cell>
          <cell r="I672">
            <v>16039</v>
          </cell>
          <cell r="J672">
            <v>16039</v>
          </cell>
          <cell r="K672">
            <v>48116</v>
          </cell>
          <cell r="L672">
            <v>48116</v>
          </cell>
          <cell r="M672">
            <v>64155</v>
          </cell>
          <cell r="N672">
            <v>64155</v>
          </cell>
          <cell r="O672">
            <v>16039</v>
          </cell>
          <cell r="P672">
            <v>9623</v>
          </cell>
          <cell r="Q672">
            <v>320774</v>
          </cell>
        </row>
        <row r="673">
          <cell r="A673" t="str">
            <v>USCRP015503951200002</v>
          </cell>
          <cell r="B673" t="str">
            <v>USCRP01550</v>
          </cell>
          <cell r="C673">
            <v>3951200002</v>
          </cell>
          <cell r="D673" t="str">
            <v>OPERATING LEASES - VEHICLES (SHORT DURAT</v>
          </cell>
          <cell r="E673">
            <v>678</v>
          </cell>
          <cell r="F673">
            <v>678</v>
          </cell>
          <cell r="G673">
            <v>678</v>
          </cell>
          <cell r="H673">
            <v>678</v>
          </cell>
          <cell r="I673">
            <v>1130</v>
          </cell>
          <cell r="J673">
            <v>1130</v>
          </cell>
          <cell r="K673">
            <v>3391</v>
          </cell>
          <cell r="L673">
            <v>3391</v>
          </cell>
          <cell r="M673">
            <v>4521</v>
          </cell>
          <cell r="N673">
            <v>4521</v>
          </cell>
          <cell r="O673">
            <v>1130</v>
          </cell>
          <cell r="P673">
            <v>678</v>
          </cell>
          <cell r="Q673">
            <v>22604</v>
          </cell>
        </row>
        <row r="674">
          <cell r="A674" t="str">
            <v>USCRP015503961100000</v>
          </cell>
          <cell r="B674" t="str">
            <v>USCRP01550</v>
          </cell>
          <cell r="C674">
            <v>3961100000</v>
          </cell>
          <cell r="D674" t="str">
            <v>COMPREHENSIVE INSURANCES</v>
          </cell>
          <cell r="E674">
            <v>3428</v>
          </cell>
          <cell r="F674">
            <v>3428</v>
          </cell>
          <cell r="G674">
            <v>3428</v>
          </cell>
          <cell r="H674">
            <v>3428</v>
          </cell>
          <cell r="I674">
            <v>5713</v>
          </cell>
          <cell r="J674">
            <v>5713</v>
          </cell>
          <cell r="K674">
            <v>17140</v>
          </cell>
          <cell r="L674">
            <v>17140</v>
          </cell>
          <cell r="M674">
            <v>22853</v>
          </cell>
          <cell r="N674">
            <v>22853</v>
          </cell>
          <cell r="O674">
            <v>5713</v>
          </cell>
          <cell r="P674">
            <v>3428</v>
          </cell>
          <cell r="Q674">
            <v>114265</v>
          </cell>
        </row>
        <row r="675">
          <cell r="A675" t="str">
            <v>USCRP015533111100000</v>
          </cell>
          <cell r="B675" t="str">
            <v>USCRP01553</v>
          </cell>
          <cell r="C675">
            <v>3111100000</v>
          </cell>
          <cell r="D675" t="str">
            <v>WAGES,SALARIES,ALLOWANCES AND COMMI/PERM</v>
          </cell>
          <cell r="E675">
            <v>4482</v>
          </cell>
          <cell r="F675">
            <v>4482</v>
          </cell>
          <cell r="G675">
            <v>4482</v>
          </cell>
          <cell r="H675">
            <v>4482</v>
          </cell>
          <cell r="I675">
            <v>4482</v>
          </cell>
          <cell r="J675">
            <v>4482</v>
          </cell>
          <cell r="K675">
            <v>4482</v>
          </cell>
          <cell r="L675">
            <v>4482</v>
          </cell>
          <cell r="M675">
            <v>4482</v>
          </cell>
          <cell r="N675">
            <v>4482</v>
          </cell>
          <cell r="O675">
            <v>4482</v>
          </cell>
          <cell r="P675">
            <v>4484</v>
          </cell>
          <cell r="Q675">
            <v>53786</v>
          </cell>
        </row>
        <row r="676">
          <cell r="A676" t="str">
            <v>USCRP015533111100012</v>
          </cell>
          <cell r="B676" t="str">
            <v>USCRP01553</v>
          </cell>
          <cell r="C676">
            <v>3111100012</v>
          </cell>
          <cell r="D676" t="str">
            <v>OVERTIME HOURS /PERMANENTS</v>
          </cell>
          <cell r="E676">
            <v>1195</v>
          </cell>
          <cell r="F676">
            <v>1195</v>
          </cell>
          <cell r="G676">
            <v>1195</v>
          </cell>
          <cell r="H676">
            <v>1195</v>
          </cell>
          <cell r="I676">
            <v>1195</v>
          </cell>
          <cell r="J676">
            <v>1195</v>
          </cell>
          <cell r="K676">
            <v>1195</v>
          </cell>
          <cell r="L676">
            <v>1195</v>
          </cell>
          <cell r="M676">
            <v>1195</v>
          </cell>
          <cell r="N676">
            <v>1195</v>
          </cell>
          <cell r="O676">
            <v>1195</v>
          </cell>
          <cell r="P676">
            <v>1198</v>
          </cell>
          <cell r="Q676">
            <v>14343</v>
          </cell>
        </row>
        <row r="677">
          <cell r="A677" t="str">
            <v>USCRP015533121300013</v>
          </cell>
          <cell r="B677" t="str">
            <v>USCRP01553</v>
          </cell>
          <cell r="C677">
            <v>3121300013</v>
          </cell>
          <cell r="D677" t="str">
            <v>FRINGE BENEFITS</v>
          </cell>
          <cell r="E677">
            <v>2146</v>
          </cell>
          <cell r="F677">
            <v>2146</v>
          </cell>
          <cell r="G677">
            <v>2146</v>
          </cell>
          <cell r="H677">
            <v>2146</v>
          </cell>
          <cell r="I677">
            <v>2146</v>
          </cell>
          <cell r="J677">
            <v>2146</v>
          </cell>
          <cell r="K677">
            <v>2146</v>
          </cell>
          <cell r="L677">
            <v>2146</v>
          </cell>
          <cell r="M677">
            <v>2146</v>
          </cell>
          <cell r="N677">
            <v>2146</v>
          </cell>
          <cell r="O677">
            <v>2146</v>
          </cell>
          <cell r="P677">
            <v>2147</v>
          </cell>
          <cell r="Q677">
            <v>25753</v>
          </cell>
        </row>
        <row r="678">
          <cell r="A678" t="str">
            <v>USCRP015533201300001</v>
          </cell>
          <cell r="B678" t="str">
            <v>USCRP01553</v>
          </cell>
          <cell r="C678">
            <v>3201300001</v>
          </cell>
          <cell r="D678" t="str">
            <v>HIRED PERSONNEL FROM 3RD PARTIES</v>
          </cell>
          <cell r="E678">
            <v>0</v>
          </cell>
          <cell r="F678">
            <v>0</v>
          </cell>
          <cell r="G678">
            <v>0</v>
          </cell>
          <cell r="H678">
            <v>0</v>
          </cell>
          <cell r="I678">
            <v>0</v>
          </cell>
          <cell r="J678">
            <v>2299</v>
          </cell>
          <cell r="K678">
            <v>16095</v>
          </cell>
          <cell r="L678">
            <v>27591</v>
          </cell>
          <cell r="M678">
            <v>0</v>
          </cell>
          <cell r="N678">
            <v>0</v>
          </cell>
          <cell r="O678">
            <v>0</v>
          </cell>
          <cell r="P678">
            <v>0</v>
          </cell>
          <cell r="Q678">
            <v>45985</v>
          </cell>
        </row>
        <row r="679">
          <cell r="A679" t="str">
            <v>USCRP015533201300012</v>
          </cell>
          <cell r="B679" t="str">
            <v>USCRP01553</v>
          </cell>
          <cell r="C679">
            <v>3201300012</v>
          </cell>
          <cell r="D679" t="str">
            <v>HIRED PERSONNEL THIRD PARTY - ROUGING</v>
          </cell>
          <cell r="E679">
            <v>0</v>
          </cell>
          <cell r="F679">
            <v>0</v>
          </cell>
          <cell r="G679">
            <v>0</v>
          </cell>
          <cell r="H679">
            <v>0</v>
          </cell>
          <cell r="I679">
            <v>0</v>
          </cell>
          <cell r="J679">
            <v>52378</v>
          </cell>
          <cell r="K679">
            <v>366647</v>
          </cell>
          <cell r="L679">
            <v>628538</v>
          </cell>
          <cell r="M679">
            <v>0</v>
          </cell>
          <cell r="N679">
            <v>0</v>
          </cell>
          <cell r="O679">
            <v>0</v>
          </cell>
          <cell r="P679">
            <v>0</v>
          </cell>
          <cell r="Q679">
            <v>1047563</v>
          </cell>
        </row>
        <row r="680">
          <cell r="A680" t="str">
            <v>USCRP015533201400051</v>
          </cell>
          <cell r="B680" t="str">
            <v>USCRP01553</v>
          </cell>
          <cell r="C680">
            <v>3201400051</v>
          </cell>
          <cell r="D680" t="str">
            <v>MAINTENANCE EQUIPMENT</v>
          </cell>
          <cell r="E680">
            <v>0</v>
          </cell>
          <cell r="F680">
            <v>0</v>
          </cell>
          <cell r="G680">
            <v>0</v>
          </cell>
          <cell r="H680">
            <v>0</v>
          </cell>
          <cell r="I680">
            <v>0</v>
          </cell>
          <cell r="J680">
            <v>87</v>
          </cell>
          <cell r="K680">
            <v>610</v>
          </cell>
          <cell r="L680">
            <v>1045</v>
          </cell>
          <cell r="M680">
            <v>0</v>
          </cell>
          <cell r="N680">
            <v>0</v>
          </cell>
          <cell r="O680">
            <v>0</v>
          </cell>
          <cell r="P680">
            <v>0</v>
          </cell>
          <cell r="Q680">
            <v>1742</v>
          </cell>
        </row>
        <row r="681">
          <cell r="A681" t="str">
            <v>USCRP015533201400056</v>
          </cell>
          <cell r="B681" t="str">
            <v>USCRP01553</v>
          </cell>
          <cell r="C681">
            <v>3201400056</v>
          </cell>
          <cell r="D681" t="str">
            <v>FIELD AND PRODUCTION EXPENSES</v>
          </cell>
          <cell r="E681">
            <v>0</v>
          </cell>
          <cell r="F681">
            <v>0</v>
          </cell>
          <cell r="G681">
            <v>0</v>
          </cell>
          <cell r="H681">
            <v>0</v>
          </cell>
          <cell r="I681">
            <v>0</v>
          </cell>
          <cell r="J681">
            <v>5922</v>
          </cell>
          <cell r="K681">
            <v>41457</v>
          </cell>
          <cell r="L681">
            <v>71069</v>
          </cell>
          <cell r="M681">
            <v>0</v>
          </cell>
          <cell r="N681">
            <v>0</v>
          </cell>
          <cell r="O681">
            <v>0</v>
          </cell>
          <cell r="P681">
            <v>0</v>
          </cell>
          <cell r="Q681">
            <v>118448</v>
          </cell>
        </row>
        <row r="682">
          <cell r="A682" t="str">
            <v>USCRP015533311400099</v>
          </cell>
          <cell r="B682" t="str">
            <v>USCRP01553</v>
          </cell>
          <cell r="C682">
            <v>3311400099</v>
          </cell>
          <cell r="D682" t="str">
            <v>CO DEPRECIATION</v>
          </cell>
          <cell r="E682">
            <v>769</v>
          </cell>
          <cell r="F682">
            <v>769</v>
          </cell>
          <cell r="G682">
            <v>769</v>
          </cell>
          <cell r="H682">
            <v>769</v>
          </cell>
          <cell r="I682">
            <v>769</v>
          </cell>
          <cell r="J682">
            <v>769</v>
          </cell>
          <cell r="K682">
            <v>769</v>
          </cell>
          <cell r="L682">
            <v>769</v>
          </cell>
          <cell r="M682">
            <v>769</v>
          </cell>
          <cell r="N682">
            <v>769</v>
          </cell>
          <cell r="O682">
            <v>769</v>
          </cell>
          <cell r="P682">
            <v>769</v>
          </cell>
          <cell r="Q682">
            <v>9228</v>
          </cell>
        </row>
        <row r="683">
          <cell r="A683" t="str">
            <v>USCRP015533911100010</v>
          </cell>
          <cell r="B683" t="str">
            <v>USCRP01553</v>
          </cell>
          <cell r="C683">
            <v>3911100010</v>
          </cell>
          <cell r="D683" t="str">
            <v>TRAVEL EXPENSES PERMANENTS / MEALS</v>
          </cell>
          <cell r="E683">
            <v>290</v>
          </cell>
          <cell r="F683">
            <v>290</v>
          </cell>
          <cell r="G683">
            <v>290</v>
          </cell>
          <cell r="H683">
            <v>290</v>
          </cell>
          <cell r="I683">
            <v>290</v>
          </cell>
          <cell r="J683">
            <v>290</v>
          </cell>
          <cell r="K683">
            <v>290</v>
          </cell>
          <cell r="L683">
            <v>290</v>
          </cell>
          <cell r="M683">
            <v>290</v>
          </cell>
          <cell r="N683">
            <v>290</v>
          </cell>
          <cell r="O683">
            <v>290</v>
          </cell>
          <cell r="P683">
            <v>290</v>
          </cell>
          <cell r="Q683">
            <v>3480</v>
          </cell>
        </row>
        <row r="684">
          <cell r="A684" t="str">
            <v>USCRP015533911100012</v>
          </cell>
          <cell r="B684" t="str">
            <v>USCRP01553</v>
          </cell>
          <cell r="C684">
            <v>3911100012</v>
          </cell>
          <cell r="D684" t="str">
            <v>TRAVEL EXPENSES PERMANENTS / HOTELS</v>
          </cell>
          <cell r="E684">
            <v>0</v>
          </cell>
          <cell r="F684">
            <v>0</v>
          </cell>
          <cell r="G684">
            <v>0</v>
          </cell>
          <cell r="H684">
            <v>0</v>
          </cell>
          <cell r="I684">
            <v>0</v>
          </cell>
          <cell r="J684">
            <v>139</v>
          </cell>
          <cell r="K684">
            <v>975</v>
          </cell>
          <cell r="L684">
            <v>1672</v>
          </cell>
          <cell r="M684">
            <v>0</v>
          </cell>
          <cell r="N684">
            <v>0</v>
          </cell>
          <cell r="O684">
            <v>0</v>
          </cell>
          <cell r="P684">
            <v>0</v>
          </cell>
          <cell r="Q684">
            <v>2786</v>
          </cell>
        </row>
        <row r="685">
          <cell r="A685" t="str">
            <v>USCRP015533911100015</v>
          </cell>
          <cell r="B685" t="str">
            <v>USCRP01553</v>
          </cell>
          <cell r="C685">
            <v>3911100015</v>
          </cell>
          <cell r="D685" t="str">
            <v>TRAVEL EXPENSES PERMANENTS / OTHER</v>
          </cell>
          <cell r="E685">
            <v>0</v>
          </cell>
          <cell r="F685">
            <v>0</v>
          </cell>
          <cell r="G685">
            <v>0</v>
          </cell>
          <cell r="H685">
            <v>0</v>
          </cell>
          <cell r="I685">
            <v>0</v>
          </cell>
          <cell r="J685">
            <v>174</v>
          </cell>
          <cell r="K685">
            <v>1219</v>
          </cell>
          <cell r="L685">
            <v>2090</v>
          </cell>
          <cell r="M685">
            <v>0</v>
          </cell>
          <cell r="N685">
            <v>0</v>
          </cell>
          <cell r="O685">
            <v>0</v>
          </cell>
          <cell r="P685">
            <v>0</v>
          </cell>
          <cell r="Q685">
            <v>3483</v>
          </cell>
        </row>
        <row r="686">
          <cell r="A686" t="str">
            <v>USCRP015533911100016</v>
          </cell>
          <cell r="B686" t="str">
            <v>USCRP01553</v>
          </cell>
          <cell r="C686">
            <v>3911100016</v>
          </cell>
          <cell r="D686" t="str">
            <v>TRAVEL EXPENSES SEASONALS / MEALS</v>
          </cell>
          <cell r="E686">
            <v>0</v>
          </cell>
          <cell r="F686">
            <v>0</v>
          </cell>
          <cell r="G686">
            <v>0</v>
          </cell>
          <cell r="H686">
            <v>0</v>
          </cell>
          <cell r="I686">
            <v>0</v>
          </cell>
          <cell r="J686">
            <v>0</v>
          </cell>
          <cell r="K686">
            <v>0</v>
          </cell>
          <cell r="L686">
            <v>0</v>
          </cell>
          <cell r="M686">
            <v>0</v>
          </cell>
          <cell r="N686">
            <v>0</v>
          </cell>
          <cell r="O686">
            <v>0</v>
          </cell>
          <cell r="P686">
            <v>0</v>
          </cell>
          <cell r="Q686">
            <v>0</v>
          </cell>
        </row>
        <row r="687">
          <cell r="A687" t="str">
            <v>USCRP015533921200003</v>
          </cell>
          <cell r="B687" t="str">
            <v>USCRP01553</v>
          </cell>
          <cell r="C687">
            <v>3921200003</v>
          </cell>
          <cell r="D687" t="str">
            <v>GAS</v>
          </cell>
          <cell r="E687">
            <v>0</v>
          </cell>
          <cell r="F687">
            <v>0</v>
          </cell>
          <cell r="G687">
            <v>0</v>
          </cell>
          <cell r="H687">
            <v>0</v>
          </cell>
          <cell r="I687">
            <v>0</v>
          </cell>
          <cell r="J687">
            <v>453</v>
          </cell>
          <cell r="K687">
            <v>3170</v>
          </cell>
          <cell r="L687">
            <v>5435</v>
          </cell>
          <cell r="M687">
            <v>0</v>
          </cell>
          <cell r="N687">
            <v>0</v>
          </cell>
          <cell r="O687">
            <v>0</v>
          </cell>
          <cell r="P687">
            <v>0</v>
          </cell>
          <cell r="Q687">
            <v>9058</v>
          </cell>
        </row>
        <row r="688">
          <cell r="A688" t="str">
            <v>USCRP015533921200006</v>
          </cell>
          <cell r="B688" t="str">
            <v>USCRP01553</v>
          </cell>
          <cell r="C688">
            <v>3921200006</v>
          </cell>
          <cell r="D688" t="str">
            <v>FACTORY SUPPLIES MAINTENANCE SUPPLIES</v>
          </cell>
          <cell r="E688">
            <v>0</v>
          </cell>
          <cell r="F688">
            <v>0</v>
          </cell>
          <cell r="G688">
            <v>0</v>
          </cell>
          <cell r="H688">
            <v>0</v>
          </cell>
          <cell r="I688">
            <v>0</v>
          </cell>
          <cell r="J688">
            <v>610</v>
          </cell>
          <cell r="K688">
            <v>4268</v>
          </cell>
          <cell r="L688">
            <v>7316</v>
          </cell>
          <cell r="M688">
            <v>0</v>
          </cell>
          <cell r="N688">
            <v>0</v>
          </cell>
          <cell r="O688">
            <v>0</v>
          </cell>
          <cell r="P688">
            <v>0</v>
          </cell>
          <cell r="Q688">
            <v>12194</v>
          </cell>
        </row>
        <row r="689">
          <cell r="A689" t="str">
            <v>USCRP015533921200037</v>
          </cell>
          <cell r="B689" t="str">
            <v>USCRP01553</v>
          </cell>
          <cell r="C689">
            <v>3921200037</v>
          </cell>
          <cell r="D689" t="str">
            <v>EXHAUSTIVE EQUIPMENT</v>
          </cell>
          <cell r="E689">
            <v>0</v>
          </cell>
          <cell r="F689">
            <v>0</v>
          </cell>
          <cell r="G689">
            <v>0</v>
          </cell>
          <cell r="H689">
            <v>0</v>
          </cell>
          <cell r="I689">
            <v>0</v>
          </cell>
          <cell r="J689">
            <v>0</v>
          </cell>
          <cell r="K689">
            <v>0</v>
          </cell>
          <cell r="L689">
            <v>0</v>
          </cell>
          <cell r="M689">
            <v>0</v>
          </cell>
          <cell r="N689">
            <v>0</v>
          </cell>
          <cell r="O689">
            <v>0</v>
          </cell>
          <cell r="P689">
            <v>0</v>
          </cell>
          <cell r="Q689">
            <v>0</v>
          </cell>
        </row>
        <row r="690">
          <cell r="A690" t="str">
            <v>USCRP015533921200050</v>
          </cell>
          <cell r="B690" t="str">
            <v>USCRP01553</v>
          </cell>
          <cell r="C690">
            <v>3921200050</v>
          </cell>
          <cell r="D690" t="str">
            <v>SAFETY EQUIPMENT - SUPPLIES</v>
          </cell>
          <cell r="E690">
            <v>0</v>
          </cell>
          <cell r="F690">
            <v>0</v>
          </cell>
          <cell r="G690">
            <v>0</v>
          </cell>
          <cell r="H690">
            <v>0</v>
          </cell>
          <cell r="I690">
            <v>0</v>
          </cell>
          <cell r="J690">
            <v>174</v>
          </cell>
          <cell r="K690">
            <v>1219</v>
          </cell>
          <cell r="L690">
            <v>2090</v>
          </cell>
          <cell r="M690">
            <v>0</v>
          </cell>
          <cell r="N690">
            <v>0</v>
          </cell>
          <cell r="O690">
            <v>0</v>
          </cell>
          <cell r="P690">
            <v>0</v>
          </cell>
          <cell r="Q690">
            <v>3483</v>
          </cell>
        </row>
        <row r="691">
          <cell r="A691" t="str">
            <v>USCRP015533921200100</v>
          </cell>
          <cell r="B691" t="str">
            <v>USCRP01553</v>
          </cell>
          <cell r="C691">
            <v>3921200100</v>
          </cell>
          <cell r="D691" t="str">
            <v>FIELD &amp; PRODUCTION SUPPLIES</v>
          </cell>
          <cell r="E691">
            <v>0</v>
          </cell>
          <cell r="F691">
            <v>0</v>
          </cell>
          <cell r="G691">
            <v>0</v>
          </cell>
          <cell r="H691">
            <v>0</v>
          </cell>
          <cell r="I691">
            <v>0</v>
          </cell>
          <cell r="J691">
            <v>52</v>
          </cell>
          <cell r="K691">
            <v>366</v>
          </cell>
          <cell r="L691">
            <v>627</v>
          </cell>
          <cell r="M691">
            <v>0</v>
          </cell>
          <cell r="N691">
            <v>0</v>
          </cell>
          <cell r="O691">
            <v>0</v>
          </cell>
          <cell r="P691">
            <v>0</v>
          </cell>
          <cell r="Q691">
            <v>1045</v>
          </cell>
        </row>
        <row r="692">
          <cell r="A692" t="str">
            <v>USCRP015533951100002</v>
          </cell>
          <cell r="B692" t="str">
            <v>USCRP01553</v>
          </cell>
          <cell r="C692">
            <v>3951100002</v>
          </cell>
          <cell r="D692" t="str">
            <v>RENTALS - REAL ESTATE</v>
          </cell>
          <cell r="E692">
            <v>0</v>
          </cell>
          <cell r="F692">
            <v>0</v>
          </cell>
          <cell r="G692">
            <v>0</v>
          </cell>
          <cell r="H692">
            <v>0</v>
          </cell>
          <cell r="I692">
            <v>0</v>
          </cell>
          <cell r="J692">
            <v>0</v>
          </cell>
          <cell r="K692">
            <v>0</v>
          </cell>
          <cell r="L692">
            <v>0</v>
          </cell>
          <cell r="M692">
            <v>0</v>
          </cell>
          <cell r="N692">
            <v>0</v>
          </cell>
          <cell r="O692">
            <v>0</v>
          </cell>
          <cell r="P692">
            <v>0</v>
          </cell>
          <cell r="Q692">
            <v>0</v>
          </cell>
        </row>
        <row r="693">
          <cell r="A693" t="str">
            <v>USCRP015533951100005</v>
          </cell>
          <cell r="B693" t="str">
            <v>USCRP01553</v>
          </cell>
          <cell r="C693">
            <v>3951100005</v>
          </cell>
          <cell r="D693" t="str">
            <v>OTHER RENTALS</v>
          </cell>
          <cell r="E693">
            <v>0</v>
          </cell>
          <cell r="F693">
            <v>0</v>
          </cell>
          <cell r="G693">
            <v>0</v>
          </cell>
          <cell r="H693">
            <v>0</v>
          </cell>
          <cell r="I693">
            <v>0</v>
          </cell>
          <cell r="J693">
            <v>314</v>
          </cell>
          <cell r="K693">
            <v>2195</v>
          </cell>
          <cell r="L693">
            <v>3762</v>
          </cell>
          <cell r="M693">
            <v>0</v>
          </cell>
          <cell r="N693">
            <v>0</v>
          </cell>
          <cell r="O693">
            <v>0</v>
          </cell>
          <cell r="P693">
            <v>0</v>
          </cell>
          <cell r="Q693">
            <v>6271</v>
          </cell>
        </row>
        <row r="694">
          <cell r="A694" t="str">
            <v>USCRP015533951200002</v>
          </cell>
          <cell r="B694" t="str">
            <v>USCRP01553</v>
          </cell>
          <cell r="C694">
            <v>3951200002</v>
          </cell>
          <cell r="D694" t="str">
            <v>OPERATING LEASES - VEHICLES (SHORT DURAT</v>
          </cell>
          <cell r="E694">
            <v>0</v>
          </cell>
          <cell r="F694">
            <v>0</v>
          </cell>
          <cell r="G694">
            <v>0</v>
          </cell>
          <cell r="H694">
            <v>0</v>
          </cell>
          <cell r="I694">
            <v>0</v>
          </cell>
          <cell r="J694">
            <v>627</v>
          </cell>
          <cell r="K694">
            <v>4390</v>
          </cell>
          <cell r="L694">
            <v>7525</v>
          </cell>
          <cell r="M694">
            <v>0</v>
          </cell>
          <cell r="N694">
            <v>0</v>
          </cell>
          <cell r="O694">
            <v>0</v>
          </cell>
          <cell r="P694">
            <v>0</v>
          </cell>
          <cell r="Q694">
            <v>12542</v>
          </cell>
        </row>
        <row r="695">
          <cell r="A695" t="str">
            <v>USCRP015533961100000</v>
          </cell>
          <cell r="B695" t="str">
            <v>USCRP01553</v>
          </cell>
          <cell r="C695">
            <v>3961100000</v>
          </cell>
          <cell r="D695" t="str">
            <v>COMPREHENSIVE INSURANCES</v>
          </cell>
          <cell r="E695">
            <v>0</v>
          </cell>
          <cell r="F695">
            <v>0</v>
          </cell>
          <cell r="G695">
            <v>0</v>
          </cell>
          <cell r="H695">
            <v>0</v>
          </cell>
          <cell r="I695">
            <v>0</v>
          </cell>
          <cell r="J695">
            <v>1394</v>
          </cell>
          <cell r="K695">
            <v>9755</v>
          </cell>
          <cell r="L695">
            <v>16722</v>
          </cell>
          <cell r="M695">
            <v>0</v>
          </cell>
          <cell r="N695">
            <v>0</v>
          </cell>
          <cell r="O695">
            <v>0</v>
          </cell>
          <cell r="P695">
            <v>0</v>
          </cell>
          <cell r="Q695">
            <v>27871</v>
          </cell>
        </row>
        <row r="696">
          <cell r="A696" t="str">
            <v>USCRP015603111100000</v>
          </cell>
          <cell r="B696" t="str">
            <v>USCRP01560</v>
          </cell>
          <cell r="C696">
            <v>3111100000</v>
          </cell>
          <cell r="D696" t="str">
            <v>WAGES,SALARIES,ALLOWANCES AND COMMI/PERM</v>
          </cell>
          <cell r="E696">
            <v>9033</v>
          </cell>
          <cell r="F696">
            <v>9033</v>
          </cell>
          <cell r="G696">
            <v>9033</v>
          </cell>
          <cell r="H696">
            <v>9033</v>
          </cell>
          <cell r="I696">
            <v>9033</v>
          </cell>
          <cell r="J696">
            <v>9033</v>
          </cell>
          <cell r="K696">
            <v>9033</v>
          </cell>
          <cell r="L696">
            <v>9033</v>
          </cell>
          <cell r="M696">
            <v>9033</v>
          </cell>
          <cell r="N696">
            <v>9033</v>
          </cell>
          <cell r="O696">
            <v>9033</v>
          </cell>
          <cell r="P696">
            <v>9038</v>
          </cell>
          <cell r="Q696">
            <v>108401</v>
          </cell>
        </row>
        <row r="697">
          <cell r="A697" t="str">
            <v>USCRP015603111100012</v>
          </cell>
          <cell r="B697" t="str">
            <v>USCRP01560</v>
          </cell>
          <cell r="C697">
            <v>3111100012</v>
          </cell>
          <cell r="D697" t="str">
            <v>OVERTIME HOURS /PERMANENTS</v>
          </cell>
          <cell r="E697">
            <v>3697</v>
          </cell>
          <cell r="F697">
            <v>3697</v>
          </cell>
          <cell r="G697">
            <v>3697</v>
          </cell>
          <cell r="H697">
            <v>3697</v>
          </cell>
          <cell r="I697">
            <v>3697</v>
          </cell>
          <cell r="J697">
            <v>3697</v>
          </cell>
          <cell r="K697">
            <v>3697</v>
          </cell>
          <cell r="L697">
            <v>3697</v>
          </cell>
          <cell r="M697">
            <v>3697</v>
          </cell>
          <cell r="N697">
            <v>3697</v>
          </cell>
          <cell r="O697">
            <v>3697</v>
          </cell>
          <cell r="P697">
            <v>3698</v>
          </cell>
          <cell r="Q697">
            <v>44365</v>
          </cell>
        </row>
        <row r="698">
          <cell r="A698" t="str">
            <v>USCRP015603121300013</v>
          </cell>
          <cell r="B698" t="str">
            <v>USCRP01560</v>
          </cell>
          <cell r="C698">
            <v>3121300013</v>
          </cell>
          <cell r="D698" t="str">
            <v>FRINGE BENEFITS</v>
          </cell>
          <cell r="E698">
            <v>4812</v>
          </cell>
          <cell r="F698">
            <v>4812</v>
          </cell>
          <cell r="G698">
            <v>4812</v>
          </cell>
          <cell r="H698">
            <v>4812</v>
          </cell>
          <cell r="I698">
            <v>4812</v>
          </cell>
          <cell r="J698">
            <v>4812</v>
          </cell>
          <cell r="K698">
            <v>4812</v>
          </cell>
          <cell r="L698">
            <v>4812</v>
          </cell>
          <cell r="M698">
            <v>4812</v>
          </cell>
          <cell r="N698">
            <v>4812</v>
          </cell>
          <cell r="O698">
            <v>4812</v>
          </cell>
          <cell r="P698">
            <v>4814</v>
          </cell>
          <cell r="Q698">
            <v>57746</v>
          </cell>
        </row>
        <row r="699">
          <cell r="A699" t="str">
            <v>USCRP015603201300001</v>
          </cell>
          <cell r="B699" t="str">
            <v>USCRP01560</v>
          </cell>
          <cell r="C699">
            <v>3201300001</v>
          </cell>
          <cell r="D699" t="str">
            <v>HIRED PERSONNEL FROM 3RD PARTIES</v>
          </cell>
          <cell r="E699">
            <v>17960</v>
          </cell>
          <cell r="F699">
            <v>8980</v>
          </cell>
          <cell r="G699">
            <v>8980</v>
          </cell>
          <cell r="H699">
            <v>8980</v>
          </cell>
          <cell r="I699">
            <v>0</v>
          </cell>
          <cell r="J699">
            <v>0</v>
          </cell>
          <cell r="K699">
            <v>0</v>
          </cell>
          <cell r="L699">
            <v>0</v>
          </cell>
          <cell r="M699">
            <v>26940</v>
          </cell>
          <cell r="N699">
            <v>35920</v>
          </cell>
          <cell r="O699">
            <v>35920</v>
          </cell>
          <cell r="P699">
            <v>35920</v>
          </cell>
          <cell r="Q699">
            <v>179600</v>
          </cell>
        </row>
        <row r="700">
          <cell r="A700" t="str">
            <v>USCRP015603201300005</v>
          </cell>
          <cell r="B700" t="str">
            <v>USCRP01560</v>
          </cell>
          <cell r="C700">
            <v>3201300005</v>
          </cell>
          <cell r="D700" t="str">
            <v>O/S SERVICES - COMPUTER LIC. &amp; SUPPORT</v>
          </cell>
          <cell r="E700">
            <v>1437</v>
          </cell>
          <cell r="F700">
            <v>718</v>
          </cell>
          <cell r="G700">
            <v>718</v>
          </cell>
          <cell r="H700">
            <v>718</v>
          </cell>
          <cell r="I700">
            <v>0</v>
          </cell>
          <cell r="J700">
            <v>0</v>
          </cell>
          <cell r="K700">
            <v>0</v>
          </cell>
          <cell r="L700">
            <v>0</v>
          </cell>
          <cell r="M700">
            <v>2155</v>
          </cell>
          <cell r="N700">
            <v>2874</v>
          </cell>
          <cell r="O700">
            <v>2874</v>
          </cell>
          <cell r="P700">
            <v>2874</v>
          </cell>
          <cell r="Q700">
            <v>14368</v>
          </cell>
        </row>
        <row r="701">
          <cell r="A701" t="str">
            <v>USCRP015603201400029</v>
          </cell>
          <cell r="B701" t="str">
            <v>USCRP01560</v>
          </cell>
          <cell r="C701">
            <v>3201400029</v>
          </cell>
          <cell r="D701" t="str">
            <v>OTH OUTSIDE SERVICES OTHER</v>
          </cell>
          <cell r="E701">
            <v>2874</v>
          </cell>
          <cell r="F701">
            <v>1437</v>
          </cell>
          <cell r="G701">
            <v>1437</v>
          </cell>
          <cell r="H701">
            <v>1437</v>
          </cell>
          <cell r="I701">
            <v>0</v>
          </cell>
          <cell r="J701">
            <v>0</v>
          </cell>
          <cell r="K701">
            <v>0</v>
          </cell>
          <cell r="L701">
            <v>0</v>
          </cell>
          <cell r="M701">
            <v>4310</v>
          </cell>
          <cell r="N701">
            <v>5747</v>
          </cell>
          <cell r="O701">
            <v>5747</v>
          </cell>
          <cell r="P701">
            <v>5747</v>
          </cell>
          <cell r="Q701">
            <v>28736</v>
          </cell>
        </row>
        <row r="702">
          <cell r="A702" t="str">
            <v>USCRP015603201400036</v>
          </cell>
          <cell r="B702" t="str">
            <v>USCRP01560</v>
          </cell>
          <cell r="C702">
            <v>3201400036</v>
          </cell>
          <cell r="D702" t="str">
            <v>OTHER MAINTENANCE BUILDINGS</v>
          </cell>
          <cell r="E702">
            <v>2874</v>
          </cell>
          <cell r="F702">
            <v>1437</v>
          </cell>
          <cell r="G702">
            <v>1437</v>
          </cell>
          <cell r="H702">
            <v>1437</v>
          </cell>
          <cell r="I702">
            <v>0</v>
          </cell>
          <cell r="J702">
            <v>0</v>
          </cell>
          <cell r="K702">
            <v>0</v>
          </cell>
          <cell r="L702">
            <v>0</v>
          </cell>
          <cell r="M702">
            <v>4310</v>
          </cell>
          <cell r="N702">
            <v>5747</v>
          </cell>
          <cell r="O702">
            <v>5747</v>
          </cell>
          <cell r="P702">
            <v>5747</v>
          </cell>
          <cell r="Q702">
            <v>28736</v>
          </cell>
        </row>
        <row r="703">
          <cell r="A703" t="str">
            <v>USCRP015603201400051</v>
          </cell>
          <cell r="B703" t="str">
            <v>USCRP01560</v>
          </cell>
          <cell r="C703">
            <v>3201400051</v>
          </cell>
          <cell r="D703" t="str">
            <v>MAINTENANCE EQUIPMENT</v>
          </cell>
          <cell r="E703">
            <v>2874</v>
          </cell>
          <cell r="F703">
            <v>1437</v>
          </cell>
          <cell r="G703">
            <v>1437</v>
          </cell>
          <cell r="H703">
            <v>1437</v>
          </cell>
          <cell r="I703">
            <v>0</v>
          </cell>
          <cell r="J703">
            <v>0</v>
          </cell>
          <cell r="K703">
            <v>0</v>
          </cell>
          <cell r="L703">
            <v>0</v>
          </cell>
          <cell r="M703">
            <v>4310</v>
          </cell>
          <cell r="N703">
            <v>5747</v>
          </cell>
          <cell r="O703">
            <v>5747</v>
          </cell>
          <cell r="P703">
            <v>5747</v>
          </cell>
          <cell r="Q703">
            <v>28736</v>
          </cell>
        </row>
        <row r="704">
          <cell r="A704" t="str">
            <v>USCRP015603311400099</v>
          </cell>
          <cell r="B704" t="str">
            <v>USCRP01560</v>
          </cell>
          <cell r="C704">
            <v>3311400099</v>
          </cell>
          <cell r="D704" t="str">
            <v>CO DEPRECIATION</v>
          </cell>
          <cell r="E704">
            <v>7426</v>
          </cell>
          <cell r="F704">
            <v>7426</v>
          </cell>
          <cell r="G704">
            <v>7426</v>
          </cell>
          <cell r="H704">
            <v>7426</v>
          </cell>
          <cell r="I704">
            <v>7426</v>
          </cell>
          <cell r="J704">
            <v>7426</v>
          </cell>
          <cell r="K704">
            <v>7426</v>
          </cell>
          <cell r="L704">
            <v>7426</v>
          </cell>
          <cell r="M704">
            <v>7426</v>
          </cell>
          <cell r="N704">
            <v>7426</v>
          </cell>
          <cell r="O704">
            <v>7426</v>
          </cell>
          <cell r="P704">
            <v>7425</v>
          </cell>
          <cell r="Q704">
            <v>89111</v>
          </cell>
        </row>
        <row r="705">
          <cell r="A705" t="str">
            <v>USCRP015603921200006</v>
          </cell>
          <cell r="B705" t="str">
            <v>USCRP01560</v>
          </cell>
          <cell r="C705">
            <v>3921200006</v>
          </cell>
          <cell r="D705" t="str">
            <v>FACTORY SUPPLIES MAINTENANCE SUPPLIES</v>
          </cell>
          <cell r="E705">
            <v>8621</v>
          </cell>
          <cell r="F705">
            <v>4310</v>
          </cell>
          <cell r="G705">
            <v>4310</v>
          </cell>
          <cell r="H705">
            <v>4310</v>
          </cell>
          <cell r="I705">
            <v>0</v>
          </cell>
          <cell r="J705">
            <v>0</v>
          </cell>
          <cell r="K705">
            <v>0</v>
          </cell>
          <cell r="L705">
            <v>0</v>
          </cell>
          <cell r="M705">
            <v>12931</v>
          </cell>
          <cell r="N705">
            <v>17242</v>
          </cell>
          <cell r="O705">
            <v>17242</v>
          </cell>
          <cell r="P705">
            <v>17242</v>
          </cell>
          <cell r="Q705">
            <v>86208</v>
          </cell>
        </row>
        <row r="706">
          <cell r="A706" t="str">
            <v>USCRP015603921200050</v>
          </cell>
          <cell r="B706" t="str">
            <v>USCRP01560</v>
          </cell>
          <cell r="C706">
            <v>3921200050</v>
          </cell>
          <cell r="D706" t="str">
            <v>SAFETY EQUIPMENT - SUPPLIES</v>
          </cell>
          <cell r="E706">
            <v>718</v>
          </cell>
          <cell r="F706">
            <v>359</v>
          </cell>
          <cell r="G706">
            <v>359</v>
          </cell>
          <cell r="H706">
            <v>359</v>
          </cell>
          <cell r="I706">
            <v>0</v>
          </cell>
          <cell r="J706">
            <v>0</v>
          </cell>
          <cell r="K706">
            <v>0</v>
          </cell>
          <cell r="L706">
            <v>0</v>
          </cell>
          <cell r="M706">
            <v>1078</v>
          </cell>
          <cell r="N706">
            <v>1437</v>
          </cell>
          <cell r="O706">
            <v>1437</v>
          </cell>
          <cell r="P706">
            <v>1437</v>
          </cell>
          <cell r="Q706">
            <v>7184</v>
          </cell>
        </row>
        <row r="707">
          <cell r="A707" t="str">
            <v>USCRP015603921200100</v>
          </cell>
          <cell r="B707" t="str">
            <v>USCRP01560</v>
          </cell>
          <cell r="C707">
            <v>3921200100</v>
          </cell>
          <cell r="D707" t="str">
            <v>FIELD &amp; PRODUCTION SUPPLIES</v>
          </cell>
          <cell r="E707">
            <v>5029</v>
          </cell>
          <cell r="F707">
            <v>2514</v>
          </cell>
          <cell r="G707">
            <v>2514</v>
          </cell>
          <cell r="H707">
            <v>2514</v>
          </cell>
          <cell r="I707">
            <v>0</v>
          </cell>
          <cell r="J707">
            <v>0</v>
          </cell>
          <cell r="K707">
            <v>0</v>
          </cell>
          <cell r="L707">
            <v>0</v>
          </cell>
          <cell r="M707">
            <v>7543</v>
          </cell>
          <cell r="N707">
            <v>10058</v>
          </cell>
          <cell r="O707">
            <v>10058</v>
          </cell>
          <cell r="P707">
            <v>10058</v>
          </cell>
          <cell r="Q707">
            <v>50288</v>
          </cell>
        </row>
        <row r="708">
          <cell r="A708" t="str">
            <v>USCRP015643111100000</v>
          </cell>
          <cell r="B708" t="str">
            <v>USCRP01564</v>
          </cell>
          <cell r="C708">
            <v>3111100000</v>
          </cell>
          <cell r="D708" t="str">
            <v>WAGES,SALARIES,ALLOWANCES AND COMMI/PERM</v>
          </cell>
          <cell r="E708">
            <v>3894</v>
          </cell>
          <cell r="F708">
            <v>3894</v>
          </cell>
          <cell r="G708">
            <v>3894</v>
          </cell>
          <cell r="H708">
            <v>3894</v>
          </cell>
          <cell r="I708">
            <v>3894</v>
          </cell>
          <cell r="J708">
            <v>3894</v>
          </cell>
          <cell r="K708">
            <v>3894</v>
          </cell>
          <cell r="L708">
            <v>3894</v>
          </cell>
          <cell r="M708">
            <v>3894</v>
          </cell>
          <cell r="N708">
            <v>3894</v>
          </cell>
          <cell r="O708">
            <v>3894</v>
          </cell>
          <cell r="P708">
            <v>3894</v>
          </cell>
          <cell r="Q708">
            <v>46728</v>
          </cell>
        </row>
        <row r="709">
          <cell r="A709" t="str">
            <v>USCRP015643111100012</v>
          </cell>
          <cell r="B709" t="str">
            <v>USCRP01564</v>
          </cell>
          <cell r="C709">
            <v>3111100012</v>
          </cell>
          <cell r="D709" t="str">
            <v>OVERTIME HOURS /PERMANENTS</v>
          </cell>
          <cell r="E709">
            <v>2025</v>
          </cell>
          <cell r="F709">
            <v>2025</v>
          </cell>
          <cell r="G709">
            <v>2025</v>
          </cell>
          <cell r="H709">
            <v>2025</v>
          </cell>
          <cell r="I709">
            <v>2025</v>
          </cell>
          <cell r="J709">
            <v>2025</v>
          </cell>
          <cell r="K709">
            <v>2025</v>
          </cell>
          <cell r="L709">
            <v>2025</v>
          </cell>
          <cell r="M709">
            <v>2025</v>
          </cell>
          <cell r="N709">
            <v>2025</v>
          </cell>
          <cell r="O709">
            <v>2025</v>
          </cell>
          <cell r="P709">
            <v>2024</v>
          </cell>
          <cell r="Q709">
            <v>24299</v>
          </cell>
        </row>
        <row r="710">
          <cell r="A710" t="str">
            <v>USCRP015643121300013</v>
          </cell>
          <cell r="B710" t="str">
            <v>USCRP01564</v>
          </cell>
          <cell r="C710">
            <v>3121300013</v>
          </cell>
          <cell r="D710" t="str">
            <v>FRINGE BENEFITS</v>
          </cell>
          <cell r="E710">
            <v>2237</v>
          </cell>
          <cell r="F710">
            <v>2237</v>
          </cell>
          <cell r="G710">
            <v>2237</v>
          </cell>
          <cell r="H710">
            <v>2237</v>
          </cell>
          <cell r="I710">
            <v>2237</v>
          </cell>
          <cell r="J710">
            <v>2237</v>
          </cell>
          <cell r="K710">
            <v>2237</v>
          </cell>
          <cell r="L710">
            <v>2237</v>
          </cell>
          <cell r="M710">
            <v>2237</v>
          </cell>
          <cell r="N710">
            <v>2237</v>
          </cell>
          <cell r="O710">
            <v>2237</v>
          </cell>
          <cell r="P710">
            <v>2241</v>
          </cell>
          <cell r="Q710">
            <v>26848</v>
          </cell>
        </row>
        <row r="711">
          <cell r="A711" t="str">
            <v>USCRP015643131100025</v>
          </cell>
          <cell r="B711" t="str">
            <v>USCRP01564</v>
          </cell>
          <cell r="C711">
            <v>3131100025</v>
          </cell>
          <cell r="D711" t="str">
            <v>OTHER PERSONNEL EXPENSES</v>
          </cell>
          <cell r="E711">
            <v>91</v>
          </cell>
          <cell r="F711">
            <v>91</v>
          </cell>
          <cell r="G711">
            <v>0</v>
          </cell>
          <cell r="H711">
            <v>0</v>
          </cell>
          <cell r="I711">
            <v>0</v>
          </cell>
          <cell r="J711">
            <v>0</v>
          </cell>
          <cell r="K711">
            <v>0</v>
          </cell>
          <cell r="L711">
            <v>91</v>
          </cell>
          <cell r="M711">
            <v>363</v>
          </cell>
          <cell r="N711">
            <v>636</v>
          </cell>
          <cell r="O711">
            <v>363</v>
          </cell>
          <cell r="P711">
            <v>182</v>
          </cell>
          <cell r="Q711">
            <v>1817</v>
          </cell>
        </row>
        <row r="712">
          <cell r="A712" t="str">
            <v>USCRP015643201300001</v>
          </cell>
          <cell r="B712" t="str">
            <v>USCRP01564</v>
          </cell>
          <cell r="C712">
            <v>3201300001</v>
          </cell>
          <cell r="D712" t="str">
            <v>HIRED PERSONNEL FROM 3RD PARTIES</v>
          </cell>
          <cell r="E712">
            <v>22700</v>
          </cell>
          <cell r="F712">
            <v>22700</v>
          </cell>
          <cell r="G712">
            <v>0</v>
          </cell>
          <cell r="H712">
            <v>0</v>
          </cell>
          <cell r="I712">
            <v>0</v>
          </cell>
          <cell r="J712">
            <v>0</v>
          </cell>
          <cell r="K712">
            <v>0</v>
          </cell>
          <cell r="L712">
            <v>22700</v>
          </cell>
          <cell r="M712">
            <v>90800</v>
          </cell>
          <cell r="N712">
            <v>158900</v>
          </cell>
          <cell r="O712">
            <v>90800</v>
          </cell>
          <cell r="P712">
            <v>45400</v>
          </cell>
          <cell r="Q712">
            <v>454000</v>
          </cell>
        </row>
        <row r="713">
          <cell r="A713" t="str">
            <v>USCRP015643201400029</v>
          </cell>
          <cell r="B713" t="str">
            <v>USCRP01564</v>
          </cell>
          <cell r="C713">
            <v>3201400029</v>
          </cell>
          <cell r="D713" t="str">
            <v>OTH OUTSIDE SERVICES OTHER</v>
          </cell>
          <cell r="E713">
            <v>1816</v>
          </cell>
          <cell r="F713">
            <v>1816</v>
          </cell>
          <cell r="G713">
            <v>0</v>
          </cell>
          <cell r="H713">
            <v>0</v>
          </cell>
          <cell r="I713">
            <v>0</v>
          </cell>
          <cell r="J713">
            <v>0</v>
          </cell>
          <cell r="K713">
            <v>0</v>
          </cell>
          <cell r="L713">
            <v>1816</v>
          </cell>
          <cell r="M713">
            <v>7264</v>
          </cell>
          <cell r="N713">
            <v>12712</v>
          </cell>
          <cell r="O713">
            <v>7264</v>
          </cell>
          <cell r="P713">
            <v>3632</v>
          </cell>
          <cell r="Q713">
            <v>36320</v>
          </cell>
        </row>
        <row r="714">
          <cell r="A714" t="str">
            <v>USCRP015643201400036</v>
          </cell>
          <cell r="B714" t="str">
            <v>USCRP01564</v>
          </cell>
          <cell r="C714">
            <v>3201400036</v>
          </cell>
          <cell r="D714" t="str">
            <v>OTHER MAINTENANCE BUILDINGS</v>
          </cell>
          <cell r="E714">
            <v>227</v>
          </cell>
          <cell r="F714">
            <v>227</v>
          </cell>
          <cell r="G714">
            <v>0</v>
          </cell>
          <cell r="H714">
            <v>0</v>
          </cell>
          <cell r="I714">
            <v>0</v>
          </cell>
          <cell r="J714">
            <v>0</v>
          </cell>
          <cell r="K714">
            <v>0</v>
          </cell>
          <cell r="L714">
            <v>227</v>
          </cell>
          <cell r="M714">
            <v>908</v>
          </cell>
          <cell r="N714">
            <v>1589</v>
          </cell>
          <cell r="O714">
            <v>908</v>
          </cell>
          <cell r="P714">
            <v>454</v>
          </cell>
          <cell r="Q714">
            <v>4540</v>
          </cell>
        </row>
        <row r="715">
          <cell r="A715" t="str">
            <v>USCRP015643201400051</v>
          </cell>
          <cell r="B715" t="str">
            <v>USCRP01564</v>
          </cell>
          <cell r="C715">
            <v>3201400051</v>
          </cell>
          <cell r="D715" t="str">
            <v>MAINTENANCE EQUIPMENT</v>
          </cell>
          <cell r="E715">
            <v>227</v>
          </cell>
          <cell r="F715">
            <v>227</v>
          </cell>
          <cell r="G715">
            <v>0</v>
          </cell>
          <cell r="H715">
            <v>0</v>
          </cell>
          <cell r="I715">
            <v>0</v>
          </cell>
          <cell r="J715">
            <v>0</v>
          </cell>
          <cell r="K715">
            <v>0</v>
          </cell>
          <cell r="L715">
            <v>227</v>
          </cell>
          <cell r="M715">
            <v>908</v>
          </cell>
          <cell r="N715">
            <v>1589</v>
          </cell>
          <cell r="O715">
            <v>908</v>
          </cell>
          <cell r="P715">
            <v>454</v>
          </cell>
          <cell r="Q715">
            <v>4540</v>
          </cell>
        </row>
        <row r="716">
          <cell r="A716" t="str">
            <v>USCRP015643921100001</v>
          </cell>
          <cell r="B716" t="str">
            <v>USCRP01564</v>
          </cell>
          <cell r="C716">
            <v>3921100001</v>
          </cell>
          <cell r="D716" t="str">
            <v>UTILITY EXPENSES ELECTRICITY</v>
          </cell>
          <cell r="E716">
            <v>11350</v>
          </cell>
          <cell r="F716">
            <v>11350</v>
          </cell>
          <cell r="G716">
            <v>0</v>
          </cell>
          <cell r="H716">
            <v>0</v>
          </cell>
          <cell r="I716">
            <v>0</v>
          </cell>
          <cell r="J716">
            <v>0</v>
          </cell>
          <cell r="K716">
            <v>0</v>
          </cell>
          <cell r="L716">
            <v>11350</v>
          </cell>
          <cell r="M716">
            <v>45400</v>
          </cell>
          <cell r="N716">
            <v>79450</v>
          </cell>
          <cell r="O716">
            <v>45400</v>
          </cell>
          <cell r="P716">
            <v>22700</v>
          </cell>
          <cell r="Q716">
            <v>227000</v>
          </cell>
        </row>
        <row r="717">
          <cell r="A717" t="str">
            <v>USCRP015643921200001</v>
          </cell>
          <cell r="B717" t="str">
            <v>USCRP01564</v>
          </cell>
          <cell r="C717">
            <v>3921200001</v>
          </cell>
          <cell r="D717" t="str">
            <v>FUEL</v>
          </cell>
          <cell r="E717">
            <v>227</v>
          </cell>
          <cell r="F717">
            <v>227</v>
          </cell>
          <cell r="G717">
            <v>0</v>
          </cell>
          <cell r="H717">
            <v>0</v>
          </cell>
          <cell r="I717">
            <v>0</v>
          </cell>
          <cell r="J717">
            <v>0</v>
          </cell>
          <cell r="K717">
            <v>0</v>
          </cell>
          <cell r="L717">
            <v>227</v>
          </cell>
          <cell r="M717">
            <v>908</v>
          </cell>
          <cell r="N717">
            <v>1589</v>
          </cell>
          <cell r="O717">
            <v>908</v>
          </cell>
          <cell r="P717">
            <v>454</v>
          </cell>
          <cell r="Q717">
            <v>4540</v>
          </cell>
        </row>
        <row r="718">
          <cell r="A718" t="str">
            <v>USCRP015643921200003</v>
          </cell>
          <cell r="B718" t="str">
            <v>USCRP01564</v>
          </cell>
          <cell r="C718">
            <v>3921200003</v>
          </cell>
          <cell r="D718" t="str">
            <v>GAS</v>
          </cell>
          <cell r="E718">
            <v>27240</v>
          </cell>
          <cell r="F718">
            <v>27240</v>
          </cell>
          <cell r="G718">
            <v>0</v>
          </cell>
          <cell r="H718">
            <v>0</v>
          </cell>
          <cell r="I718">
            <v>0</v>
          </cell>
          <cell r="J718">
            <v>0</v>
          </cell>
          <cell r="K718">
            <v>0</v>
          </cell>
          <cell r="L718">
            <v>27240</v>
          </cell>
          <cell r="M718">
            <v>108960</v>
          </cell>
          <cell r="N718">
            <v>190681</v>
          </cell>
          <cell r="O718">
            <v>108960</v>
          </cell>
          <cell r="P718">
            <v>54480</v>
          </cell>
          <cell r="Q718">
            <v>544801</v>
          </cell>
        </row>
        <row r="719">
          <cell r="A719" t="str">
            <v>USCRP015643921200006</v>
          </cell>
          <cell r="B719" t="str">
            <v>USCRP01564</v>
          </cell>
          <cell r="C719">
            <v>3921200006</v>
          </cell>
          <cell r="D719" t="str">
            <v>FACTORY SUPPLIES MAINTENANCE SUPPLIES</v>
          </cell>
          <cell r="E719">
            <v>4540</v>
          </cell>
          <cell r="F719">
            <v>4540</v>
          </cell>
          <cell r="G719">
            <v>0</v>
          </cell>
          <cell r="H719">
            <v>0</v>
          </cell>
          <cell r="I719">
            <v>0</v>
          </cell>
          <cell r="J719">
            <v>0</v>
          </cell>
          <cell r="K719">
            <v>0</v>
          </cell>
          <cell r="L719">
            <v>4540</v>
          </cell>
          <cell r="M719">
            <v>18160</v>
          </cell>
          <cell r="N719">
            <v>31780</v>
          </cell>
          <cell r="O719">
            <v>18160</v>
          </cell>
          <cell r="P719">
            <v>9080</v>
          </cell>
          <cell r="Q719">
            <v>90800</v>
          </cell>
        </row>
        <row r="720">
          <cell r="A720" t="str">
            <v>USCRP015643921200050</v>
          </cell>
          <cell r="B720" t="str">
            <v>USCRP01564</v>
          </cell>
          <cell r="C720">
            <v>3921200050</v>
          </cell>
          <cell r="D720" t="str">
            <v>SAFETY EQUIPMENT - SUPPLIES</v>
          </cell>
          <cell r="E720">
            <v>409</v>
          </cell>
          <cell r="F720">
            <v>409</v>
          </cell>
          <cell r="G720">
            <v>0</v>
          </cell>
          <cell r="H720">
            <v>0</v>
          </cell>
          <cell r="I720">
            <v>0</v>
          </cell>
          <cell r="J720">
            <v>0</v>
          </cell>
          <cell r="K720">
            <v>0</v>
          </cell>
          <cell r="L720">
            <v>409</v>
          </cell>
          <cell r="M720">
            <v>1634</v>
          </cell>
          <cell r="N720">
            <v>2860</v>
          </cell>
          <cell r="O720">
            <v>1634</v>
          </cell>
          <cell r="P720">
            <v>817</v>
          </cell>
          <cell r="Q720">
            <v>8172</v>
          </cell>
        </row>
        <row r="721">
          <cell r="A721" t="str">
            <v>USCRP015643941100002</v>
          </cell>
          <cell r="B721" t="str">
            <v>USCRP01564</v>
          </cell>
          <cell r="C721">
            <v>3941100002</v>
          </cell>
          <cell r="D721" t="str">
            <v>FREIGHT BETWEEN PLANTS</v>
          </cell>
          <cell r="E721">
            <v>2270</v>
          </cell>
          <cell r="F721">
            <v>2270</v>
          </cell>
          <cell r="G721">
            <v>0</v>
          </cell>
          <cell r="H721">
            <v>0</v>
          </cell>
          <cell r="I721">
            <v>0</v>
          </cell>
          <cell r="J721">
            <v>0</v>
          </cell>
          <cell r="K721">
            <v>0</v>
          </cell>
          <cell r="L721">
            <v>2270</v>
          </cell>
          <cell r="M721">
            <v>9080</v>
          </cell>
          <cell r="N721">
            <v>15890</v>
          </cell>
          <cell r="O721">
            <v>9080</v>
          </cell>
          <cell r="P721">
            <v>4540</v>
          </cell>
          <cell r="Q721">
            <v>45400</v>
          </cell>
        </row>
        <row r="722">
          <cell r="A722" t="str">
            <v>USCRP015643941100013</v>
          </cell>
          <cell r="B722" t="str">
            <v>USCRP01564</v>
          </cell>
          <cell r="C722">
            <v>3941100013</v>
          </cell>
          <cell r="D722" t="str">
            <v>FREIGHT IN</v>
          </cell>
          <cell r="E722">
            <v>1816</v>
          </cell>
          <cell r="F722">
            <v>1816</v>
          </cell>
          <cell r="G722">
            <v>0</v>
          </cell>
          <cell r="H722">
            <v>0</v>
          </cell>
          <cell r="I722">
            <v>0</v>
          </cell>
          <cell r="J722">
            <v>0</v>
          </cell>
          <cell r="K722">
            <v>0</v>
          </cell>
          <cell r="L722">
            <v>1816</v>
          </cell>
          <cell r="M722">
            <v>7264</v>
          </cell>
          <cell r="N722">
            <v>12712</v>
          </cell>
          <cell r="O722">
            <v>7264</v>
          </cell>
          <cell r="P722">
            <v>3632</v>
          </cell>
          <cell r="Q722">
            <v>36320</v>
          </cell>
        </row>
        <row r="723">
          <cell r="A723" t="str">
            <v>USCRP015753111100000</v>
          </cell>
          <cell r="B723" t="str">
            <v>USCRP01575</v>
          </cell>
          <cell r="C723">
            <v>3111100000</v>
          </cell>
          <cell r="D723" t="str">
            <v>WAGES,SALARIES,ALLOWANCES AND COMMI/PERM</v>
          </cell>
          <cell r="E723">
            <v>11487</v>
          </cell>
          <cell r="F723">
            <v>11487</v>
          </cell>
          <cell r="G723">
            <v>11487</v>
          </cell>
          <cell r="H723">
            <v>11487</v>
          </cell>
          <cell r="I723">
            <v>11487</v>
          </cell>
          <cell r="J723">
            <v>11487</v>
          </cell>
          <cell r="K723">
            <v>11487</v>
          </cell>
          <cell r="L723">
            <v>11487</v>
          </cell>
          <cell r="M723">
            <v>11487</v>
          </cell>
          <cell r="N723">
            <v>11487</v>
          </cell>
          <cell r="O723">
            <v>11487</v>
          </cell>
          <cell r="P723">
            <v>11485</v>
          </cell>
          <cell r="Q723">
            <v>137842</v>
          </cell>
        </row>
        <row r="724">
          <cell r="A724" t="str">
            <v>USCRP015753111100012</v>
          </cell>
          <cell r="B724" t="str">
            <v>USCRP01575</v>
          </cell>
          <cell r="C724">
            <v>3111100012</v>
          </cell>
          <cell r="D724" t="str">
            <v>OVERTIME HOURS /PERMANENTS</v>
          </cell>
          <cell r="E724">
            <v>2068</v>
          </cell>
          <cell r="F724">
            <v>2068</v>
          </cell>
          <cell r="G724">
            <v>2068</v>
          </cell>
          <cell r="H724">
            <v>2068</v>
          </cell>
          <cell r="I724">
            <v>2068</v>
          </cell>
          <cell r="J724">
            <v>2068</v>
          </cell>
          <cell r="K724">
            <v>2068</v>
          </cell>
          <cell r="L724">
            <v>2068</v>
          </cell>
          <cell r="M724">
            <v>2068</v>
          </cell>
          <cell r="N724">
            <v>2068</v>
          </cell>
          <cell r="O724">
            <v>2068</v>
          </cell>
          <cell r="P724">
            <v>2062</v>
          </cell>
          <cell r="Q724">
            <v>24810</v>
          </cell>
        </row>
        <row r="725">
          <cell r="A725" t="str">
            <v>USCRP015753121300013</v>
          </cell>
          <cell r="B725" t="str">
            <v>USCRP01575</v>
          </cell>
          <cell r="C725">
            <v>3121300013</v>
          </cell>
          <cell r="D725" t="str">
            <v>FRINGE BENEFITS</v>
          </cell>
          <cell r="E725">
            <v>5124</v>
          </cell>
          <cell r="F725">
            <v>5124</v>
          </cell>
          <cell r="G725">
            <v>5124</v>
          </cell>
          <cell r="H725">
            <v>5124</v>
          </cell>
          <cell r="I725">
            <v>5124</v>
          </cell>
          <cell r="J725">
            <v>5124</v>
          </cell>
          <cell r="K725">
            <v>5124</v>
          </cell>
          <cell r="L725">
            <v>5124</v>
          </cell>
          <cell r="M725">
            <v>5124</v>
          </cell>
          <cell r="N725">
            <v>5124</v>
          </cell>
          <cell r="O725">
            <v>5124</v>
          </cell>
          <cell r="P725">
            <v>5118</v>
          </cell>
          <cell r="Q725">
            <v>61482</v>
          </cell>
        </row>
        <row r="726">
          <cell r="A726" t="str">
            <v>USCRP015753201300001</v>
          </cell>
          <cell r="B726" t="str">
            <v>USCRP01575</v>
          </cell>
          <cell r="C726">
            <v>3201300001</v>
          </cell>
          <cell r="D726" t="str">
            <v>HIRED PERSONNEL FROM 3RD PARTIES</v>
          </cell>
          <cell r="E726">
            <v>12275</v>
          </cell>
          <cell r="F726">
            <v>12275</v>
          </cell>
          <cell r="G726">
            <v>12275</v>
          </cell>
          <cell r="H726">
            <v>0</v>
          </cell>
          <cell r="I726">
            <v>12275</v>
          </cell>
          <cell r="J726">
            <v>36826</v>
          </cell>
          <cell r="K726">
            <v>73652</v>
          </cell>
          <cell r="L726">
            <v>73652</v>
          </cell>
          <cell r="M726">
            <v>0</v>
          </cell>
          <cell r="N726">
            <v>0</v>
          </cell>
          <cell r="O726">
            <v>0</v>
          </cell>
          <cell r="P726">
            <v>12275</v>
          </cell>
          <cell r="Q726">
            <v>245505</v>
          </cell>
        </row>
        <row r="727">
          <cell r="A727" t="str">
            <v>USCRP015753311400099</v>
          </cell>
          <cell r="B727" t="str">
            <v>USCRP01575</v>
          </cell>
          <cell r="C727">
            <v>3311400099</v>
          </cell>
          <cell r="D727" t="str">
            <v>CO DEPRECIATION</v>
          </cell>
          <cell r="E727">
            <v>3642</v>
          </cell>
          <cell r="F727">
            <v>3642</v>
          </cell>
          <cell r="G727">
            <v>3642</v>
          </cell>
          <cell r="H727">
            <v>3642</v>
          </cell>
          <cell r="I727">
            <v>3642</v>
          </cell>
          <cell r="J727">
            <v>3642</v>
          </cell>
          <cell r="K727">
            <v>3642</v>
          </cell>
          <cell r="L727">
            <v>3642</v>
          </cell>
          <cell r="M727">
            <v>3642</v>
          </cell>
          <cell r="N727">
            <v>3642</v>
          </cell>
          <cell r="O727">
            <v>3642</v>
          </cell>
          <cell r="P727">
            <v>3644</v>
          </cell>
          <cell r="Q727">
            <v>43706</v>
          </cell>
        </row>
        <row r="728">
          <cell r="A728" t="str">
            <v>USCRP015753921200100</v>
          </cell>
          <cell r="B728" t="str">
            <v>USCRP01575</v>
          </cell>
          <cell r="C728">
            <v>3921200100</v>
          </cell>
          <cell r="D728" t="str">
            <v>FIELD &amp; PRODUCTION SUPPLIES</v>
          </cell>
          <cell r="E728">
            <v>1771</v>
          </cell>
          <cell r="F728">
            <v>1771</v>
          </cell>
          <cell r="G728">
            <v>1771</v>
          </cell>
          <cell r="H728">
            <v>0</v>
          </cell>
          <cell r="I728">
            <v>1771</v>
          </cell>
          <cell r="J728">
            <v>5314</v>
          </cell>
          <cell r="K728">
            <v>10627</v>
          </cell>
          <cell r="L728">
            <v>10627</v>
          </cell>
          <cell r="M728">
            <v>0</v>
          </cell>
          <cell r="N728">
            <v>0</v>
          </cell>
          <cell r="O728">
            <v>0</v>
          </cell>
          <cell r="P728">
            <v>1771</v>
          </cell>
          <cell r="Q728">
            <v>35423</v>
          </cell>
        </row>
        <row r="729">
          <cell r="A729" t="str">
            <v>USCRP015853111100000</v>
          </cell>
          <cell r="B729" t="str">
            <v>USCRP01585</v>
          </cell>
          <cell r="C729">
            <v>3111100000</v>
          </cell>
          <cell r="D729" t="str">
            <v>WAGES,SALARIES,ALLOWANCES AND COMMI/PERM</v>
          </cell>
          <cell r="E729">
            <v>3002</v>
          </cell>
          <cell r="F729">
            <v>3002</v>
          </cell>
          <cell r="G729">
            <v>3002</v>
          </cell>
          <cell r="H729">
            <v>3002</v>
          </cell>
          <cell r="I729">
            <v>3002</v>
          </cell>
          <cell r="J729">
            <v>3002</v>
          </cell>
          <cell r="K729">
            <v>3002</v>
          </cell>
          <cell r="L729">
            <v>3002</v>
          </cell>
          <cell r="M729">
            <v>3002</v>
          </cell>
          <cell r="N729">
            <v>3002</v>
          </cell>
          <cell r="O729">
            <v>3002</v>
          </cell>
          <cell r="P729">
            <v>3002</v>
          </cell>
          <cell r="Q729">
            <v>36024</v>
          </cell>
        </row>
        <row r="730">
          <cell r="A730" t="str">
            <v>USCRP015853111100012</v>
          </cell>
          <cell r="B730" t="str">
            <v>USCRP01585</v>
          </cell>
          <cell r="C730">
            <v>3111100012</v>
          </cell>
          <cell r="D730" t="str">
            <v>OVERTIME HOURS /PERMANENTS</v>
          </cell>
          <cell r="E730">
            <v>429</v>
          </cell>
          <cell r="F730">
            <v>429</v>
          </cell>
          <cell r="G730">
            <v>429</v>
          </cell>
          <cell r="H730">
            <v>429</v>
          </cell>
          <cell r="I730">
            <v>429</v>
          </cell>
          <cell r="J730">
            <v>429</v>
          </cell>
          <cell r="K730">
            <v>429</v>
          </cell>
          <cell r="L730">
            <v>429</v>
          </cell>
          <cell r="M730">
            <v>429</v>
          </cell>
          <cell r="N730">
            <v>429</v>
          </cell>
          <cell r="O730">
            <v>429</v>
          </cell>
          <cell r="P730">
            <v>427</v>
          </cell>
          <cell r="Q730">
            <v>5146</v>
          </cell>
        </row>
        <row r="731">
          <cell r="A731" t="str">
            <v>USCRP015853121300013</v>
          </cell>
          <cell r="B731" t="str">
            <v>USCRP01585</v>
          </cell>
          <cell r="C731">
            <v>3121300013</v>
          </cell>
          <cell r="D731" t="str">
            <v>FRINGE BENEFITS</v>
          </cell>
          <cell r="E731">
            <v>1297</v>
          </cell>
          <cell r="F731">
            <v>1297</v>
          </cell>
          <cell r="G731">
            <v>1297</v>
          </cell>
          <cell r="H731">
            <v>1297</v>
          </cell>
          <cell r="I731">
            <v>1297</v>
          </cell>
          <cell r="J731">
            <v>1297</v>
          </cell>
          <cell r="K731">
            <v>1297</v>
          </cell>
          <cell r="L731">
            <v>1297</v>
          </cell>
          <cell r="M731">
            <v>1297</v>
          </cell>
          <cell r="N731">
            <v>1297</v>
          </cell>
          <cell r="O731">
            <v>1297</v>
          </cell>
          <cell r="P731">
            <v>1295</v>
          </cell>
          <cell r="Q731">
            <v>15562</v>
          </cell>
        </row>
        <row r="732">
          <cell r="A732" t="str">
            <v>USCRP015853201300001</v>
          </cell>
          <cell r="B732" t="str">
            <v>USCRP01585</v>
          </cell>
          <cell r="C732">
            <v>3201300001</v>
          </cell>
          <cell r="D732" t="str">
            <v>HIRED PERSONNEL FROM 3RD PARTIES</v>
          </cell>
          <cell r="E732">
            <v>5250</v>
          </cell>
          <cell r="F732">
            <v>5250</v>
          </cell>
          <cell r="G732">
            <v>4500</v>
          </cell>
          <cell r="H732">
            <v>4500</v>
          </cell>
          <cell r="I732">
            <v>7500</v>
          </cell>
          <cell r="J732">
            <v>7500</v>
          </cell>
          <cell r="K732">
            <v>7500</v>
          </cell>
          <cell r="L732">
            <v>7500</v>
          </cell>
          <cell r="M732">
            <v>7500</v>
          </cell>
          <cell r="N732">
            <v>7500</v>
          </cell>
          <cell r="O732">
            <v>5250</v>
          </cell>
          <cell r="P732">
            <v>5250</v>
          </cell>
          <cell r="Q732">
            <v>75000</v>
          </cell>
        </row>
        <row r="733">
          <cell r="A733" t="str">
            <v>USCRP015903111100000</v>
          </cell>
          <cell r="B733" t="str">
            <v>USCRP01590</v>
          </cell>
          <cell r="C733">
            <v>3111100000</v>
          </cell>
          <cell r="D733" t="str">
            <v>WAGES,SALARIES,ALLOWANCES AND COMMI/PERM</v>
          </cell>
          <cell r="E733">
            <v>429</v>
          </cell>
          <cell r="F733">
            <v>429</v>
          </cell>
          <cell r="G733">
            <v>429</v>
          </cell>
          <cell r="H733">
            <v>429</v>
          </cell>
          <cell r="I733">
            <v>429</v>
          </cell>
          <cell r="J733">
            <v>429</v>
          </cell>
          <cell r="K733">
            <v>429</v>
          </cell>
          <cell r="L733">
            <v>429</v>
          </cell>
          <cell r="M733">
            <v>429</v>
          </cell>
          <cell r="N733">
            <v>429</v>
          </cell>
          <cell r="O733">
            <v>429</v>
          </cell>
          <cell r="P733">
            <v>427</v>
          </cell>
          <cell r="Q733">
            <v>5146</v>
          </cell>
        </row>
        <row r="734">
          <cell r="A734" t="str">
            <v>USCRP015903121300013</v>
          </cell>
          <cell r="B734" t="str">
            <v>USCRP01590</v>
          </cell>
          <cell r="C734">
            <v>3121300013</v>
          </cell>
          <cell r="D734" t="str">
            <v>FRINGE BENEFITS</v>
          </cell>
          <cell r="E734">
            <v>162</v>
          </cell>
          <cell r="F734">
            <v>162</v>
          </cell>
          <cell r="G734">
            <v>162</v>
          </cell>
          <cell r="H734">
            <v>162</v>
          </cell>
          <cell r="I734">
            <v>162</v>
          </cell>
          <cell r="J734">
            <v>162</v>
          </cell>
          <cell r="K734">
            <v>162</v>
          </cell>
          <cell r="L734">
            <v>162</v>
          </cell>
          <cell r="M734">
            <v>162</v>
          </cell>
          <cell r="N734">
            <v>162</v>
          </cell>
          <cell r="O734">
            <v>162</v>
          </cell>
          <cell r="P734">
            <v>163</v>
          </cell>
          <cell r="Q734">
            <v>1945</v>
          </cell>
        </row>
        <row r="735">
          <cell r="A735" t="str">
            <v>USCRP015903201300001</v>
          </cell>
          <cell r="B735" t="str">
            <v>USCRP01590</v>
          </cell>
          <cell r="C735">
            <v>3201300001</v>
          </cell>
          <cell r="D735" t="str">
            <v>HIRED PERSONNEL FROM 3RD PARTIES</v>
          </cell>
          <cell r="E735">
            <v>2500</v>
          </cell>
          <cell r="F735">
            <v>1250</v>
          </cell>
          <cell r="G735">
            <v>1250</v>
          </cell>
          <cell r="H735">
            <v>1250</v>
          </cell>
          <cell r="I735">
            <v>1250</v>
          </cell>
          <cell r="J735">
            <v>2500</v>
          </cell>
          <cell r="K735">
            <v>2500</v>
          </cell>
          <cell r="L735">
            <v>2500</v>
          </cell>
          <cell r="M735">
            <v>2500</v>
          </cell>
          <cell r="N735">
            <v>2500</v>
          </cell>
          <cell r="O735">
            <v>2500</v>
          </cell>
          <cell r="P735">
            <v>2500</v>
          </cell>
          <cell r="Q735">
            <v>25000</v>
          </cell>
        </row>
        <row r="736">
          <cell r="A736" t="str">
            <v>USCRP015903201400051</v>
          </cell>
          <cell r="B736" t="str">
            <v>USCRP01590</v>
          </cell>
          <cell r="C736">
            <v>3201400051</v>
          </cell>
          <cell r="D736" t="str">
            <v>MAINTENANCE EQUIPMENT</v>
          </cell>
          <cell r="E736">
            <v>250</v>
          </cell>
          <cell r="F736">
            <v>125</v>
          </cell>
          <cell r="G736">
            <v>125</v>
          </cell>
          <cell r="H736">
            <v>125</v>
          </cell>
          <cell r="I736">
            <v>125</v>
          </cell>
          <cell r="J736">
            <v>250</v>
          </cell>
          <cell r="K736">
            <v>250</v>
          </cell>
          <cell r="L736">
            <v>250</v>
          </cell>
          <cell r="M736">
            <v>250</v>
          </cell>
          <cell r="N736">
            <v>250</v>
          </cell>
          <cell r="O736">
            <v>250</v>
          </cell>
          <cell r="P736">
            <v>250</v>
          </cell>
          <cell r="Q736">
            <v>2500</v>
          </cell>
        </row>
        <row r="737">
          <cell r="A737" t="str">
            <v>USSTP015013201400029</v>
          </cell>
          <cell r="B737" t="str">
            <v>USSTP01501</v>
          </cell>
          <cell r="C737">
            <v>3201400029</v>
          </cell>
          <cell r="D737" t="str">
            <v>OTH OUTSIDE SERVICES OTHER</v>
          </cell>
          <cell r="E737">
            <v>2500</v>
          </cell>
          <cell r="F737">
            <v>2500</v>
          </cell>
          <cell r="G737">
            <v>2500</v>
          </cell>
          <cell r="H737">
            <v>2500</v>
          </cell>
          <cell r="I737">
            <v>2500</v>
          </cell>
          <cell r="J737">
            <v>2500</v>
          </cell>
          <cell r="K737">
            <v>2500</v>
          </cell>
          <cell r="L737">
            <v>2500</v>
          </cell>
          <cell r="M737">
            <v>2500</v>
          </cell>
          <cell r="N737">
            <v>2500</v>
          </cell>
          <cell r="O737">
            <v>2500</v>
          </cell>
          <cell r="P737">
            <v>2500</v>
          </cell>
          <cell r="Q737">
            <v>30000</v>
          </cell>
        </row>
        <row r="738">
          <cell r="A738" t="str">
            <v>USSTP015013311400099</v>
          </cell>
          <cell r="B738" t="str">
            <v>USSTP01501</v>
          </cell>
          <cell r="C738">
            <v>3311400099</v>
          </cell>
          <cell r="D738" t="str">
            <v>CO DEPRECIATION</v>
          </cell>
          <cell r="E738">
            <v>4185</v>
          </cell>
          <cell r="F738">
            <v>4185</v>
          </cell>
          <cell r="G738">
            <v>4185</v>
          </cell>
          <cell r="H738">
            <v>4185</v>
          </cell>
          <cell r="I738">
            <v>4185</v>
          </cell>
          <cell r="J738">
            <v>4185</v>
          </cell>
          <cell r="K738">
            <v>4185</v>
          </cell>
          <cell r="L738">
            <v>4185</v>
          </cell>
          <cell r="M738">
            <v>4184</v>
          </cell>
          <cell r="N738">
            <v>4184</v>
          </cell>
          <cell r="O738">
            <v>4184</v>
          </cell>
          <cell r="P738">
            <v>4184</v>
          </cell>
          <cell r="Q738">
            <v>50216</v>
          </cell>
        </row>
        <row r="739">
          <cell r="A739" t="str">
            <v>USSTP015013501500034</v>
          </cell>
          <cell r="B739" t="str">
            <v>USSTP01501</v>
          </cell>
          <cell r="C739">
            <v>3501500034</v>
          </cell>
          <cell r="D739" t="str">
            <v>PROPERTY TAXES</v>
          </cell>
          <cell r="E739">
            <v>3280</v>
          </cell>
          <cell r="F739">
            <v>3280</v>
          </cell>
          <cell r="G739">
            <v>3280</v>
          </cell>
          <cell r="H739">
            <v>3280</v>
          </cell>
          <cell r="I739">
            <v>3280</v>
          </cell>
          <cell r="J739">
            <v>3280</v>
          </cell>
          <cell r="K739">
            <v>3280</v>
          </cell>
          <cell r="L739">
            <v>3280</v>
          </cell>
          <cell r="M739">
            <v>3280</v>
          </cell>
          <cell r="N739">
            <v>3280</v>
          </cell>
          <cell r="O739">
            <v>3280</v>
          </cell>
          <cell r="P739">
            <v>3285</v>
          </cell>
          <cell r="Q739">
            <v>39365</v>
          </cell>
        </row>
        <row r="740">
          <cell r="A740" t="str">
            <v>USWOP015013111100000</v>
          </cell>
          <cell r="B740" t="str">
            <v>USWOP01501</v>
          </cell>
          <cell r="C740">
            <v>3111100000</v>
          </cell>
          <cell r="D740" t="str">
            <v>WAGES,SALARIES,ALLOWANCES AND COMMI/PERM</v>
          </cell>
          <cell r="E740">
            <v>36097</v>
          </cell>
          <cell r="F740">
            <v>36097</v>
          </cell>
          <cell r="G740">
            <v>36097</v>
          </cell>
          <cell r="H740">
            <v>36097</v>
          </cell>
          <cell r="I740">
            <v>36097</v>
          </cell>
          <cell r="J740">
            <v>36097</v>
          </cell>
          <cell r="K740">
            <v>36097</v>
          </cell>
          <cell r="L740">
            <v>36097</v>
          </cell>
          <cell r="M740">
            <v>36097</v>
          </cell>
          <cell r="N740">
            <v>36097</v>
          </cell>
          <cell r="O740">
            <v>36097</v>
          </cell>
          <cell r="P740">
            <v>36095</v>
          </cell>
          <cell r="Q740">
            <v>433162</v>
          </cell>
        </row>
        <row r="741">
          <cell r="A741" t="str">
            <v>USWOP015013111100012</v>
          </cell>
          <cell r="B741" t="str">
            <v>USWOP01501</v>
          </cell>
          <cell r="C741">
            <v>3111100012</v>
          </cell>
          <cell r="D741" t="str">
            <v>OVERTIME HOURS /PERMANENTS</v>
          </cell>
          <cell r="E741">
            <v>481</v>
          </cell>
          <cell r="F741">
            <v>481</v>
          </cell>
          <cell r="G741">
            <v>481</v>
          </cell>
          <cell r="H741">
            <v>481</v>
          </cell>
          <cell r="I741">
            <v>481</v>
          </cell>
          <cell r="J741">
            <v>481</v>
          </cell>
          <cell r="K741">
            <v>481</v>
          </cell>
          <cell r="L741">
            <v>481</v>
          </cell>
          <cell r="M741">
            <v>481</v>
          </cell>
          <cell r="N741">
            <v>481</v>
          </cell>
          <cell r="O741">
            <v>481</v>
          </cell>
          <cell r="P741">
            <v>477</v>
          </cell>
          <cell r="Q741">
            <v>5768</v>
          </cell>
        </row>
        <row r="742">
          <cell r="A742" t="str">
            <v>USWOP015013121300013</v>
          </cell>
          <cell r="B742" t="str">
            <v>USWOP01501</v>
          </cell>
          <cell r="C742">
            <v>3121300013</v>
          </cell>
          <cell r="D742" t="str">
            <v>FRINGE BENEFITS</v>
          </cell>
          <cell r="E742">
            <v>13826</v>
          </cell>
          <cell r="F742">
            <v>13826</v>
          </cell>
          <cell r="G742">
            <v>13826</v>
          </cell>
          <cell r="H742">
            <v>13826</v>
          </cell>
          <cell r="I742">
            <v>13826</v>
          </cell>
          <cell r="J742">
            <v>13826</v>
          </cell>
          <cell r="K742">
            <v>13826</v>
          </cell>
          <cell r="L742">
            <v>13826</v>
          </cell>
          <cell r="M742">
            <v>13826</v>
          </cell>
          <cell r="N742">
            <v>13826</v>
          </cell>
          <cell r="O742">
            <v>13826</v>
          </cell>
          <cell r="P742">
            <v>13830</v>
          </cell>
          <cell r="Q742">
            <v>165916</v>
          </cell>
        </row>
        <row r="743">
          <cell r="A743" t="str">
            <v>USWOP015013131100007</v>
          </cell>
          <cell r="B743" t="str">
            <v>USWOP01501</v>
          </cell>
          <cell r="C743">
            <v>3131100007</v>
          </cell>
          <cell r="D743" t="str">
            <v>EXTERNAL TRAINING</v>
          </cell>
          <cell r="E743">
            <v>417</v>
          </cell>
          <cell r="F743">
            <v>417</v>
          </cell>
          <cell r="G743">
            <v>417</v>
          </cell>
          <cell r="H743">
            <v>417</v>
          </cell>
          <cell r="I743">
            <v>417</v>
          </cell>
          <cell r="J743">
            <v>417</v>
          </cell>
          <cell r="K743">
            <v>417</v>
          </cell>
          <cell r="L743">
            <v>417</v>
          </cell>
          <cell r="M743">
            <v>417</v>
          </cell>
          <cell r="N743">
            <v>417</v>
          </cell>
          <cell r="O743">
            <v>417</v>
          </cell>
          <cell r="P743">
            <v>417</v>
          </cell>
          <cell r="Q743">
            <v>5004</v>
          </cell>
        </row>
        <row r="744">
          <cell r="A744" t="str">
            <v>USWOP015013131100025</v>
          </cell>
          <cell r="B744" t="str">
            <v>USWOP01501</v>
          </cell>
          <cell r="C744">
            <v>3131100025</v>
          </cell>
          <cell r="D744" t="str">
            <v>OTHER PERSONNEL EXPENSES</v>
          </cell>
          <cell r="E744">
            <v>167</v>
          </cell>
          <cell r="F744">
            <v>167</v>
          </cell>
          <cell r="G744">
            <v>167</v>
          </cell>
          <cell r="H744">
            <v>167</v>
          </cell>
          <cell r="I744">
            <v>167</v>
          </cell>
          <cell r="J744">
            <v>167</v>
          </cell>
          <cell r="K744">
            <v>167</v>
          </cell>
          <cell r="L744">
            <v>167</v>
          </cell>
          <cell r="M744">
            <v>167</v>
          </cell>
          <cell r="N744">
            <v>167</v>
          </cell>
          <cell r="O744">
            <v>167</v>
          </cell>
          <cell r="P744">
            <v>167</v>
          </cell>
          <cell r="Q744">
            <v>2004</v>
          </cell>
        </row>
        <row r="745">
          <cell r="A745" t="str">
            <v>USWOP015013131100031</v>
          </cell>
          <cell r="B745" t="str">
            <v>USWOP01501</v>
          </cell>
          <cell r="C745">
            <v>3131100031</v>
          </cell>
          <cell r="D745" t="str">
            <v>TUITION REIMBERSEMENT</v>
          </cell>
          <cell r="E745">
            <v>683</v>
          </cell>
          <cell r="F745">
            <v>683</v>
          </cell>
          <cell r="G745">
            <v>683</v>
          </cell>
          <cell r="H745">
            <v>683</v>
          </cell>
          <cell r="I745">
            <v>683</v>
          </cell>
          <cell r="J745">
            <v>683</v>
          </cell>
          <cell r="K745">
            <v>683</v>
          </cell>
          <cell r="L745">
            <v>683</v>
          </cell>
          <cell r="M745">
            <v>683</v>
          </cell>
          <cell r="N745">
            <v>683</v>
          </cell>
          <cell r="O745">
            <v>683</v>
          </cell>
          <cell r="P745">
            <v>683</v>
          </cell>
          <cell r="Q745">
            <v>8196</v>
          </cell>
        </row>
        <row r="746">
          <cell r="A746" t="str">
            <v>USWOP015013201300001</v>
          </cell>
          <cell r="B746" t="str">
            <v>USWOP01501</v>
          </cell>
          <cell r="C746">
            <v>3201300001</v>
          </cell>
          <cell r="D746" t="str">
            <v>HIRED PERSONNEL FROM 3RD PARTIES</v>
          </cell>
          <cell r="E746">
            <v>250</v>
          </cell>
          <cell r="F746">
            <v>250</v>
          </cell>
          <cell r="G746">
            <v>250</v>
          </cell>
          <cell r="H746">
            <v>250</v>
          </cell>
          <cell r="I746">
            <v>250</v>
          </cell>
          <cell r="J746">
            <v>250</v>
          </cell>
          <cell r="K746">
            <v>250</v>
          </cell>
          <cell r="L746">
            <v>250</v>
          </cell>
          <cell r="M746">
            <v>250</v>
          </cell>
          <cell r="N746">
            <v>250</v>
          </cell>
          <cell r="O746">
            <v>250</v>
          </cell>
          <cell r="P746">
            <v>250</v>
          </cell>
          <cell r="Q746">
            <v>3000</v>
          </cell>
        </row>
        <row r="747">
          <cell r="A747" t="str">
            <v>USWOP015013201300005</v>
          </cell>
          <cell r="B747" t="str">
            <v>USWOP01501</v>
          </cell>
          <cell r="C747">
            <v>3201300005</v>
          </cell>
          <cell r="D747" t="str">
            <v>O/S SERVICES - COMPUTER LIC. &amp; SUPPORT</v>
          </cell>
          <cell r="E747">
            <v>352</v>
          </cell>
          <cell r="F747">
            <v>352</v>
          </cell>
          <cell r="G747">
            <v>352</v>
          </cell>
          <cell r="H747">
            <v>352</v>
          </cell>
          <cell r="I747">
            <v>352</v>
          </cell>
          <cell r="J747">
            <v>352</v>
          </cell>
          <cell r="K747">
            <v>352</v>
          </cell>
          <cell r="L747">
            <v>352</v>
          </cell>
          <cell r="M747">
            <v>352</v>
          </cell>
          <cell r="N747">
            <v>352</v>
          </cell>
          <cell r="O747">
            <v>352</v>
          </cell>
          <cell r="P747">
            <v>352</v>
          </cell>
          <cell r="Q747">
            <v>4224</v>
          </cell>
        </row>
        <row r="748">
          <cell r="A748" t="str">
            <v>USWOP015013201400025</v>
          </cell>
          <cell r="B748" t="str">
            <v>USWOP01501</v>
          </cell>
          <cell r="C748">
            <v>3201400025</v>
          </cell>
          <cell r="D748" t="str">
            <v>CLEANING EXPENSES</v>
          </cell>
          <cell r="E748">
            <v>1219</v>
          </cell>
          <cell r="F748">
            <v>1219</v>
          </cell>
          <cell r="G748">
            <v>1219</v>
          </cell>
          <cell r="H748">
            <v>1219</v>
          </cell>
          <cell r="I748">
            <v>1219</v>
          </cell>
          <cell r="J748">
            <v>1219</v>
          </cell>
          <cell r="K748">
            <v>1219</v>
          </cell>
          <cell r="L748">
            <v>1219</v>
          </cell>
          <cell r="M748">
            <v>1219</v>
          </cell>
          <cell r="N748">
            <v>1219</v>
          </cell>
          <cell r="O748">
            <v>1219</v>
          </cell>
          <cell r="P748">
            <v>1219</v>
          </cell>
          <cell r="Q748">
            <v>14628</v>
          </cell>
        </row>
        <row r="749">
          <cell r="A749" t="str">
            <v>USWOP015013201400029</v>
          </cell>
          <cell r="B749" t="str">
            <v>USWOP01501</v>
          </cell>
          <cell r="C749">
            <v>3201400029</v>
          </cell>
          <cell r="D749" t="str">
            <v>OTH OUTSIDE SERVICES OTHER</v>
          </cell>
          <cell r="E749">
            <v>6667</v>
          </cell>
          <cell r="F749">
            <v>6667</v>
          </cell>
          <cell r="G749">
            <v>6667</v>
          </cell>
          <cell r="H749">
            <v>6667</v>
          </cell>
          <cell r="I749">
            <v>6667</v>
          </cell>
          <cell r="J749">
            <v>6667</v>
          </cell>
          <cell r="K749">
            <v>6667</v>
          </cell>
          <cell r="L749">
            <v>6667</v>
          </cell>
          <cell r="M749">
            <v>6667</v>
          </cell>
          <cell r="N749">
            <v>6667</v>
          </cell>
          <cell r="O749">
            <v>6667</v>
          </cell>
          <cell r="P749">
            <v>6667</v>
          </cell>
          <cell r="Q749">
            <v>80004</v>
          </cell>
        </row>
        <row r="750">
          <cell r="A750" t="str">
            <v>USWOP015013201400036</v>
          </cell>
          <cell r="B750" t="str">
            <v>USWOP01501</v>
          </cell>
          <cell r="C750">
            <v>3201400036</v>
          </cell>
          <cell r="D750" t="str">
            <v>OTHER MAINTENANCE BUILDINGS</v>
          </cell>
          <cell r="E750">
            <v>833</v>
          </cell>
          <cell r="F750">
            <v>833</v>
          </cell>
          <cell r="G750">
            <v>833</v>
          </cell>
          <cell r="H750">
            <v>833</v>
          </cell>
          <cell r="I750">
            <v>833</v>
          </cell>
          <cell r="J750">
            <v>833</v>
          </cell>
          <cell r="K750">
            <v>833</v>
          </cell>
          <cell r="L750">
            <v>833</v>
          </cell>
          <cell r="M750">
            <v>833</v>
          </cell>
          <cell r="N750">
            <v>833</v>
          </cell>
          <cell r="O750">
            <v>833</v>
          </cell>
          <cell r="P750">
            <v>833</v>
          </cell>
          <cell r="Q750">
            <v>9996</v>
          </cell>
        </row>
        <row r="751">
          <cell r="A751" t="str">
            <v>USWOP015013201400051</v>
          </cell>
          <cell r="B751" t="str">
            <v>USWOP01501</v>
          </cell>
          <cell r="C751">
            <v>3201400051</v>
          </cell>
          <cell r="D751" t="str">
            <v>MAINTENANCE EQUIPMENT</v>
          </cell>
          <cell r="E751">
            <v>2333</v>
          </cell>
          <cell r="F751">
            <v>2333</v>
          </cell>
          <cell r="G751">
            <v>2333</v>
          </cell>
          <cell r="H751">
            <v>2333</v>
          </cell>
          <cell r="I751">
            <v>2333</v>
          </cell>
          <cell r="J751">
            <v>2333</v>
          </cell>
          <cell r="K751">
            <v>2333</v>
          </cell>
          <cell r="L751">
            <v>2333</v>
          </cell>
          <cell r="M751">
            <v>2333</v>
          </cell>
          <cell r="N751">
            <v>2333</v>
          </cell>
          <cell r="O751">
            <v>2333</v>
          </cell>
          <cell r="P751">
            <v>2333</v>
          </cell>
          <cell r="Q751">
            <v>27996</v>
          </cell>
        </row>
        <row r="752">
          <cell r="A752" t="str">
            <v>USWOP015013311400099</v>
          </cell>
          <cell r="B752" t="str">
            <v>USWOP01501</v>
          </cell>
          <cell r="C752">
            <v>3311400099</v>
          </cell>
          <cell r="D752" t="str">
            <v>CO DEPRECIATION</v>
          </cell>
          <cell r="E752">
            <v>25537</v>
          </cell>
          <cell r="F752">
            <v>25537</v>
          </cell>
          <cell r="G752">
            <v>25537</v>
          </cell>
          <cell r="H752">
            <v>25537</v>
          </cell>
          <cell r="I752">
            <v>25537</v>
          </cell>
          <cell r="J752">
            <v>25537</v>
          </cell>
          <cell r="K752">
            <v>25537</v>
          </cell>
          <cell r="L752">
            <v>25537</v>
          </cell>
          <cell r="M752">
            <v>22437</v>
          </cell>
          <cell r="N752">
            <v>22437</v>
          </cell>
          <cell r="O752">
            <v>22437</v>
          </cell>
          <cell r="P752">
            <v>22437</v>
          </cell>
          <cell r="Q752">
            <v>294044</v>
          </cell>
        </row>
        <row r="753">
          <cell r="A753" t="str">
            <v>USWOP015013501500034</v>
          </cell>
          <cell r="B753" t="str">
            <v>USWOP01501</v>
          </cell>
          <cell r="C753">
            <v>3501500034</v>
          </cell>
          <cell r="D753" t="str">
            <v>PROPERTY TAXES</v>
          </cell>
          <cell r="E753">
            <v>27341</v>
          </cell>
          <cell r="F753">
            <v>27341</v>
          </cell>
          <cell r="G753">
            <v>27341</v>
          </cell>
          <cell r="H753">
            <v>27341</v>
          </cell>
          <cell r="I753">
            <v>27341</v>
          </cell>
          <cell r="J753">
            <v>27341</v>
          </cell>
          <cell r="K753">
            <v>27341</v>
          </cell>
          <cell r="L753">
            <v>27341</v>
          </cell>
          <cell r="M753">
            <v>27341</v>
          </cell>
          <cell r="N753">
            <v>27341</v>
          </cell>
          <cell r="O753">
            <v>27341</v>
          </cell>
          <cell r="P753">
            <v>27342</v>
          </cell>
          <cell r="Q753">
            <v>328093</v>
          </cell>
        </row>
        <row r="754">
          <cell r="A754" t="str">
            <v>USWOP015013911100010</v>
          </cell>
          <cell r="B754" t="str">
            <v>USWOP01501</v>
          </cell>
          <cell r="C754">
            <v>3911100010</v>
          </cell>
          <cell r="D754" t="str">
            <v>TRAVEL EXPENSES PERMANENTS / MEALS</v>
          </cell>
          <cell r="E754">
            <v>2083</v>
          </cell>
          <cell r="F754">
            <v>2083</v>
          </cell>
          <cell r="G754">
            <v>2083</v>
          </cell>
          <cell r="H754">
            <v>2083</v>
          </cell>
          <cell r="I754">
            <v>2083</v>
          </cell>
          <cell r="J754">
            <v>2083</v>
          </cell>
          <cell r="K754">
            <v>2083</v>
          </cell>
          <cell r="L754">
            <v>2083</v>
          </cell>
          <cell r="M754">
            <v>2083</v>
          </cell>
          <cell r="N754">
            <v>2083</v>
          </cell>
          <cell r="O754">
            <v>2083</v>
          </cell>
          <cell r="P754">
            <v>2083</v>
          </cell>
          <cell r="Q754">
            <v>24996</v>
          </cell>
        </row>
        <row r="755">
          <cell r="A755" t="str">
            <v>USWOP015013911100012</v>
          </cell>
          <cell r="B755" t="str">
            <v>USWOP01501</v>
          </cell>
          <cell r="C755">
            <v>3911100012</v>
          </cell>
          <cell r="D755" t="str">
            <v>TRAVEL EXPENSES PERMANENTS / HOTELS</v>
          </cell>
          <cell r="E755">
            <v>267</v>
          </cell>
          <cell r="F755">
            <v>267</v>
          </cell>
          <cell r="G755">
            <v>267</v>
          </cell>
          <cell r="H755">
            <v>267</v>
          </cell>
          <cell r="I755">
            <v>267</v>
          </cell>
          <cell r="J755">
            <v>267</v>
          </cell>
          <cell r="K755">
            <v>267</v>
          </cell>
          <cell r="L755">
            <v>267</v>
          </cell>
          <cell r="M755">
            <v>267</v>
          </cell>
          <cell r="N755">
            <v>267</v>
          </cell>
          <cell r="O755">
            <v>267</v>
          </cell>
          <cell r="P755">
            <v>267</v>
          </cell>
          <cell r="Q755">
            <v>3204</v>
          </cell>
        </row>
        <row r="756">
          <cell r="A756" t="str">
            <v>USWOP015013911100041</v>
          </cell>
          <cell r="B756" t="str">
            <v>USWOP01501</v>
          </cell>
          <cell r="C756">
            <v>3911100041</v>
          </cell>
          <cell r="D756" t="str">
            <v>TRAVEL EXPENSES - ENTERTAINMENT</v>
          </cell>
          <cell r="E756">
            <v>783</v>
          </cell>
          <cell r="F756">
            <v>783</v>
          </cell>
          <cell r="G756">
            <v>783</v>
          </cell>
          <cell r="H756">
            <v>783</v>
          </cell>
          <cell r="I756">
            <v>783</v>
          </cell>
          <cell r="J756">
            <v>783</v>
          </cell>
          <cell r="K756">
            <v>783</v>
          </cell>
          <cell r="L756">
            <v>783</v>
          </cell>
          <cell r="M756">
            <v>783</v>
          </cell>
          <cell r="N756">
            <v>783</v>
          </cell>
          <cell r="O756">
            <v>783</v>
          </cell>
          <cell r="P756">
            <v>783</v>
          </cell>
          <cell r="Q756">
            <v>9396</v>
          </cell>
        </row>
        <row r="757">
          <cell r="A757" t="str">
            <v>USWOP015013911200001</v>
          </cell>
          <cell r="B757" t="str">
            <v>USWOP01501</v>
          </cell>
          <cell r="C757">
            <v>3911200001</v>
          </cell>
          <cell r="D757" t="str">
            <v>SYMPOSIUMS, CONFERENCES, MEETINGS</v>
          </cell>
          <cell r="E757">
            <v>542</v>
          </cell>
          <cell r="F757">
            <v>542</v>
          </cell>
          <cell r="G757">
            <v>542</v>
          </cell>
          <cell r="H757">
            <v>542</v>
          </cell>
          <cell r="I757">
            <v>542</v>
          </cell>
          <cell r="J757">
            <v>542</v>
          </cell>
          <cell r="K757">
            <v>542</v>
          </cell>
          <cell r="L757">
            <v>542</v>
          </cell>
          <cell r="M757">
            <v>542</v>
          </cell>
          <cell r="N757">
            <v>542</v>
          </cell>
          <cell r="O757">
            <v>542</v>
          </cell>
          <cell r="P757">
            <v>542</v>
          </cell>
          <cell r="Q757">
            <v>6504</v>
          </cell>
        </row>
        <row r="758">
          <cell r="A758" t="str">
            <v>USWOP015013911200007</v>
          </cell>
          <cell r="B758" t="str">
            <v>USWOP01501</v>
          </cell>
          <cell r="C758">
            <v>3911200007</v>
          </cell>
          <cell r="D758" t="str">
            <v>PROMOTIONAL EXP ADVERTISING AND PROMOTIO</v>
          </cell>
          <cell r="E758">
            <v>417</v>
          </cell>
          <cell r="F758">
            <v>417</v>
          </cell>
          <cell r="G758">
            <v>417</v>
          </cell>
          <cell r="H758">
            <v>417</v>
          </cell>
          <cell r="I758">
            <v>417</v>
          </cell>
          <cell r="J758">
            <v>417</v>
          </cell>
          <cell r="K758">
            <v>417</v>
          </cell>
          <cell r="L758">
            <v>417</v>
          </cell>
          <cell r="M758">
            <v>417</v>
          </cell>
          <cell r="N758">
            <v>417</v>
          </cell>
          <cell r="O758">
            <v>417</v>
          </cell>
          <cell r="P758">
            <v>417</v>
          </cell>
          <cell r="Q758">
            <v>5004</v>
          </cell>
        </row>
        <row r="759">
          <cell r="A759" t="str">
            <v>USWOP015013921100000</v>
          </cell>
          <cell r="B759" t="str">
            <v>USWOP01501</v>
          </cell>
          <cell r="C759">
            <v>3921100000</v>
          </cell>
          <cell r="D759" t="str">
            <v>UTILITIES EXPENSES WATER</v>
          </cell>
          <cell r="E759">
            <v>542</v>
          </cell>
          <cell r="F759">
            <v>542</v>
          </cell>
          <cell r="G759">
            <v>542</v>
          </cell>
          <cell r="H759">
            <v>542</v>
          </cell>
          <cell r="I759">
            <v>542</v>
          </cell>
          <cell r="J759">
            <v>542</v>
          </cell>
          <cell r="K759">
            <v>542</v>
          </cell>
          <cell r="L759">
            <v>542</v>
          </cell>
          <cell r="M759">
            <v>542</v>
          </cell>
          <cell r="N759">
            <v>542</v>
          </cell>
          <cell r="O759">
            <v>542</v>
          </cell>
          <cell r="P759">
            <v>542</v>
          </cell>
          <cell r="Q759">
            <v>6504</v>
          </cell>
        </row>
        <row r="760">
          <cell r="A760" t="str">
            <v>USWOP015013921100001</v>
          </cell>
          <cell r="B760" t="str">
            <v>USWOP01501</v>
          </cell>
          <cell r="C760">
            <v>3921100001</v>
          </cell>
          <cell r="D760" t="str">
            <v>UTILITY EXPENSES ELECTRICITY</v>
          </cell>
          <cell r="E760">
            <v>14583</v>
          </cell>
          <cell r="F760">
            <v>14583</v>
          </cell>
          <cell r="G760">
            <v>14583</v>
          </cell>
          <cell r="H760">
            <v>14583</v>
          </cell>
          <cell r="I760">
            <v>14583</v>
          </cell>
          <cell r="J760">
            <v>14583</v>
          </cell>
          <cell r="K760">
            <v>14583</v>
          </cell>
          <cell r="L760">
            <v>14583</v>
          </cell>
          <cell r="M760">
            <v>14583</v>
          </cell>
          <cell r="N760">
            <v>14583</v>
          </cell>
          <cell r="O760">
            <v>14583</v>
          </cell>
          <cell r="P760">
            <v>14583</v>
          </cell>
          <cell r="Q760">
            <v>174996</v>
          </cell>
        </row>
        <row r="761">
          <cell r="A761" t="str">
            <v>USWOP015013921200001</v>
          </cell>
          <cell r="B761" t="str">
            <v>USWOP01501</v>
          </cell>
          <cell r="C761">
            <v>3921200001</v>
          </cell>
          <cell r="D761" t="str">
            <v>FUEL</v>
          </cell>
          <cell r="E761">
            <v>5077</v>
          </cell>
          <cell r="F761">
            <v>5077</v>
          </cell>
          <cell r="G761">
            <v>5077</v>
          </cell>
          <cell r="H761">
            <v>5077</v>
          </cell>
          <cell r="I761">
            <v>5077</v>
          </cell>
          <cell r="J761">
            <v>5077</v>
          </cell>
          <cell r="K761">
            <v>5077</v>
          </cell>
          <cell r="L761">
            <v>5077</v>
          </cell>
          <cell r="M761">
            <v>5077</v>
          </cell>
          <cell r="N761">
            <v>5077</v>
          </cell>
          <cell r="O761">
            <v>5077</v>
          </cell>
          <cell r="P761">
            <v>5077</v>
          </cell>
          <cell r="Q761">
            <v>60924</v>
          </cell>
        </row>
        <row r="762">
          <cell r="A762" t="str">
            <v>USWOP015013921200006</v>
          </cell>
          <cell r="B762" t="str">
            <v>USWOP01501</v>
          </cell>
          <cell r="C762">
            <v>3921200006</v>
          </cell>
          <cell r="D762" t="str">
            <v>FACTORY SUPPLIES MAINTENANCE SUPPLIES</v>
          </cell>
          <cell r="E762">
            <v>6667</v>
          </cell>
          <cell r="F762">
            <v>6667</v>
          </cell>
          <cell r="G762">
            <v>6667</v>
          </cell>
          <cell r="H762">
            <v>6667</v>
          </cell>
          <cell r="I762">
            <v>6667</v>
          </cell>
          <cell r="J762">
            <v>6667</v>
          </cell>
          <cell r="K762">
            <v>6667</v>
          </cell>
          <cell r="L762">
            <v>6667</v>
          </cell>
          <cell r="M762">
            <v>6667</v>
          </cell>
          <cell r="N762">
            <v>6667</v>
          </cell>
          <cell r="O762">
            <v>6667</v>
          </cell>
          <cell r="P762">
            <v>6667</v>
          </cell>
          <cell r="Q762">
            <v>80004</v>
          </cell>
        </row>
        <row r="763">
          <cell r="A763" t="str">
            <v>USWOP015013921200010</v>
          </cell>
          <cell r="B763" t="str">
            <v>USWOP01501</v>
          </cell>
          <cell r="C763">
            <v>3921200010</v>
          </cell>
          <cell r="D763" t="str">
            <v>ADMINISTRATIVE SUPPLIES</v>
          </cell>
          <cell r="E763">
            <v>1637</v>
          </cell>
          <cell r="F763">
            <v>1637</v>
          </cell>
          <cell r="G763">
            <v>1637</v>
          </cell>
          <cell r="H763">
            <v>1637</v>
          </cell>
          <cell r="I763">
            <v>1637</v>
          </cell>
          <cell r="J763">
            <v>1637</v>
          </cell>
          <cell r="K763">
            <v>1637</v>
          </cell>
          <cell r="L763">
            <v>1637</v>
          </cell>
          <cell r="M763">
            <v>1637</v>
          </cell>
          <cell r="N763">
            <v>1637</v>
          </cell>
          <cell r="O763">
            <v>1637</v>
          </cell>
          <cell r="P763">
            <v>1637</v>
          </cell>
          <cell r="Q763">
            <v>19644</v>
          </cell>
        </row>
        <row r="764">
          <cell r="A764" t="str">
            <v>USWOP015013921200050</v>
          </cell>
          <cell r="B764" t="str">
            <v>USWOP01501</v>
          </cell>
          <cell r="C764">
            <v>3921200050</v>
          </cell>
          <cell r="D764" t="str">
            <v>SAFETY EQUIPMENT - SUPPLIES</v>
          </cell>
          <cell r="E764">
            <v>583</v>
          </cell>
          <cell r="F764">
            <v>583</v>
          </cell>
          <cell r="G764">
            <v>583</v>
          </cell>
          <cell r="H764">
            <v>583</v>
          </cell>
          <cell r="I764">
            <v>583</v>
          </cell>
          <cell r="J764">
            <v>583</v>
          </cell>
          <cell r="K764">
            <v>583</v>
          </cell>
          <cell r="L764">
            <v>583</v>
          </cell>
          <cell r="M764">
            <v>583</v>
          </cell>
          <cell r="N764">
            <v>583</v>
          </cell>
          <cell r="O764">
            <v>583</v>
          </cell>
          <cell r="P764">
            <v>583</v>
          </cell>
          <cell r="Q764">
            <v>6996</v>
          </cell>
        </row>
        <row r="765">
          <cell r="A765" t="str">
            <v>USWOP015013951200002</v>
          </cell>
          <cell r="B765" t="str">
            <v>USWOP01501</v>
          </cell>
          <cell r="C765">
            <v>3951200002</v>
          </cell>
          <cell r="D765" t="str">
            <v>OPERATING LEASES - VEHICLES (SHORT DURAT</v>
          </cell>
          <cell r="E765">
            <v>822</v>
          </cell>
          <cell r="F765">
            <v>822</v>
          </cell>
          <cell r="G765">
            <v>822</v>
          </cell>
          <cell r="H765">
            <v>822</v>
          </cell>
          <cell r="I765">
            <v>822</v>
          </cell>
          <cell r="J765">
            <v>822</v>
          </cell>
          <cell r="K765">
            <v>822</v>
          </cell>
          <cell r="L765">
            <v>822</v>
          </cell>
          <cell r="M765">
            <v>822</v>
          </cell>
          <cell r="N765">
            <v>822</v>
          </cell>
          <cell r="O765">
            <v>822</v>
          </cell>
          <cell r="P765">
            <v>822</v>
          </cell>
          <cell r="Q765">
            <v>9864</v>
          </cell>
        </row>
        <row r="766">
          <cell r="A766" t="str">
            <v>USWOP015013951200008</v>
          </cell>
          <cell r="B766" t="str">
            <v>USWOP01501</v>
          </cell>
          <cell r="C766">
            <v>3951200008</v>
          </cell>
          <cell r="D766" t="str">
            <v>OPERATING LEASES - PERSONAL COMPUTER</v>
          </cell>
          <cell r="E766">
            <v>300</v>
          </cell>
          <cell r="F766">
            <v>300</v>
          </cell>
          <cell r="G766">
            <v>300</v>
          </cell>
          <cell r="H766">
            <v>300</v>
          </cell>
          <cell r="I766">
            <v>300</v>
          </cell>
          <cell r="J766">
            <v>300</v>
          </cell>
          <cell r="K766">
            <v>300</v>
          </cell>
          <cell r="L766">
            <v>300</v>
          </cell>
          <cell r="M766">
            <v>300</v>
          </cell>
          <cell r="N766">
            <v>300</v>
          </cell>
          <cell r="O766">
            <v>300</v>
          </cell>
          <cell r="P766">
            <v>300</v>
          </cell>
          <cell r="Q766">
            <v>3600</v>
          </cell>
        </row>
        <row r="767">
          <cell r="A767" t="str">
            <v>USWOP015013991200001</v>
          </cell>
          <cell r="B767" t="str">
            <v>USWOP01501</v>
          </cell>
          <cell r="C767">
            <v>3991200001</v>
          </cell>
          <cell r="D767" t="str">
            <v>POSTAGE EXPENSES</v>
          </cell>
          <cell r="E767">
            <v>42</v>
          </cell>
          <cell r="F767">
            <v>42</v>
          </cell>
          <cell r="G767">
            <v>42</v>
          </cell>
          <cell r="H767">
            <v>42</v>
          </cell>
          <cell r="I767">
            <v>42</v>
          </cell>
          <cell r="J767">
            <v>42</v>
          </cell>
          <cell r="K767">
            <v>42</v>
          </cell>
          <cell r="L767">
            <v>42</v>
          </cell>
          <cell r="M767">
            <v>42</v>
          </cell>
          <cell r="N767">
            <v>42</v>
          </cell>
          <cell r="O767">
            <v>42</v>
          </cell>
          <cell r="P767">
            <v>42</v>
          </cell>
          <cell r="Q767">
            <v>504</v>
          </cell>
        </row>
        <row r="768">
          <cell r="A768" t="str">
            <v>USWOP015013991200012</v>
          </cell>
          <cell r="B768" t="str">
            <v>USWOP01501</v>
          </cell>
          <cell r="C768">
            <v>3991200012</v>
          </cell>
          <cell r="D768" t="str">
            <v>DELIVERY SERVICES</v>
          </cell>
          <cell r="E768">
            <v>250</v>
          </cell>
          <cell r="F768">
            <v>250</v>
          </cell>
          <cell r="G768">
            <v>250</v>
          </cell>
          <cell r="H768">
            <v>250</v>
          </cell>
          <cell r="I768">
            <v>250</v>
          </cell>
          <cell r="J768">
            <v>250</v>
          </cell>
          <cell r="K768">
            <v>250</v>
          </cell>
          <cell r="L768">
            <v>250</v>
          </cell>
          <cell r="M768">
            <v>250</v>
          </cell>
          <cell r="N768">
            <v>250</v>
          </cell>
          <cell r="O768">
            <v>250</v>
          </cell>
          <cell r="P768">
            <v>250</v>
          </cell>
          <cell r="Q768">
            <v>3000</v>
          </cell>
        </row>
        <row r="769">
          <cell r="A769" t="str">
            <v>USWOP015013991200015</v>
          </cell>
          <cell r="B769" t="str">
            <v>USWOP01501</v>
          </cell>
          <cell r="C769">
            <v>3991200015</v>
          </cell>
          <cell r="D769" t="str">
            <v>TELEPHONE</v>
          </cell>
          <cell r="E769">
            <v>917</v>
          </cell>
          <cell r="F769">
            <v>917</v>
          </cell>
          <cell r="G769">
            <v>917</v>
          </cell>
          <cell r="H769">
            <v>917</v>
          </cell>
          <cell r="I769">
            <v>917</v>
          </cell>
          <cell r="J769">
            <v>917</v>
          </cell>
          <cell r="K769">
            <v>917</v>
          </cell>
          <cell r="L769">
            <v>917</v>
          </cell>
          <cell r="M769">
            <v>917</v>
          </cell>
          <cell r="N769">
            <v>917</v>
          </cell>
          <cell r="O769">
            <v>917</v>
          </cell>
          <cell r="P769">
            <v>917</v>
          </cell>
          <cell r="Q769">
            <v>11004</v>
          </cell>
        </row>
        <row r="770">
          <cell r="A770" t="str">
            <v>USWOP015013991200018</v>
          </cell>
          <cell r="B770" t="str">
            <v>USWOP01501</v>
          </cell>
          <cell r="C770">
            <v>3991200018</v>
          </cell>
          <cell r="D770" t="str">
            <v>SUBSCRIPTIONS</v>
          </cell>
          <cell r="E770">
            <v>42</v>
          </cell>
          <cell r="F770">
            <v>42</v>
          </cell>
          <cell r="G770">
            <v>42</v>
          </cell>
          <cell r="H770">
            <v>42</v>
          </cell>
          <cell r="I770">
            <v>42</v>
          </cell>
          <cell r="J770">
            <v>42</v>
          </cell>
          <cell r="K770">
            <v>42</v>
          </cell>
          <cell r="L770">
            <v>42</v>
          </cell>
          <cell r="M770">
            <v>42</v>
          </cell>
          <cell r="N770">
            <v>42</v>
          </cell>
          <cell r="O770">
            <v>42</v>
          </cell>
          <cell r="P770">
            <v>42</v>
          </cell>
          <cell r="Q770">
            <v>504</v>
          </cell>
        </row>
        <row r="771">
          <cell r="A771" t="str">
            <v>USWOP015013991200068</v>
          </cell>
          <cell r="B771" t="str">
            <v>USWOP01501</v>
          </cell>
          <cell r="C771">
            <v>3991200068</v>
          </cell>
          <cell r="D771" t="str">
            <v>ASSOCIATION AND DEVELOPMENT FUND</v>
          </cell>
          <cell r="E771">
            <v>25</v>
          </cell>
          <cell r="F771">
            <v>25</v>
          </cell>
          <cell r="G771">
            <v>25</v>
          </cell>
          <cell r="H771">
            <v>25</v>
          </cell>
          <cell r="I771">
            <v>25</v>
          </cell>
          <cell r="J771">
            <v>25</v>
          </cell>
          <cell r="K771">
            <v>25</v>
          </cell>
          <cell r="L771">
            <v>25</v>
          </cell>
          <cell r="M771">
            <v>25</v>
          </cell>
          <cell r="N771">
            <v>25</v>
          </cell>
          <cell r="O771">
            <v>25</v>
          </cell>
          <cell r="P771">
            <v>25</v>
          </cell>
          <cell r="Q771">
            <v>300</v>
          </cell>
        </row>
        <row r="772">
          <cell r="A772" t="str">
            <v>USWOP015013991200069</v>
          </cell>
          <cell r="B772" t="str">
            <v>USWOP01501</v>
          </cell>
          <cell r="C772">
            <v>3991200069</v>
          </cell>
          <cell r="D772" t="str">
            <v>COMPANY MEMBERSHIP DUES</v>
          </cell>
          <cell r="E772">
            <v>23</v>
          </cell>
          <cell r="F772">
            <v>23</v>
          </cell>
          <cell r="G772">
            <v>23</v>
          </cell>
          <cell r="H772">
            <v>23</v>
          </cell>
          <cell r="I772">
            <v>23</v>
          </cell>
          <cell r="J772">
            <v>23</v>
          </cell>
          <cell r="K772">
            <v>23</v>
          </cell>
          <cell r="L772">
            <v>23</v>
          </cell>
          <cell r="M772">
            <v>23</v>
          </cell>
          <cell r="N772">
            <v>23</v>
          </cell>
          <cell r="O772">
            <v>23</v>
          </cell>
          <cell r="P772">
            <v>23</v>
          </cell>
          <cell r="Q772">
            <v>276</v>
          </cell>
        </row>
        <row r="773">
          <cell r="A773" t="str">
            <v>USWOP015113991200101</v>
          </cell>
          <cell r="B773" t="str">
            <v>USWOP01511</v>
          </cell>
          <cell r="C773">
            <v>3991200101</v>
          </cell>
          <cell r="D773" t="str">
            <v>EXPENSE RECOVERY</v>
          </cell>
          <cell r="E773">
            <v>-32074</v>
          </cell>
          <cell r="F773">
            <v>-16037</v>
          </cell>
          <cell r="G773">
            <v>-12830</v>
          </cell>
          <cell r="H773">
            <v>-16037</v>
          </cell>
          <cell r="I773">
            <v>0</v>
          </cell>
          <cell r="J773">
            <v>-35281</v>
          </cell>
          <cell r="K773">
            <v>0</v>
          </cell>
          <cell r="L773">
            <v>0</v>
          </cell>
          <cell r="M773">
            <v>-38489</v>
          </cell>
          <cell r="N773">
            <v>-57733</v>
          </cell>
          <cell r="O773">
            <v>-57733</v>
          </cell>
          <cell r="P773">
            <v>-54525</v>
          </cell>
          <cell r="Q773">
            <v>-320739</v>
          </cell>
        </row>
        <row r="774">
          <cell r="A774" t="str">
            <v>USWOP015503111100000</v>
          </cell>
          <cell r="B774" t="str">
            <v>USWOP01550</v>
          </cell>
          <cell r="C774">
            <v>3111100000</v>
          </cell>
          <cell r="D774" t="str">
            <v>WAGES,SALARIES,ALLOWANCES AND COMMI/PERM</v>
          </cell>
          <cell r="E774">
            <v>2734</v>
          </cell>
          <cell r="F774">
            <v>2734</v>
          </cell>
          <cell r="G774">
            <v>2734</v>
          </cell>
          <cell r="H774">
            <v>2734</v>
          </cell>
          <cell r="I774">
            <v>2734</v>
          </cell>
          <cell r="J774">
            <v>2734</v>
          </cell>
          <cell r="K774">
            <v>2734</v>
          </cell>
          <cell r="L774">
            <v>2734</v>
          </cell>
          <cell r="M774">
            <v>2734</v>
          </cell>
          <cell r="N774">
            <v>2734</v>
          </cell>
          <cell r="O774">
            <v>2734</v>
          </cell>
          <cell r="P774">
            <v>2736</v>
          </cell>
          <cell r="Q774">
            <v>32810</v>
          </cell>
        </row>
        <row r="775">
          <cell r="A775" t="str">
            <v>USWOP015503111100012</v>
          </cell>
          <cell r="B775" t="str">
            <v>USWOP01550</v>
          </cell>
          <cell r="C775">
            <v>3111100012</v>
          </cell>
          <cell r="D775" t="str">
            <v>OVERTIME HOURS /PERMANENTS</v>
          </cell>
          <cell r="E775">
            <v>309</v>
          </cell>
          <cell r="F775">
            <v>309</v>
          </cell>
          <cell r="G775">
            <v>309</v>
          </cell>
          <cell r="H775">
            <v>309</v>
          </cell>
          <cell r="I775">
            <v>309</v>
          </cell>
          <cell r="J775">
            <v>309</v>
          </cell>
          <cell r="K775">
            <v>309</v>
          </cell>
          <cell r="L775">
            <v>309</v>
          </cell>
          <cell r="M775">
            <v>309</v>
          </cell>
          <cell r="N775">
            <v>309</v>
          </cell>
          <cell r="O775">
            <v>309</v>
          </cell>
          <cell r="P775">
            <v>306</v>
          </cell>
          <cell r="Q775">
            <v>3705</v>
          </cell>
        </row>
        <row r="776">
          <cell r="A776" t="str">
            <v>USWOP015503121300013</v>
          </cell>
          <cell r="B776" t="str">
            <v>USWOP01550</v>
          </cell>
          <cell r="C776">
            <v>3121300013</v>
          </cell>
          <cell r="D776" t="str">
            <v>FRINGE BENEFITS</v>
          </cell>
          <cell r="E776">
            <v>1150</v>
          </cell>
          <cell r="F776">
            <v>1150</v>
          </cell>
          <cell r="G776">
            <v>1150</v>
          </cell>
          <cell r="H776">
            <v>1150</v>
          </cell>
          <cell r="I776">
            <v>1150</v>
          </cell>
          <cell r="J776">
            <v>1150</v>
          </cell>
          <cell r="K776">
            <v>1150</v>
          </cell>
          <cell r="L776">
            <v>1150</v>
          </cell>
          <cell r="M776">
            <v>1150</v>
          </cell>
          <cell r="N776">
            <v>1150</v>
          </cell>
          <cell r="O776">
            <v>1150</v>
          </cell>
          <cell r="P776">
            <v>1153</v>
          </cell>
          <cell r="Q776">
            <v>13803</v>
          </cell>
        </row>
        <row r="777">
          <cell r="A777" t="str">
            <v>USWOP015503201300001</v>
          </cell>
          <cell r="B777" t="str">
            <v>USWOP01550</v>
          </cell>
          <cell r="C777">
            <v>3201300001</v>
          </cell>
          <cell r="D777" t="str">
            <v>HIRED PERSONNEL FROM 3RD PARTIES</v>
          </cell>
          <cell r="E777">
            <v>926</v>
          </cell>
          <cell r="F777">
            <v>926</v>
          </cell>
          <cell r="G777">
            <v>926</v>
          </cell>
          <cell r="H777">
            <v>926</v>
          </cell>
          <cell r="I777">
            <v>1543</v>
          </cell>
          <cell r="J777">
            <v>1543</v>
          </cell>
          <cell r="K777">
            <v>4628</v>
          </cell>
          <cell r="L777">
            <v>4628</v>
          </cell>
          <cell r="M777">
            <v>6170</v>
          </cell>
          <cell r="N777">
            <v>6170</v>
          </cell>
          <cell r="O777">
            <v>1543</v>
          </cell>
          <cell r="P777">
            <v>926</v>
          </cell>
          <cell r="Q777">
            <v>30855</v>
          </cell>
        </row>
        <row r="778">
          <cell r="A778" t="str">
            <v>USWOP015503201300012</v>
          </cell>
          <cell r="B778" t="str">
            <v>USWOP01550</v>
          </cell>
          <cell r="C778">
            <v>3201300012</v>
          </cell>
          <cell r="D778" t="str">
            <v>HIRED PERSONNEL THIRD PARTY - ROUGING</v>
          </cell>
          <cell r="E778">
            <v>4165</v>
          </cell>
          <cell r="F778">
            <v>4165</v>
          </cell>
          <cell r="G778">
            <v>4165</v>
          </cell>
          <cell r="H778">
            <v>4165</v>
          </cell>
          <cell r="I778">
            <v>6942</v>
          </cell>
          <cell r="J778">
            <v>6942</v>
          </cell>
          <cell r="K778">
            <v>20825</v>
          </cell>
          <cell r="L778">
            <v>20825</v>
          </cell>
          <cell r="M778">
            <v>27766</v>
          </cell>
          <cell r="N778">
            <v>27766</v>
          </cell>
          <cell r="O778">
            <v>6942</v>
          </cell>
          <cell r="P778">
            <v>4165</v>
          </cell>
          <cell r="Q778">
            <v>138833</v>
          </cell>
        </row>
        <row r="779">
          <cell r="A779" t="str">
            <v>USWOP015503201400002</v>
          </cell>
          <cell r="B779" t="str">
            <v>USWOP01550</v>
          </cell>
          <cell r="C779">
            <v>3201400002</v>
          </cell>
          <cell r="D779" t="str">
            <v>MAINTENANCE OF VEHICLES</v>
          </cell>
          <cell r="E779">
            <v>77</v>
          </cell>
          <cell r="F779">
            <v>77</v>
          </cell>
          <cell r="G779">
            <v>77</v>
          </cell>
          <cell r="H779">
            <v>77</v>
          </cell>
          <cell r="I779">
            <v>129</v>
          </cell>
          <cell r="J779">
            <v>129</v>
          </cell>
          <cell r="K779">
            <v>386</v>
          </cell>
          <cell r="L779">
            <v>386</v>
          </cell>
          <cell r="M779">
            <v>514</v>
          </cell>
          <cell r="N779">
            <v>514</v>
          </cell>
          <cell r="O779">
            <v>129</v>
          </cell>
          <cell r="P779">
            <v>77</v>
          </cell>
          <cell r="Q779">
            <v>2572</v>
          </cell>
        </row>
        <row r="780">
          <cell r="A780" t="str">
            <v>USWOP015503201400029</v>
          </cell>
          <cell r="B780" t="str">
            <v>USWOP01550</v>
          </cell>
          <cell r="C780">
            <v>3201400029</v>
          </cell>
          <cell r="D780" t="str">
            <v>OTH OUTSIDE SERVICES OTHER</v>
          </cell>
          <cell r="E780">
            <v>12358</v>
          </cell>
          <cell r="F780">
            <v>12358</v>
          </cell>
          <cell r="G780">
            <v>12358</v>
          </cell>
          <cell r="H780">
            <v>12358</v>
          </cell>
          <cell r="I780">
            <v>20597</v>
          </cell>
          <cell r="J780">
            <v>20597</v>
          </cell>
          <cell r="K780">
            <v>61792</v>
          </cell>
          <cell r="L780">
            <v>61792</v>
          </cell>
          <cell r="M780">
            <v>82389</v>
          </cell>
          <cell r="N780">
            <v>82389</v>
          </cell>
          <cell r="O780">
            <v>20597</v>
          </cell>
          <cell r="P780">
            <v>12358</v>
          </cell>
          <cell r="Q780">
            <v>411943</v>
          </cell>
        </row>
        <row r="781">
          <cell r="A781" t="str">
            <v>USWOP015503201400054</v>
          </cell>
          <cell r="B781" t="str">
            <v>USWOP01550</v>
          </cell>
          <cell r="C781">
            <v>3201400054</v>
          </cell>
          <cell r="D781" t="str">
            <v>TECHNICAL SERVICES</v>
          </cell>
          <cell r="E781">
            <v>4319</v>
          </cell>
          <cell r="F781">
            <v>4319</v>
          </cell>
          <cell r="G781">
            <v>4319</v>
          </cell>
          <cell r="H781">
            <v>4319</v>
          </cell>
          <cell r="I781">
            <v>7199</v>
          </cell>
          <cell r="J781">
            <v>7199</v>
          </cell>
          <cell r="K781">
            <v>21596</v>
          </cell>
          <cell r="L781">
            <v>21596</v>
          </cell>
          <cell r="M781">
            <v>28795</v>
          </cell>
          <cell r="N781">
            <v>28795</v>
          </cell>
          <cell r="O781">
            <v>7199</v>
          </cell>
          <cell r="P781">
            <v>4319</v>
          </cell>
          <cell r="Q781">
            <v>143974</v>
          </cell>
        </row>
        <row r="782">
          <cell r="A782" t="str">
            <v>USWOP015503201400056</v>
          </cell>
          <cell r="B782" t="str">
            <v>USWOP01550</v>
          </cell>
          <cell r="C782">
            <v>3201400056</v>
          </cell>
          <cell r="D782" t="str">
            <v>FIELD AND PRODUCTION EXPENSES</v>
          </cell>
          <cell r="E782">
            <v>463</v>
          </cell>
          <cell r="F782">
            <v>463</v>
          </cell>
          <cell r="G782">
            <v>463</v>
          </cell>
          <cell r="H782">
            <v>463</v>
          </cell>
          <cell r="I782">
            <v>771</v>
          </cell>
          <cell r="J782">
            <v>771</v>
          </cell>
          <cell r="K782">
            <v>2314</v>
          </cell>
          <cell r="L782">
            <v>2314</v>
          </cell>
          <cell r="M782">
            <v>3085</v>
          </cell>
          <cell r="N782">
            <v>3085</v>
          </cell>
          <cell r="O782">
            <v>771</v>
          </cell>
          <cell r="P782">
            <v>463</v>
          </cell>
          <cell r="Q782">
            <v>15426</v>
          </cell>
        </row>
        <row r="783">
          <cell r="A783" t="str">
            <v>USWOP015503201400057</v>
          </cell>
          <cell r="B783" t="str">
            <v>USWOP01550</v>
          </cell>
          <cell r="C783">
            <v>3201400057</v>
          </cell>
          <cell r="D783" t="str">
            <v>FIELD AND PRODUCTION SERVICES - SPRAYING</v>
          </cell>
          <cell r="E783">
            <v>29309</v>
          </cell>
          <cell r="F783">
            <v>29309</v>
          </cell>
          <cell r="G783">
            <v>29309</v>
          </cell>
          <cell r="H783">
            <v>29309</v>
          </cell>
          <cell r="I783">
            <v>48848</v>
          </cell>
          <cell r="J783">
            <v>48848</v>
          </cell>
          <cell r="K783">
            <v>146545</v>
          </cell>
          <cell r="L783">
            <v>146545</v>
          </cell>
          <cell r="M783">
            <v>195393</v>
          </cell>
          <cell r="N783">
            <v>195393</v>
          </cell>
          <cell r="O783">
            <v>48848</v>
          </cell>
          <cell r="P783">
            <v>29309</v>
          </cell>
          <cell r="Q783">
            <v>976965</v>
          </cell>
        </row>
        <row r="784">
          <cell r="A784" t="str">
            <v>USWOP015503311400099</v>
          </cell>
          <cell r="B784" t="str">
            <v>USWOP01550</v>
          </cell>
          <cell r="C784">
            <v>3311400099</v>
          </cell>
          <cell r="D784" t="str">
            <v>CO DEPRECIATION</v>
          </cell>
          <cell r="E784">
            <v>2350</v>
          </cell>
          <cell r="F784">
            <v>2350</v>
          </cell>
          <cell r="G784">
            <v>2350</v>
          </cell>
          <cell r="H784">
            <v>2350</v>
          </cell>
          <cell r="I784">
            <v>2350</v>
          </cell>
          <cell r="J784">
            <v>2350</v>
          </cell>
          <cell r="K784">
            <v>2350</v>
          </cell>
          <cell r="L784">
            <v>2350</v>
          </cell>
          <cell r="M784">
            <v>2350</v>
          </cell>
          <cell r="N784">
            <v>2350</v>
          </cell>
          <cell r="O784">
            <v>2350</v>
          </cell>
          <cell r="P784">
            <v>2350</v>
          </cell>
          <cell r="Q784">
            <v>28200</v>
          </cell>
        </row>
        <row r="785">
          <cell r="A785" t="str">
            <v>USWOP015503911100010</v>
          </cell>
          <cell r="B785" t="str">
            <v>USWOP01550</v>
          </cell>
          <cell r="C785">
            <v>3911100010</v>
          </cell>
          <cell r="D785" t="str">
            <v>TRAVEL EXPENSES PERMANENTS / MEALS</v>
          </cell>
          <cell r="E785">
            <v>77</v>
          </cell>
          <cell r="F785">
            <v>77</v>
          </cell>
          <cell r="G785">
            <v>77</v>
          </cell>
          <cell r="H785">
            <v>77</v>
          </cell>
          <cell r="I785">
            <v>129</v>
          </cell>
          <cell r="J785">
            <v>129</v>
          </cell>
          <cell r="K785">
            <v>386</v>
          </cell>
          <cell r="L785">
            <v>386</v>
          </cell>
          <cell r="M785">
            <v>514</v>
          </cell>
          <cell r="N785">
            <v>514</v>
          </cell>
          <cell r="O785">
            <v>129</v>
          </cell>
          <cell r="P785">
            <v>77</v>
          </cell>
          <cell r="Q785">
            <v>2572</v>
          </cell>
        </row>
        <row r="786">
          <cell r="A786" t="str">
            <v>USWOP015503911100012</v>
          </cell>
          <cell r="B786" t="str">
            <v>USWOP01550</v>
          </cell>
          <cell r="C786">
            <v>3911100012</v>
          </cell>
          <cell r="D786" t="str">
            <v>TRAVEL EXPENSES PERMANENTS / HOTELS</v>
          </cell>
          <cell r="E786">
            <v>15</v>
          </cell>
          <cell r="F786">
            <v>15</v>
          </cell>
          <cell r="G786">
            <v>15</v>
          </cell>
          <cell r="H786">
            <v>15</v>
          </cell>
          <cell r="I786">
            <v>26</v>
          </cell>
          <cell r="J786">
            <v>26</v>
          </cell>
          <cell r="K786">
            <v>77</v>
          </cell>
          <cell r="L786">
            <v>77</v>
          </cell>
          <cell r="M786">
            <v>103</v>
          </cell>
          <cell r="N786">
            <v>103</v>
          </cell>
          <cell r="O786">
            <v>26</v>
          </cell>
          <cell r="P786">
            <v>15</v>
          </cell>
          <cell r="Q786">
            <v>513</v>
          </cell>
        </row>
        <row r="787">
          <cell r="A787" t="str">
            <v>USWOP015503911100015</v>
          </cell>
          <cell r="B787" t="str">
            <v>USWOP01550</v>
          </cell>
          <cell r="C787">
            <v>3911100015</v>
          </cell>
          <cell r="D787" t="str">
            <v>TRAVEL EXPENSES PERMANENTS / OTHER</v>
          </cell>
          <cell r="E787">
            <v>108</v>
          </cell>
          <cell r="F787">
            <v>108</v>
          </cell>
          <cell r="G787">
            <v>108</v>
          </cell>
          <cell r="H787">
            <v>108</v>
          </cell>
          <cell r="I787">
            <v>180</v>
          </cell>
          <cell r="J787">
            <v>180</v>
          </cell>
          <cell r="K787">
            <v>540</v>
          </cell>
          <cell r="L787">
            <v>540</v>
          </cell>
          <cell r="M787">
            <v>720</v>
          </cell>
          <cell r="N787">
            <v>720</v>
          </cell>
          <cell r="O787">
            <v>180</v>
          </cell>
          <cell r="P787">
            <v>108</v>
          </cell>
          <cell r="Q787">
            <v>3600</v>
          </cell>
        </row>
        <row r="788">
          <cell r="A788" t="str">
            <v>USWOP015503911200001</v>
          </cell>
          <cell r="B788" t="str">
            <v>USWOP01550</v>
          </cell>
          <cell r="C788">
            <v>3911200001</v>
          </cell>
          <cell r="D788" t="str">
            <v>SYMPOSIUMS, CONFERENCES, MEETINGS</v>
          </cell>
          <cell r="E788">
            <v>123</v>
          </cell>
          <cell r="F788">
            <v>123</v>
          </cell>
          <cell r="G788">
            <v>123</v>
          </cell>
          <cell r="H788">
            <v>123</v>
          </cell>
          <cell r="I788">
            <v>206</v>
          </cell>
          <cell r="J788">
            <v>206</v>
          </cell>
          <cell r="K788">
            <v>617</v>
          </cell>
          <cell r="L788">
            <v>617</v>
          </cell>
          <cell r="M788">
            <v>823</v>
          </cell>
          <cell r="N788">
            <v>823</v>
          </cell>
          <cell r="O788">
            <v>206</v>
          </cell>
          <cell r="P788">
            <v>123</v>
          </cell>
          <cell r="Q788">
            <v>4113</v>
          </cell>
        </row>
        <row r="789">
          <cell r="A789" t="str">
            <v>USWOP015503921200001</v>
          </cell>
          <cell r="B789" t="str">
            <v>USWOP01550</v>
          </cell>
          <cell r="C789">
            <v>3921200001</v>
          </cell>
          <cell r="D789" t="str">
            <v>FUEL</v>
          </cell>
          <cell r="E789">
            <v>309</v>
          </cell>
          <cell r="F789">
            <v>309</v>
          </cell>
          <cell r="G789">
            <v>309</v>
          </cell>
          <cell r="H789">
            <v>309</v>
          </cell>
          <cell r="I789">
            <v>514</v>
          </cell>
          <cell r="J789">
            <v>514</v>
          </cell>
          <cell r="K789">
            <v>1543</v>
          </cell>
          <cell r="L789">
            <v>1543</v>
          </cell>
          <cell r="M789">
            <v>2057</v>
          </cell>
          <cell r="N789">
            <v>2057</v>
          </cell>
          <cell r="O789">
            <v>514</v>
          </cell>
          <cell r="P789">
            <v>309</v>
          </cell>
          <cell r="Q789">
            <v>10287</v>
          </cell>
        </row>
        <row r="790">
          <cell r="A790" t="str">
            <v>USWOP015503921200006</v>
          </cell>
          <cell r="B790" t="str">
            <v>USWOP01550</v>
          </cell>
          <cell r="C790">
            <v>3921200006</v>
          </cell>
          <cell r="D790" t="str">
            <v>FACTORY SUPPLIES MAINTENANCE SUPPLIES</v>
          </cell>
          <cell r="E790">
            <v>62</v>
          </cell>
          <cell r="F790">
            <v>62</v>
          </cell>
          <cell r="G790">
            <v>62</v>
          </cell>
          <cell r="H790">
            <v>62</v>
          </cell>
          <cell r="I790">
            <v>103</v>
          </cell>
          <cell r="J790">
            <v>103</v>
          </cell>
          <cell r="K790">
            <v>309</v>
          </cell>
          <cell r="L790">
            <v>309</v>
          </cell>
          <cell r="M790">
            <v>411</v>
          </cell>
          <cell r="N790">
            <v>411</v>
          </cell>
          <cell r="O790">
            <v>103</v>
          </cell>
          <cell r="P790">
            <v>62</v>
          </cell>
          <cell r="Q790">
            <v>2059</v>
          </cell>
        </row>
        <row r="791">
          <cell r="A791" t="str">
            <v>USWOP015503921200050</v>
          </cell>
          <cell r="B791" t="str">
            <v>USWOP01550</v>
          </cell>
          <cell r="C791">
            <v>3921200050</v>
          </cell>
          <cell r="D791" t="str">
            <v>SAFETY EQUIPMENT - SUPPLIES</v>
          </cell>
          <cell r="E791">
            <v>170</v>
          </cell>
          <cell r="F791">
            <v>170</v>
          </cell>
          <cell r="G791">
            <v>170</v>
          </cell>
          <cell r="H791">
            <v>170</v>
          </cell>
          <cell r="I791">
            <v>283</v>
          </cell>
          <cell r="J791">
            <v>283</v>
          </cell>
          <cell r="K791">
            <v>848</v>
          </cell>
          <cell r="L791">
            <v>848</v>
          </cell>
          <cell r="M791">
            <v>1131</v>
          </cell>
          <cell r="N791">
            <v>1131</v>
          </cell>
          <cell r="O791">
            <v>283</v>
          </cell>
          <cell r="P791">
            <v>170</v>
          </cell>
          <cell r="Q791">
            <v>5657</v>
          </cell>
        </row>
        <row r="792">
          <cell r="A792" t="str">
            <v>USWOP015503921200100</v>
          </cell>
          <cell r="B792" t="str">
            <v>USWOP01550</v>
          </cell>
          <cell r="C792">
            <v>3921200100</v>
          </cell>
          <cell r="D792" t="str">
            <v>FIELD &amp; PRODUCTION SUPPLIES</v>
          </cell>
          <cell r="E792">
            <v>77</v>
          </cell>
          <cell r="F792">
            <v>77</v>
          </cell>
          <cell r="G792">
            <v>77</v>
          </cell>
          <cell r="H792">
            <v>77</v>
          </cell>
          <cell r="I792">
            <v>129</v>
          </cell>
          <cell r="J792">
            <v>129</v>
          </cell>
          <cell r="K792">
            <v>386</v>
          </cell>
          <cell r="L792">
            <v>386</v>
          </cell>
          <cell r="M792">
            <v>514</v>
          </cell>
          <cell r="N792">
            <v>514</v>
          </cell>
          <cell r="O792">
            <v>129</v>
          </cell>
          <cell r="P792">
            <v>77</v>
          </cell>
          <cell r="Q792">
            <v>2572</v>
          </cell>
        </row>
        <row r="793">
          <cell r="A793" t="str">
            <v>USWOP015503941100013</v>
          </cell>
          <cell r="B793" t="str">
            <v>USWOP01550</v>
          </cell>
          <cell r="C793">
            <v>3941100013</v>
          </cell>
          <cell r="D793" t="str">
            <v>FREIGHT IN</v>
          </cell>
          <cell r="E793">
            <v>21899</v>
          </cell>
          <cell r="F793">
            <v>21899</v>
          </cell>
          <cell r="G793">
            <v>21899</v>
          </cell>
          <cell r="H793">
            <v>21899</v>
          </cell>
          <cell r="I793">
            <v>36498</v>
          </cell>
          <cell r="J793">
            <v>36498</v>
          </cell>
          <cell r="K793">
            <v>109493</v>
          </cell>
          <cell r="L793">
            <v>109493</v>
          </cell>
          <cell r="M793">
            <v>145990</v>
          </cell>
          <cell r="N793">
            <v>145990</v>
          </cell>
          <cell r="O793">
            <v>36498</v>
          </cell>
          <cell r="P793">
            <v>21899</v>
          </cell>
          <cell r="Q793">
            <v>729955</v>
          </cell>
        </row>
        <row r="794">
          <cell r="A794" t="str">
            <v>USWOP015503951100005</v>
          </cell>
          <cell r="B794" t="str">
            <v>USWOP01550</v>
          </cell>
          <cell r="C794">
            <v>3951100005</v>
          </cell>
          <cell r="D794" t="str">
            <v>OTHER RENTALS</v>
          </cell>
          <cell r="E794">
            <v>463</v>
          </cell>
          <cell r="F794">
            <v>463</v>
          </cell>
          <cell r="G794">
            <v>463</v>
          </cell>
          <cell r="H794">
            <v>463</v>
          </cell>
          <cell r="I794">
            <v>771</v>
          </cell>
          <cell r="J794">
            <v>771</v>
          </cell>
          <cell r="K794">
            <v>2314</v>
          </cell>
          <cell r="L794">
            <v>2314</v>
          </cell>
          <cell r="M794">
            <v>3085</v>
          </cell>
          <cell r="N794">
            <v>3085</v>
          </cell>
          <cell r="O794">
            <v>771</v>
          </cell>
          <cell r="P794">
            <v>463</v>
          </cell>
          <cell r="Q794">
            <v>15426</v>
          </cell>
        </row>
        <row r="795">
          <cell r="A795" t="str">
            <v>USWOP015503951200002</v>
          </cell>
          <cell r="B795" t="str">
            <v>USWOP01550</v>
          </cell>
          <cell r="C795">
            <v>3951200002</v>
          </cell>
          <cell r="D795" t="str">
            <v>OPERATING LEASES - VEHICLES (SHORT DURAT</v>
          </cell>
          <cell r="E795">
            <v>154</v>
          </cell>
          <cell r="F795">
            <v>154</v>
          </cell>
          <cell r="G795">
            <v>154</v>
          </cell>
          <cell r="H795">
            <v>154</v>
          </cell>
          <cell r="I795">
            <v>257</v>
          </cell>
          <cell r="J795">
            <v>257</v>
          </cell>
          <cell r="K795">
            <v>771</v>
          </cell>
          <cell r="L795">
            <v>771</v>
          </cell>
          <cell r="M795">
            <v>1028</v>
          </cell>
          <cell r="N795">
            <v>1028</v>
          </cell>
          <cell r="O795">
            <v>257</v>
          </cell>
          <cell r="P795">
            <v>154</v>
          </cell>
          <cell r="Q795">
            <v>5139</v>
          </cell>
        </row>
        <row r="796">
          <cell r="A796" t="str">
            <v>USWOP015503961100000</v>
          </cell>
          <cell r="B796" t="str">
            <v>USWOP01550</v>
          </cell>
          <cell r="C796">
            <v>3961100000</v>
          </cell>
          <cell r="D796" t="str">
            <v>COMPREHENSIVE INSURANCES</v>
          </cell>
          <cell r="E796">
            <v>2669</v>
          </cell>
          <cell r="F796">
            <v>2669</v>
          </cell>
          <cell r="G796">
            <v>2669</v>
          </cell>
          <cell r="H796">
            <v>2669</v>
          </cell>
          <cell r="I796">
            <v>4449</v>
          </cell>
          <cell r="J796">
            <v>4449</v>
          </cell>
          <cell r="K796">
            <v>13347</v>
          </cell>
          <cell r="L796">
            <v>13347</v>
          </cell>
          <cell r="M796">
            <v>17796</v>
          </cell>
          <cell r="N796">
            <v>17796</v>
          </cell>
          <cell r="O796">
            <v>4449</v>
          </cell>
          <cell r="P796">
            <v>2669</v>
          </cell>
          <cell r="Q796">
            <v>88978</v>
          </cell>
        </row>
        <row r="797">
          <cell r="A797" t="str">
            <v>USWOP015533111100000</v>
          </cell>
          <cell r="B797" t="str">
            <v>USWOP01553</v>
          </cell>
          <cell r="C797">
            <v>3111100000</v>
          </cell>
          <cell r="D797" t="str">
            <v>WAGES,SALARIES,ALLOWANCES AND COMMI/PERM</v>
          </cell>
          <cell r="E797">
            <v>6360</v>
          </cell>
          <cell r="F797">
            <v>6360</v>
          </cell>
          <cell r="G797">
            <v>6360</v>
          </cell>
          <cell r="H797">
            <v>6360</v>
          </cell>
          <cell r="I797">
            <v>6360</v>
          </cell>
          <cell r="J797">
            <v>6360</v>
          </cell>
          <cell r="K797">
            <v>6360</v>
          </cell>
          <cell r="L797">
            <v>6360</v>
          </cell>
          <cell r="M797">
            <v>6360</v>
          </cell>
          <cell r="N797">
            <v>6360</v>
          </cell>
          <cell r="O797">
            <v>6360</v>
          </cell>
          <cell r="P797">
            <v>6360</v>
          </cell>
          <cell r="Q797">
            <v>76320</v>
          </cell>
        </row>
        <row r="798">
          <cell r="A798" t="str">
            <v>USWOP015533111100012</v>
          </cell>
          <cell r="B798" t="str">
            <v>USWOP01553</v>
          </cell>
          <cell r="C798">
            <v>3111100012</v>
          </cell>
          <cell r="D798" t="str">
            <v>OVERTIME HOURS /PERMANENTS</v>
          </cell>
          <cell r="E798">
            <v>1413</v>
          </cell>
          <cell r="F798">
            <v>1413</v>
          </cell>
          <cell r="G798">
            <v>1413</v>
          </cell>
          <cell r="H798">
            <v>1413</v>
          </cell>
          <cell r="I798">
            <v>1413</v>
          </cell>
          <cell r="J798">
            <v>1413</v>
          </cell>
          <cell r="K798">
            <v>1413</v>
          </cell>
          <cell r="L798">
            <v>1413</v>
          </cell>
          <cell r="M798">
            <v>1413</v>
          </cell>
          <cell r="N798">
            <v>1413</v>
          </cell>
          <cell r="O798">
            <v>1413</v>
          </cell>
          <cell r="P798">
            <v>1417</v>
          </cell>
          <cell r="Q798">
            <v>16960</v>
          </cell>
        </row>
        <row r="799">
          <cell r="A799" t="str">
            <v>USWOP015533121300013</v>
          </cell>
          <cell r="B799" t="str">
            <v>USWOP01553</v>
          </cell>
          <cell r="C799">
            <v>3121300013</v>
          </cell>
          <cell r="D799" t="str">
            <v>FRINGE BENEFITS</v>
          </cell>
          <cell r="E799">
            <v>2938</v>
          </cell>
          <cell r="F799">
            <v>2938</v>
          </cell>
          <cell r="G799">
            <v>2938</v>
          </cell>
          <cell r="H799">
            <v>2938</v>
          </cell>
          <cell r="I799">
            <v>2938</v>
          </cell>
          <cell r="J799">
            <v>2938</v>
          </cell>
          <cell r="K799">
            <v>2938</v>
          </cell>
          <cell r="L799">
            <v>2938</v>
          </cell>
          <cell r="M799">
            <v>2938</v>
          </cell>
          <cell r="N799">
            <v>2938</v>
          </cell>
          <cell r="O799">
            <v>2938</v>
          </cell>
          <cell r="P799">
            <v>2942</v>
          </cell>
          <cell r="Q799">
            <v>35260</v>
          </cell>
        </row>
        <row r="800">
          <cell r="A800" t="str">
            <v>USWOP015533201300001</v>
          </cell>
          <cell r="B800" t="str">
            <v>USWOP01553</v>
          </cell>
          <cell r="C800">
            <v>3201300001</v>
          </cell>
          <cell r="D800" t="str">
            <v>HIRED PERSONNEL FROM 3RD PARTIES</v>
          </cell>
          <cell r="E800">
            <v>0</v>
          </cell>
          <cell r="F800">
            <v>0</v>
          </cell>
          <cell r="G800">
            <v>0</v>
          </cell>
          <cell r="H800">
            <v>0</v>
          </cell>
          <cell r="I800">
            <v>0</v>
          </cell>
          <cell r="J800">
            <v>2719</v>
          </cell>
          <cell r="K800">
            <v>19032</v>
          </cell>
          <cell r="L800">
            <v>32626</v>
          </cell>
          <cell r="M800">
            <v>0</v>
          </cell>
          <cell r="N800">
            <v>0</v>
          </cell>
          <cell r="O800">
            <v>0</v>
          </cell>
          <cell r="P800">
            <v>0</v>
          </cell>
          <cell r="Q800">
            <v>54377</v>
          </cell>
        </row>
        <row r="801">
          <cell r="A801" t="str">
            <v>USWOP015533201300012</v>
          </cell>
          <cell r="B801" t="str">
            <v>USWOP01553</v>
          </cell>
          <cell r="C801">
            <v>3201300012</v>
          </cell>
          <cell r="D801" t="str">
            <v>HIRED PERSONNEL THIRD PARTY - ROUGING</v>
          </cell>
          <cell r="E801">
            <v>0</v>
          </cell>
          <cell r="F801">
            <v>0</v>
          </cell>
          <cell r="G801">
            <v>0</v>
          </cell>
          <cell r="H801">
            <v>0</v>
          </cell>
          <cell r="I801">
            <v>0</v>
          </cell>
          <cell r="J801">
            <v>56828</v>
          </cell>
          <cell r="K801">
            <v>397795</v>
          </cell>
          <cell r="L801">
            <v>681934</v>
          </cell>
          <cell r="M801">
            <v>0</v>
          </cell>
          <cell r="N801">
            <v>0</v>
          </cell>
          <cell r="O801">
            <v>0</v>
          </cell>
          <cell r="P801">
            <v>0</v>
          </cell>
          <cell r="Q801">
            <v>1136557</v>
          </cell>
        </row>
        <row r="802">
          <cell r="A802" t="str">
            <v>USWOP015533201400051</v>
          </cell>
          <cell r="B802" t="str">
            <v>USWOP01553</v>
          </cell>
          <cell r="C802">
            <v>3201400051</v>
          </cell>
          <cell r="D802" t="str">
            <v>MAINTENANCE EQUIPMENT</v>
          </cell>
          <cell r="E802">
            <v>172</v>
          </cell>
          <cell r="F802">
            <v>172</v>
          </cell>
          <cell r="G802">
            <v>172</v>
          </cell>
          <cell r="H802">
            <v>172</v>
          </cell>
          <cell r="I802">
            <v>172</v>
          </cell>
          <cell r="J802">
            <v>172</v>
          </cell>
          <cell r="K802">
            <v>172</v>
          </cell>
          <cell r="L802">
            <v>172</v>
          </cell>
          <cell r="M802">
            <v>172</v>
          </cell>
          <cell r="N802">
            <v>172</v>
          </cell>
          <cell r="O802">
            <v>172</v>
          </cell>
          <cell r="P802">
            <v>172</v>
          </cell>
          <cell r="Q802">
            <v>2064</v>
          </cell>
        </row>
        <row r="803">
          <cell r="A803" t="str">
            <v>USWOP015533201400056</v>
          </cell>
          <cell r="B803" t="str">
            <v>USWOP01553</v>
          </cell>
          <cell r="C803">
            <v>3201400056</v>
          </cell>
          <cell r="D803" t="str">
            <v>FIELD AND PRODUCTION EXPENSES</v>
          </cell>
          <cell r="E803">
            <v>0</v>
          </cell>
          <cell r="F803">
            <v>0</v>
          </cell>
          <cell r="G803">
            <v>0</v>
          </cell>
          <cell r="H803">
            <v>0</v>
          </cell>
          <cell r="I803">
            <v>0</v>
          </cell>
          <cell r="J803">
            <v>8651</v>
          </cell>
          <cell r="K803">
            <v>60556</v>
          </cell>
          <cell r="L803">
            <v>103810</v>
          </cell>
          <cell r="M803">
            <v>0</v>
          </cell>
          <cell r="N803">
            <v>0</v>
          </cell>
          <cell r="O803">
            <v>0</v>
          </cell>
          <cell r="P803">
            <v>0</v>
          </cell>
          <cell r="Q803">
            <v>173017</v>
          </cell>
        </row>
        <row r="804">
          <cell r="A804" t="str">
            <v>USWOP015533911100010</v>
          </cell>
          <cell r="B804" t="str">
            <v>USWOP01553</v>
          </cell>
          <cell r="C804">
            <v>3911100010</v>
          </cell>
          <cell r="D804" t="str">
            <v>TRAVEL EXPENSES PERMANENTS / MEALS</v>
          </cell>
          <cell r="E804">
            <v>344</v>
          </cell>
          <cell r="F804">
            <v>344</v>
          </cell>
          <cell r="G804">
            <v>344</v>
          </cell>
          <cell r="H804">
            <v>344</v>
          </cell>
          <cell r="I804">
            <v>344</v>
          </cell>
          <cell r="J804">
            <v>344</v>
          </cell>
          <cell r="K804">
            <v>344</v>
          </cell>
          <cell r="L804">
            <v>344</v>
          </cell>
          <cell r="M804">
            <v>344</v>
          </cell>
          <cell r="N804">
            <v>344</v>
          </cell>
          <cell r="O804">
            <v>344</v>
          </cell>
          <cell r="P804">
            <v>344</v>
          </cell>
          <cell r="Q804">
            <v>4128</v>
          </cell>
        </row>
        <row r="805">
          <cell r="A805" t="str">
            <v>USWOP015533911100012</v>
          </cell>
          <cell r="B805" t="str">
            <v>USWOP01553</v>
          </cell>
          <cell r="C805">
            <v>3911100012</v>
          </cell>
          <cell r="D805" t="str">
            <v>TRAVEL EXPENSES PERMANENTS / HOTELS</v>
          </cell>
          <cell r="E805">
            <v>0</v>
          </cell>
          <cell r="F805">
            <v>0</v>
          </cell>
          <cell r="G805">
            <v>0</v>
          </cell>
          <cell r="H805">
            <v>0</v>
          </cell>
          <cell r="I805">
            <v>0</v>
          </cell>
          <cell r="J805">
            <v>165</v>
          </cell>
          <cell r="K805">
            <v>1153</v>
          </cell>
          <cell r="L805">
            <v>1977</v>
          </cell>
          <cell r="M805">
            <v>0</v>
          </cell>
          <cell r="N805">
            <v>0</v>
          </cell>
          <cell r="O805">
            <v>0</v>
          </cell>
          <cell r="P805">
            <v>0</v>
          </cell>
          <cell r="Q805">
            <v>3295</v>
          </cell>
        </row>
        <row r="806">
          <cell r="A806" t="str">
            <v>USWOP015533911100015</v>
          </cell>
          <cell r="B806" t="str">
            <v>USWOP01553</v>
          </cell>
          <cell r="C806">
            <v>3911100015</v>
          </cell>
          <cell r="D806" t="str">
            <v>TRAVEL EXPENSES PERMANENTS / OTHER</v>
          </cell>
          <cell r="E806">
            <v>0</v>
          </cell>
          <cell r="F806">
            <v>0</v>
          </cell>
          <cell r="G806">
            <v>0</v>
          </cell>
          <cell r="H806">
            <v>0</v>
          </cell>
          <cell r="I806">
            <v>0</v>
          </cell>
          <cell r="J806">
            <v>206</v>
          </cell>
          <cell r="K806">
            <v>1442</v>
          </cell>
          <cell r="L806">
            <v>2472</v>
          </cell>
          <cell r="M806">
            <v>0</v>
          </cell>
          <cell r="N806">
            <v>0</v>
          </cell>
          <cell r="O806">
            <v>0</v>
          </cell>
          <cell r="P806">
            <v>0</v>
          </cell>
          <cell r="Q806">
            <v>4120</v>
          </cell>
        </row>
        <row r="807">
          <cell r="A807" t="str">
            <v>USWOP015533911100016</v>
          </cell>
          <cell r="B807" t="str">
            <v>USWOP01553</v>
          </cell>
          <cell r="C807">
            <v>3911100016</v>
          </cell>
          <cell r="D807" t="str">
            <v>TRAVEL EXPENSES SEASONALS / MEALS</v>
          </cell>
          <cell r="E807">
            <v>0</v>
          </cell>
          <cell r="F807">
            <v>0</v>
          </cell>
          <cell r="G807">
            <v>0</v>
          </cell>
          <cell r="H807">
            <v>0</v>
          </cell>
          <cell r="I807">
            <v>0</v>
          </cell>
          <cell r="J807">
            <v>0</v>
          </cell>
          <cell r="K807">
            <v>0</v>
          </cell>
          <cell r="L807">
            <v>0</v>
          </cell>
          <cell r="M807">
            <v>0</v>
          </cell>
          <cell r="N807">
            <v>0</v>
          </cell>
          <cell r="O807">
            <v>0</v>
          </cell>
          <cell r="P807">
            <v>0</v>
          </cell>
          <cell r="Q807">
            <v>0</v>
          </cell>
        </row>
        <row r="808">
          <cell r="A808" t="str">
            <v>USWOP015533921200003</v>
          </cell>
          <cell r="B808" t="str">
            <v>USWOP01553</v>
          </cell>
          <cell r="C808">
            <v>3921200003</v>
          </cell>
          <cell r="D808" t="str">
            <v>GAS</v>
          </cell>
          <cell r="E808">
            <v>0</v>
          </cell>
          <cell r="F808">
            <v>0</v>
          </cell>
          <cell r="G808">
            <v>0</v>
          </cell>
          <cell r="H808">
            <v>0</v>
          </cell>
          <cell r="I808">
            <v>0</v>
          </cell>
          <cell r="J808">
            <v>927</v>
          </cell>
          <cell r="K808">
            <v>6488</v>
          </cell>
          <cell r="L808">
            <v>11123</v>
          </cell>
          <cell r="M808">
            <v>0</v>
          </cell>
          <cell r="N808">
            <v>0</v>
          </cell>
          <cell r="O808">
            <v>0</v>
          </cell>
          <cell r="P808">
            <v>0</v>
          </cell>
          <cell r="Q808">
            <v>18538</v>
          </cell>
        </row>
        <row r="809">
          <cell r="A809" t="str">
            <v>USWOP015533921200006</v>
          </cell>
          <cell r="B809" t="str">
            <v>USWOP01553</v>
          </cell>
          <cell r="C809">
            <v>3921200006</v>
          </cell>
          <cell r="D809" t="str">
            <v>FACTORY SUPPLIES MAINTENANCE SUPPLIES</v>
          </cell>
          <cell r="E809">
            <v>0</v>
          </cell>
          <cell r="F809">
            <v>0</v>
          </cell>
          <cell r="G809">
            <v>0</v>
          </cell>
          <cell r="H809">
            <v>0</v>
          </cell>
          <cell r="I809">
            <v>0</v>
          </cell>
          <cell r="J809">
            <v>721</v>
          </cell>
          <cell r="K809">
            <v>5046</v>
          </cell>
          <cell r="L809">
            <v>8651</v>
          </cell>
          <cell r="M809">
            <v>0</v>
          </cell>
          <cell r="N809">
            <v>0</v>
          </cell>
          <cell r="O809">
            <v>0</v>
          </cell>
          <cell r="P809">
            <v>0</v>
          </cell>
          <cell r="Q809">
            <v>14418</v>
          </cell>
        </row>
        <row r="810">
          <cell r="A810" t="str">
            <v>USWOP015533921200037</v>
          </cell>
          <cell r="B810" t="str">
            <v>USWOP01553</v>
          </cell>
          <cell r="C810">
            <v>3921200037</v>
          </cell>
          <cell r="D810" t="str">
            <v>EXHAUSTIVE EQUIPMENT</v>
          </cell>
          <cell r="E810">
            <v>0</v>
          </cell>
          <cell r="F810">
            <v>0</v>
          </cell>
          <cell r="G810">
            <v>0</v>
          </cell>
          <cell r="H810">
            <v>0</v>
          </cell>
          <cell r="I810">
            <v>0</v>
          </cell>
          <cell r="J810">
            <v>82</v>
          </cell>
          <cell r="K810">
            <v>577</v>
          </cell>
          <cell r="L810">
            <v>989</v>
          </cell>
          <cell r="M810">
            <v>0</v>
          </cell>
          <cell r="N810">
            <v>0</v>
          </cell>
          <cell r="O810">
            <v>0</v>
          </cell>
          <cell r="P810">
            <v>0</v>
          </cell>
          <cell r="Q810">
            <v>1648</v>
          </cell>
        </row>
        <row r="811">
          <cell r="A811" t="str">
            <v>USWOP015533921200050</v>
          </cell>
          <cell r="B811" t="str">
            <v>USWOP01553</v>
          </cell>
          <cell r="C811">
            <v>3921200050</v>
          </cell>
          <cell r="D811" t="str">
            <v>SAFETY EQUIPMENT - SUPPLIES</v>
          </cell>
          <cell r="E811">
            <v>0</v>
          </cell>
          <cell r="F811">
            <v>0</v>
          </cell>
          <cell r="G811">
            <v>0</v>
          </cell>
          <cell r="H811">
            <v>0</v>
          </cell>
          <cell r="I811">
            <v>0</v>
          </cell>
          <cell r="J811">
            <v>206</v>
          </cell>
          <cell r="K811">
            <v>1442</v>
          </cell>
          <cell r="L811">
            <v>2472</v>
          </cell>
          <cell r="M811">
            <v>0</v>
          </cell>
          <cell r="N811">
            <v>0</v>
          </cell>
          <cell r="O811">
            <v>0</v>
          </cell>
          <cell r="P811">
            <v>0</v>
          </cell>
          <cell r="Q811">
            <v>4120</v>
          </cell>
        </row>
        <row r="812">
          <cell r="A812" t="str">
            <v>USWOP015533921200100</v>
          </cell>
          <cell r="B812" t="str">
            <v>USWOP01553</v>
          </cell>
          <cell r="C812">
            <v>3921200100</v>
          </cell>
          <cell r="D812" t="str">
            <v>FIELD &amp; PRODUCTION SUPPLIES</v>
          </cell>
          <cell r="E812">
            <v>122</v>
          </cell>
          <cell r="F812">
            <v>122</v>
          </cell>
          <cell r="G812">
            <v>122</v>
          </cell>
          <cell r="H812">
            <v>122</v>
          </cell>
          <cell r="I812">
            <v>122</v>
          </cell>
          <cell r="J812">
            <v>122</v>
          </cell>
          <cell r="K812">
            <v>122</v>
          </cell>
          <cell r="L812">
            <v>122</v>
          </cell>
          <cell r="M812">
            <v>122</v>
          </cell>
          <cell r="N812">
            <v>122</v>
          </cell>
          <cell r="O812">
            <v>122</v>
          </cell>
          <cell r="P812">
            <v>122</v>
          </cell>
          <cell r="Q812">
            <v>1464</v>
          </cell>
        </row>
        <row r="813">
          <cell r="A813" t="str">
            <v>USWOP015533951100002</v>
          </cell>
          <cell r="B813" t="str">
            <v>USWOP01553</v>
          </cell>
          <cell r="C813">
            <v>3951100002</v>
          </cell>
          <cell r="D813" t="str">
            <v>RENTALS - REAL ESTATE</v>
          </cell>
          <cell r="E813">
            <v>0</v>
          </cell>
          <cell r="F813">
            <v>0</v>
          </cell>
          <cell r="G813">
            <v>0</v>
          </cell>
          <cell r="H813">
            <v>0</v>
          </cell>
          <cell r="I813">
            <v>0</v>
          </cell>
          <cell r="J813">
            <v>0</v>
          </cell>
          <cell r="K813">
            <v>0</v>
          </cell>
          <cell r="L813">
            <v>0</v>
          </cell>
          <cell r="M813">
            <v>0</v>
          </cell>
          <cell r="N813">
            <v>0</v>
          </cell>
          <cell r="O813">
            <v>0</v>
          </cell>
          <cell r="P813">
            <v>0</v>
          </cell>
          <cell r="Q813">
            <v>0</v>
          </cell>
        </row>
        <row r="814">
          <cell r="A814" t="str">
            <v>USWOP015533951100005</v>
          </cell>
          <cell r="B814" t="str">
            <v>USWOP01553</v>
          </cell>
          <cell r="C814">
            <v>3951100005</v>
          </cell>
          <cell r="D814" t="str">
            <v>OTHER RENTALS</v>
          </cell>
          <cell r="E814">
            <v>0</v>
          </cell>
          <cell r="F814">
            <v>0</v>
          </cell>
          <cell r="G814">
            <v>0</v>
          </cell>
          <cell r="H814">
            <v>0</v>
          </cell>
          <cell r="I814">
            <v>0</v>
          </cell>
          <cell r="J814">
            <v>309</v>
          </cell>
          <cell r="K814">
            <v>2163</v>
          </cell>
          <cell r="L814">
            <v>3708</v>
          </cell>
          <cell r="M814">
            <v>0</v>
          </cell>
          <cell r="N814">
            <v>0</v>
          </cell>
          <cell r="O814">
            <v>0</v>
          </cell>
          <cell r="P814">
            <v>0</v>
          </cell>
          <cell r="Q814">
            <v>6180</v>
          </cell>
        </row>
        <row r="815">
          <cell r="A815" t="str">
            <v>USWOP015533951200002</v>
          </cell>
          <cell r="B815" t="str">
            <v>USWOP01553</v>
          </cell>
          <cell r="C815">
            <v>3951200002</v>
          </cell>
          <cell r="D815" t="str">
            <v>OPERATING LEASES - VEHICLES (SHORT DURAT</v>
          </cell>
          <cell r="E815">
            <v>0</v>
          </cell>
          <cell r="F815">
            <v>0</v>
          </cell>
          <cell r="G815">
            <v>0</v>
          </cell>
          <cell r="H815">
            <v>0</v>
          </cell>
          <cell r="I815">
            <v>0</v>
          </cell>
          <cell r="J815">
            <v>742</v>
          </cell>
          <cell r="K815">
            <v>5191</v>
          </cell>
          <cell r="L815">
            <v>8898</v>
          </cell>
          <cell r="M815">
            <v>0</v>
          </cell>
          <cell r="N815">
            <v>0</v>
          </cell>
          <cell r="O815">
            <v>0</v>
          </cell>
          <cell r="P815">
            <v>0</v>
          </cell>
          <cell r="Q815">
            <v>14831</v>
          </cell>
        </row>
        <row r="816">
          <cell r="A816" t="str">
            <v>USWOP015533961100000</v>
          </cell>
          <cell r="B816" t="str">
            <v>USWOP01553</v>
          </cell>
          <cell r="C816">
            <v>3961100000</v>
          </cell>
          <cell r="D816" t="str">
            <v>COMPREHENSIVE INSURANCES</v>
          </cell>
          <cell r="E816">
            <v>0</v>
          </cell>
          <cell r="F816">
            <v>0</v>
          </cell>
          <cell r="G816">
            <v>0</v>
          </cell>
          <cell r="H816">
            <v>0</v>
          </cell>
          <cell r="I816">
            <v>0</v>
          </cell>
          <cell r="J816">
            <v>144</v>
          </cell>
          <cell r="K816">
            <v>1009</v>
          </cell>
          <cell r="L816">
            <v>1730</v>
          </cell>
          <cell r="M816">
            <v>0</v>
          </cell>
          <cell r="N816">
            <v>0</v>
          </cell>
          <cell r="O816">
            <v>0</v>
          </cell>
          <cell r="P816">
            <v>0</v>
          </cell>
          <cell r="Q816">
            <v>2883</v>
          </cell>
        </row>
        <row r="817">
          <cell r="A817" t="str">
            <v>USWOP015603111100000</v>
          </cell>
          <cell r="B817" t="str">
            <v>USWOP01560</v>
          </cell>
          <cell r="C817">
            <v>3111100000</v>
          </cell>
          <cell r="D817" t="str">
            <v>WAGES,SALARIES,ALLOWANCES AND COMMI/PERM</v>
          </cell>
          <cell r="E817">
            <v>13115</v>
          </cell>
          <cell r="F817">
            <v>13115</v>
          </cell>
          <cell r="G817">
            <v>13115</v>
          </cell>
          <cell r="H817">
            <v>13115</v>
          </cell>
          <cell r="I817">
            <v>13115</v>
          </cell>
          <cell r="J817">
            <v>13115</v>
          </cell>
          <cell r="K817">
            <v>13115</v>
          </cell>
          <cell r="L817">
            <v>13115</v>
          </cell>
          <cell r="M817">
            <v>13115</v>
          </cell>
          <cell r="N817">
            <v>13115</v>
          </cell>
          <cell r="O817">
            <v>13115</v>
          </cell>
          <cell r="P817">
            <v>13120</v>
          </cell>
          <cell r="Q817">
            <v>157385</v>
          </cell>
        </row>
        <row r="818">
          <cell r="A818" t="str">
            <v>USWOP015603111100012</v>
          </cell>
          <cell r="B818" t="str">
            <v>USWOP01560</v>
          </cell>
          <cell r="C818">
            <v>3111100012</v>
          </cell>
          <cell r="D818" t="str">
            <v>OVERTIME HOURS /PERMANENTS</v>
          </cell>
          <cell r="E818">
            <v>2331</v>
          </cell>
          <cell r="F818">
            <v>2331</v>
          </cell>
          <cell r="G818">
            <v>2331</v>
          </cell>
          <cell r="H818">
            <v>2331</v>
          </cell>
          <cell r="I818">
            <v>2331</v>
          </cell>
          <cell r="J818">
            <v>2331</v>
          </cell>
          <cell r="K818">
            <v>2331</v>
          </cell>
          <cell r="L818">
            <v>2331</v>
          </cell>
          <cell r="M818">
            <v>2331</v>
          </cell>
          <cell r="N818">
            <v>2331</v>
          </cell>
          <cell r="O818">
            <v>2331</v>
          </cell>
          <cell r="P818">
            <v>2334</v>
          </cell>
          <cell r="Q818">
            <v>27975</v>
          </cell>
        </row>
        <row r="819">
          <cell r="A819" t="str">
            <v>USWOP015603121300013</v>
          </cell>
          <cell r="B819" t="str">
            <v>USWOP01560</v>
          </cell>
          <cell r="C819">
            <v>3121300013</v>
          </cell>
          <cell r="D819" t="str">
            <v>FRINGE BENEFITS</v>
          </cell>
          <cell r="E819">
            <v>5839</v>
          </cell>
          <cell r="F819">
            <v>5839</v>
          </cell>
          <cell r="G819">
            <v>5839</v>
          </cell>
          <cell r="H819">
            <v>5839</v>
          </cell>
          <cell r="I819">
            <v>5839</v>
          </cell>
          <cell r="J819">
            <v>5839</v>
          </cell>
          <cell r="K819">
            <v>5839</v>
          </cell>
          <cell r="L819">
            <v>5839</v>
          </cell>
          <cell r="M819">
            <v>5839</v>
          </cell>
          <cell r="N819">
            <v>5839</v>
          </cell>
          <cell r="O819">
            <v>5839</v>
          </cell>
          <cell r="P819">
            <v>5837</v>
          </cell>
          <cell r="Q819">
            <v>70066</v>
          </cell>
        </row>
        <row r="820">
          <cell r="A820" t="str">
            <v>USWOP015603201300001</v>
          </cell>
          <cell r="B820" t="str">
            <v>USWOP01560</v>
          </cell>
          <cell r="C820">
            <v>3201300001</v>
          </cell>
          <cell r="D820" t="str">
            <v>HIRED PERSONNEL FROM 3RD PARTIES</v>
          </cell>
          <cell r="E820">
            <v>10872</v>
          </cell>
          <cell r="F820">
            <v>5436</v>
          </cell>
          <cell r="G820">
            <v>5436</v>
          </cell>
          <cell r="H820">
            <v>5436</v>
          </cell>
          <cell r="I820">
            <v>0</v>
          </cell>
          <cell r="J820">
            <v>0</v>
          </cell>
          <cell r="K820">
            <v>0</v>
          </cell>
          <cell r="L820">
            <v>0</v>
          </cell>
          <cell r="M820">
            <v>16309</v>
          </cell>
          <cell r="N820">
            <v>21745</v>
          </cell>
          <cell r="O820">
            <v>21745</v>
          </cell>
          <cell r="P820">
            <v>21745</v>
          </cell>
          <cell r="Q820">
            <v>108724</v>
          </cell>
        </row>
        <row r="821">
          <cell r="A821" t="str">
            <v>USWOP015603201300005</v>
          </cell>
          <cell r="B821" t="str">
            <v>USWOP01560</v>
          </cell>
          <cell r="C821">
            <v>3201300005</v>
          </cell>
          <cell r="D821" t="str">
            <v>O/S SERVICES - COMPUTER LIC. &amp; SUPPORT</v>
          </cell>
          <cell r="E821">
            <v>1812</v>
          </cell>
          <cell r="F821">
            <v>906</v>
          </cell>
          <cell r="G821">
            <v>906</v>
          </cell>
          <cell r="H821">
            <v>906</v>
          </cell>
          <cell r="I821">
            <v>0</v>
          </cell>
          <cell r="J821">
            <v>0</v>
          </cell>
          <cell r="K821">
            <v>0</v>
          </cell>
          <cell r="L821">
            <v>0</v>
          </cell>
          <cell r="M821">
            <v>2718</v>
          </cell>
          <cell r="N821">
            <v>3624</v>
          </cell>
          <cell r="O821">
            <v>3624</v>
          </cell>
          <cell r="P821">
            <v>3624</v>
          </cell>
          <cell r="Q821">
            <v>18120</v>
          </cell>
        </row>
        <row r="822">
          <cell r="A822" t="str">
            <v>USWOP015603201400029</v>
          </cell>
          <cell r="B822" t="str">
            <v>USWOP01560</v>
          </cell>
          <cell r="C822">
            <v>3201400029</v>
          </cell>
          <cell r="D822" t="str">
            <v>OTH OUTSIDE SERVICES OTHER</v>
          </cell>
          <cell r="E822">
            <v>3624</v>
          </cell>
          <cell r="F822">
            <v>1812</v>
          </cell>
          <cell r="G822">
            <v>1812</v>
          </cell>
          <cell r="H822">
            <v>1812</v>
          </cell>
          <cell r="I822">
            <v>0</v>
          </cell>
          <cell r="J822">
            <v>0</v>
          </cell>
          <cell r="K822">
            <v>0</v>
          </cell>
          <cell r="L822">
            <v>0</v>
          </cell>
          <cell r="M822">
            <v>5436</v>
          </cell>
          <cell r="N822">
            <v>7248</v>
          </cell>
          <cell r="O822">
            <v>7248</v>
          </cell>
          <cell r="P822">
            <v>7248</v>
          </cell>
          <cell r="Q822">
            <v>36240</v>
          </cell>
        </row>
        <row r="823">
          <cell r="A823" t="str">
            <v>USWOP015603201400036</v>
          </cell>
          <cell r="B823" t="str">
            <v>USWOP01560</v>
          </cell>
          <cell r="C823">
            <v>3201400036</v>
          </cell>
          <cell r="D823" t="str">
            <v>OTHER MAINTENANCE BUILDINGS</v>
          </cell>
          <cell r="E823">
            <v>3624</v>
          </cell>
          <cell r="F823">
            <v>1812</v>
          </cell>
          <cell r="G823">
            <v>1812</v>
          </cell>
          <cell r="H823">
            <v>1812</v>
          </cell>
          <cell r="I823">
            <v>0</v>
          </cell>
          <cell r="J823">
            <v>0</v>
          </cell>
          <cell r="K823">
            <v>0</v>
          </cell>
          <cell r="L823">
            <v>0</v>
          </cell>
          <cell r="M823">
            <v>5436</v>
          </cell>
          <cell r="N823">
            <v>7248</v>
          </cell>
          <cell r="O823">
            <v>7248</v>
          </cell>
          <cell r="P823">
            <v>7248</v>
          </cell>
          <cell r="Q823">
            <v>36240</v>
          </cell>
        </row>
        <row r="824">
          <cell r="A824" t="str">
            <v>USWOP015603201400051</v>
          </cell>
          <cell r="B824" t="str">
            <v>USWOP01560</v>
          </cell>
          <cell r="C824">
            <v>3201400051</v>
          </cell>
          <cell r="D824" t="str">
            <v>MAINTENANCE EQUIPMENT</v>
          </cell>
          <cell r="E824">
            <v>906</v>
          </cell>
          <cell r="F824">
            <v>453</v>
          </cell>
          <cell r="G824">
            <v>453</v>
          </cell>
          <cell r="H824">
            <v>453</v>
          </cell>
          <cell r="I824">
            <v>0</v>
          </cell>
          <cell r="J824">
            <v>0</v>
          </cell>
          <cell r="K824">
            <v>0</v>
          </cell>
          <cell r="L824">
            <v>0</v>
          </cell>
          <cell r="M824">
            <v>1359</v>
          </cell>
          <cell r="N824">
            <v>1812</v>
          </cell>
          <cell r="O824">
            <v>1812</v>
          </cell>
          <cell r="P824">
            <v>1812</v>
          </cell>
          <cell r="Q824">
            <v>9060</v>
          </cell>
        </row>
        <row r="825">
          <cell r="A825" t="str">
            <v>USWOP015603311400099</v>
          </cell>
          <cell r="B825" t="str">
            <v>USWOP01560</v>
          </cell>
          <cell r="C825">
            <v>3311400099</v>
          </cell>
          <cell r="D825" t="str">
            <v>CO DEPRECIATION</v>
          </cell>
          <cell r="E825">
            <v>23198</v>
          </cell>
          <cell r="F825">
            <v>23198</v>
          </cell>
          <cell r="G825">
            <v>23198</v>
          </cell>
          <cell r="H825">
            <v>23198</v>
          </cell>
          <cell r="I825">
            <v>23198</v>
          </cell>
          <cell r="J825">
            <v>23198</v>
          </cell>
          <cell r="K825">
            <v>23198</v>
          </cell>
          <cell r="L825">
            <v>23198</v>
          </cell>
          <cell r="M825">
            <v>23179</v>
          </cell>
          <cell r="N825">
            <v>23179</v>
          </cell>
          <cell r="O825">
            <v>23179</v>
          </cell>
          <cell r="P825">
            <v>23168</v>
          </cell>
          <cell r="Q825">
            <v>278289</v>
          </cell>
        </row>
        <row r="826">
          <cell r="A826" t="str">
            <v>USWOP015603921200006</v>
          </cell>
          <cell r="B826" t="str">
            <v>USWOP01560</v>
          </cell>
          <cell r="C826">
            <v>3921200006</v>
          </cell>
          <cell r="D826" t="str">
            <v>FACTORY SUPPLIES MAINTENANCE SUPPLIES</v>
          </cell>
          <cell r="E826">
            <v>13591</v>
          </cell>
          <cell r="F826">
            <v>6795</v>
          </cell>
          <cell r="G826">
            <v>6795</v>
          </cell>
          <cell r="H826">
            <v>6795</v>
          </cell>
          <cell r="I826">
            <v>0</v>
          </cell>
          <cell r="J826">
            <v>0</v>
          </cell>
          <cell r="K826">
            <v>0</v>
          </cell>
          <cell r="L826">
            <v>0</v>
          </cell>
          <cell r="M826">
            <v>20386</v>
          </cell>
          <cell r="N826">
            <v>27181</v>
          </cell>
          <cell r="O826">
            <v>27181</v>
          </cell>
          <cell r="P826">
            <v>27181</v>
          </cell>
          <cell r="Q826">
            <v>135905</v>
          </cell>
        </row>
        <row r="827">
          <cell r="A827" t="str">
            <v>USWOP015603921200050</v>
          </cell>
          <cell r="B827" t="str">
            <v>USWOP01560</v>
          </cell>
          <cell r="C827">
            <v>3921200050</v>
          </cell>
          <cell r="D827" t="str">
            <v>SAFETY EQUIPMENT - SUPPLIES</v>
          </cell>
          <cell r="E827">
            <v>906</v>
          </cell>
          <cell r="F827">
            <v>453</v>
          </cell>
          <cell r="G827">
            <v>453</v>
          </cell>
          <cell r="H827">
            <v>453</v>
          </cell>
          <cell r="I827">
            <v>0</v>
          </cell>
          <cell r="J827">
            <v>0</v>
          </cell>
          <cell r="K827">
            <v>0</v>
          </cell>
          <cell r="L827">
            <v>0</v>
          </cell>
          <cell r="M827">
            <v>1359</v>
          </cell>
          <cell r="N827">
            <v>1812</v>
          </cell>
          <cell r="O827">
            <v>1812</v>
          </cell>
          <cell r="P827">
            <v>1812</v>
          </cell>
          <cell r="Q827">
            <v>9060</v>
          </cell>
        </row>
        <row r="828">
          <cell r="A828" t="str">
            <v>USWOP015603921200100</v>
          </cell>
          <cell r="B828" t="str">
            <v>USWOP01560</v>
          </cell>
          <cell r="C828">
            <v>3921200100</v>
          </cell>
          <cell r="D828" t="str">
            <v>FIELD &amp; PRODUCTION SUPPLIES</v>
          </cell>
          <cell r="E828">
            <v>3624</v>
          </cell>
          <cell r="F828">
            <v>1812</v>
          </cell>
          <cell r="G828">
            <v>1812</v>
          </cell>
          <cell r="H828">
            <v>1812</v>
          </cell>
          <cell r="I828">
            <v>0</v>
          </cell>
          <cell r="J828">
            <v>0</v>
          </cell>
          <cell r="K828">
            <v>0</v>
          </cell>
          <cell r="L828">
            <v>0</v>
          </cell>
          <cell r="M828">
            <v>5436</v>
          </cell>
          <cell r="N828">
            <v>7248</v>
          </cell>
          <cell r="O828">
            <v>7248</v>
          </cell>
          <cell r="P828">
            <v>7248</v>
          </cell>
          <cell r="Q828">
            <v>36240</v>
          </cell>
        </row>
        <row r="829">
          <cell r="A829" t="str">
            <v>USWOP015643111100000</v>
          </cell>
          <cell r="B829" t="str">
            <v>USWOP01564</v>
          </cell>
          <cell r="C829">
            <v>3111100000</v>
          </cell>
          <cell r="D829" t="str">
            <v>WAGES,SALARIES,ALLOWANCES AND COMMI/PERM</v>
          </cell>
          <cell r="E829">
            <v>5272</v>
          </cell>
          <cell r="F829">
            <v>5272</v>
          </cell>
          <cell r="G829">
            <v>5272</v>
          </cell>
          <cell r="H829">
            <v>5272</v>
          </cell>
          <cell r="I829">
            <v>5272</v>
          </cell>
          <cell r="J829">
            <v>5272</v>
          </cell>
          <cell r="K829">
            <v>5272</v>
          </cell>
          <cell r="L829">
            <v>5272</v>
          </cell>
          <cell r="M829">
            <v>5272</v>
          </cell>
          <cell r="N829">
            <v>5272</v>
          </cell>
          <cell r="O829">
            <v>5272</v>
          </cell>
          <cell r="P829">
            <v>5274</v>
          </cell>
          <cell r="Q829">
            <v>63266</v>
          </cell>
        </row>
        <row r="830">
          <cell r="A830" t="str">
            <v>USWOP015643111100012</v>
          </cell>
          <cell r="B830" t="str">
            <v>USWOP01564</v>
          </cell>
          <cell r="C830">
            <v>3111100012</v>
          </cell>
          <cell r="D830" t="str">
            <v>OVERTIME HOURS /PERMANENTS</v>
          </cell>
          <cell r="E830">
            <v>3295</v>
          </cell>
          <cell r="F830">
            <v>3295</v>
          </cell>
          <cell r="G830">
            <v>3295</v>
          </cell>
          <cell r="H830">
            <v>3295</v>
          </cell>
          <cell r="I830">
            <v>3295</v>
          </cell>
          <cell r="J830">
            <v>3295</v>
          </cell>
          <cell r="K830">
            <v>3295</v>
          </cell>
          <cell r="L830">
            <v>3295</v>
          </cell>
          <cell r="M830">
            <v>3295</v>
          </cell>
          <cell r="N830">
            <v>3295</v>
          </cell>
          <cell r="O830">
            <v>3295</v>
          </cell>
          <cell r="P830">
            <v>3298</v>
          </cell>
          <cell r="Q830">
            <v>39543</v>
          </cell>
        </row>
        <row r="831">
          <cell r="A831" t="str">
            <v>USWOP015643121300013</v>
          </cell>
          <cell r="B831" t="str">
            <v>USWOP01564</v>
          </cell>
          <cell r="C831">
            <v>3121300013</v>
          </cell>
          <cell r="D831" t="str">
            <v>FRINGE BENEFITS</v>
          </cell>
          <cell r="E831">
            <v>3239</v>
          </cell>
          <cell r="F831">
            <v>3239</v>
          </cell>
          <cell r="G831">
            <v>3239</v>
          </cell>
          <cell r="H831">
            <v>3239</v>
          </cell>
          <cell r="I831">
            <v>3239</v>
          </cell>
          <cell r="J831">
            <v>3239</v>
          </cell>
          <cell r="K831">
            <v>3239</v>
          </cell>
          <cell r="L831">
            <v>3239</v>
          </cell>
          <cell r="M831">
            <v>3239</v>
          </cell>
          <cell r="N831">
            <v>3239</v>
          </cell>
          <cell r="O831">
            <v>3239</v>
          </cell>
          <cell r="P831">
            <v>3233</v>
          </cell>
          <cell r="Q831">
            <v>38862</v>
          </cell>
        </row>
        <row r="832">
          <cell r="A832" t="str">
            <v>USWOP015643131100025</v>
          </cell>
          <cell r="B832" t="str">
            <v>USWOP01564</v>
          </cell>
          <cell r="C832">
            <v>3131100025</v>
          </cell>
          <cell r="D832" t="str">
            <v>OTHER PERSONNEL EXPENSES</v>
          </cell>
          <cell r="E832">
            <v>77</v>
          </cell>
          <cell r="F832">
            <v>77</v>
          </cell>
          <cell r="G832">
            <v>0</v>
          </cell>
          <cell r="H832">
            <v>0</v>
          </cell>
          <cell r="I832">
            <v>0</v>
          </cell>
          <cell r="J832">
            <v>0</v>
          </cell>
          <cell r="K832">
            <v>0</v>
          </cell>
          <cell r="L832">
            <v>77</v>
          </cell>
          <cell r="M832">
            <v>307</v>
          </cell>
          <cell r="N832">
            <v>538</v>
          </cell>
          <cell r="O832">
            <v>307</v>
          </cell>
          <cell r="P832">
            <v>154</v>
          </cell>
          <cell r="Q832">
            <v>1537</v>
          </cell>
        </row>
        <row r="833">
          <cell r="A833" t="str">
            <v>USWOP015643201300001</v>
          </cell>
          <cell r="B833" t="str">
            <v>USWOP01564</v>
          </cell>
          <cell r="C833">
            <v>3201300001</v>
          </cell>
          <cell r="D833" t="str">
            <v>HIRED PERSONNEL FROM 3RD PARTIES</v>
          </cell>
          <cell r="E833">
            <v>32656</v>
          </cell>
          <cell r="F833">
            <v>32656</v>
          </cell>
          <cell r="G833">
            <v>0</v>
          </cell>
          <cell r="H833">
            <v>0</v>
          </cell>
          <cell r="I833">
            <v>0</v>
          </cell>
          <cell r="J833">
            <v>0</v>
          </cell>
          <cell r="K833">
            <v>0</v>
          </cell>
          <cell r="L833">
            <v>32656</v>
          </cell>
          <cell r="M833">
            <v>130623</v>
          </cell>
          <cell r="N833">
            <v>228590</v>
          </cell>
          <cell r="O833">
            <v>130623</v>
          </cell>
          <cell r="P833">
            <v>65311</v>
          </cell>
          <cell r="Q833">
            <v>653115</v>
          </cell>
        </row>
        <row r="834">
          <cell r="A834" t="str">
            <v>USWOP015643201400029</v>
          </cell>
          <cell r="B834" t="str">
            <v>USWOP01564</v>
          </cell>
          <cell r="C834">
            <v>3201400029</v>
          </cell>
          <cell r="D834" t="str">
            <v>OTH OUTSIDE SERVICES OTHER</v>
          </cell>
          <cell r="E834">
            <v>3073</v>
          </cell>
          <cell r="F834">
            <v>3073</v>
          </cell>
          <cell r="G834">
            <v>0</v>
          </cell>
          <cell r="H834">
            <v>0</v>
          </cell>
          <cell r="I834">
            <v>0</v>
          </cell>
          <cell r="J834">
            <v>0</v>
          </cell>
          <cell r="K834">
            <v>0</v>
          </cell>
          <cell r="L834">
            <v>3073</v>
          </cell>
          <cell r="M834">
            <v>12294</v>
          </cell>
          <cell r="N834">
            <v>21514</v>
          </cell>
          <cell r="O834">
            <v>12294</v>
          </cell>
          <cell r="P834">
            <v>6147</v>
          </cell>
          <cell r="Q834">
            <v>61468</v>
          </cell>
        </row>
        <row r="835">
          <cell r="A835" t="str">
            <v>USWOP015643201400036</v>
          </cell>
          <cell r="B835" t="str">
            <v>USWOP01564</v>
          </cell>
          <cell r="C835">
            <v>3201400036</v>
          </cell>
          <cell r="D835" t="str">
            <v>OTHER MAINTENANCE BUILDINGS</v>
          </cell>
          <cell r="E835">
            <v>192</v>
          </cell>
          <cell r="F835">
            <v>192</v>
          </cell>
          <cell r="G835">
            <v>0</v>
          </cell>
          <cell r="H835">
            <v>0</v>
          </cell>
          <cell r="I835">
            <v>0</v>
          </cell>
          <cell r="J835">
            <v>0</v>
          </cell>
          <cell r="K835">
            <v>0</v>
          </cell>
          <cell r="L835">
            <v>192</v>
          </cell>
          <cell r="M835">
            <v>768</v>
          </cell>
          <cell r="N835">
            <v>1345</v>
          </cell>
          <cell r="O835">
            <v>768</v>
          </cell>
          <cell r="P835">
            <v>384</v>
          </cell>
          <cell r="Q835">
            <v>3841</v>
          </cell>
        </row>
        <row r="836">
          <cell r="A836" t="str">
            <v>USWOP015643201400051</v>
          </cell>
          <cell r="B836" t="str">
            <v>USWOP01564</v>
          </cell>
          <cell r="C836">
            <v>3201400051</v>
          </cell>
          <cell r="D836" t="str">
            <v>MAINTENANCE EQUIPMENT</v>
          </cell>
          <cell r="E836">
            <v>192</v>
          </cell>
          <cell r="F836">
            <v>192</v>
          </cell>
          <cell r="G836">
            <v>0</v>
          </cell>
          <cell r="H836">
            <v>0</v>
          </cell>
          <cell r="I836">
            <v>0</v>
          </cell>
          <cell r="J836">
            <v>0</v>
          </cell>
          <cell r="K836">
            <v>0</v>
          </cell>
          <cell r="L836">
            <v>192</v>
          </cell>
          <cell r="M836">
            <v>768</v>
          </cell>
          <cell r="N836">
            <v>1345</v>
          </cell>
          <cell r="O836">
            <v>768</v>
          </cell>
          <cell r="P836">
            <v>384</v>
          </cell>
          <cell r="Q836">
            <v>3841</v>
          </cell>
        </row>
        <row r="837">
          <cell r="A837" t="str">
            <v>USWOP015643311400099</v>
          </cell>
          <cell r="B837" t="str">
            <v>USWOP01564</v>
          </cell>
          <cell r="C837">
            <v>3311400099</v>
          </cell>
          <cell r="D837" t="str">
            <v>CO DEPRECIATION</v>
          </cell>
          <cell r="E837">
            <v>7259</v>
          </cell>
          <cell r="F837">
            <v>7259</v>
          </cell>
          <cell r="G837">
            <v>7259</v>
          </cell>
          <cell r="H837">
            <v>7259</v>
          </cell>
          <cell r="I837">
            <v>7259</v>
          </cell>
          <cell r="J837">
            <v>7259</v>
          </cell>
          <cell r="K837">
            <v>7259</v>
          </cell>
          <cell r="L837">
            <v>7259</v>
          </cell>
          <cell r="M837">
            <v>7259</v>
          </cell>
          <cell r="N837">
            <v>7259</v>
          </cell>
          <cell r="O837">
            <v>7259</v>
          </cell>
          <cell r="P837">
            <v>7262</v>
          </cell>
          <cell r="Q837">
            <v>87111</v>
          </cell>
        </row>
        <row r="838">
          <cell r="A838" t="str">
            <v>USWOP015643921100001</v>
          </cell>
          <cell r="B838" t="str">
            <v>USWOP01564</v>
          </cell>
          <cell r="C838">
            <v>3921100001</v>
          </cell>
          <cell r="D838" t="str">
            <v>UTILITY EXPENSES ELECTRICITY</v>
          </cell>
          <cell r="E838">
            <v>7684</v>
          </cell>
          <cell r="F838">
            <v>7684</v>
          </cell>
          <cell r="G838">
            <v>0</v>
          </cell>
          <cell r="H838">
            <v>0</v>
          </cell>
          <cell r="I838">
            <v>0</v>
          </cell>
          <cell r="J838">
            <v>0</v>
          </cell>
          <cell r="K838">
            <v>0</v>
          </cell>
          <cell r="L838">
            <v>7684</v>
          </cell>
          <cell r="M838">
            <v>30735</v>
          </cell>
          <cell r="N838">
            <v>53786</v>
          </cell>
          <cell r="O838">
            <v>30735</v>
          </cell>
          <cell r="P838">
            <v>15367</v>
          </cell>
          <cell r="Q838">
            <v>153675</v>
          </cell>
        </row>
        <row r="839">
          <cell r="A839" t="str">
            <v>USWOP015643921200001</v>
          </cell>
          <cell r="B839" t="str">
            <v>USWOP01564</v>
          </cell>
          <cell r="C839">
            <v>3921200001</v>
          </cell>
          <cell r="D839" t="str">
            <v>FUEL</v>
          </cell>
          <cell r="E839">
            <v>77</v>
          </cell>
          <cell r="F839">
            <v>77</v>
          </cell>
          <cell r="G839">
            <v>0</v>
          </cell>
          <cell r="H839">
            <v>0</v>
          </cell>
          <cell r="I839">
            <v>0</v>
          </cell>
          <cell r="J839">
            <v>0</v>
          </cell>
          <cell r="K839">
            <v>0</v>
          </cell>
          <cell r="L839">
            <v>77</v>
          </cell>
          <cell r="M839">
            <v>307</v>
          </cell>
          <cell r="N839">
            <v>538</v>
          </cell>
          <cell r="O839">
            <v>307</v>
          </cell>
          <cell r="P839">
            <v>154</v>
          </cell>
          <cell r="Q839">
            <v>1537</v>
          </cell>
        </row>
        <row r="840">
          <cell r="A840" t="str">
            <v>USWOP015643921200003</v>
          </cell>
          <cell r="B840" t="str">
            <v>USWOP01564</v>
          </cell>
          <cell r="C840">
            <v>3921200003</v>
          </cell>
          <cell r="D840" t="str">
            <v>GAS</v>
          </cell>
          <cell r="E840">
            <v>17288</v>
          </cell>
          <cell r="F840">
            <v>17288</v>
          </cell>
          <cell r="G840">
            <v>0</v>
          </cell>
          <cell r="H840">
            <v>0</v>
          </cell>
          <cell r="I840">
            <v>0</v>
          </cell>
          <cell r="J840">
            <v>0</v>
          </cell>
          <cell r="K840">
            <v>0</v>
          </cell>
          <cell r="L840">
            <v>17288</v>
          </cell>
          <cell r="M840">
            <v>69153</v>
          </cell>
          <cell r="N840">
            <v>121018</v>
          </cell>
          <cell r="O840">
            <v>69153</v>
          </cell>
          <cell r="P840">
            <v>34577</v>
          </cell>
          <cell r="Q840">
            <v>345765</v>
          </cell>
        </row>
        <row r="841">
          <cell r="A841" t="str">
            <v>USWOP015643921200006</v>
          </cell>
          <cell r="B841" t="str">
            <v>USWOP01564</v>
          </cell>
          <cell r="C841">
            <v>3921200006</v>
          </cell>
          <cell r="D841" t="str">
            <v>FACTORY SUPPLIES MAINTENANCE SUPPLIES</v>
          </cell>
          <cell r="E841">
            <v>3842</v>
          </cell>
          <cell r="F841">
            <v>3842</v>
          </cell>
          <cell r="G841">
            <v>0</v>
          </cell>
          <cell r="H841">
            <v>0</v>
          </cell>
          <cell r="I841">
            <v>0</v>
          </cell>
          <cell r="J841">
            <v>0</v>
          </cell>
          <cell r="K841">
            <v>0</v>
          </cell>
          <cell r="L841">
            <v>3842</v>
          </cell>
          <cell r="M841">
            <v>15367</v>
          </cell>
          <cell r="N841">
            <v>26893</v>
          </cell>
          <cell r="O841">
            <v>15367</v>
          </cell>
          <cell r="P841">
            <v>7684</v>
          </cell>
          <cell r="Q841">
            <v>76837</v>
          </cell>
        </row>
        <row r="842">
          <cell r="A842" t="str">
            <v>USWOP015643921200050</v>
          </cell>
          <cell r="B842" t="str">
            <v>USWOP01564</v>
          </cell>
          <cell r="C842">
            <v>3921200050</v>
          </cell>
          <cell r="D842" t="str">
            <v>SAFETY EQUIPMENT - SUPPLIES</v>
          </cell>
          <cell r="E842">
            <v>346</v>
          </cell>
          <cell r="F842">
            <v>346</v>
          </cell>
          <cell r="G842">
            <v>0</v>
          </cell>
          <cell r="H842">
            <v>0</v>
          </cell>
          <cell r="I842">
            <v>0</v>
          </cell>
          <cell r="J842">
            <v>0</v>
          </cell>
          <cell r="K842">
            <v>0</v>
          </cell>
          <cell r="L842">
            <v>346</v>
          </cell>
          <cell r="M842">
            <v>1383</v>
          </cell>
          <cell r="N842">
            <v>2420</v>
          </cell>
          <cell r="O842">
            <v>1383</v>
          </cell>
          <cell r="P842">
            <v>692</v>
          </cell>
          <cell r="Q842">
            <v>6916</v>
          </cell>
        </row>
        <row r="843">
          <cell r="A843" t="str">
            <v>USWOP015643941100002</v>
          </cell>
          <cell r="B843" t="str">
            <v>USWOP01564</v>
          </cell>
          <cell r="C843">
            <v>3941100002</v>
          </cell>
          <cell r="D843" t="str">
            <v>FREIGHT BETWEEN PLANTS</v>
          </cell>
          <cell r="E843">
            <v>192</v>
          </cell>
          <cell r="F843">
            <v>192</v>
          </cell>
          <cell r="G843">
            <v>0</v>
          </cell>
          <cell r="H843">
            <v>0</v>
          </cell>
          <cell r="I843">
            <v>0</v>
          </cell>
          <cell r="J843">
            <v>0</v>
          </cell>
          <cell r="K843">
            <v>0</v>
          </cell>
          <cell r="L843">
            <v>192</v>
          </cell>
          <cell r="M843">
            <v>768</v>
          </cell>
          <cell r="N843">
            <v>1345</v>
          </cell>
          <cell r="O843">
            <v>768</v>
          </cell>
          <cell r="P843">
            <v>384</v>
          </cell>
          <cell r="Q843">
            <v>3841</v>
          </cell>
        </row>
        <row r="844">
          <cell r="A844" t="str">
            <v>USWOP015643941100013</v>
          </cell>
          <cell r="B844" t="str">
            <v>USWOP01564</v>
          </cell>
          <cell r="C844">
            <v>3941100013</v>
          </cell>
          <cell r="D844" t="str">
            <v>FREIGHT IN</v>
          </cell>
          <cell r="E844">
            <v>1537</v>
          </cell>
          <cell r="F844">
            <v>1537</v>
          </cell>
          <cell r="G844">
            <v>0</v>
          </cell>
          <cell r="H844">
            <v>0</v>
          </cell>
          <cell r="I844">
            <v>0</v>
          </cell>
          <cell r="J844">
            <v>0</v>
          </cell>
          <cell r="K844">
            <v>0</v>
          </cell>
          <cell r="L844">
            <v>1537</v>
          </cell>
          <cell r="M844">
            <v>6147</v>
          </cell>
          <cell r="N844">
            <v>10757</v>
          </cell>
          <cell r="O844">
            <v>6147</v>
          </cell>
          <cell r="P844">
            <v>3073</v>
          </cell>
          <cell r="Q844">
            <v>30735</v>
          </cell>
        </row>
        <row r="845">
          <cell r="A845" t="str">
            <v>USWOP015753111100000</v>
          </cell>
          <cell r="B845" t="str">
            <v>USWOP01575</v>
          </cell>
          <cell r="C845">
            <v>3111100000</v>
          </cell>
          <cell r="D845" t="str">
            <v>WAGES,SALARIES,ALLOWANCES AND COMMI/PERM</v>
          </cell>
          <cell r="E845">
            <v>13480</v>
          </cell>
          <cell r="F845">
            <v>13480</v>
          </cell>
          <cell r="G845">
            <v>13480</v>
          </cell>
          <cell r="H845">
            <v>13480</v>
          </cell>
          <cell r="I845">
            <v>13480</v>
          </cell>
          <cell r="J845">
            <v>13480</v>
          </cell>
          <cell r="K845">
            <v>13480</v>
          </cell>
          <cell r="L845">
            <v>13480</v>
          </cell>
          <cell r="M845">
            <v>13480</v>
          </cell>
          <cell r="N845">
            <v>13480</v>
          </cell>
          <cell r="O845">
            <v>13480</v>
          </cell>
          <cell r="P845">
            <v>13477</v>
          </cell>
          <cell r="Q845">
            <v>161757</v>
          </cell>
        </row>
        <row r="846">
          <cell r="A846" t="str">
            <v>USWOP015753111100012</v>
          </cell>
          <cell r="B846" t="str">
            <v>USWOP01575</v>
          </cell>
          <cell r="C846">
            <v>3111100012</v>
          </cell>
          <cell r="D846" t="str">
            <v>OVERTIME HOURS /PERMANENTS</v>
          </cell>
          <cell r="E846">
            <v>1454</v>
          </cell>
          <cell r="F846">
            <v>1454</v>
          </cell>
          <cell r="G846">
            <v>1454</v>
          </cell>
          <cell r="H846">
            <v>1454</v>
          </cell>
          <cell r="I846">
            <v>1454</v>
          </cell>
          <cell r="J846">
            <v>1454</v>
          </cell>
          <cell r="K846">
            <v>1454</v>
          </cell>
          <cell r="L846">
            <v>1454</v>
          </cell>
          <cell r="M846">
            <v>1454</v>
          </cell>
          <cell r="N846">
            <v>1454</v>
          </cell>
          <cell r="O846">
            <v>1454</v>
          </cell>
          <cell r="P846">
            <v>1455</v>
          </cell>
          <cell r="Q846">
            <v>17449</v>
          </cell>
        </row>
        <row r="847">
          <cell r="A847" t="str">
            <v>USWOP015753121300013</v>
          </cell>
          <cell r="B847" t="str">
            <v>USWOP01575</v>
          </cell>
          <cell r="C847">
            <v>3121300013</v>
          </cell>
          <cell r="D847" t="str">
            <v>FRINGE BENEFITS</v>
          </cell>
          <cell r="E847">
            <v>5645</v>
          </cell>
          <cell r="F847">
            <v>5645</v>
          </cell>
          <cell r="G847">
            <v>5645</v>
          </cell>
          <cell r="H847">
            <v>5645</v>
          </cell>
          <cell r="I847">
            <v>5645</v>
          </cell>
          <cell r="J847">
            <v>5645</v>
          </cell>
          <cell r="K847">
            <v>5645</v>
          </cell>
          <cell r="L847">
            <v>5645</v>
          </cell>
          <cell r="M847">
            <v>5645</v>
          </cell>
          <cell r="N847">
            <v>5645</v>
          </cell>
          <cell r="O847">
            <v>5645</v>
          </cell>
          <cell r="P847">
            <v>5645</v>
          </cell>
          <cell r="Q847">
            <v>67740</v>
          </cell>
        </row>
        <row r="848">
          <cell r="A848" t="str">
            <v>USWOP015753201300001</v>
          </cell>
          <cell r="B848" t="str">
            <v>USWOP01575</v>
          </cell>
          <cell r="C848">
            <v>3201300001</v>
          </cell>
          <cell r="D848" t="str">
            <v>HIRED PERSONNEL FROM 3RD PARTIES</v>
          </cell>
          <cell r="E848">
            <v>11000</v>
          </cell>
          <cell r="F848">
            <v>11000</v>
          </cell>
          <cell r="G848">
            <v>11000</v>
          </cell>
          <cell r="H848">
            <v>0</v>
          </cell>
          <cell r="I848">
            <v>11000</v>
          </cell>
          <cell r="J848">
            <v>33000</v>
          </cell>
          <cell r="K848">
            <v>66000</v>
          </cell>
          <cell r="L848">
            <v>66000</v>
          </cell>
          <cell r="M848">
            <v>0</v>
          </cell>
          <cell r="N848">
            <v>0</v>
          </cell>
          <cell r="O848">
            <v>0</v>
          </cell>
          <cell r="P848">
            <v>11000</v>
          </cell>
          <cell r="Q848">
            <v>220000</v>
          </cell>
        </row>
        <row r="849">
          <cell r="A849" t="str">
            <v>USWOP015753201400051</v>
          </cell>
          <cell r="B849" t="str">
            <v>USWOP01575</v>
          </cell>
          <cell r="C849">
            <v>3201400051</v>
          </cell>
          <cell r="D849" t="str">
            <v>MAINTENANCE EQUIPMENT</v>
          </cell>
          <cell r="E849">
            <v>500</v>
          </cell>
          <cell r="F849">
            <v>500</v>
          </cell>
          <cell r="G849">
            <v>500</v>
          </cell>
          <cell r="H849">
            <v>0</v>
          </cell>
          <cell r="I849">
            <v>500</v>
          </cell>
          <cell r="J849">
            <v>1500</v>
          </cell>
          <cell r="K849">
            <v>3000</v>
          </cell>
          <cell r="L849">
            <v>3000</v>
          </cell>
          <cell r="M849">
            <v>0</v>
          </cell>
          <cell r="N849">
            <v>0</v>
          </cell>
          <cell r="O849">
            <v>0</v>
          </cell>
          <cell r="P849">
            <v>500</v>
          </cell>
          <cell r="Q849">
            <v>10000</v>
          </cell>
        </row>
        <row r="850">
          <cell r="A850" t="str">
            <v>USWOP015753921200006</v>
          </cell>
          <cell r="B850" t="str">
            <v>USWOP01575</v>
          </cell>
          <cell r="C850">
            <v>3921200006</v>
          </cell>
          <cell r="D850" t="str">
            <v>FACTORY SUPPLIES MAINTENANCE SUPPLIES</v>
          </cell>
          <cell r="E850">
            <v>250</v>
          </cell>
          <cell r="F850">
            <v>250</v>
          </cell>
          <cell r="G850">
            <v>250</v>
          </cell>
          <cell r="H850">
            <v>0</v>
          </cell>
          <cell r="I850">
            <v>250</v>
          </cell>
          <cell r="J850">
            <v>750</v>
          </cell>
          <cell r="K850">
            <v>1500</v>
          </cell>
          <cell r="L850">
            <v>1500</v>
          </cell>
          <cell r="M850">
            <v>0</v>
          </cell>
          <cell r="N850">
            <v>0</v>
          </cell>
          <cell r="O850">
            <v>0</v>
          </cell>
          <cell r="P850">
            <v>250</v>
          </cell>
          <cell r="Q850">
            <v>5000</v>
          </cell>
        </row>
        <row r="851">
          <cell r="A851" t="str">
            <v>USWOP015753921200050</v>
          </cell>
          <cell r="B851" t="str">
            <v>USWOP01575</v>
          </cell>
          <cell r="C851">
            <v>3921200050</v>
          </cell>
          <cell r="D851" t="str">
            <v>SAFETY EQUIPMENT - SUPPLIES</v>
          </cell>
          <cell r="E851">
            <v>133</v>
          </cell>
          <cell r="F851">
            <v>133</v>
          </cell>
          <cell r="G851">
            <v>133</v>
          </cell>
          <cell r="H851">
            <v>0</v>
          </cell>
          <cell r="I851">
            <v>133</v>
          </cell>
          <cell r="J851">
            <v>400</v>
          </cell>
          <cell r="K851">
            <v>800</v>
          </cell>
          <cell r="L851">
            <v>800</v>
          </cell>
          <cell r="M851">
            <v>0</v>
          </cell>
          <cell r="N851">
            <v>0</v>
          </cell>
          <cell r="O851">
            <v>0</v>
          </cell>
          <cell r="P851">
            <v>133</v>
          </cell>
          <cell r="Q851">
            <v>2665</v>
          </cell>
        </row>
        <row r="852">
          <cell r="A852" t="str">
            <v>USWOP015753921200100</v>
          </cell>
          <cell r="B852" t="str">
            <v>USWOP01575</v>
          </cell>
          <cell r="C852">
            <v>3921200100</v>
          </cell>
          <cell r="D852" t="str">
            <v>FIELD &amp; PRODUCTION SUPPLIES</v>
          </cell>
          <cell r="E852">
            <v>1727</v>
          </cell>
          <cell r="F852">
            <v>1727</v>
          </cell>
          <cell r="G852">
            <v>1727</v>
          </cell>
          <cell r="H852">
            <v>0</v>
          </cell>
          <cell r="I852">
            <v>1727</v>
          </cell>
          <cell r="J852">
            <v>5181</v>
          </cell>
          <cell r="K852">
            <v>10363</v>
          </cell>
          <cell r="L852">
            <v>10363</v>
          </cell>
          <cell r="M852">
            <v>0</v>
          </cell>
          <cell r="N852">
            <v>0</v>
          </cell>
          <cell r="O852">
            <v>0</v>
          </cell>
          <cell r="P852">
            <v>1727</v>
          </cell>
          <cell r="Q852">
            <v>34542</v>
          </cell>
        </row>
        <row r="853">
          <cell r="A853" t="str">
            <v>USWOP015853111100000</v>
          </cell>
          <cell r="B853" t="str">
            <v>USWOP01585</v>
          </cell>
          <cell r="C853">
            <v>3111100000</v>
          </cell>
          <cell r="D853" t="str">
            <v>WAGES,SALARIES,ALLOWANCES AND COMMI/PERM</v>
          </cell>
          <cell r="E853">
            <v>6951</v>
          </cell>
          <cell r="F853">
            <v>6951</v>
          </cell>
          <cell r="G853">
            <v>6951</v>
          </cell>
          <cell r="H853">
            <v>6951</v>
          </cell>
          <cell r="I853">
            <v>6951</v>
          </cell>
          <cell r="J853">
            <v>6951</v>
          </cell>
          <cell r="K853">
            <v>6951</v>
          </cell>
          <cell r="L853">
            <v>6951</v>
          </cell>
          <cell r="M853">
            <v>6951</v>
          </cell>
          <cell r="N853">
            <v>6951</v>
          </cell>
          <cell r="O853">
            <v>6951</v>
          </cell>
          <cell r="P853">
            <v>6949</v>
          </cell>
          <cell r="Q853">
            <v>83410</v>
          </cell>
        </row>
        <row r="854">
          <cell r="A854" t="str">
            <v>USWOP015853111100012</v>
          </cell>
          <cell r="B854" t="str">
            <v>USWOP01585</v>
          </cell>
          <cell r="C854">
            <v>3111100012</v>
          </cell>
          <cell r="D854" t="str">
            <v>OVERTIME HOURS /PERMANENTS</v>
          </cell>
          <cell r="E854">
            <v>1358</v>
          </cell>
          <cell r="F854">
            <v>1358</v>
          </cell>
          <cell r="G854">
            <v>1358</v>
          </cell>
          <cell r="H854">
            <v>1358</v>
          </cell>
          <cell r="I854">
            <v>1358</v>
          </cell>
          <cell r="J854">
            <v>1358</v>
          </cell>
          <cell r="K854">
            <v>1358</v>
          </cell>
          <cell r="L854">
            <v>1358</v>
          </cell>
          <cell r="M854">
            <v>1358</v>
          </cell>
          <cell r="N854">
            <v>1358</v>
          </cell>
          <cell r="O854">
            <v>1358</v>
          </cell>
          <cell r="P854">
            <v>1355</v>
          </cell>
          <cell r="Q854">
            <v>16293</v>
          </cell>
        </row>
        <row r="855">
          <cell r="A855" t="str">
            <v>USWOP015853121300013</v>
          </cell>
          <cell r="B855" t="str">
            <v>USWOP01585</v>
          </cell>
          <cell r="C855">
            <v>3121300013</v>
          </cell>
          <cell r="D855" t="str">
            <v>FRINGE BENEFITS</v>
          </cell>
          <cell r="E855">
            <v>3141</v>
          </cell>
          <cell r="F855">
            <v>3141</v>
          </cell>
          <cell r="G855">
            <v>3141</v>
          </cell>
          <cell r="H855">
            <v>3141</v>
          </cell>
          <cell r="I855">
            <v>3141</v>
          </cell>
          <cell r="J855">
            <v>3141</v>
          </cell>
          <cell r="K855">
            <v>3141</v>
          </cell>
          <cell r="L855">
            <v>3141</v>
          </cell>
          <cell r="M855">
            <v>3141</v>
          </cell>
          <cell r="N855">
            <v>3141</v>
          </cell>
          <cell r="O855">
            <v>3141</v>
          </cell>
          <cell r="P855">
            <v>3137</v>
          </cell>
          <cell r="Q855">
            <v>37688</v>
          </cell>
        </row>
        <row r="856">
          <cell r="A856" t="str">
            <v>USWOP015853201300001</v>
          </cell>
          <cell r="B856" t="str">
            <v>USWOP01585</v>
          </cell>
          <cell r="C856">
            <v>3201300001</v>
          </cell>
          <cell r="D856" t="str">
            <v>HIRED PERSONNEL FROM 3RD PARTIES</v>
          </cell>
          <cell r="E856">
            <v>1330</v>
          </cell>
          <cell r="F856">
            <v>1330</v>
          </cell>
          <cell r="G856">
            <v>1140</v>
          </cell>
          <cell r="H856">
            <v>1140</v>
          </cell>
          <cell r="I856">
            <v>1900</v>
          </cell>
          <cell r="J856">
            <v>1900</v>
          </cell>
          <cell r="K856">
            <v>1900</v>
          </cell>
          <cell r="L856">
            <v>1900</v>
          </cell>
          <cell r="M856">
            <v>1900</v>
          </cell>
          <cell r="N856">
            <v>1900</v>
          </cell>
          <cell r="O856">
            <v>1330</v>
          </cell>
          <cell r="P856">
            <v>1330</v>
          </cell>
          <cell r="Q856">
            <v>19000</v>
          </cell>
        </row>
        <row r="857">
          <cell r="A857" t="str">
            <v>USWOP015903111100000</v>
          </cell>
          <cell r="B857" t="str">
            <v>USWOP01590</v>
          </cell>
          <cell r="C857">
            <v>3111100000</v>
          </cell>
          <cell r="D857" t="str">
            <v>WAGES,SALARIES,ALLOWANCES AND COMMI/PERM</v>
          </cell>
          <cell r="E857">
            <v>2573</v>
          </cell>
          <cell r="F857">
            <v>2573</v>
          </cell>
          <cell r="G857">
            <v>2573</v>
          </cell>
          <cell r="H857">
            <v>2573</v>
          </cell>
          <cell r="I857">
            <v>2573</v>
          </cell>
          <cell r="J857">
            <v>2573</v>
          </cell>
          <cell r="K857">
            <v>2573</v>
          </cell>
          <cell r="L857">
            <v>2573</v>
          </cell>
          <cell r="M857">
            <v>2573</v>
          </cell>
          <cell r="N857">
            <v>2573</v>
          </cell>
          <cell r="O857">
            <v>2573</v>
          </cell>
          <cell r="P857">
            <v>2575</v>
          </cell>
          <cell r="Q857">
            <v>30878</v>
          </cell>
        </row>
        <row r="858">
          <cell r="A858" t="str">
            <v>USWOP015903111100012</v>
          </cell>
          <cell r="B858" t="str">
            <v>USWOP01590</v>
          </cell>
          <cell r="C858">
            <v>3111100012</v>
          </cell>
          <cell r="D858" t="str">
            <v>OVERTIME HOURS /PERMANENTS</v>
          </cell>
          <cell r="E858">
            <v>515</v>
          </cell>
          <cell r="F858">
            <v>515</v>
          </cell>
          <cell r="G858">
            <v>515</v>
          </cell>
          <cell r="H858">
            <v>515</v>
          </cell>
          <cell r="I858">
            <v>515</v>
          </cell>
          <cell r="J858">
            <v>515</v>
          </cell>
          <cell r="K858">
            <v>515</v>
          </cell>
          <cell r="L858">
            <v>515</v>
          </cell>
          <cell r="M858">
            <v>515</v>
          </cell>
          <cell r="N858">
            <v>515</v>
          </cell>
          <cell r="O858">
            <v>515</v>
          </cell>
          <cell r="P858">
            <v>511</v>
          </cell>
          <cell r="Q858">
            <v>6176</v>
          </cell>
        </row>
        <row r="859">
          <cell r="A859" t="str">
            <v>USWOP015903121300013</v>
          </cell>
          <cell r="B859" t="str">
            <v>USWOP01590</v>
          </cell>
          <cell r="C859">
            <v>3121300013</v>
          </cell>
          <cell r="D859" t="str">
            <v>FRINGE BENEFITS</v>
          </cell>
          <cell r="E859">
            <v>1167</v>
          </cell>
          <cell r="F859">
            <v>1167</v>
          </cell>
          <cell r="G859">
            <v>1167</v>
          </cell>
          <cell r="H859">
            <v>1167</v>
          </cell>
          <cell r="I859">
            <v>1167</v>
          </cell>
          <cell r="J859">
            <v>1167</v>
          </cell>
          <cell r="K859">
            <v>1167</v>
          </cell>
          <cell r="L859">
            <v>1167</v>
          </cell>
          <cell r="M859">
            <v>1167</v>
          </cell>
          <cell r="N859">
            <v>1167</v>
          </cell>
          <cell r="O859">
            <v>1167</v>
          </cell>
          <cell r="P859">
            <v>1169</v>
          </cell>
          <cell r="Q859">
            <v>14006</v>
          </cell>
        </row>
        <row r="860">
          <cell r="A860" t="str">
            <v>USWOP015903201300001</v>
          </cell>
          <cell r="B860" t="str">
            <v>USWOP01590</v>
          </cell>
          <cell r="C860">
            <v>3201300001</v>
          </cell>
          <cell r="D860" t="str">
            <v>HIRED PERSONNEL FROM 3RD PARTIES</v>
          </cell>
          <cell r="E860">
            <v>2500</v>
          </cell>
          <cell r="F860">
            <v>1250</v>
          </cell>
          <cell r="G860">
            <v>1250</v>
          </cell>
          <cell r="H860">
            <v>1250</v>
          </cell>
          <cell r="I860">
            <v>1250</v>
          </cell>
          <cell r="J860">
            <v>2500</v>
          </cell>
          <cell r="K860">
            <v>2500</v>
          </cell>
          <cell r="L860">
            <v>2500</v>
          </cell>
          <cell r="M860">
            <v>2500</v>
          </cell>
          <cell r="N860">
            <v>2500</v>
          </cell>
          <cell r="O860">
            <v>2500</v>
          </cell>
          <cell r="P860">
            <v>2500</v>
          </cell>
          <cell r="Q860">
            <v>25000</v>
          </cell>
        </row>
        <row r="861">
          <cell r="A861" t="str">
            <v>USWOP015903201400051</v>
          </cell>
          <cell r="B861" t="str">
            <v>USWOP01590</v>
          </cell>
          <cell r="C861">
            <v>3201400051</v>
          </cell>
          <cell r="D861" t="str">
            <v>MAINTENANCE EQUIPMENT</v>
          </cell>
          <cell r="E861">
            <v>200</v>
          </cell>
          <cell r="F861">
            <v>100</v>
          </cell>
          <cell r="G861">
            <v>100</v>
          </cell>
          <cell r="H861">
            <v>100</v>
          </cell>
          <cell r="I861">
            <v>100</v>
          </cell>
          <cell r="J861">
            <v>200</v>
          </cell>
          <cell r="K861">
            <v>200</v>
          </cell>
          <cell r="L861">
            <v>200</v>
          </cell>
          <cell r="M861">
            <v>200</v>
          </cell>
          <cell r="N861">
            <v>200</v>
          </cell>
          <cell r="O861">
            <v>200</v>
          </cell>
          <cell r="P861">
            <v>200</v>
          </cell>
          <cell r="Q861">
            <v>2000</v>
          </cell>
        </row>
        <row r="862">
          <cell r="A862" t="str">
            <v>USWOP015903921200004</v>
          </cell>
          <cell r="B862" t="str">
            <v>USWOP01590</v>
          </cell>
          <cell r="C862">
            <v>3921200004</v>
          </cell>
          <cell r="D862" t="str">
            <v>FACTORY SUPPLIES LABO SUPPLIES</v>
          </cell>
          <cell r="E862">
            <v>300</v>
          </cell>
          <cell r="F862">
            <v>150</v>
          </cell>
          <cell r="G862">
            <v>150</v>
          </cell>
          <cell r="H862">
            <v>150</v>
          </cell>
          <cell r="I862">
            <v>150</v>
          </cell>
          <cell r="J862">
            <v>300</v>
          </cell>
          <cell r="K862">
            <v>300</v>
          </cell>
          <cell r="L862">
            <v>300</v>
          </cell>
          <cell r="M862">
            <v>300</v>
          </cell>
          <cell r="N862">
            <v>300</v>
          </cell>
          <cell r="O862">
            <v>300</v>
          </cell>
          <cell r="P862">
            <v>300</v>
          </cell>
          <cell r="Q862">
            <v>3000</v>
          </cell>
        </row>
        <row r="863">
          <cell r="A863" t="str">
            <v>USWOP015903991200012</v>
          </cell>
          <cell r="B863" t="str">
            <v>USWOP01590</v>
          </cell>
          <cell r="C863">
            <v>3991200012</v>
          </cell>
          <cell r="D863" t="str">
            <v>DELIVERY SERVICES</v>
          </cell>
          <cell r="E863">
            <v>1000</v>
          </cell>
          <cell r="F863">
            <v>500</v>
          </cell>
          <cell r="G863">
            <v>500</v>
          </cell>
          <cell r="H863">
            <v>500</v>
          </cell>
          <cell r="I863">
            <v>500</v>
          </cell>
          <cell r="J863">
            <v>1000</v>
          </cell>
          <cell r="K863">
            <v>1000</v>
          </cell>
          <cell r="L863">
            <v>1000</v>
          </cell>
          <cell r="M863">
            <v>1000</v>
          </cell>
          <cell r="N863">
            <v>1000</v>
          </cell>
          <cell r="O863">
            <v>1000</v>
          </cell>
          <cell r="P863">
            <v>1000</v>
          </cell>
          <cell r="Q863">
            <v>10000</v>
          </cell>
        </row>
        <row r="864">
          <cell r="A864" t="str">
            <v>USWOP015923111100000</v>
          </cell>
          <cell r="B864" t="str">
            <v>USWOP01592</v>
          </cell>
          <cell r="C864">
            <v>3111100000</v>
          </cell>
          <cell r="D864" t="str">
            <v>WAGES,SALARIES,ALLOWANCES AND COMMI/PERM</v>
          </cell>
          <cell r="E864">
            <v>3770</v>
          </cell>
          <cell r="F864">
            <v>3770</v>
          </cell>
          <cell r="G864">
            <v>3770</v>
          </cell>
          <cell r="H864">
            <v>3770</v>
          </cell>
          <cell r="I864">
            <v>3770</v>
          </cell>
          <cell r="J864">
            <v>3770</v>
          </cell>
          <cell r="K864">
            <v>3770</v>
          </cell>
          <cell r="L864">
            <v>3770</v>
          </cell>
          <cell r="M864">
            <v>3770</v>
          </cell>
          <cell r="N864">
            <v>3770</v>
          </cell>
          <cell r="O864">
            <v>3770</v>
          </cell>
          <cell r="P864">
            <v>3767</v>
          </cell>
          <cell r="Q864">
            <v>45237</v>
          </cell>
        </row>
        <row r="865">
          <cell r="A865" t="str">
            <v>USWOP015923121300013</v>
          </cell>
          <cell r="B865" t="str">
            <v>USWOP01592</v>
          </cell>
          <cell r="C865">
            <v>3121300013</v>
          </cell>
          <cell r="D865" t="str">
            <v>FRINGE BENEFITS</v>
          </cell>
          <cell r="E865">
            <v>1425</v>
          </cell>
          <cell r="F865">
            <v>1425</v>
          </cell>
          <cell r="G865">
            <v>1425</v>
          </cell>
          <cell r="H865">
            <v>1425</v>
          </cell>
          <cell r="I865">
            <v>1425</v>
          </cell>
          <cell r="J865">
            <v>1425</v>
          </cell>
          <cell r="K865">
            <v>1425</v>
          </cell>
          <cell r="L865">
            <v>1425</v>
          </cell>
          <cell r="M865">
            <v>1425</v>
          </cell>
          <cell r="N865">
            <v>1425</v>
          </cell>
          <cell r="O865">
            <v>1425</v>
          </cell>
          <cell r="P865">
            <v>1425</v>
          </cell>
          <cell r="Q865">
            <v>17100</v>
          </cell>
        </row>
        <row r="866">
          <cell r="A866" t="str">
            <v>USWOP015923201300001</v>
          </cell>
          <cell r="B866" t="str">
            <v>USWOP01592</v>
          </cell>
          <cell r="C866">
            <v>3201300001</v>
          </cell>
          <cell r="D866" t="str">
            <v>HIRED PERSONNEL FROM 3RD PARTIES</v>
          </cell>
          <cell r="E866">
            <v>0</v>
          </cell>
          <cell r="F866">
            <v>0</v>
          </cell>
          <cell r="G866">
            <v>3055</v>
          </cell>
          <cell r="H866">
            <v>3055</v>
          </cell>
          <cell r="I866">
            <v>0</v>
          </cell>
          <cell r="J866">
            <v>0</v>
          </cell>
          <cell r="K866">
            <v>0</v>
          </cell>
          <cell r="L866">
            <v>0</v>
          </cell>
          <cell r="M866">
            <v>10693</v>
          </cell>
          <cell r="N866">
            <v>10693</v>
          </cell>
          <cell r="O866">
            <v>3055</v>
          </cell>
          <cell r="P866">
            <v>0</v>
          </cell>
          <cell r="Q866">
            <v>30551</v>
          </cell>
        </row>
        <row r="867">
          <cell r="A867" t="str">
            <v>USWOP015923201400029</v>
          </cell>
          <cell r="B867" t="str">
            <v>USWOP01592</v>
          </cell>
          <cell r="C867">
            <v>3201400029</v>
          </cell>
          <cell r="D867" t="str">
            <v>OTH OUTSIDE SERVICES OTHER</v>
          </cell>
          <cell r="E867">
            <v>0</v>
          </cell>
          <cell r="F867">
            <v>0</v>
          </cell>
          <cell r="G867">
            <v>200</v>
          </cell>
          <cell r="H867">
            <v>200</v>
          </cell>
          <cell r="I867">
            <v>0</v>
          </cell>
          <cell r="J867">
            <v>0</v>
          </cell>
          <cell r="K867">
            <v>0</v>
          </cell>
          <cell r="L867">
            <v>0</v>
          </cell>
          <cell r="M867">
            <v>700</v>
          </cell>
          <cell r="N867">
            <v>700</v>
          </cell>
          <cell r="O867">
            <v>200</v>
          </cell>
          <cell r="P867">
            <v>0</v>
          </cell>
          <cell r="Q867">
            <v>2000</v>
          </cell>
        </row>
        <row r="868">
          <cell r="A868" t="str">
            <v>USWOP015923201400051</v>
          </cell>
          <cell r="B868" t="str">
            <v>USWOP01592</v>
          </cell>
          <cell r="C868">
            <v>3201400051</v>
          </cell>
          <cell r="D868" t="str">
            <v>MAINTENANCE EQUIPMENT</v>
          </cell>
          <cell r="E868">
            <v>0</v>
          </cell>
          <cell r="F868">
            <v>0</v>
          </cell>
          <cell r="G868">
            <v>150</v>
          </cell>
          <cell r="H868">
            <v>150</v>
          </cell>
          <cell r="I868">
            <v>0</v>
          </cell>
          <cell r="J868">
            <v>0</v>
          </cell>
          <cell r="K868">
            <v>0</v>
          </cell>
          <cell r="L868">
            <v>0</v>
          </cell>
          <cell r="M868">
            <v>525</v>
          </cell>
          <cell r="N868">
            <v>525</v>
          </cell>
          <cell r="O868">
            <v>150</v>
          </cell>
          <cell r="P868">
            <v>0</v>
          </cell>
          <cell r="Q868">
            <v>1500</v>
          </cell>
        </row>
        <row r="869">
          <cell r="A869" t="str">
            <v>USWOP015923921200006</v>
          </cell>
          <cell r="B869" t="str">
            <v>USWOP01592</v>
          </cell>
          <cell r="C869">
            <v>3921200006</v>
          </cell>
          <cell r="D869" t="str">
            <v>FACTORY SUPPLIES MAINTENANCE SUPPLIES</v>
          </cell>
          <cell r="E869">
            <v>0</v>
          </cell>
          <cell r="F869">
            <v>0</v>
          </cell>
          <cell r="G869">
            <v>100</v>
          </cell>
          <cell r="H869">
            <v>100</v>
          </cell>
          <cell r="I869">
            <v>0</v>
          </cell>
          <cell r="J869">
            <v>0</v>
          </cell>
          <cell r="K869">
            <v>0</v>
          </cell>
          <cell r="L869">
            <v>0</v>
          </cell>
          <cell r="M869">
            <v>350</v>
          </cell>
          <cell r="N869">
            <v>350</v>
          </cell>
          <cell r="O869">
            <v>100</v>
          </cell>
          <cell r="P869">
            <v>0</v>
          </cell>
          <cell r="Q869">
            <v>1000</v>
          </cell>
        </row>
        <row r="870">
          <cell r="A870" t="str">
            <v>USWOP015923921200050</v>
          </cell>
          <cell r="B870" t="str">
            <v>USWOP01592</v>
          </cell>
          <cell r="C870">
            <v>3921200050</v>
          </cell>
          <cell r="D870" t="str">
            <v>SAFETY EQUIPMENT - SUPPLIES</v>
          </cell>
          <cell r="E870">
            <v>0</v>
          </cell>
          <cell r="F870">
            <v>0</v>
          </cell>
          <cell r="G870">
            <v>50</v>
          </cell>
          <cell r="H870">
            <v>50</v>
          </cell>
          <cell r="I870">
            <v>0</v>
          </cell>
          <cell r="J870">
            <v>0</v>
          </cell>
          <cell r="K870">
            <v>0</v>
          </cell>
          <cell r="L870">
            <v>0</v>
          </cell>
          <cell r="M870">
            <v>175</v>
          </cell>
          <cell r="N870">
            <v>175</v>
          </cell>
          <cell r="O870">
            <v>50</v>
          </cell>
          <cell r="P870">
            <v>0</v>
          </cell>
          <cell r="Q870">
            <v>500</v>
          </cell>
        </row>
        <row r="871">
          <cell r="A871" t="str">
            <v>USWOP015923991200012</v>
          </cell>
          <cell r="B871" t="str">
            <v>USWOP01592</v>
          </cell>
          <cell r="C871">
            <v>3991200012</v>
          </cell>
          <cell r="D871" t="str">
            <v>DELIVERY SERVICES</v>
          </cell>
          <cell r="E871">
            <v>0</v>
          </cell>
          <cell r="F871">
            <v>0</v>
          </cell>
          <cell r="G871">
            <v>100</v>
          </cell>
          <cell r="H871">
            <v>100</v>
          </cell>
          <cell r="I871">
            <v>0</v>
          </cell>
          <cell r="J871">
            <v>0</v>
          </cell>
          <cell r="K871">
            <v>0</v>
          </cell>
          <cell r="L871">
            <v>0</v>
          </cell>
          <cell r="M871">
            <v>350</v>
          </cell>
          <cell r="N871">
            <v>350</v>
          </cell>
          <cell r="O871">
            <v>100</v>
          </cell>
          <cell r="P871">
            <v>0</v>
          </cell>
          <cell r="Q871">
            <v>1000</v>
          </cell>
        </row>
        <row r="872">
          <cell r="A872" t="str">
            <v>USCRP015903991200012</v>
          </cell>
          <cell r="B872" t="str">
            <v>USCRP01590</v>
          </cell>
          <cell r="C872">
            <v>3991200012</v>
          </cell>
          <cell r="D872" t="str">
            <v>DELIVERY SERVICES</v>
          </cell>
          <cell r="E872">
            <v>1500</v>
          </cell>
          <cell r="F872">
            <v>750</v>
          </cell>
          <cell r="G872">
            <v>750</v>
          </cell>
          <cell r="H872">
            <v>750</v>
          </cell>
          <cell r="I872">
            <v>750</v>
          </cell>
          <cell r="J872">
            <v>1500</v>
          </cell>
          <cell r="K872">
            <v>1500</v>
          </cell>
          <cell r="L872">
            <v>1500</v>
          </cell>
          <cell r="M872">
            <v>1500</v>
          </cell>
          <cell r="N872">
            <v>1500</v>
          </cell>
          <cell r="O872">
            <v>1500</v>
          </cell>
          <cell r="P872">
            <v>1500</v>
          </cell>
          <cell r="Q872">
            <v>15000</v>
          </cell>
        </row>
        <row r="873">
          <cell r="A873" t="str">
            <v>US22MZA1503111100000</v>
          </cell>
          <cell r="B873" t="str">
            <v>US22MZA150</v>
          </cell>
          <cell r="C873">
            <v>3111100000</v>
          </cell>
          <cell r="D873" t="str">
            <v>WAGES,SALARIES,ALLOWANCES AND COMMI/PERM</v>
          </cell>
          <cell r="E873">
            <v>18870</v>
          </cell>
          <cell r="F873">
            <v>18870</v>
          </cell>
          <cell r="G873">
            <v>18870</v>
          </cell>
          <cell r="H873">
            <v>18870</v>
          </cell>
          <cell r="I873">
            <v>18870</v>
          </cell>
          <cell r="J873">
            <v>18870</v>
          </cell>
          <cell r="K873">
            <v>18870</v>
          </cell>
          <cell r="L873">
            <v>18870</v>
          </cell>
          <cell r="M873">
            <v>18870</v>
          </cell>
          <cell r="N873">
            <v>18870</v>
          </cell>
          <cell r="O873">
            <v>18870</v>
          </cell>
          <cell r="P873">
            <v>18865</v>
          </cell>
          <cell r="Q873">
            <v>226435</v>
          </cell>
        </row>
        <row r="874">
          <cell r="A874" t="str">
            <v>US22MZA1503111100012</v>
          </cell>
          <cell r="B874" t="str">
            <v>US22MZA150</v>
          </cell>
          <cell r="C874">
            <v>3111100012</v>
          </cell>
          <cell r="D874" t="str">
            <v>OVERTIME HOURS /PERMANENTS</v>
          </cell>
          <cell r="E874">
            <v>6433</v>
          </cell>
          <cell r="F874">
            <v>6433</v>
          </cell>
          <cell r="G874">
            <v>6433</v>
          </cell>
          <cell r="H874">
            <v>6433</v>
          </cell>
          <cell r="I874">
            <v>6433</v>
          </cell>
          <cell r="J874">
            <v>6433</v>
          </cell>
          <cell r="K874">
            <v>6433</v>
          </cell>
          <cell r="L874">
            <v>6433</v>
          </cell>
          <cell r="M874">
            <v>6433</v>
          </cell>
          <cell r="N874">
            <v>6433</v>
          </cell>
          <cell r="O874">
            <v>6433</v>
          </cell>
          <cell r="P874">
            <v>6431</v>
          </cell>
          <cell r="Q874">
            <v>77194</v>
          </cell>
        </row>
        <row r="875">
          <cell r="A875" t="str">
            <v>US22MZA1503111100020</v>
          </cell>
          <cell r="B875" t="str">
            <v>US22MZA150</v>
          </cell>
          <cell r="C875">
            <v>3111100020</v>
          </cell>
          <cell r="D875" t="str">
            <v>INCENTIVE PLAN (functions)</v>
          </cell>
          <cell r="E875">
            <v>1200</v>
          </cell>
          <cell r="F875">
            <v>1200</v>
          </cell>
          <cell r="G875">
            <v>800</v>
          </cell>
          <cell r="H875">
            <v>400</v>
          </cell>
          <cell r="I875">
            <v>640</v>
          </cell>
          <cell r="J875">
            <v>640</v>
          </cell>
          <cell r="K875">
            <v>400</v>
          </cell>
          <cell r="L875">
            <v>320</v>
          </cell>
          <cell r="M875">
            <v>0</v>
          </cell>
          <cell r="N875">
            <v>0</v>
          </cell>
          <cell r="O875">
            <v>1200</v>
          </cell>
          <cell r="P875">
            <v>1200</v>
          </cell>
          <cell r="Q875">
            <v>8000</v>
          </cell>
        </row>
        <row r="876">
          <cell r="A876" t="str">
            <v>US22MZA1503121300013</v>
          </cell>
          <cell r="B876" t="str">
            <v>US22MZA150</v>
          </cell>
          <cell r="C876">
            <v>3121300013</v>
          </cell>
          <cell r="D876" t="str">
            <v>FRINGE BENEFITS</v>
          </cell>
          <cell r="E876">
            <v>9816</v>
          </cell>
          <cell r="F876">
            <v>9816</v>
          </cell>
          <cell r="G876">
            <v>9816</v>
          </cell>
          <cell r="H876">
            <v>9816</v>
          </cell>
          <cell r="I876">
            <v>9816</v>
          </cell>
          <cell r="J876">
            <v>9816</v>
          </cell>
          <cell r="K876">
            <v>9816</v>
          </cell>
          <cell r="L876">
            <v>9816</v>
          </cell>
          <cell r="M876">
            <v>9816</v>
          </cell>
          <cell r="N876">
            <v>9816</v>
          </cell>
          <cell r="O876">
            <v>9816</v>
          </cell>
          <cell r="P876">
            <v>9820</v>
          </cell>
          <cell r="Q876">
            <v>117796</v>
          </cell>
        </row>
        <row r="877">
          <cell r="A877" t="str">
            <v>US22MZA1503131100007</v>
          </cell>
          <cell r="B877" t="str">
            <v>US22MZA150</v>
          </cell>
          <cell r="C877">
            <v>3131100007</v>
          </cell>
          <cell r="D877" t="str">
            <v>EXTERNAL TRAINING</v>
          </cell>
          <cell r="E877">
            <v>75</v>
          </cell>
          <cell r="F877">
            <v>75</v>
          </cell>
          <cell r="G877">
            <v>50</v>
          </cell>
          <cell r="H877">
            <v>25</v>
          </cell>
          <cell r="I877">
            <v>40</v>
          </cell>
          <cell r="J877">
            <v>40</v>
          </cell>
          <cell r="K877">
            <v>25</v>
          </cell>
          <cell r="L877">
            <v>20</v>
          </cell>
          <cell r="M877">
            <v>0</v>
          </cell>
          <cell r="N877">
            <v>0</v>
          </cell>
          <cell r="O877">
            <v>75</v>
          </cell>
          <cell r="P877">
            <v>75</v>
          </cell>
          <cell r="Q877">
            <v>500</v>
          </cell>
        </row>
        <row r="878">
          <cell r="A878" t="str">
            <v>US22MZA1503201300001</v>
          </cell>
          <cell r="B878" t="str">
            <v>US22MZA150</v>
          </cell>
          <cell r="C878">
            <v>3201300001</v>
          </cell>
          <cell r="D878" t="str">
            <v>HIRED PERSONNEL FROM 3RD PARTIES</v>
          </cell>
          <cell r="E878">
            <v>74250</v>
          </cell>
          <cell r="F878">
            <v>74250</v>
          </cell>
          <cell r="G878">
            <v>49500</v>
          </cell>
          <cell r="H878">
            <v>24750</v>
          </cell>
          <cell r="I878">
            <v>39600</v>
          </cell>
          <cell r="J878">
            <v>39600</v>
          </cell>
          <cell r="K878">
            <v>24750</v>
          </cell>
          <cell r="L878">
            <v>19800</v>
          </cell>
          <cell r="M878">
            <v>0</v>
          </cell>
          <cell r="N878">
            <v>0</v>
          </cell>
          <cell r="O878">
            <v>74250</v>
          </cell>
          <cell r="P878">
            <v>74250</v>
          </cell>
          <cell r="Q878">
            <v>495000</v>
          </cell>
        </row>
        <row r="879">
          <cell r="A879" t="str">
            <v>US22MZA1503201400002</v>
          </cell>
          <cell r="B879" t="str">
            <v>US22MZA150</v>
          </cell>
          <cell r="C879">
            <v>3201400002</v>
          </cell>
          <cell r="D879" t="str">
            <v>MAINTENANCE OF VEHICLES</v>
          </cell>
          <cell r="E879">
            <v>4800</v>
          </cell>
          <cell r="F879">
            <v>4800</v>
          </cell>
          <cell r="G879">
            <v>3200</v>
          </cell>
          <cell r="H879">
            <v>1600</v>
          </cell>
          <cell r="I879">
            <v>2560</v>
          </cell>
          <cell r="J879">
            <v>2560</v>
          </cell>
          <cell r="K879">
            <v>1600</v>
          </cell>
          <cell r="L879">
            <v>1280</v>
          </cell>
          <cell r="M879">
            <v>0</v>
          </cell>
          <cell r="N879">
            <v>0</v>
          </cell>
          <cell r="O879">
            <v>4800</v>
          </cell>
          <cell r="P879">
            <v>4800</v>
          </cell>
          <cell r="Q879">
            <v>32000</v>
          </cell>
        </row>
        <row r="880">
          <cell r="A880" t="str">
            <v>US22MZA1503201400029</v>
          </cell>
          <cell r="B880" t="str">
            <v>US22MZA150</v>
          </cell>
          <cell r="C880">
            <v>3201400029</v>
          </cell>
          <cell r="D880" t="str">
            <v>OTH OUTSIDE SERVICES OTHER</v>
          </cell>
          <cell r="E880">
            <v>6720</v>
          </cell>
          <cell r="F880">
            <v>6720</v>
          </cell>
          <cell r="G880">
            <v>4480</v>
          </cell>
          <cell r="H880">
            <v>2240</v>
          </cell>
          <cell r="I880">
            <v>3584</v>
          </cell>
          <cell r="J880">
            <v>3584</v>
          </cell>
          <cell r="K880">
            <v>2240</v>
          </cell>
          <cell r="L880">
            <v>1792</v>
          </cell>
          <cell r="M880">
            <v>0</v>
          </cell>
          <cell r="N880">
            <v>0</v>
          </cell>
          <cell r="O880">
            <v>6720</v>
          </cell>
          <cell r="P880">
            <v>6720</v>
          </cell>
          <cell r="Q880">
            <v>44800</v>
          </cell>
        </row>
        <row r="881">
          <cell r="A881" t="str">
            <v>US22MZA1503201400050</v>
          </cell>
          <cell r="B881" t="str">
            <v>US22MZA150</v>
          </cell>
          <cell r="C881">
            <v>3201400050</v>
          </cell>
          <cell r="D881" t="str">
            <v>MAINTENANCE FORKLIFTS</v>
          </cell>
          <cell r="E881">
            <v>6300</v>
          </cell>
          <cell r="F881">
            <v>6300</v>
          </cell>
          <cell r="G881">
            <v>4200</v>
          </cell>
          <cell r="H881">
            <v>2100</v>
          </cell>
          <cell r="I881">
            <v>3360</v>
          </cell>
          <cell r="J881">
            <v>3360</v>
          </cell>
          <cell r="K881">
            <v>2100</v>
          </cell>
          <cell r="L881">
            <v>1680</v>
          </cell>
          <cell r="M881">
            <v>0</v>
          </cell>
          <cell r="N881">
            <v>0</v>
          </cell>
          <cell r="O881">
            <v>6300</v>
          </cell>
          <cell r="P881">
            <v>6300</v>
          </cell>
          <cell r="Q881">
            <v>42000</v>
          </cell>
        </row>
        <row r="882">
          <cell r="A882" t="str">
            <v>US22MZA1503311400099</v>
          </cell>
          <cell r="B882" t="str">
            <v>US22MZA150</v>
          </cell>
          <cell r="C882">
            <v>3311400099</v>
          </cell>
          <cell r="D882" t="str">
            <v>CO DEPRECIATION</v>
          </cell>
          <cell r="E882">
            <v>19846</v>
          </cell>
          <cell r="F882">
            <v>19846</v>
          </cell>
          <cell r="G882">
            <v>19846</v>
          </cell>
          <cell r="H882">
            <v>19846</v>
          </cell>
          <cell r="I882">
            <v>19846</v>
          </cell>
          <cell r="J882">
            <v>19846</v>
          </cell>
          <cell r="K882">
            <v>19846</v>
          </cell>
          <cell r="L882">
            <v>19846</v>
          </cell>
          <cell r="M882">
            <v>19846</v>
          </cell>
          <cell r="N882">
            <v>19846</v>
          </cell>
          <cell r="O882">
            <v>19846</v>
          </cell>
          <cell r="P882">
            <v>19850</v>
          </cell>
          <cell r="Q882">
            <v>238156</v>
          </cell>
        </row>
        <row r="883">
          <cell r="A883" t="str">
            <v>US22MZA1503911100010</v>
          </cell>
          <cell r="B883" t="str">
            <v>US22MZA150</v>
          </cell>
          <cell r="C883">
            <v>3911100010</v>
          </cell>
          <cell r="D883" t="str">
            <v>TRAVEL EXPENSES PERMANENTS / MEALS</v>
          </cell>
          <cell r="E883">
            <v>390</v>
          </cell>
          <cell r="F883">
            <v>390</v>
          </cell>
          <cell r="G883">
            <v>260</v>
          </cell>
          <cell r="H883">
            <v>130</v>
          </cell>
          <cell r="I883">
            <v>208</v>
          </cell>
          <cell r="J883">
            <v>208</v>
          </cell>
          <cell r="K883">
            <v>130</v>
          </cell>
          <cell r="L883">
            <v>104</v>
          </cell>
          <cell r="M883">
            <v>0</v>
          </cell>
          <cell r="N883">
            <v>0</v>
          </cell>
          <cell r="O883">
            <v>390</v>
          </cell>
          <cell r="P883">
            <v>390</v>
          </cell>
          <cell r="Q883">
            <v>2600</v>
          </cell>
        </row>
        <row r="884">
          <cell r="A884" t="str">
            <v>US22MZA1503911100012</v>
          </cell>
          <cell r="B884" t="str">
            <v>US22MZA150</v>
          </cell>
          <cell r="C884">
            <v>3911100012</v>
          </cell>
          <cell r="D884" t="str">
            <v>TRAVEL EXPENSES PERMANENTS / HOTELS</v>
          </cell>
          <cell r="E884">
            <v>570</v>
          </cell>
          <cell r="F884">
            <v>570</v>
          </cell>
          <cell r="G884">
            <v>380</v>
          </cell>
          <cell r="H884">
            <v>190</v>
          </cell>
          <cell r="I884">
            <v>304</v>
          </cell>
          <cell r="J884">
            <v>304</v>
          </cell>
          <cell r="K884">
            <v>190</v>
          </cell>
          <cell r="L884">
            <v>152</v>
          </cell>
          <cell r="M884">
            <v>0</v>
          </cell>
          <cell r="N884">
            <v>0</v>
          </cell>
          <cell r="O884">
            <v>570</v>
          </cell>
          <cell r="P884">
            <v>570</v>
          </cell>
          <cell r="Q884">
            <v>3800</v>
          </cell>
        </row>
        <row r="885">
          <cell r="A885" t="str">
            <v>US22MZA1503911100015</v>
          </cell>
          <cell r="B885" t="str">
            <v>US22MZA150</v>
          </cell>
          <cell r="C885">
            <v>3911100015</v>
          </cell>
          <cell r="D885" t="str">
            <v>TRAVEL EXPENSES PERMANENTS / OTHER</v>
          </cell>
          <cell r="E885">
            <v>165</v>
          </cell>
          <cell r="F885">
            <v>165</v>
          </cell>
          <cell r="G885">
            <v>110</v>
          </cell>
          <cell r="H885">
            <v>55</v>
          </cell>
          <cell r="I885">
            <v>88</v>
          </cell>
          <cell r="J885">
            <v>88</v>
          </cell>
          <cell r="K885">
            <v>55</v>
          </cell>
          <cell r="L885">
            <v>44</v>
          </cell>
          <cell r="M885">
            <v>0</v>
          </cell>
          <cell r="N885">
            <v>0</v>
          </cell>
          <cell r="O885">
            <v>165</v>
          </cell>
          <cell r="P885">
            <v>165</v>
          </cell>
          <cell r="Q885">
            <v>1100</v>
          </cell>
        </row>
        <row r="886">
          <cell r="A886" t="str">
            <v>US22MZA1503911200001</v>
          </cell>
          <cell r="B886" t="str">
            <v>US22MZA150</v>
          </cell>
          <cell r="C886">
            <v>3911200001</v>
          </cell>
          <cell r="D886" t="str">
            <v>SYMPOSIUMS, CONFERENCES, MEETINGS</v>
          </cell>
          <cell r="E886">
            <v>300</v>
          </cell>
          <cell r="F886">
            <v>300</v>
          </cell>
          <cell r="G886">
            <v>200</v>
          </cell>
          <cell r="H886">
            <v>100</v>
          </cell>
          <cell r="I886">
            <v>160</v>
          </cell>
          <cell r="J886">
            <v>160</v>
          </cell>
          <cell r="K886">
            <v>100</v>
          </cell>
          <cell r="L886">
            <v>80</v>
          </cell>
          <cell r="M886">
            <v>0</v>
          </cell>
          <cell r="N886">
            <v>0</v>
          </cell>
          <cell r="O886">
            <v>300</v>
          </cell>
          <cell r="P886">
            <v>300</v>
          </cell>
          <cell r="Q886">
            <v>2000</v>
          </cell>
        </row>
        <row r="887">
          <cell r="A887" t="str">
            <v>US22MZA1503921100001</v>
          </cell>
          <cell r="B887" t="str">
            <v>US22MZA150</v>
          </cell>
          <cell r="C887">
            <v>3921100001</v>
          </cell>
          <cell r="D887" t="str">
            <v>UTILITY EXPENSES ELECTRICITY</v>
          </cell>
          <cell r="E887">
            <v>1125</v>
          </cell>
          <cell r="F887">
            <v>1125</v>
          </cell>
          <cell r="G887">
            <v>750</v>
          </cell>
          <cell r="H887">
            <v>375</v>
          </cell>
          <cell r="I887">
            <v>600</v>
          </cell>
          <cell r="J887">
            <v>600</v>
          </cell>
          <cell r="K887">
            <v>375</v>
          </cell>
          <cell r="L887">
            <v>300</v>
          </cell>
          <cell r="M887">
            <v>0</v>
          </cell>
          <cell r="N887">
            <v>0</v>
          </cell>
          <cell r="O887">
            <v>1125</v>
          </cell>
          <cell r="P887">
            <v>1125</v>
          </cell>
          <cell r="Q887">
            <v>7500</v>
          </cell>
        </row>
        <row r="888">
          <cell r="A888" t="str">
            <v>US22MZA1503921200001</v>
          </cell>
          <cell r="B888" t="str">
            <v>US22MZA150</v>
          </cell>
          <cell r="C888">
            <v>3921200001</v>
          </cell>
          <cell r="D888" t="str">
            <v>FUEL</v>
          </cell>
          <cell r="E888">
            <v>7950</v>
          </cell>
          <cell r="F888">
            <v>7950</v>
          </cell>
          <cell r="G888">
            <v>5300</v>
          </cell>
          <cell r="H888">
            <v>2650</v>
          </cell>
          <cell r="I888">
            <v>4240</v>
          </cell>
          <cell r="J888">
            <v>4240</v>
          </cell>
          <cell r="K888">
            <v>2650</v>
          </cell>
          <cell r="L888">
            <v>2120</v>
          </cell>
          <cell r="M888">
            <v>0</v>
          </cell>
          <cell r="N888">
            <v>0</v>
          </cell>
          <cell r="O888">
            <v>7950</v>
          </cell>
          <cell r="P888">
            <v>7950</v>
          </cell>
          <cell r="Q888">
            <v>53000</v>
          </cell>
        </row>
        <row r="889">
          <cell r="A889" t="str">
            <v>US22MZA1503921200010</v>
          </cell>
          <cell r="B889" t="str">
            <v>US22MZA150</v>
          </cell>
          <cell r="C889">
            <v>3921200010</v>
          </cell>
          <cell r="D889" t="str">
            <v>ADMINISTRATIVE SUPPLIES</v>
          </cell>
          <cell r="E889">
            <v>330</v>
          </cell>
          <cell r="F889">
            <v>330</v>
          </cell>
          <cell r="G889">
            <v>220</v>
          </cell>
          <cell r="H889">
            <v>110</v>
          </cell>
          <cell r="I889">
            <v>176</v>
          </cell>
          <cell r="J889">
            <v>176</v>
          </cell>
          <cell r="K889">
            <v>110</v>
          </cell>
          <cell r="L889">
            <v>88</v>
          </cell>
          <cell r="M889">
            <v>0</v>
          </cell>
          <cell r="N889">
            <v>0</v>
          </cell>
          <cell r="O889">
            <v>330</v>
          </cell>
          <cell r="P889">
            <v>330</v>
          </cell>
          <cell r="Q889">
            <v>2200</v>
          </cell>
        </row>
        <row r="890">
          <cell r="A890" t="str">
            <v>US22MZA1503921200050</v>
          </cell>
          <cell r="B890" t="str">
            <v>US22MZA150</v>
          </cell>
          <cell r="C890">
            <v>3921200050</v>
          </cell>
          <cell r="D890" t="str">
            <v>SAFETY EQUIPMENT - SUPPLIES</v>
          </cell>
          <cell r="E890">
            <v>915</v>
          </cell>
          <cell r="F890">
            <v>915</v>
          </cell>
          <cell r="G890">
            <v>610</v>
          </cell>
          <cell r="H890">
            <v>305</v>
          </cell>
          <cell r="I890">
            <v>488</v>
          </cell>
          <cell r="J890">
            <v>488</v>
          </cell>
          <cell r="K890">
            <v>305</v>
          </cell>
          <cell r="L890">
            <v>244</v>
          </cell>
          <cell r="M890">
            <v>0</v>
          </cell>
          <cell r="N890">
            <v>0</v>
          </cell>
          <cell r="O890">
            <v>915</v>
          </cell>
          <cell r="P890">
            <v>915</v>
          </cell>
          <cell r="Q890">
            <v>6100</v>
          </cell>
        </row>
        <row r="891">
          <cell r="A891" t="str">
            <v>US22MZA1503921200100</v>
          </cell>
          <cell r="B891" t="str">
            <v>US22MZA150</v>
          </cell>
          <cell r="C891">
            <v>3921200100</v>
          </cell>
          <cell r="D891" t="str">
            <v>FIELD &amp; PRODUCTION SUPPLIES</v>
          </cell>
          <cell r="E891">
            <v>7425</v>
          </cell>
          <cell r="F891">
            <v>7425</v>
          </cell>
          <cell r="G891">
            <v>4950</v>
          </cell>
          <cell r="H891">
            <v>2475</v>
          </cell>
          <cell r="I891">
            <v>3960</v>
          </cell>
          <cell r="J891">
            <v>3960</v>
          </cell>
          <cell r="K891">
            <v>2475</v>
          </cell>
          <cell r="L891">
            <v>1980</v>
          </cell>
          <cell r="M891">
            <v>0</v>
          </cell>
          <cell r="N891">
            <v>0</v>
          </cell>
          <cell r="O891">
            <v>7425</v>
          </cell>
          <cell r="P891">
            <v>7425</v>
          </cell>
          <cell r="Q891">
            <v>49500</v>
          </cell>
        </row>
        <row r="892">
          <cell r="A892" t="str">
            <v>US22MZA1503951100002</v>
          </cell>
          <cell r="B892" t="str">
            <v>US22MZA150</v>
          </cell>
          <cell r="C892">
            <v>3951100002</v>
          </cell>
          <cell r="D892" t="str">
            <v>RENTALS - REAL ESTATE</v>
          </cell>
          <cell r="E892">
            <v>43200</v>
          </cell>
          <cell r="F892">
            <v>43200</v>
          </cell>
          <cell r="G892">
            <v>28800</v>
          </cell>
          <cell r="H892">
            <v>14400</v>
          </cell>
          <cell r="I892">
            <v>23040</v>
          </cell>
          <cell r="J892">
            <v>23040</v>
          </cell>
          <cell r="K892">
            <v>14400</v>
          </cell>
          <cell r="L892">
            <v>11520</v>
          </cell>
          <cell r="M892">
            <v>0</v>
          </cell>
          <cell r="N892">
            <v>0</v>
          </cell>
          <cell r="O892">
            <v>43200</v>
          </cell>
          <cell r="P892">
            <v>43200</v>
          </cell>
          <cell r="Q892">
            <v>288000</v>
          </cell>
        </row>
        <row r="893">
          <cell r="A893" t="str">
            <v>US22MZA1503951200002</v>
          </cell>
          <cell r="B893" t="str">
            <v>US22MZA150</v>
          </cell>
          <cell r="C893">
            <v>3951200002</v>
          </cell>
          <cell r="D893" t="str">
            <v>OPERATING LEASES - VEHICLES (SHORT DURAT</v>
          </cell>
          <cell r="E893">
            <v>6000</v>
          </cell>
          <cell r="F893">
            <v>6000</v>
          </cell>
          <cell r="G893">
            <v>4000</v>
          </cell>
          <cell r="H893">
            <v>2000</v>
          </cell>
          <cell r="I893">
            <v>3200</v>
          </cell>
          <cell r="J893">
            <v>3200</v>
          </cell>
          <cell r="K893">
            <v>2000</v>
          </cell>
          <cell r="L893">
            <v>1600</v>
          </cell>
          <cell r="M893">
            <v>0</v>
          </cell>
          <cell r="N893">
            <v>0</v>
          </cell>
          <cell r="O893">
            <v>6000</v>
          </cell>
          <cell r="P893">
            <v>6000</v>
          </cell>
          <cell r="Q893">
            <v>40000</v>
          </cell>
        </row>
        <row r="894">
          <cell r="A894" t="str">
            <v>US22MZA1503991200015</v>
          </cell>
          <cell r="B894" t="str">
            <v>US22MZA150</v>
          </cell>
          <cell r="C894">
            <v>3991200015</v>
          </cell>
          <cell r="D894" t="str">
            <v>TELEPHONE</v>
          </cell>
          <cell r="E894">
            <v>645</v>
          </cell>
          <cell r="F894">
            <v>645</v>
          </cell>
          <cell r="G894">
            <v>430</v>
          </cell>
          <cell r="H894">
            <v>215</v>
          </cell>
          <cell r="I894">
            <v>344</v>
          </cell>
          <cell r="J894">
            <v>344</v>
          </cell>
          <cell r="K894">
            <v>215</v>
          </cell>
          <cell r="L894">
            <v>172</v>
          </cell>
          <cell r="M894">
            <v>0</v>
          </cell>
          <cell r="N894">
            <v>0</v>
          </cell>
          <cell r="O894">
            <v>645</v>
          </cell>
          <cell r="P894">
            <v>645</v>
          </cell>
          <cell r="Q894">
            <v>4300</v>
          </cell>
        </row>
        <row r="895">
          <cell r="A895" t="str">
            <v>US22MZA1503991200099</v>
          </cell>
          <cell r="B895" t="str">
            <v>US22MZA150</v>
          </cell>
          <cell r="C895">
            <v>3991200099</v>
          </cell>
          <cell r="D895" t="str">
            <v>OTHER EXPENSES TO 3RD PARTIES - ADJUSTME</v>
          </cell>
          <cell r="E895">
            <v>420</v>
          </cell>
          <cell r="F895">
            <v>420</v>
          </cell>
          <cell r="G895">
            <v>280</v>
          </cell>
          <cell r="H895">
            <v>140</v>
          </cell>
          <cell r="I895">
            <v>224</v>
          </cell>
          <cell r="J895">
            <v>224</v>
          </cell>
          <cell r="K895">
            <v>140</v>
          </cell>
          <cell r="L895">
            <v>112</v>
          </cell>
          <cell r="M895">
            <v>0</v>
          </cell>
          <cell r="N895">
            <v>0</v>
          </cell>
          <cell r="O895">
            <v>420</v>
          </cell>
          <cell r="P895">
            <v>420</v>
          </cell>
          <cell r="Q895">
            <v>2800</v>
          </cell>
        </row>
        <row r="896">
          <cell r="A896" t="str">
            <v>US22MZA1553111100000</v>
          </cell>
          <cell r="B896" t="str">
            <v>US22MZA155</v>
          </cell>
          <cell r="C896">
            <v>3111100000</v>
          </cell>
          <cell r="D896" t="str">
            <v>WAGES,SALARIES,ALLOWANCES AND COMMI/PERM</v>
          </cell>
          <cell r="E896">
            <v>1029</v>
          </cell>
          <cell r="F896">
            <v>1029</v>
          </cell>
          <cell r="G896">
            <v>1029</v>
          </cell>
          <cell r="H896">
            <v>1029</v>
          </cell>
          <cell r="I896">
            <v>1029</v>
          </cell>
          <cell r="J896">
            <v>1029</v>
          </cell>
          <cell r="K896">
            <v>1029</v>
          </cell>
          <cell r="L896">
            <v>1029</v>
          </cell>
          <cell r="M896">
            <v>1029</v>
          </cell>
          <cell r="N896">
            <v>1029</v>
          </cell>
          <cell r="O896">
            <v>1029</v>
          </cell>
          <cell r="P896">
            <v>1032</v>
          </cell>
          <cell r="Q896">
            <v>12351</v>
          </cell>
        </row>
        <row r="897">
          <cell r="A897" t="str">
            <v>US22MZA1553111100012</v>
          </cell>
          <cell r="B897" t="str">
            <v>US22MZA155</v>
          </cell>
          <cell r="C897">
            <v>3111100012</v>
          </cell>
          <cell r="D897" t="str">
            <v>OVERTIME HOURS /PERMANENTS</v>
          </cell>
          <cell r="E897">
            <v>823</v>
          </cell>
          <cell r="F897">
            <v>823</v>
          </cell>
          <cell r="G897">
            <v>823</v>
          </cell>
          <cell r="H897">
            <v>823</v>
          </cell>
          <cell r="I897">
            <v>823</v>
          </cell>
          <cell r="J897">
            <v>823</v>
          </cell>
          <cell r="K897">
            <v>823</v>
          </cell>
          <cell r="L897">
            <v>823</v>
          </cell>
          <cell r="M897">
            <v>823</v>
          </cell>
          <cell r="N897">
            <v>823</v>
          </cell>
          <cell r="O897">
            <v>823</v>
          </cell>
          <cell r="P897">
            <v>828</v>
          </cell>
          <cell r="Q897">
            <v>9881</v>
          </cell>
        </row>
        <row r="898">
          <cell r="A898" t="str">
            <v>US22MZA1553121300013</v>
          </cell>
          <cell r="B898" t="str">
            <v>US22MZA155</v>
          </cell>
          <cell r="C898">
            <v>3121300013</v>
          </cell>
          <cell r="D898" t="str">
            <v>FRINGE BENEFITS</v>
          </cell>
          <cell r="E898">
            <v>700</v>
          </cell>
          <cell r="F898">
            <v>700</v>
          </cell>
          <cell r="G898">
            <v>700</v>
          </cell>
          <cell r="H898">
            <v>700</v>
          </cell>
          <cell r="I898">
            <v>700</v>
          </cell>
          <cell r="J898">
            <v>700</v>
          </cell>
          <cell r="K898">
            <v>700</v>
          </cell>
          <cell r="L898">
            <v>700</v>
          </cell>
          <cell r="M898">
            <v>700</v>
          </cell>
          <cell r="N898">
            <v>700</v>
          </cell>
          <cell r="O898">
            <v>700</v>
          </cell>
          <cell r="P898">
            <v>704</v>
          </cell>
          <cell r="Q898">
            <v>8404</v>
          </cell>
        </row>
        <row r="899">
          <cell r="A899" t="str">
            <v>US22MZA1553201300001</v>
          </cell>
          <cell r="B899" t="str">
            <v>US22MZA155</v>
          </cell>
          <cell r="C899">
            <v>3201300001</v>
          </cell>
          <cell r="D899" t="str">
            <v>HIRED PERSONNEL FROM 3RD PARTIES</v>
          </cell>
          <cell r="E899">
            <v>5400</v>
          </cell>
          <cell r="F899">
            <v>5400</v>
          </cell>
          <cell r="G899">
            <v>3600</v>
          </cell>
          <cell r="H899">
            <v>1800</v>
          </cell>
          <cell r="I899">
            <v>3600</v>
          </cell>
          <cell r="J899">
            <v>3600</v>
          </cell>
          <cell r="K899">
            <v>1800</v>
          </cell>
          <cell r="L899">
            <v>0</v>
          </cell>
          <cell r="M899">
            <v>0</v>
          </cell>
          <cell r="N899">
            <v>0</v>
          </cell>
          <cell r="O899">
            <v>5400</v>
          </cell>
          <cell r="P899">
            <v>5400</v>
          </cell>
          <cell r="Q899">
            <v>36000</v>
          </cell>
        </row>
        <row r="900">
          <cell r="A900" t="str">
            <v>US28MZA1503111100000</v>
          </cell>
          <cell r="B900" t="str">
            <v>US28MZA150</v>
          </cell>
          <cell r="C900">
            <v>3111100000</v>
          </cell>
          <cell r="D900" t="str">
            <v>WAGES,SALARIES,ALLOWANCES AND COMMI/PERM</v>
          </cell>
          <cell r="E900">
            <v>8063</v>
          </cell>
          <cell r="F900">
            <v>8063</v>
          </cell>
          <cell r="G900">
            <v>8063</v>
          </cell>
          <cell r="H900">
            <v>8063</v>
          </cell>
          <cell r="I900">
            <v>8063</v>
          </cell>
          <cell r="J900">
            <v>8063</v>
          </cell>
          <cell r="K900">
            <v>8063</v>
          </cell>
          <cell r="L900">
            <v>8063</v>
          </cell>
          <cell r="M900">
            <v>8063</v>
          </cell>
          <cell r="N900">
            <v>8063</v>
          </cell>
          <cell r="O900">
            <v>8063</v>
          </cell>
          <cell r="P900">
            <v>8057</v>
          </cell>
          <cell r="Q900">
            <v>96750</v>
          </cell>
        </row>
        <row r="901">
          <cell r="A901" t="str">
            <v>US28MZA1503111100012</v>
          </cell>
          <cell r="B901" t="str">
            <v>US28MZA150</v>
          </cell>
          <cell r="C901">
            <v>3111100012</v>
          </cell>
          <cell r="D901" t="str">
            <v>OVERTIME HOURS /PERMANENTS</v>
          </cell>
          <cell r="E901">
            <v>2144</v>
          </cell>
          <cell r="F901">
            <v>2144</v>
          </cell>
          <cell r="G901">
            <v>2144</v>
          </cell>
          <cell r="H901">
            <v>2144</v>
          </cell>
          <cell r="I901">
            <v>2144</v>
          </cell>
          <cell r="J901">
            <v>2144</v>
          </cell>
          <cell r="K901">
            <v>2144</v>
          </cell>
          <cell r="L901">
            <v>2144</v>
          </cell>
          <cell r="M901">
            <v>2144</v>
          </cell>
          <cell r="N901">
            <v>2144</v>
          </cell>
          <cell r="O901">
            <v>2144</v>
          </cell>
          <cell r="P901">
            <v>2147</v>
          </cell>
          <cell r="Q901">
            <v>25731</v>
          </cell>
        </row>
        <row r="902">
          <cell r="A902" t="str">
            <v>US28MZA1503111100020</v>
          </cell>
          <cell r="B902" t="str">
            <v>US28MZA150</v>
          </cell>
          <cell r="C902">
            <v>3111100020</v>
          </cell>
          <cell r="D902" t="str">
            <v>INCENTIVE PLAN (functions)</v>
          </cell>
          <cell r="E902">
            <v>1125</v>
          </cell>
          <cell r="F902">
            <v>1125</v>
          </cell>
          <cell r="G902">
            <v>750</v>
          </cell>
          <cell r="H902">
            <v>375</v>
          </cell>
          <cell r="I902">
            <v>600</v>
          </cell>
          <cell r="J902">
            <v>600</v>
          </cell>
          <cell r="K902">
            <v>375</v>
          </cell>
          <cell r="L902">
            <v>300</v>
          </cell>
          <cell r="M902">
            <v>0</v>
          </cell>
          <cell r="N902">
            <v>0</v>
          </cell>
          <cell r="O902">
            <v>1125</v>
          </cell>
          <cell r="P902">
            <v>1125</v>
          </cell>
          <cell r="Q902">
            <v>7500</v>
          </cell>
        </row>
        <row r="903">
          <cell r="A903" t="str">
            <v>US28MZA1503121300013</v>
          </cell>
          <cell r="B903" t="str">
            <v>US28MZA150</v>
          </cell>
          <cell r="C903">
            <v>3121300013</v>
          </cell>
          <cell r="D903" t="str">
            <v>FRINGE BENEFITS</v>
          </cell>
          <cell r="E903">
            <v>4094</v>
          </cell>
          <cell r="F903">
            <v>4094</v>
          </cell>
          <cell r="G903">
            <v>4094</v>
          </cell>
          <cell r="H903">
            <v>4094</v>
          </cell>
          <cell r="I903">
            <v>4094</v>
          </cell>
          <cell r="J903">
            <v>4094</v>
          </cell>
          <cell r="K903">
            <v>4094</v>
          </cell>
          <cell r="L903">
            <v>4094</v>
          </cell>
          <cell r="M903">
            <v>4094</v>
          </cell>
          <cell r="N903">
            <v>4094</v>
          </cell>
          <cell r="O903">
            <v>4094</v>
          </cell>
          <cell r="P903">
            <v>4099</v>
          </cell>
          <cell r="Q903">
            <v>49133</v>
          </cell>
        </row>
        <row r="904">
          <cell r="A904" t="str">
            <v>US28MZA1503201300001</v>
          </cell>
          <cell r="B904" t="str">
            <v>US28MZA150</v>
          </cell>
          <cell r="C904">
            <v>3201300001</v>
          </cell>
          <cell r="D904" t="str">
            <v>HIRED PERSONNEL FROM 3RD PARTIES</v>
          </cell>
          <cell r="E904">
            <v>82500</v>
          </cell>
          <cell r="F904">
            <v>82500</v>
          </cell>
          <cell r="G904">
            <v>55000</v>
          </cell>
          <cell r="H904">
            <v>27500</v>
          </cell>
          <cell r="I904">
            <v>44000</v>
          </cell>
          <cell r="J904">
            <v>44000</v>
          </cell>
          <cell r="K904">
            <v>27500</v>
          </cell>
          <cell r="L904">
            <v>22000</v>
          </cell>
          <cell r="M904">
            <v>0</v>
          </cell>
          <cell r="N904">
            <v>0</v>
          </cell>
          <cell r="O904">
            <v>82500</v>
          </cell>
          <cell r="P904">
            <v>82500</v>
          </cell>
          <cell r="Q904">
            <v>550000</v>
          </cell>
        </row>
        <row r="905">
          <cell r="A905" t="str">
            <v>US28MZA1503201400002</v>
          </cell>
          <cell r="B905" t="str">
            <v>US28MZA150</v>
          </cell>
          <cell r="C905">
            <v>3201400002</v>
          </cell>
          <cell r="D905" t="str">
            <v>MAINTENANCE OF VEHICLES</v>
          </cell>
          <cell r="E905">
            <v>2250</v>
          </cell>
          <cell r="F905">
            <v>2250</v>
          </cell>
          <cell r="G905">
            <v>1500</v>
          </cell>
          <cell r="H905">
            <v>750</v>
          </cell>
          <cell r="I905">
            <v>1200</v>
          </cell>
          <cell r="J905">
            <v>1200</v>
          </cell>
          <cell r="K905">
            <v>750</v>
          </cell>
          <cell r="L905">
            <v>600</v>
          </cell>
          <cell r="M905">
            <v>0</v>
          </cell>
          <cell r="N905">
            <v>0</v>
          </cell>
          <cell r="O905">
            <v>2250</v>
          </cell>
          <cell r="P905">
            <v>2250</v>
          </cell>
          <cell r="Q905">
            <v>15000</v>
          </cell>
        </row>
        <row r="906">
          <cell r="A906" t="str">
            <v>US28MZA1503201400036</v>
          </cell>
          <cell r="B906" t="str">
            <v>US28MZA150</v>
          </cell>
          <cell r="C906">
            <v>3201400036</v>
          </cell>
          <cell r="D906" t="str">
            <v>OTHER MAINTENANCE BUILDINGS</v>
          </cell>
          <cell r="E906">
            <v>1425</v>
          </cell>
          <cell r="F906">
            <v>1425</v>
          </cell>
          <cell r="G906">
            <v>950</v>
          </cell>
          <cell r="H906">
            <v>475</v>
          </cell>
          <cell r="I906">
            <v>760</v>
          </cell>
          <cell r="J906">
            <v>760</v>
          </cell>
          <cell r="K906">
            <v>475</v>
          </cell>
          <cell r="L906">
            <v>380</v>
          </cell>
          <cell r="M906">
            <v>0</v>
          </cell>
          <cell r="N906">
            <v>0</v>
          </cell>
          <cell r="O906">
            <v>1425</v>
          </cell>
          <cell r="P906">
            <v>1425</v>
          </cell>
          <cell r="Q906">
            <v>9500</v>
          </cell>
        </row>
        <row r="907">
          <cell r="A907" t="str">
            <v>US28MZA1503201400050</v>
          </cell>
          <cell r="B907" t="str">
            <v>US28MZA150</v>
          </cell>
          <cell r="C907">
            <v>3201400050</v>
          </cell>
          <cell r="D907" t="str">
            <v>MAINTENANCE FORKLIFTS</v>
          </cell>
          <cell r="E907">
            <v>6000</v>
          </cell>
          <cell r="F907">
            <v>6000</v>
          </cell>
          <cell r="G907">
            <v>4000</v>
          </cell>
          <cell r="H907">
            <v>2000</v>
          </cell>
          <cell r="I907">
            <v>3200</v>
          </cell>
          <cell r="J907">
            <v>3200</v>
          </cell>
          <cell r="K907">
            <v>2000</v>
          </cell>
          <cell r="L907">
            <v>1600</v>
          </cell>
          <cell r="M907">
            <v>0</v>
          </cell>
          <cell r="N907">
            <v>0</v>
          </cell>
          <cell r="O907">
            <v>6000</v>
          </cell>
          <cell r="P907">
            <v>6000</v>
          </cell>
          <cell r="Q907">
            <v>40000</v>
          </cell>
        </row>
        <row r="908">
          <cell r="A908" t="str">
            <v>US28MZA1503311400099</v>
          </cell>
          <cell r="B908" t="str">
            <v>US28MZA150</v>
          </cell>
          <cell r="C908">
            <v>3311400099</v>
          </cell>
          <cell r="D908" t="str">
            <v>CO DEPRECIATION</v>
          </cell>
          <cell r="E908">
            <v>2886</v>
          </cell>
          <cell r="F908">
            <v>2886</v>
          </cell>
          <cell r="G908">
            <v>2886</v>
          </cell>
          <cell r="H908">
            <v>2886</v>
          </cell>
          <cell r="I908">
            <v>2886</v>
          </cell>
          <cell r="J908">
            <v>2763</v>
          </cell>
          <cell r="K908">
            <v>2763</v>
          </cell>
          <cell r="L908">
            <v>2763</v>
          </cell>
          <cell r="M908">
            <v>2763</v>
          </cell>
          <cell r="N908">
            <v>2763</v>
          </cell>
          <cell r="O908">
            <v>2763</v>
          </cell>
          <cell r="P908">
            <v>2763</v>
          </cell>
          <cell r="Q908">
            <v>33771</v>
          </cell>
        </row>
        <row r="909">
          <cell r="A909" t="str">
            <v>US28MZA1503911100010</v>
          </cell>
          <cell r="B909" t="str">
            <v>US28MZA150</v>
          </cell>
          <cell r="C909">
            <v>3911100010</v>
          </cell>
          <cell r="D909" t="str">
            <v>TRAVEL EXPENSES PERMANENTS / MEALS</v>
          </cell>
          <cell r="E909">
            <v>60</v>
          </cell>
          <cell r="F909">
            <v>60</v>
          </cell>
          <cell r="G909">
            <v>40</v>
          </cell>
          <cell r="H909">
            <v>20</v>
          </cell>
          <cell r="I909">
            <v>32</v>
          </cell>
          <cell r="J909">
            <v>32</v>
          </cell>
          <cell r="K909">
            <v>20</v>
          </cell>
          <cell r="L909">
            <v>16</v>
          </cell>
          <cell r="M909">
            <v>0</v>
          </cell>
          <cell r="N909">
            <v>0</v>
          </cell>
          <cell r="O909">
            <v>60</v>
          </cell>
          <cell r="P909">
            <v>60</v>
          </cell>
          <cell r="Q909">
            <v>400</v>
          </cell>
        </row>
        <row r="910">
          <cell r="A910" t="str">
            <v>US28MZA1503911100012</v>
          </cell>
          <cell r="B910" t="str">
            <v>US28MZA150</v>
          </cell>
          <cell r="C910">
            <v>3911100012</v>
          </cell>
          <cell r="D910" t="str">
            <v>TRAVEL EXPENSES PERMANENTS / HOTELS</v>
          </cell>
          <cell r="E910">
            <v>150</v>
          </cell>
          <cell r="F910">
            <v>150</v>
          </cell>
          <cell r="G910">
            <v>100</v>
          </cell>
          <cell r="H910">
            <v>50</v>
          </cell>
          <cell r="I910">
            <v>80</v>
          </cell>
          <cell r="J910">
            <v>80</v>
          </cell>
          <cell r="K910">
            <v>50</v>
          </cell>
          <cell r="L910">
            <v>40</v>
          </cell>
          <cell r="M910">
            <v>0</v>
          </cell>
          <cell r="N910">
            <v>0</v>
          </cell>
          <cell r="O910">
            <v>150</v>
          </cell>
          <cell r="P910">
            <v>150</v>
          </cell>
          <cell r="Q910">
            <v>1000</v>
          </cell>
        </row>
        <row r="911">
          <cell r="A911" t="str">
            <v>US28MZA1503911100015</v>
          </cell>
          <cell r="B911" t="str">
            <v>US28MZA150</v>
          </cell>
          <cell r="C911">
            <v>3911100015</v>
          </cell>
          <cell r="D911" t="str">
            <v>TRAVEL EXPENSES PERMANENTS / OTHER</v>
          </cell>
          <cell r="E911">
            <v>30</v>
          </cell>
          <cell r="F911">
            <v>30</v>
          </cell>
          <cell r="G911">
            <v>20</v>
          </cell>
          <cell r="H911">
            <v>10</v>
          </cell>
          <cell r="I911">
            <v>16</v>
          </cell>
          <cell r="J911">
            <v>16</v>
          </cell>
          <cell r="K911">
            <v>10</v>
          </cell>
          <cell r="L911">
            <v>8</v>
          </cell>
          <cell r="M911">
            <v>0</v>
          </cell>
          <cell r="N911">
            <v>0</v>
          </cell>
          <cell r="O911">
            <v>30</v>
          </cell>
          <cell r="P911">
            <v>30</v>
          </cell>
          <cell r="Q911">
            <v>200</v>
          </cell>
        </row>
        <row r="912">
          <cell r="A912" t="str">
            <v>US28MZA1503911200001</v>
          </cell>
          <cell r="B912" t="str">
            <v>US28MZA150</v>
          </cell>
          <cell r="C912">
            <v>3911200001</v>
          </cell>
          <cell r="D912" t="str">
            <v>SYMPOSIUMS, CONFERENCES, MEETINGS</v>
          </cell>
          <cell r="E912">
            <v>150</v>
          </cell>
          <cell r="F912">
            <v>150</v>
          </cell>
          <cell r="G912">
            <v>100</v>
          </cell>
          <cell r="H912">
            <v>50</v>
          </cell>
          <cell r="I912">
            <v>80</v>
          </cell>
          <cell r="J912">
            <v>80</v>
          </cell>
          <cell r="K912">
            <v>50</v>
          </cell>
          <cell r="L912">
            <v>40</v>
          </cell>
          <cell r="M912">
            <v>0</v>
          </cell>
          <cell r="N912">
            <v>0</v>
          </cell>
          <cell r="O912">
            <v>150</v>
          </cell>
          <cell r="P912">
            <v>150</v>
          </cell>
          <cell r="Q912">
            <v>1000</v>
          </cell>
        </row>
        <row r="913">
          <cell r="A913" t="str">
            <v>US28MZA1503921100001</v>
          </cell>
          <cell r="B913" t="str">
            <v>US28MZA150</v>
          </cell>
          <cell r="C913">
            <v>3921100001</v>
          </cell>
          <cell r="D913" t="str">
            <v>UTILITY EXPENSES ELECTRICITY</v>
          </cell>
          <cell r="E913">
            <v>5250</v>
          </cell>
          <cell r="F913">
            <v>5250</v>
          </cell>
          <cell r="G913">
            <v>3500</v>
          </cell>
          <cell r="H913">
            <v>1750</v>
          </cell>
          <cell r="I913">
            <v>2800</v>
          </cell>
          <cell r="J913">
            <v>2800</v>
          </cell>
          <cell r="K913">
            <v>1750</v>
          </cell>
          <cell r="L913">
            <v>1400</v>
          </cell>
          <cell r="M913">
            <v>0</v>
          </cell>
          <cell r="N913">
            <v>0</v>
          </cell>
          <cell r="O913">
            <v>5250</v>
          </cell>
          <cell r="P913">
            <v>5250</v>
          </cell>
          <cell r="Q913">
            <v>35000</v>
          </cell>
        </row>
        <row r="914">
          <cell r="A914" t="str">
            <v>US28MZA1503921200001</v>
          </cell>
          <cell r="B914" t="str">
            <v>US28MZA150</v>
          </cell>
          <cell r="C914">
            <v>3921200001</v>
          </cell>
          <cell r="D914" t="str">
            <v>FUEL</v>
          </cell>
          <cell r="E914">
            <v>4800</v>
          </cell>
          <cell r="F914">
            <v>4800</v>
          </cell>
          <cell r="G914">
            <v>3200</v>
          </cell>
          <cell r="H914">
            <v>1600</v>
          </cell>
          <cell r="I914">
            <v>2560</v>
          </cell>
          <cell r="J914">
            <v>2560</v>
          </cell>
          <cell r="K914">
            <v>1600</v>
          </cell>
          <cell r="L914">
            <v>1280</v>
          </cell>
          <cell r="M914">
            <v>0</v>
          </cell>
          <cell r="N914">
            <v>0</v>
          </cell>
          <cell r="O914">
            <v>4800</v>
          </cell>
          <cell r="P914">
            <v>4800</v>
          </cell>
          <cell r="Q914">
            <v>32000</v>
          </cell>
        </row>
        <row r="915">
          <cell r="A915" t="str">
            <v>US28MZA1503921200010</v>
          </cell>
          <cell r="B915" t="str">
            <v>US28MZA150</v>
          </cell>
          <cell r="C915">
            <v>3921200010</v>
          </cell>
          <cell r="D915" t="str">
            <v>ADMINISTRATIVE SUPPLIES</v>
          </cell>
          <cell r="E915">
            <v>300</v>
          </cell>
          <cell r="F915">
            <v>300</v>
          </cell>
          <cell r="G915">
            <v>200</v>
          </cell>
          <cell r="H915">
            <v>100</v>
          </cell>
          <cell r="I915">
            <v>160</v>
          </cell>
          <cell r="J915">
            <v>160</v>
          </cell>
          <cell r="K915">
            <v>100</v>
          </cell>
          <cell r="L915">
            <v>80</v>
          </cell>
          <cell r="M915">
            <v>0</v>
          </cell>
          <cell r="N915">
            <v>0</v>
          </cell>
          <cell r="O915">
            <v>300</v>
          </cell>
          <cell r="P915">
            <v>300</v>
          </cell>
          <cell r="Q915">
            <v>2000</v>
          </cell>
        </row>
        <row r="916">
          <cell r="A916" t="str">
            <v>US28MZA1503921200050</v>
          </cell>
          <cell r="B916" t="str">
            <v>US28MZA150</v>
          </cell>
          <cell r="C916">
            <v>3921200050</v>
          </cell>
          <cell r="D916" t="str">
            <v>SAFETY EQUIPMENT - SUPPLIES</v>
          </cell>
          <cell r="E916">
            <v>1050</v>
          </cell>
          <cell r="F916">
            <v>1050</v>
          </cell>
          <cell r="G916">
            <v>700</v>
          </cell>
          <cell r="H916">
            <v>350</v>
          </cell>
          <cell r="I916">
            <v>560</v>
          </cell>
          <cell r="J916">
            <v>560</v>
          </cell>
          <cell r="K916">
            <v>350</v>
          </cell>
          <cell r="L916">
            <v>280</v>
          </cell>
          <cell r="M916">
            <v>0</v>
          </cell>
          <cell r="N916">
            <v>0</v>
          </cell>
          <cell r="O916">
            <v>1050</v>
          </cell>
          <cell r="P916">
            <v>1050</v>
          </cell>
          <cell r="Q916">
            <v>7000</v>
          </cell>
        </row>
        <row r="917">
          <cell r="A917" t="str">
            <v>US28MZA1503921200100</v>
          </cell>
          <cell r="B917" t="str">
            <v>US28MZA150</v>
          </cell>
          <cell r="C917">
            <v>3921200100</v>
          </cell>
          <cell r="D917" t="str">
            <v>FIELD &amp; PRODUCTION SUPPLIES</v>
          </cell>
          <cell r="E917">
            <v>7500</v>
          </cell>
          <cell r="F917">
            <v>7500</v>
          </cell>
          <cell r="G917">
            <v>5000</v>
          </cell>
          <cell r="H917">
            <v>2500</v>
          </cell>
          <cell r="I917">
            <v>4000</v>
          </cell>
          <cell r="J917">
            <v>4000</v>
          </cell>
          <cell r="K917">
            <v>2500</v>
          </cell>
          <cell r="L917">
            <v>2000</v>
          </cell>
          <cell r="M917">
            <v>0</v>
          </cell>
          <cell r="N917">
            <v>0</v>
          </cell>
          <cell r="O917">
            <v>7500</v>
          </cell>
          <cell r="P917">
            <v>7500</v>
          </cell>
          <cell r="Q917">
            <v>50000</v>
          </cell>
        </row>
        <row r="918">
          <cell r="A918" t="str">
            <v>US28MZA1503951100002</v>
          </cell>
          <cell r="B918" t="str">
            <v>US28MZA150</v>
          </cell>
          <cell r="C918">
            <v>3951100002</v>
          </cell>
          <cell r="D918" t="str">
            <v>RENTALS - REAL ESTATE</v>
          </cell>
          <cell r="E918">
            <v>34522</v>
          </cell>
          <cell r="F918">
            <v>34522</v>
          </cell>
          <cell r="G918">
            <v>23015</v>
          </cell>
          <cell r="H918">
            <v>11507</v>
          </cell>
          <cell r="I918">
            <v>18412</v>
          </cell>
          <cell r="J918">
            <v>18412</v>
          </cell>
          <cell r="K918">
            <v>11507</v>
          </cell>
          <cell r="L918">
            <v>9206</v>
          </cell>
          <cell r="M918">
            <v>0</v>
          </cell>
          <cell r="N918">
            <v>0</v>
          </cell>
          <cell r="O918">
            <v>34522</v>
          </cell>
          <cell r="P918">
            <v>34522</v>
          </cell>
          <cell r="Q918">
            <v>230147</v>
          </cell>
        </row>
        <row r="919">
          <cell r="A919" t="str">
            <v>US28MZA1503951100005</v>
          </cell>
          <cell r="B919" t="str">
            <v>US28MZA150</v>
          </cell>
          <cell r="C919">
            <v>3951100005</v>
          </cell>
          <cell r="D919" t="str">
            <v>OTHER RENTALS</v>
          </cell>
          <cell r="E919">
            <v>16200</v>
          </cell>
          <cell r="F919">
            <v>16200</v>
          </cell>
          <cell r="G919">
            <v>10800</v>
          </cell>
          <cell r="H919">
            <v>5400</v>
          </cell>
          <cell r="I919">
            <v>8640</v>
          </cell>
          <cell r="J919">
            <v>8640</v>
          </cell>
          <cell r="K919">
            <v>5400</v>
          </cell>
          <cell r="L919">
            <v>4320</v>
          </cell>
          <cell r="M919">
            <v>0</v>
          </cell>
          <cell r="N919">
            <v>0</v>
          </cell>
          <cell r="O919">
            <v>16200</v>
          </cell>
          <cell r="P919">
            <v>16200</v>
          </cell>
          <cell r="Q919">
            <v>108000</v>
          </cell>
        </row>
        <row r="920">
          <cell r="A920" t="str">
            <v>US28MZA1503951200002</v>
          </cell>
          <cell r="B920" t="str">
            <v>US28MZA150</v>
          </cell>
          <cell r="C920">
            <v>3951200002</v>
          </cell>
          <cell r="D920" t="str">
            <v>OPERATING LEASES - VEHICLES (SHORT DURAT</v>
          </cell>
          <cell r="E920">
            <v>2475</v>
          </cell>
          <cell r="F920">
            <v>2475</v>
          </cell>
          <cell r="G920">
            <v>1650</v>
          </cell>
          <cell r="H920">
            <v>825</v>
          </cell>
          <cell r="I920">
            <v>1320</v>
          </cell>
          <cell r="J920">
            <v>1320</v>
          </cell>
          <cell r="K920">
            <v>825</v>
          </cell>
          <cell r="L920">
            <v>660</v>
          </cell>
          <cell r="M920">
            <v>0</v>
          </cell>
          <cell r="N920">
            <v>0</v>
          </cell>
          <cell r="O920">
            <v>2475</v>
          </cell>
          <cell r="P920">
            <v>2475</v>
          </cell>
          <cell r="Q920">
            <v>16500</v>
          </cell>
        </row>
        <row r="921">
          <cell r="A921" t="str">
            <v>US28MZA1553111100000</v>
          </cell>
          <cell r="B921" t="str">
            <v>US28MZA155</v>
          </cell>
          <cell r="C921">
            <v>3111100000</v>
          </cell>
          <cell r="D921" t="str">
            <v>WAGES,SALARIES,ALLOWANCES AND COMMI/PERM</v>
          </cell>
          <cell r="E921">
            <v>3216</v>
          </cell>
          <cell r="F921">
            <v>3216</v>
          </cell>
          <cell r="G921">
            <v>3216</v>
          </cell>
          <cell r="H921">
            <v>3216</v>
          </cell>
          <cell r="I921">
            <v>3216</v>
          </cell>
          <cell r="J921">
            <v>3216</v>
          </cell>
          <cell r="K921">
            <v>3216</v>
          </cell>
          <cell r="L921">
            <v>3216</v>
          </cell>
          <cell r="M921">
            <v>3216</v>
          </cell>
          <cell r="N921">
            <v>3216</v>
          </cell>
          <cell r="O921">
            <v>3216</v>
          </cell>
          <cell r="P921">
            <v>3221</v>
          </cell>
          <cell r="Q921">
            <v>38597</v>
          </cell>
        </row>
        <row r="922">
          <cell r="A922" t="str">
            <v>US28MZA1553111100012</v>
          </cell>
          <cell r="B922" t="str">
            <v>US28MZA155</v>
          </cell>
          <cell r="C922">
            <v>3111100012</v>
          </cell>
          <cell r="D922" t="str">
            <v>OVERTIME HOURS /PERMANENTS</v>
          </cell>
          <cell r="E922">
            <v>429</v>
          </cell>
          <cell r="F922">
            <v>429</v>
          </cell>
          <cell r="G922">
            <v>429</v>
          </cell>
          <cell r="H922">
            <v>429</v>
          </cell>
          <cell r="I922">
            <v>429</v>
          </cell>
          <cell r="J922">
            <v>429</v>
          </cell>
          <cell r="K922">
            <v>429</v>
          </cell>
          <cell r="L922">
            <v>429</v>
          </cell>
          <cell r="M922">
            <v>429</v>
          </cell>
          <cell r="N922">
            <v>429</v>
          </cell>
          <cell r="O922">
            <v>429</v>
          </cell>
          <cell r="P922">
            <v>427</v>
          </cell>
          <cell r="Q922">
            <v>5146</v>
          </cell>
        </row>
        <row r="923">
          <cell r="A923" t="str">
            <v>US28MZA1553121300013</v>
          </cell>
          <cell r="B923" t="str">
            <v>US28MZA155</v>
          </cell>
          <cell r="C923">
            <v>3121300013</v>
          </cell>
          <cell r="D923" t="str">
            <v>FRINGE BENEFITS</v>
          </cell>
          <cell r="E923">
            <v>1378</v>
          </cell>
          <cell r="F923">
            <v>1378</v>
          </cell>
          <cell r="G923">
            <v>1378</v>
          </cell>
          <cell r="H923">
            <v>1378</v>
          </cell>
          <cell r="I923">
            <v>1378</v>
          </cell>
          <cell r="J923">
            <v>1378</v>
          </cell>
          <cell r="K923">
            <v>1378</v>
          </cell>
          <cell r="L923">
            <v>1378</v>
          </cell>
          <cell r="M923">
            <v>1378</v>
          </cell>
          <cell r="N923">
            <v>1378</v>
          </cell>
          <cell r="O923">
            <v>1378</v>
          </cell>
          <cell r="P923">
            <v>1377</v>
          </cell>
          <cell r="Q923">
            <v>16535</v>
          </cell>
        </row>
        <row r="924">
          <cell r="A924" t="str">
            <v>US28MZA1553201300001</v>
          </cell>
          <cell r="B924" t="str">
            <v>US28MZA155</v>
          </cell>
          <cell r="C924">
            <v>3201300001</v>
          </cell>
          <cell r="D924" t="str">
            <v>HIRED PERSONNEL FROM 3RD PARTIES</v>
          </cell>
          <cell r="E924">
            <v>6000</v>
          </cell>
          <cell r="F924">
            <v>6000</v>
          </cell>
          <cell r="G924">
            <v>4000</v>
          </cell>
          <cell r="H924">
            <v>2000</v>
          </cell>
          <cell r="I924">
            <v>4000</v>
          </cell>
          <cell r="J924">
            <v>4000</v>
          </cell>
          <cell r="K924">
            <v>2000</v>
          </cell>
          <cell r="L924">
            <v>0</v>
          </cell>
          <cell r="M924">
            <v>0</v>
          </cell>
          <cell r="N924">
            <v>0</v>
          </cell>
          <cell r="O924">
            <v>6000</v>
          </cell>
          <cell r="P924">
            <v>6000</v>
          </cell>
          <cell r="Q924">
            <v>40000</v>
          </cell>
        </row>
        <row r="925">
          <cell r="A925" t="str">
            <v>US28MZA1553921200006</v>
          </cell>
          <cell r="B925" t="str">
            <v>US28MZA155</v>
          </cell>
          <cell r="C925">
            <v>3921200006</v>
          </cell>
          <cell r="D925" t="str">
            <v>FACTORY SUPPLIES MAINTENANCE SUPPLIES</v>
          </cell>
          <cell r="E925">
            <v>150</v>
          </cell>
          <cell r="F925">
            <v>150</v>
          </cell>
          <cell r="G925">
            <v>100</v>
          </cell>
          <cell r="H925">
            <v>50</v>
          </cell>
          <cell r="I925">
            <v>100</v>
          </cell>
          <cell r="J925">
            <v>100</v>
          </cell>
          <cell r="K925">
            <v>50</v>
          </cell>
          <cell r="L925">
            <v>0</v>
          </cell>
          <cell r="M925">
            <v>0</v>
          </cell>
          <cell r="N925">
            <v>0</v>
          </cell>
          <cell r="O925">
            <v>150</v>
          </cell>
          <cell r="P925">
            <v>150</v>
          </cell>
          <cell r="Q925">
            <v>1000</v>
          </cell>
        </row>
        <row r="926">
          <cell r="A926" t="str">
            <v>US28MZA1553921200050</v>
          </cell>
          <cell r="B926" t="str">
            <v>US28MZA155</v>
          </cell>
          <cell r="C926">
            <v>3921200050</v>
          </cell>
          <cell r="D926" t="str">
            <v>SAFETY EQUIPMENT - SUPPLIES</v>
          </cell>
          <cell r="E926">
            <v>75</v>
          </cell>
          <cell r="F926">
            <v>75</v>
          </cell>
          <cell r="G926">
            <v>50</v>
          </cell>
          <cell r="H926">
            <v>25</v>
          </cell>
          <cell r="I926">
            <v>50</v>
          </cell>
          <cell r="J926">
            <v>50</v>
          </cell>
          <cell r="K926">
            <v>25</v>
          </cell>
          <cell r="L926">
            <v>0</v>
          </cell>
          <cell r="M926">
            <v>0</v>
          </cell>
          <cell r="N926">
            <v>0</v>
          </cell>
          <cell r="O926">
            <v>75</v>
          </cell>
          <cell r="P926">
            <v>75</v>
          </cell>
          <cell r="Q926">
            <v>500</v>
          </cell>
        </row>
        <row r="927">
          <cell r="A927" t="str">
            <v>US35MZA1503111100000</v>
          </cell>
          <cell r="B927" t="str">
            <v>US35MZA150</v>
          </cell>
          <cell r="C927">
            <v>3111100000</v>
          </cell>
          <cell r="D927" t="str">
            <v>WAGES,SALARIES,ALLOWANCES AND COMMI/PERM</v>
          </cell>
          <cell r="E927">
            <v>15010</v>
          </cell>
          <cell r="F927">
            <v>15010</v>
          </cell>
          <cell r="G927">
            <v>15010</v>
          </cell>
          <cell r="H927">
            <v>15010</v>
          </cell>
          <cell r="I927">
            <v>15010</v>
          </cell>
          <cell r="J927">
            <v>15010</v>
          </cell>
          <cell r="K927">
            <v>15010</v>
          </cell>
          <cell r="L927">
            <v>15010</v>
          </cell>
          <cell r="M927">
            <v>15010</v>
          </cell>
          <cell r="N927">
            <v>15010</v>
          </cell>
          <cell r="O927">
            <v>15010</v>
          </cell>
          <cell r="P927">
            <v>15009</v>
          </cell>
          <cell r="Q927">
            <v>180119</v>
          </cell>
        </row>
        <row r="928">
          <cell r="A928" t="str">
            <v>US35MZA1503111100012</v>
          </cell>
          <cell r="B928" t="str">
            <v>US35MZA150</v>
          </cell>
          <cell r="C928">
            <v>3111100012</v>
          </cell>
          <cell r="D928" t="str">
            <v>OVERTIME HOURS /PERMANENTS</v>
          </cell>
          <cell r="E928">
            <v>7291</v>
          </cell>
          <cell r="F928">
            <v>7291</v>
          </cell>
          <cell r="G928">
            <v>7291</v>
          </cell>
          <cell r="H928">
            <v>7291</v>
          </cell>
          <cell r="I928">
            <v>7291</v>
          </cell>
          <cell r="J928">
            <v>7291</v>
          </cell>
          <cell r="K928">
            <v>7291</v>
          </cell>
          <cell r="L928">
            <v>7291</v>
          </cell>
          <cell r="M928">
            <v>7291</v>
          </cell>
          <cell r="N928">
            <v>7291</v>
          </cell>
          <cell r="O928">
            <v>7291</v>
          </cell>
          <cell r="P928">
            <v>7285</v>
          </cell>
          <cell r="Q928">
            <v>87486</v>
          </cell>
        </row>
        <row r="929">
          <cell r="A929" t="str">
            <v>US35MZA1503111100020</v>
          </cell>
          <cell r="B929" t="str">
            <v>US35MZA150</v>
          </cell>
          <cell r="C929">
            <v>3111100020</v>
          </cell>
          <cell r="D929" t="str">
            <v>INCENTIVE PLAN (functions)</v>
          </cell>
          <cell r="E929">
            <v>330</v>
          </cell>
          <cell r="F929">
            <v>330</v>
          </cell>
          <cell r="G929">
            <v>220</v>
          </cell>
          <cell r="H929">
            <v>110</v>
          </cell>
          <cell r="I929">
            <v>176</v>
          </cell>
          <cell r="J929">
            <v>176</v>
          </cell>
          <cell r="K929">
            <v>110</v>
          </cell>
          <cell r="L929">
            <v>88</v>
          </cell>
          <cell r="M929">
            <v>0</v>
          </cell>
          <cell r="N929">
            <v>0</v>
          </cell>
          <cell r="O929">
            <v>330</v>
          </cell>
          <cell r="P929">
            <v>330</v>
          </cell>
          <cell r="Q929">
            <v>2200</v>
          </cell>
        </row>
        <row r="930">
          <cell r="A930" t="str">
            <v>US35MZA1503121300013</v>
          </cell>
          <cell r="B930" t="str">
            <v>US35MZA150</v>
          </cell>
          <cell r="C930">
            <v>3121300013</v>
          </cell>
          <cell r="D930" t="str">
            <v>FRINGE BENEFITS</v>
          </cell>
          <cell r="E930">
            <v>8499</v>
          </cell>
          <cell r="F930">
            <v>8499</v>
          </cell>
          <cell r="G930">
            <v>8499</v>
          </cell>
          <cell r="H930">
            <v>8499</v>
          </cell>
          <cell r="I930">
            <v>8499</v>
          </cell>
          <cell r="J930">
            <v>8499</v>
          </cell>
          <cell r="K930">
            <v>8499</v>
          </cell>
          <cell r="L930">
            <v>8499</v>
          </cell>
          <cell r="M930">
            <v>8499</v>
          </cell>
          <cell r="N930">
            <v>8499</v>
          </cell>
          <cell r="O930">
            <v>8499</v>
          </cell>
          <cell r="P930">
            <v>8497</v>
          </cell>
          <cell r="Q930">
            <v>101986</v>
          </cell>
        </row>
        <row r="931">
          <cell r="A931" t="str">
            <v>US35MZA1503131100007</v>
          </cell>
          <cell r="B931" t="str">
            <v>US35MZA150</v>
          </cell>
          <cell r="C931">
            <v>3131100007</v>
          </cell>
          <cell r="D931" t="str">
            <v>EXTERNAL TRAINING</v>
          </cell>
          <cell r="E931">
            <v>150</v>
          </cell>
          <cell r="F931">
            <v>150</v>
          </cell>
          <cell r="G931">
            <v>100</v>
          </cell>
          <cell r="H931">
            <v>50</v>
          </cell>
          <cell r="I931">
            <v>80</v>
          </cell>
          <cell r="J931">
            <v>80</v>
          </cell>
          <cell r="K931">
            <v>50</v>
          </cell>
          <cell r="L931">
            <v>40</v>
          </cell>
          <cell r="M931">
            <v>0</v>
          </cell>
          <cell r="N931">
            <v>0</v>
          </cell>
          <cell r="O931">
            <v>150</v>
          </cell>
          <cell r="P931">
            <v>150</v>
          </cell>
          <cell r="Q931">
            <v>1000</v>
          </cell>
        </row>
        <row r="932">
          <cell r="A932" t="str">
            <v>US35MZA1503201300001</v>
          </cell>
          <cell r="B932" t="str">
            <v>US35MZA150</v>
          </cell>
          <cell r="C932">
            <v>3201300001</v>
          </cell>
          <cell r="D932" t="str">
            <v>HIRED PERSONNEL FROM 3RD PARTIES</v>
          </cell>
          <cell r="E932">
            <v>101250</v>
          </cell>
          <cell r="F932">
            <v>101250</v>
          </cell>
          <cell r="G932">
            <v>67500</v>
          </cell>
          <cell r="H932">
            <v>33750</v>
          </cell>
          <cell r="I932">
            <v>54000</v>
          </cell>
          <cell r="J932">
            <v>54000</v>
          </cell>
          <cell r="K932">
            <v>33750</v>
          </cell>
          <cell r="L932">
            <v>27000</v>
          </cell>
          <cell r="M932">
            <v>0</v>
          </cell>
          <cell r="N932">
            <v>0</v>
          </cell>
          <cell r="O932">
            <v>101250</v>
          </cell>
          <cell r="P932">
            <v>101250</v>
          </cell>
          <cell r="Q932">
            <v>675000</v>
          </cell>
        </row>
        <row r="933">
          <cell r="A933" t="str">
            <v>US35MZA1503201400002</v>
          </cell>
          <cell r="B933" t="str">
            <v>US35MZA150</v>
          </cell>
          <cell r="C933">
            <v>3201400002</v>
          </cell>
          <cell r="D933" t="str">
            <v>MAINTENANCE OF VEHICLES</v>
          </cell>
          <cell r="E933">
            <v>300</v>
          </cell>
          <cell r="F933">
            <v>300</v>
          </cell>
          <cell r="G933">
            <v>200</v>
          </cell>
          <cell r="H933">
            <v>100</v>
          </cell>
          <cell r="I933">
            <v>160</v>
          </cell>
          <cell r="J933">
            <v>160</v>
          </cell>
          <cell r="K933">
            <v>100</v>
          </cell>
          <cell r="L933">
            <v>80</v>
          </cell>
          <cell r="M933">
            <v>0</v>
          </cell>
          <cell r="N933">
            <v>0</v>
          </cell>
          <cell r="O933">
            <v>300</v>
          </cell>
          <cell r="P933">
            <v>300</v>
          </cell>
          <cell r="Q933">
            <v>2000</v>
          </cell>
        </row>
        <row r="934">
          <cell r="A934" t="str">
            <v>US35MZA1503201400029</v>
          </cell>
          <cell r="B934" t="str">
            <v>US35MZA150</v>
          </cell>
          <cell r="C934">
            <v>3201400029</v>
          </cell>
          <cell r="D934" t="str">
            <v>OTH OUTSIDE SERVICES OTHER</v>
          </cell>
          <cell r="E934">
            <v>11250</v>
          </cell>
          <cell r="F934">
            <v>11250</v>
          </cell>
          <cell r="G934">
            <v>7500</v>
          </cell>
          <cell r="H934">
            <v>3750</v>
          </cell>
          <cell r="I934">
            <v>6000</v>
          </cell>
          <cell r="J934">
            <v>6000</v>
          </cell>
          <cell r="K934">
            <v>3750</v>
          </cell>
          <cell r="L934">
            <v>3000</v>
          </cell>
          <cell r="M934">
            <v>0</v>
          </cell>
          <cell r="N934">
            <v>0</v>
          </cell>
          <cell r="O934">
            <v>11250</v>
          </cell>
          <cell r="P934">
            <v>11250</v>
          </cell>
          <cell r="Q934">
            <v>75000</v>
          </cell>
        </row>
        <row r="935">
          <cell r="A935" t="str">
            <v>US35MZA1503201400036</v>
          </cell>
          <cell r="B935" t="str">
            <v>US35MZA150</v>
          </cell>
          <cell r="C935">
            <v>3201400036</v>
          </cell>
          <cell r="D935" t="str">
            <v>OTHER MAINTENANCE BUILDINGS</v>
          </cell>
          <cell r="E935">
            <v>750</v>
          </cell>
          <cell r="F935">
            <v>750</v>
          </cell>
          <cell r="G935">
            <v>500</v>
          </cell>
          <cell r="H935">
            <v>250</v>
          </cell>
          <cell r="I935">
            <v>400</v>
          </cell>
          <cell r="J935">
            <v>400</v>
          </cell>
          <cell r="K935">
            <v>250</v>
          </cell>
          <cell r="L935">
            <v>200</v>
          </cell>
          <cell r="M935">
            <v>0</v>
          </cell>
          <cell r="N935">
            <v>0</v>
          </cell>
          <cell r="O935">
            <v>750</v>
          </cell>
          <cell r="P935">
            <v>750</v>
          </cell>
          <cell r="Q935">
            <v>5000</v>
          </cell>
        </row>
        <row r="936">
          <cell r="A936" t="str">
            <v>US35MZA1503201400050</v>
          </cell>
          <cell r="B936" t="str">
            <v>US35MZA150</v>
          </cell>
          <cell r="C936">
            <v>3201400050</v>
          </cell>
          <cell r="D936" t="str">
            <v>MAINTENANCE FORKLIFTS</v>
          </cell>
          <cell r="E936">
            <v>3750</v>
          </cell>
          <cell r="F936">
            <v>3750</v>
          </cell>
          <cell r="G936">
            <v>2500</v>
          </cell>
          <cell r="H936">
            <v>1250</v>
          </cell>
          <cell r="I936">
            <v>2000</v>
          </cell>
          <cell r="J936">
            <v>2000</v>
          </cell>
          <cell r="K936">
            <v>1250</v>
          </cell>
          <cell r="L936">
            <v>1000</v>
          </cell>
          <cell r="M936">
            <v>0</v>
          </cell>
          <cell r="N936">
            <v>0</v>
          </cell>
          <cell r="O936">
            <v>3750</v>
          </cell>
          <cell r="P936">
            <v>3750</v>
          </cell>
          <cell r="Q936">
            <v>25000</v>
          </cell>
        </row>
        <row r="937">
          <cell r="A937" t="str">
            <v>US35MZA1503311400099</v>
          </cell>
          <cell r="B937" t="str">
            <v>US35MZA150</v>
          </cell>
          <cell r="C937">
            <v>3311400099</v>
          </cell>
          <cell r="D937" t="str">
            <v>CO DEPRECIATION</v>
          </cell>
          <cell r="E937">
            <v>2740</v>
          </cell>
          <cell r="F937">
            <v>2740</v>
          </cell>
          <cell r="G937">
            <v>2740</v>
          </cell>
          <cell r="H937">
            <v>2740</v>
          </cell>
          <cell r="I937">
            <v>2740</v>
          </cell>
          <cell r="J937">
            <v>2740</v>
          </cell>
          <cell r="K937">
            <v>2740</v>
          </cell>
          <cell r="L937">
            <v>2740</v>
          </cell>
          <cell r="M937">
            <v>2740</v>
          </cell>
          <cell r="N937">
            <v>2740</v>
          </cell>
          <cell r="O937">
            <v>2740</v>
          </cell>
          <cell r="P937">
            <v>2745</v>
          </cell>
          <cell r="Q937">
            <v>32885</v>
          </cell>
        </row>
        <row r="938">
          <cell r="A938" t="str">
            <v>US35MZA1503911100010</v>
          </cell>
          <cell r="B938" t="str">
            <v>US35MZA150</v>
          </cell>
          <cell r="C938">
            <v>3911100010</v>
          </cell>
          <cell r="D938" t="str">
            <v>TRAVEL EXPENSES PERMANENTS / MEALS</v>
          </cell>
          <cell r="E938">
            <v>150</v>
          </cell>
          <cell r="F938">
            <v>150</v>
          </cell>
          <cell r="G938">
            <v>100</v>
          </cell>
          <cell r="H938">
            <v>50</v>
          </cell>
          <cell r="I938">
            <v>80</v>
          </cell>
          <cell r="J938">
            <v>80</v>
          </cell>
          <cell r="K938">
            <v>50</v>
          </cell>
          <cell r="L938">
            <v>40</v>
          </cell>
          <cell r="M938">
            <v>0</v>
          </cell>
          <cell r="N938">
            <v>0</v>
          </cell>
          <cell r="O938">
            <v>150</v>
          </cell>
          <cell r="P938">
            <v>150</v>
          </cell>
          <cell r="Q938">
            <v>1000</v>
          </cell>
        </row>
        <row r="939">
          <cell r="A939" t="str">
            <v>US35MZA1503911100012</v>
          </cell>
          <cell r="B939" t="str">
            <v>US35MZA150</v>
          </cell>
          <cell r="C939">
            <v>3911100012</v>
          </cell>
          <cell r="D939" t="str">
            <v>TRAVEL EXPENSES PERMANENTS / HOTELS</v>
          </cell>
          <cell r="E939">
            <v>75</v>
          </cell>
          <cell r="F939">
            <v>75</v>
          </cell>
          <cell r="G939">
            <v>50</v>
          </cell>
          <cell r="H939">
            <v>25</v>
          </cell>
          <cell r="I939">
            <v>40</v>
          </cell>
          <cell r="J939">
            <v>40</v>
          </cell>
          <cell r="K939">
            <v>25</v>
          </cell>
          <cell r="L939">
            <v>20</v>
          </cell>
          <cell r="M939">
            <v>0</v>
          </cell>
          <cell r="N939">
            <v>0</v>
          </cell>
          <cell r="O939">
            <v>75</v>
          </cell>
          <cell r="P939">
            <v>75</v>
          </cell>
          <cell r="Q939">
            <v>500</v>
          </cell>
        </row>
        <row r="940">
          <cell r="A940" t="str">
            <v>US35MZA1503911100015</v>
          </cell>
          <cell r="B940" t="str">
            <v>US35MZA150</v>
          </cell>
          <cell r="C940">
            <v>3911100015</v>
          </cell>
          <cell r="D940" t="str">
            <v>TRAVEL EXPENSES PERMANENTS / OTHER</v>
          </cell>
          <cell r="E940">
            <v>825</v>
          </cell>
          <cell r="F940">
            <v>825</v>
          </cell>
          <cell r="G940">
            <v>550</v>
          </cell>
          <cell r="H940">
            <v>275</v>
          </cell>
          <cell r="I940">
            <v>440</v>
          </cell>
          <cell r="J940">
            <v>440</v>
          </cell>
          <cell r="K940">
            <v>275</v>
          </cell>
          <cell r="L940">
            <v>220</v>
          </cell>
          <cell r="M940">
            <v>0</v>
          </cell>
          <cell r="N940">
            <v>0</v>
          </cell>
          <cell r="O940">
            <v>825</v>
          </cell>
          <cell r="P940">
            <v>825</v>
          </cell>
          <cell r="Q940">
            <v>5500</v>
          </cell>
        </row>
        <row r="941">
          <cell r="A941" t="str">
            <v>US35MZA1503911200001</v>
          </cell>
          <cell r="B941" t="str">
            <v>US35MZA150</v>
          </cell>
          <cell r="C941">
            <v>3911200001</v>
          </cell>
          <cell r="D941" t="str">
            <v>SYMPOSIUMS, CONFERENCES, MEETINGS</v>
          </cell>
          <cell r="E941">
            <v>75</v>
          </cell>
          <cell r="F941">
            <v>75</v>
          </cell>
          <cell r="G941">
            <v>50</v>
          </cell>
          <cell r="H941">
            <v>25</v>
          </cell>
          <cell r="I941">
            <v>40</v>
          </cell>
          <cell r="J941">
            <v>40</v>
          </cell>
          <cell r="K941">
            <v>25</v>
          </cell>
          <cell r="L941">
            <v>20</v>
          </cell>
          <cell r="M941">
            <v>0</v>
          </cell>
          <cell r="N941">
            <v>0</v>
          </cell>
          <cell r="O941">
            <v>75</v>
          </cell>
          <cell r="P941">
            <v>75</v>
          </cell>
          <cell r="Q941">
            <v>500</v>
          </cell>
        </row>
        <row r="942">
          <cell r="A942" t="str">
            <v>US35MZA1503921100001</v>
          </cell>
          <cell r="B942" t="str">
            <v>US35MZA150</v>
          </cell>
          <cell r="C942">
            <v>3921100001</v>
          </cell>
          <cell r="D942" t="str">
            <v>UTILITY EXPENSES ELECTRICITY</v>
          </cell>
          <cell r="E942">
            <v>900</v>
          </cell>
          <cell r="F942">
            <v>900</v>
          </cell>
          <cell r="G942">
            <v>600</v>
          </cell>
          <cell r="H942">
            <v>300</v>
          </cell>
          <cell r="I942">
            <v>480</v>
          </cell>
          <cell r="J942">
            <v>480</v>
          </cell>
          <cell r="K942">
            <v>300</v>
          </cell>
          <cell r="L942">
            <v>240</v>
          </cell>
          <cell r="M942">
            <v>0</v>
          </cell>
          <cell r="N942">
            <v>0</v>
          </cell>
          <cell r="O942">
            <v>900</v>
          </cell>
          <cell r="P942">
            <v>900</v>
          </cell>
          <cell r="Q942">
            <v>6000</v>
          </cell>
        </row>
        <row r="943">
          <cell r="A943" t="str">
            <v>US35MZA1503921200001</v>
          </cell>
          <cell r="B943" t="str">
            <v>US35MZA150</v>
          </cell>
          <cell r="C943">
            <v>3921200001</v>
          </cell>
          <cell r="D943" t="str">
            <v>FUEL</v>
          </cell>
          <cell r="E943">
            <v>7500</v>
          </cell>
          <cell r="F943">
            <v>7500</v>
          </cell>
          <cell r="G943">
            <v>5000</v>
          </cell>
          <cell r="H943">
            <v>2500</v>
          </cell>
          <cell r="I943">
            <v>4000</v>
          </cell>
          <cell r="J943">
            <v>4000</v>
          </cell>
          <cell r="K943">
            <v>2500</v>
          </cell>
          <cell r="L943">
            <v>2000</v>
          </cell>
          <cell r="M943">
            <v>0</v>
          </cell>
          <cell r="N943">
            <v>0</v>
          </cell>
          <cell r="O943">
            <v>7500</v>
          </cell>
          <cell r="P943">
            <v>7500</v>
          </cell>
          <cell r="Q943">
            <v>50000</v>
          </cell>
        </row>
        <row r="944">
          <cell r="A944" t="str">
            <v>US35MZA1503921200010</v>
          </cell>
          <cell r="B944" t="str">
            <v>US35MZA150</v>
          </cell>
          <cell r="C944">
            <v>3921200010</v>
          </cell>
          <cell r="D944" t="str">
            <v>ADMINISTRATIVE SUPPLIES</v>
          </cell>
          <cell r="E944">
            <v>6000</v>
          </cell>
          <cell r="F944">
            <v>6000</v>
          </cell>
          <cell r="G944">
            <v>4000</v>
          </cell>
          <cell r="H944">
            <v>2000</v>
          </cell>
          <cell r="I944">
            <v>3200</v>
          </cell>
          <cell r="J944">
            <v>3200</v>
          </cell>
          <cell r="K944">
            <v>2000</v>
          </cell>
          <cell r="L944">
            <v>1600</v>
          </cell>
          <cell r="M944">
            <v>0</v>
          </cell>
          <cell r="N944">
            <v>0</v>
          </cell>
          <cell r="O944">
            <v>6000</v>
          </cell>
          <cell r="P944">
            <v>6000</v>
          </cell>
          <cell r="Q944">
            <v>40000</v>
          </cell>
        </row>
        <row r="945">
          <cell r="A945" t="str">
            <v>US35MZA1503921200050</v>
          </cell>
          <cell r="B945" t="str">
            <v>US35MZA150</v>
          </cell>
          <cell r="C945">
            <v>3921200050</v>
          </cell>
          <cell r="D945" t="str">
            <v>SAFETY EQUIPMENT - SUPPLIES</v>
          </cell>
          <cell r="E945">
            <v>750</v>
          </cell>
          <cell r="F945">
            <v>750</v>
          </cell>
          <cell r="G945">
            <v>500</v>
          </cell>
          <cell r="H945">
            <v>250</v>
          </cell>
          <cell r="I945">
            <v>400</v>
          </cell>
          <cell r="J945">
            <v>400</v>
          </cell>
          <cell r="K945">
            <v>250</v>
          </cell>
          <cell r="L945">
            <v>200</v>
          </cell>
          <cell r="M945">
            <v>0</v>
          </cell>
          <cell r="N945">
            <v>0</v>
          </cell>
          <cell r="O945">
            <v>750</v>
          </cell>
          <cell r="P945">
            <v>750</v>
          </cell>
          <cell r="Q945">
            <v>5000</v>
          </cell>
        </row>
        <row r="946">
          <cell r="A946" t="str">
            <v>US35MZA1503921200100</v>
          </cell>
          <cell r="B946" t="str">
            <v>US35MZA150</v>
          </cell>
          <cell r="C946">
            <v>3921200100</v>
          </cell>
          <cell r="D946" t="str">
            <v>FIELD &amp; PRODUCTION SUPPLIES</v>
          </cell>
          <cell r="E946">
            <v>1125</v>
          </cell>
          <cell r="F946">
            <v>1125</v>
          </cell>
          <cell r="G946">
            <v>750</v>
          </cell>
          <cell r="H946">
            <v>375</v>
          </cell>
          <cell r="I946">
            <v>600</v>
          </cell>
          <cell r="J946">
            <v>600</v>
          </cell>
          <cell r="K946">
            <v>375</v>
          </cell>
          <cell r="L946">
            <v>300</v>
          </cell>
          <cell r="M946">
            <v>0</v>
          </cell>
          <cell r="N946">
            <v>0</v>
          </cell>
          <cell r="O946">
            <v>1125</v>
          </cell>
          <cell r="P946">
            <v>1125</v>
          </cell>
          <cell r="Q946">
            <v>7500</v>
          </cell>
        </row>
        <row r="947">
          <cell r="A947" t="str">
            <v>US35MZA1503951100002</v>
          </cell>
          <cell r="B947" t="str">
            <v>US35MZA150</v>
          </cell>
          <cell r="C947">
            <v>3951100002</v>
          </cell>
          <cell r="D947" t="str">
            <v>RENTALS - REAL ESTATE</v>
          </cell>
          <cell r="E947">
            <v>54338</v>
          </cell>
          <cell r="F947">
            <v>54338</v>
          </cell>
          <cell r="G947">
            <v>36225</v>
          </cell>
          <cell r="H947">
            <v>18113</v>
          </cell>
          <cell r="I947">
            <v>28980</v>
          </cell>
          <cell r="J947">
            <v>28980</v>
          </cell>
          <cell r="K947">
            <v>18113</v>
          </cell>
          <cell r="L947">
            <v>14490</v>
          </cell>
          <cell r="M947">
            <v>0</v>
          </cell>
          <cell r="N947">
            <v>0</v>
          </cell>
          <cell r="O947">
            <v>54338</v>
          </cell>
          <cell r="P947">
            <v>54338</v>
          </cell>
          <cell r="Q947">
            <v>362253</v>
          </cell>
        </row>
        <row r="948">
          <cell r="A948" t="str">
            <v>US35MZA1503951100005</v>
          </cell>
          <cell r="B948" t="str">
            <v>US35MZA150</v>
          </cell>
          <cell r="C948">
            <v>3951100005</v>
          </cell>
          <cell r="D948" t="str">
            <v>OTHER RENTALS</v>
          </cell>
          <cell r="E948">
            <v>15000</v>
          </cell>
          <cell r="F948">
            <v>15000</v>
          </cell>
          <cell r="G948">
            <v>10000</v>
          </cell>
          <cell r="H948">
            <v>5000</v>
          </cell>
          <cell r="I948">
            <v>8000</v>
          </cell>
          <cell r="J948">
            <v>8000</v>
          </cell>
          <cell r="K948">
            <v>5000</v>
          </cell>
          <cell r="L948">
            <v>4000</v>
          </cell>
          <cell r="M948">
            <v>0</v>
          </cell>
          <cell r="N948">
            <v>0</v>
          </cell>
          <cell r="O948">
            <v>15000</v>
          </cell>
          <cell r="P948">
            <v>15000</v>
          </cell>
          <cell r="Q948">
            <v>100000</v>
          </cell>
        </row>
        <row r="949">
          <cell r="A949" t="str">
            <v>US35MZA1503951200002</v>
          </cell>
          <cell r="B949" t="str">
            <v>US35MZA150</v>
          </cell>
          <cell r="C949">
            <v>3951200002</v>
          </cell>
          <cell r="D949" t="str">
            <v>OPERATING LEASES - VEHICLES (SHORT DURAT</v>
          </cell>
          <cell r="E949">
            <v>750</v>
          </cell>
          <cell r="F949">
            <v>750</v>
          </cell>
          <cell r="G949">
            <v>500</v>
          </cell>
          <cell r="H949">
            <v>250</v>
          </cell>
          <cell r="I949">
            <v>400</v>
          </cell>
          <cell r="J949">
            <v>400</v>
          </cell>
          <cell r="K949">
            <v>250</v>
          </cell>
          <cell r="L949">
            <v>200</v>
          </cell>
          <cell r="M949">
            <v>0</v>
          </cell>
          <cell r="N949">
            <v>0</v>
          </cell>
          <cell r="O949">
            <v>750</v>
          </cell>
          <cell r="P949">
            <v>750</v>
          </cell>
          <cell r="Q949">
            <v>5000</v>
          </cell>
        </row>
        <row r="950">
          <cell r="A950" t="str">
            <v>US35MZA1503991200012</v>
          </cell>
          <cell r="B950" t="str">
            <v>US35MZA150</v>
          </cell>
          <cell r="C950">
            <v>3991200012</v>
          </cell>
          <cell r="D950" t="str">
            <v>DELIVERY SERVICES</v>
          </cell>
          <cell r="E950">
            <v>150</v>
          </cell>
          <cell r="F950">
            <v>150</v>
          </cell>
          <cell r="G950">
            <v>100</v>
          </cell>
          <cell r="H950">
            <v>50</v>
          </cell>
          <cell r="I950">
            <v>80</v>
          </cell>
          <cell r="J950">
            <v>80</v>
          </cell>
          <cell r="K950">
            <v>50</v>
          </cell>
          <cell r="L950">
            <v>40</v>
          </cell>
          <cell r="M950">
            <v>0</v>
          </cell>
          <cell r="N950">
            <v>0</v>
          </cell>
          <cell r="O950">
            <v>150</v>
          </cell>
          <cell r="P950">
            <v>150</v>
          </cell>
          <cell r="Q950">
            <v>1000</v>
          </cell>
        </row>
        <row r="951">
          <cell r="A951" t="str">
            <v>US35MZA1503991200099</v>
          </cell>
          <cell r="B951" t="str">
            <v>US35MZA150</v>
          </cell>
          <cell r="C951">
            <v>3991200099</v>
          </cell>
          <cell r="D951" t="str">
            <v>OTHER EXPENSES TO 3RD PARTIES - ADJUSTME</v>
          </cell>
          <cell r="E951">
            <v>375</v>
          </cell>
          <cell r="F951">
            <v>375</v>
          </cell>
          <cell r="G951">
            <v>250</v>
          </cell>
          <cell r="H951">
            <v>125</v>
          </cell>
          <cell r="I951">
            <v>200</v>
          </cell>
          <cell r="J951">
            <v>200</v>
          </cell>
          <cell r="K951">
            <v>125</v>
          </cell>
          <cell r="L951">
            <v>100</v>
          </cell>
          <cell r="M951">
            <v>0</v>
          </cell>
          <cell r="N951">
            <v>0</v>
          </cell>
          <cell r="O951">
            <v>375</v>
          </cell>
          <cell r="P951">
            <v>375</v>
          </cell>
          <cell r="Q951">
            <v>2500</v>
          </cell>
        </row>
        <row r="952">
          <cell r="A952" t="str">
            <v>US35MZA1553111100000</v>
          </cell>
          <cell r="B952" t="str">
            <v>US35MZA155</v>
          </cell>
          <cell r="C952">
            <v>3111100000</v>
          </cell>
          <cell r="D952" t="str">
            <v>WAGES,SALARIES,ALLOWANCES AND COMMI/PERM</v>
          </cell>
          <cell r="E952">
            <v>3860</v>
          </cell>
          <cell r="F952">
            <v>3860</v>
          </cell>
          <cell r="G952">
            <v>3860</v>
          </cell>
          <cell r="H952">
            <v>3860</v>
          </cell>
          <cell r="I952">
            <v>3860</v>
          </cell>
          <cell r="J952">
            <v>3860</v>
          </cell>
          <cell r="K952">
            <v>3860</v>
          </cell>
          <cell r="L952">
            <v>3860</v>
          </cell>
          <cell r="M952">
            <v>3860</v>
          </cell>
          <cell r="N952">
            <v>3860</v>
          </cell>
          <cell r="O952">
            <v>3860</v>
          </cell>
          <cell r="P952">
            <v>3856</v>
          </cell>
          <cell r="Q952">
            <v>46316</v>
          </cell>
        </row>
        <row r="953">
          <cell r="A953" t="str">
            <v>US35MZA1553111100012</v>
          </cell>
          <cell r="B953" t="str">
            <v>US35MZA155</v>
          </cell>
          <cell r="C953">
            <v>3111100012</v>
          </cell>
          <cell r="D953" t="str">
            <v>OVERTIME HOURS /PERMANENTS</v>
          </cell>
          <cell r="E953">
            <v>5146</v>
          </cell>
          <cell r="F953">
            <v>5146</v>
          </cell>
          <cell r="G953">
            <v>5146</v>
          </cell>
          <cell r="H953">
            <v>5146</v>
          </cell>
          <cell r="I953">
            <v>5146</v>
          </cell>
          <cell r="J953">
            <v>5146</v>
          </cell>
          <cell r="K953">
            <v>5146</v>
          </cell>
          <cell r="L953">
            <v>5146</v>
          </cell>
          <cell r="M953">
            <v>5146</v>
          </cell>
          <cell r="N953">
            <v>5146</v>
          </cell>
          <cell r="O953">
            <v>5146</v>
          </cell>
          <cell r="P953">
            <v>5149</v>
          </cell>
          <cell r="Q953">
            <v>61755</v>
          </cell>
        </row>
        <row r="954">
          <cell r="A954" t="str">
            <v>US35MZA1553121300013</v>
          </cell>
          <cell r="B954" t="str">
            <v>US35MZA155</v>
          </cell>
          <cell r="C954">
            <v>3121300013</v>
          </cell>
          <cell r="D954" t="str">
            <v>FRINGE BENEFITS</v>
          </cell>
          <cell r="E954">
            <v>3404</v>
          </cell>
          <cell r="F954">
            <v>3404</v>
          </cell>
          <cell r="G954">
            <v>3404</v>
          </cell>
          <cell r="H954">
            <v>3404</v>
          </cell>
          <cell r="I954">
            <v>3404</v>
          </cell>
          <cell r="J954">
            <v>3404</v>
          </cell>
          <cell r="K954">
            <v>3404</v>
          </cell>
          <cell r="L954">
            <v>3404</v>
          </cell>
          <cell r="M954">
            <v>3404</v>
          </cell>
          <cell r="N954">
            <v>3404</v>
          </cell>
          <cell r="O954">
            <v>3404</v>
          </cell>
          <cell r="P954">
            <v>3407</v>
          </cell>
          <cell r="Q954">
            <v>40851</v>
          </cell>
        </row>
        <row r="955">
          <cell r="A955" t="str">
            <v>US35MZA1553201300001</v>
          </cell>
          <cell r="B955" t="str">
            <v>US35MZA155</v>
          </cell>
          <cell r="C955">
            <v>3201300001</v>
          </cell>
          <cell r="D955" t="str">
            <v>HIRED PERSONNEL FROM 3RD PARTIES</v>
          </cell>
          <cell r="E955">
            <v>2700</v>
          </cell>
          <cell r="F955">
            <v>2700</v>
          </cell>
          <cell r="G955">
            <v>1800</v>
          </cell>
          <cell r="H955">
            <v>900</v>
          </cell>
          <cell r="I955">
            <v>1800</v>
          </cell>
          <cell r="J955">
            <v>1800</v>
          </cell>
          <cell r="K955">
            <v>900</v>
          </cell>
          <cell r="L955">
            <v>0</v>
          </cell>
          <cell r="M955">
            <v>0</v>
          </cell>
          <cell r="N955">
            <v>0</v>
          </cell>
          <cell r="O955">
            <v>2700</v>
          </cell>
          <cell r="P955">
            <v>2700</v>
          </cell>
          <cell r="Q955">
            <v>18000</v>
          </cell>
        </row>
        <row r="956">
          <cell r="A956" t="str">
            <v>US35MZA1553201400051</v>
          </cell>
          <cell r="B956" t="str">
            <v>US35MZA155</v>
          </cell>
          <cell r="C956">
            <v>3201400051</v>
          </cell>
          <cell r="D956" t="str">
            <v>MAINTENANCE EQUIPMENT</v>
          </cell>
          <cell r="E956">
            <v>375</v>
          </cell>
          <cell r="F956">
            <v>375</v>
          </cell>
          <cell r="G956">
            <v>250</v>
          </cell>
          <cell r="H956">
            <v>125</v>
          </cell>
          <cell r="I956">
            <v>250</v>
          </cell>
          <cell r="J956">
            <v>250</v>
          </cell>
          <cell r="K956">
            <v>125</v>
          </cell>
          <cell r="L956">
            <v>0</v>
          </cell>
          <cell r="M956">
            <v>0</v>
          </cell>
          <cell r="N956">
            <v>0</v>
          </cell>
          <cell r="O956">
            <v>375</v>
          </cell>
          <cell r="P956">
            <v>375</v>
          </cell>
          <cell r="Q956">
            <v>2500</v>
          </cell>
        </row>
        <row r="957">
          <cell r="A957" t="str">
            <v>US35MZA1553921200006</v>
          </cell>
          <cell r="B957" t="str">
            <v>US35MZA155</v>
          </cell>
          <cell r="C957">
            <v>3921200006</v>
          </cell>
          <cell r="D957" t="str">
            <v>FACTORY SUPPLIES MAINTENANCE SUPPLIES</v>
          </cell>
          <cell r="E957">
            <v>75</v>
          </cell>
          <cell r="F957">
            <v>75</v>
          </cell>
          <cell r="G957">
            <v>50</v>
          </cell>
          <cell r="H957">
            <v>25</v>
          </cell>
          <cell r="I957">
            <v>50</v>
          </cell>
          <cell r="J957">
            <v>50</v>
          </cell>
          <cell r="K957">
            <v>25</v>
          </cell>
          <cell r="L957">
            <v>0</v>
          </cell>
          <cell r="M957">
            <v>0</v>
          </cell>
          <cell r="N957">
            <v>0</v>
          </cell>
          <cell r="O957">
            <v>75</v>
          </cell>
          <cell r="P957">
            <v>75</v>
          </cell>
          <cell r="Q957">
            <v>500</v>
          </cell>
        </row>
        <row r="958">
          <cell r="A958" t="str">
            <v>US35MZA1553921200050</v>
          </cell>
          <cell r="B958" t="str">
            <v>US35MZA155</v>
          </cell>
          <cell r="C958">
            <v>3921200050</v>
          </cell>
          <cell r="D958" t="str">
            <v>SAFETY EQUIPMENT - SUPPLIES</v>
          </cell>
          <cell r="E958">
            <v>75</v>
          </cell>
          <cell r="F958">
            <v>75</v>
          </cell>
          <cell r="G958">
            <v>50</v>
          </cell>
          <cell r="H958">
            <v>25</v>
          </cell>
          <cell r="I958">
            <v>50</v>
          </cell>
          <cell r="J958">
            <v>50</v>
          </cell>
          <cell r="K958">
            <v>25</v>
          </cell>
          <cell r="L958">
            <v>0</v>
          </cell>
          <cell r="M958">
            <v>0</v>
          </cell>
          <cell r="N958">
            <v>0</v>
          </cell>
          <cell r="O958">
            <v>75</v>
          </cell>
          <cell r="P958">
            <v>75</v>
          </cell>
          <cell r="Q958">
            <v>500</v>
          </cell>
        </row>
        <row r="959">
          <cell r="A959" t="str">
            <v>US59MZA1503111100000</v>
          </cell>
          <cell r="B959" t="str">
            <v>US59MZA150</v>
          </cell>
          <cell r="C959">
            <v>3111100000</v>
          </cell>
          <cell r="D959" t="str">
            <v>WAGES,SALARIES,ALLOWANCES AND COMMI/PERM</v>
          </cell>
          <cell r="E959">
            <v>4289</v>
          </cell>
          <cell r="F959">
            <v>4289</v>
          </cell>
          <cell r="G959">
            <v>4289</v>
          </cell>
          <cell r="H959">
            <v>4289</v>
          </cell>
          <cell r="I959">
            <v>4289</v>
          </cell>
          <cell r="J959">
            <v>4289</v>
          </cell>
          <cell r="K959">
            <v>4289</v>
          </cell>
          <cell r="L959">
            <v>4289</v>
          </cell>
          <cell r="M959">
            <v>4289</v>
          </cell>
          <cell r="N959">
            <v>4289</v>
          </cell>
          <cell r="O959">
            <v>4289</v>
          </cell>
          <cell r="P959">
            <v>4284</v>
          </cell>
          <cell r="Q959">
            <v>51463</v>
          </cell>
        </row>
        <row r="960">
          <cell r="A960" t="str">
            <v>US59MZA1503111100012</v>
          </cell>
          <cell r="B960" t="str">
            <v>US59MZA150</v>
          </cell>
          <cell r="C960">
            <v>3111100012</v>
          </cell>
          <cell r="D960" t="str">
            <v>OVERTIME HOURS /PERMANENTS</v>
          </cell>
          <cell r="E960">
            <v>1287</v>
          </cell>
          <cell r="F960">
            <v>1287</v>
          </cell>
          <cell r="G960">
            <v>1287</v>
          </cell>
          <cell r="H960">
            <v>1287</v>
          </cell>
          <cell r="I960">
            <v>1287</v>
          </cell>
          <cell r="J960">
            <v>1287</v>
          </cell>
          <cell r="K960">
            <v>1287</v>
          </cell>
          <cell r="L960">
            <v>1287</v>
          </cell>
          <cell r="M960">
            <v>1287</v>
          </cell>
          <cell r="N960">
            <v>1287</v>
          </cell>
          <cell r="O960">
            <v>1287</v>
          </cell>
          <cell r="P960">
            <v>1282</v>
          </cell>
          <cell r="Q960">
            <v>15439</v>
          </cell>
        </row>
        <row r="961">
          <cell r="A961" t="str">
            <v>US59MZA1503111100020</v>
          </cell>
          <cell r="B961" t="str">
            <v>US59MZA150</v>
          </cell>
          <cell r="C961">
            <v>3111100020</v>
          </cell>
          <cell r="D961" t="str">
            <v>INCENTIVE PLAN (functions)</v>
          </cell>
          <cell r="E961">
            <v>900</v>
          </cell>
          <cell r="F961">
            <v>900</v>
          </cell>
          <cell r="G961">
            <v>600</v>
          </cell>
          <cell r="H961">
            <v>300</v>
          </cell>
          <cell r="I961">
            <v>480</v>
          </cell>
          <cell r="J961">
            <v>480</v>
          </cell>
          <cell r="K961">
            <v>300</v>
          </cell>
          <cell r="L961">
            <v>240</v>
          </cell>
          <cell r="M961">
            <v>0</v>
          </cell>
          <cell r="N961">
            <v>0</v>
          </cell>
          <cell r="O961">
            <v>900</v>
          </cell>
          <cell r="P961">
            <v>900</v>
          </cell>
          <cell r="Q961">
            <v>6000</v>
          </cell>
        </row>
        <row r="962">
          <cell r="A962" t="str">
            <v>US59MZA1503121300013</v>
          </cell>
          <cell r="B962" t="str">
            <v>US59MZA150</v>
          </cell>
          <cell r="C962">
            <v>3121300013</v>
          </cell>
          <cell r="D962" t="str">
            <v>FRINGE BENEFITS</v>
          </cell>
          <cell r="E962">
            <v>2296</v>
          </cell>
          <cell r="F962">
            <v>2296</v>
          </cell>
          <cell r="G962">
            <v>2296</v>
          </cell>
          <cell r="H962">
            <v>2296</v>
          </cell>
          <cell r="I962">
            <v>2296</v>
          </cell>
          <cell r="J962">
            <v>2296</v>
          </cell>
          <cell r="K962">
            <v>2296</v>
          </cell>
          <cell r="L962">
            <v>2296</v>
          </cell>
          <cell r="M962">
            <v>2296</v>
          </cell>
          <cell r="N962">
            <v>2296</v>
          </cell>
          <cell r="O962">
            <v>2296</v>
          </cell>
          <cell r="P962">
            <v>2301</v>
          </cell>
          <cell r="Q962">
            <v>27557</v>
          </cell>
        </row>
        <row r="963">
          <cell r="A963" t="str">
            <v>US59MZA1503201300001</v>
          </cell>
          <cell r="B963" t="str">
            <v>US59MZA150</v>
          </cell>
          <cell r="C963">
            <v>3201300001</v>
          </cell>
          <cell r="D963" t="str">
            <v>HIRED PERSONNEL FROM 3RD PARTIES</v>
          </cell>
          <cell r="E963">
            <v>7500</v>
          </cell>
          <cell r="F963">
            <v>7500</v>
          </cell>
          <cell r="G963">
            <v>5000</v>
          </cell>
          <cell r="H963">
            <v>2500</v>
          </cell>
          <cell r="I963">
            <v>4000</v>
          </cell>
          <cell r="J963">
            <v>4000</v>
          </cell>
          <cell r="K963">
            <v>2500</v>
          </cell>
          <cell r="L963">
            <v>2000</v>
          </cell>
          <cell r="M963">
            <v>0</v>
          </cell>
          <cell r="N963">
            <v>0</v>
          </cell>
          <cell r="O963">
            <v>7500</v>
          </cell>
          <cell r="P963">
            <v>7500</v>
          </cell>
          <cell r="Q963">
            <v>50000</v>
          </cell>
        </row>
        <row r="964">
          <cell r="A964" t="str">
            <v>US59MZA1503201400002</v>
          </cell>
          <cell r="B964" t="str">
            <v>US59MZA150</v>
          </cell>
          <cell r="C964">
            <v>3201400002</v>
          </cell>
          <cell r="D964" t="str">
            <v>MAINTENANCE OF VEHICLES</v>
          </cell>
          <cell r="E964">
            <v>1275</v>
          </cell>
          <cell r="F964">
            <v>1275</v>
          </cell>
          <cell r="G964">
            <v>850</v>
          </cell>
          <cell r="H964">
            <v>425</v>
          </cell>
          <cell r="I964">
            <v>680</v>
          </cell>
          <cell r="J964">
            <v>680</v>
          </cell>
          <cell r="K964">
            <v>425</v>
          </cell>
          <cell r="L964">
            <v>340</v>
          </cell>
          <cell r="M964">
            <v>0</v>
          </cell>
          <cell r="N964">
            <v>0</v>
          </cell>
          <cell r="O964">
            <v>1275</v>
          </cell>
          <cell r="P964">
            <v>1275</v>
          </cell>
          <cell r="Q964">
            <v>8500</v>
          </cell>
        </row>
        <row r="965">
          <cell r="A965" t="str">
            <v>US59MZA1503201400029</v>
          </cell>
          <cell r="B965" t="str">
            <v>US59MZA150</v>
          </cell>
          <cell r="C965">
            <v>3201400029</v>
          </cell>
          <cell r="D965" t="str">
            <v>OTH OUTSIDE SERVICES OTHER</v>
          </cell>
          <cell r="E965">
            <v>3485</v>
          </cell>
          <cell r="F965">
            <v>3485</v>
          </cell>
          <cell r="G965">
            <v>2323</v>
          </cell>
          <cell r="H965">
            <v>1162</v>
          </cell>
          <cell r="I965">
            <v>1858</v>
          </cell>
          <cell r="J965">
            <v>1858</v>
          </cell>
          <cell r="K965">
            <v>1162</v>
          </cell>
          <cell r="L965">
            <v>929</v>
          </cell>
          <cell r="M965">
            <v>0</v>
          </cell>
          <cell r="N965">
            <v>0</v>
          </cell>
          <cell r="O965">
            <v>3485</v>
          </cell>
          <cell r="P965">
            <v>3485</v>
          </cell>
          <cell r="Q965">
            <v>23232</v>
          </cell>
        </row>
        <row r="966">
          <cell r="A966" t="str">
            <v>US59MZA1503201400050</v>
          </cell>
          <cell r="B966" t="str">
            <v>US59MZA150</v>
          </cell>
          <cell r="C966">
            <v>3201400050</v>
          </cell>
          <cell r="D966" t="str">
            <v>MAINTENANCE FORKLIFTS</v>
          </cell>
          <cell r="E966">
            <v>360</v>
          </cell>
          <cell r="F966">
            <v>360</v>
          </cell>
          <cell r="G966">
            <v>240</v>
          </cell>
          <cell r="H966">
            <v>120</v>
          </cell>
          <cell r="I966">
            <v>192</v>
          </cell>
          <cell r="J966">
            <v>192</v>
          </cell>
          <cell r="K966">
            <v>120</v>
          </cell>
          <cell r="L966">
            <v>96</v>
          </cell>
          <cell r="M966">
            <v>0</v>
          </cell>
          <cell r="N966">
            <v>0</v>
          </cell>
          <cell r="O966">
            <v>360</v>
          </cell>
          <cell r="P966">
            <v>360</v>
          </cell>
          <cell r="Q966">
            <v>2400</v>
          </cell>
        </row>
        <row r="967">
          <cell r="A967" t="str">
            <v>US59MZA1503311400099</v>
          </cell>
          <cell r="B967" t="str">
            <v>US59MZA150</v>
          </cell>
          <cell r="C967">
            <v>3311400099</v>
          </cell>
          <cell r="D967" t="str">
            <v>CO DEPRECIATION</v>
          </cell>
          <cell r="E967">
            <v>29330</v>
          </cell>
          <cell r="F967">
            <v>29330</v>
          </cell>
          <cell r="G967">
            <v>29330</v>
          </cell>
          <cell r="H967">
            <v>29330</v>
          </cell>
          <cell r="I967">
            <v>29330</v>
          </cell>
          <cell r="J967">
            <v>29330</v>
          </cell>
          <cell r="K967">
            <v>29330</v>
          </cell>
          <cell r="L967">
            <v>29330</v>
          </cell>
          <cell r="M967">
            <v>25554</v>
          </cell>
          <cell r="N967">
            <v>25554</v>
          </cell>
          <cell r="O967">
            <v>25554</v>
          </cell>
          <cell r="P967">
            <v>25554</v>
          </cell>
          <cell r="Q967">
            <v>336856</v>
          </cell>
        </row>
        <row r="968">
          <cell r="A968" t="str">
            <v>US59MZA1503911100010</v>
          </cell>
          <cell r="B968" t="str">
            <v>US59MZA150</v>
          </cell>
          <cell r="C968">
            <v>3911100010</v>
          </cell>
          <cell r="D968" t="str">
            <v>TRAVEL EXPENSES PERMANENTS / MEALS</v>
          </cell>
          <cell r="E968">
            <v>375</v>
          </cell>
          <cell r="F968">
            <v>375</v>
          </cell>
          <cell r="G968">
            <v>250</v>
          </cell>
          <cell r="H968">
            <v>125</v>
          </cell>
          <cell r="I968">
            <v>200</v>
          </cell>
          <cell r="J968">
            <v>200</v>
          </cell>
          <cell r="K968">
            <v>125</v>
          </cell>
          <cell r="L968">
            <v>100</v>
          </cell>
          <cell r="M968">
            <v>0</v>
          </cell>
          <cell r="N968">
            <v>0</v>
          </cell>
          <cell r="O968">
            <v>375</v>
          </cell>
          <cell r="P968">
            <v>375</v>
          </cell>
          <cell r="Q968">
            <v>2500</v>
          </cell>
        </row>
        <row r="969">
          <cell r="A969" t="str">
            <v>US59MZA1503911100012</v>
          </cell>
          <cell r="B969" t="str">
            <v>US59MZA150</v>
          </cell>
          <cell r="C969">
            <v>3911100012</v>
          </cell>
          <cell r="D969" t="str">
            <v>TRAVEL EXPENSES PERMANENTS / HOTELS</v>
          </cell>
          <cell r="E969">
            <v>750</v>
          </cell>
          <cell r="F969">
            <v>750</v>
          </cell>
          <cell r="G969">
            <v>500</v>
          </cell>
          <cell r="H969">
            <v>250</v>
          </cell>
          <cell r="I969">
            <v>400</v>
          </cell>
          <cell r="J969">
            <v>400</v>
          </cell>
          <cell r="K969">
            <v>250</v>
          </cell>
          <cell r="L969">
            <v>200</v>
          </cell>
          <cell r="M969">
            <v>0</v>
          </cell>
          <cell r="N969">
            <v>0</v>
          </cell>
          <cell r="O969">
            <v>750</v>
          </cell>
          <cell r="P969">
            <v>750</v>
          </cell>
          <cell r="Q969">
            <v>5000</v>
          </cell>
        </row>
        <row r="970">
          <cell r="A970" t="str">
            <v>US59MZA1503921100001</v>
          </cell>
          <cell r="B970" t="str">
            <v>US59MZA150</v>
          </cell>
          <cell r="C970">
            <v>3921100001</v>
          </cell>
          <cell r="D970" t="str">
            <v>UTILITY EXPENSES ELECTRICITY</v>
          </cell>
          <cell r="E970">
            <v>75</v>
          </cell>
          <cell r="F970">
            <v>75</v>
          </cell>
          <cell r="G970">
            <v>50</v>
          </cell>
          <cell r="H970">
            <v>25</v>
          </cell>
          <cell r="I970">
            <v>40</v>
          </cell>
          <cell r="J970">
            <v>40</v>
          </cell>
          <cell r="K970">
            <v>25</v>
          </cell>
          <cell r="L970">
            <v>20</v>
          </cell>
          <cell r="M970">
            <v>0</v>
          </cell>
          <cell r="N970">
            <v>0</v>
          </cell>
          <cell r="O970">
            <v>75</v>
          </cell>
          <cell r="P970">
            <v>75</v>
          </cell>
          <cell r="Q970">
            <v>500</v>
          </cell>
        </row>
        <row r="971">
          <cell r="A971" t="str">
            <v>US59MZA1503921200001</v>
          </cell>
          <cell r="B971" t="str">
            <v>US59MZA150</v>
          </cell>
          <cell r="C971">
            <v>3921200001</v>
          </cell>
          <cell r="D971" t="str">
            <v>FUEL</v>
          </cell>
          <cell r="E971">
            <v>6000</v>
          </cell>
          <cell r="F971">
            <v>6000</v>
          </cell>
          <cell r="G971">
            <v>4000</v>
          </cell>
          <cell r="H971">
            <v>2000</v>
          </cell>
          <cell r="I971">
            <v>3200</v>
          </cell>
          <cell r="J971">
            <v>3200</v>
          </cell>
          <cell r="K971">
            <v>2000</v>
          </cell>
          <cell r="L971">
            <v>1600</v>
          </cell>
          <cell r="M971">
            <v>0</v>
          </cell>
          <cell r="N971">
            <v>0</v>
          </cell>
          <cell r="O971">
            <v>6000</v>
          </cell>
          <cell r="P971">
            <v>6000</v>
          </cell>
          <cell r="Q971">
            <v>40000</v>
          </cell>
        </row>
        <row r="972">
          <cell r="A972" t="str">
            <v>US59MZA1503921200006</v>
          </cell>
          <cell r="B972" t="str">
            <v>US59MZA150</v>
          </cell>
          <cell r="C972">
            <v>3921200006</v>
          </cell>
          <cell r="D972" t="str">
            <v>FACTORY SUPPLIES MAINTENANCE SUPPLIES</v>
          </cell>
          <cell r="E972">
            <v>750</v>
          </cell>
          <cell r="F972">
            <v>750</v>
          </cell>
          <cell r="G972">
            <v>500</v>
          </cell>
          <cell r="H972">
            <v>250</v>
          </cell>
          <cell r="I972">
            <v>400</v>
          </cell>
          <cell r="J972">
            <v>400</v>
          </cell>
          <cell r="K972">
            <v>250</v>
          </cell>
          <cell r="L972">
            <v>200</v>
          </cell>
          <cell r="M972">
            <v>0</v>
          </cell>
          <cell r="N972">
            <v>0</v>
          </cell>
          <cell r="O972">
            <v>750</v>
          </cell>
          <cell r="P972">
            <v>750</v>
          </cell>
          <cell r="Q972">
            <v>5000</v>
          </cell>
        </row>
        <row r="973">
          <cell r="A973" t="str">
            <v>US59MZA1503921200010</v>
          </cell>
          <cell r="B973" t="str">
            <v>US59MZA150</v>
          </cell>
          <cell r="C973">
            <v>3921200010</v>
          </cell>
          <cell r="D973" t="str">
            <v>ADMINISTRATIVE SUPPLIES</v>
          </cell>
          <cell r="E973">
            <v>450</v>
          </cell>
          <cell r="F973">
            <v>450</v>
          </cell>
          <cell r="G973">
            <v>300</v>
          </cell>
          <cell r="H973">
            <v>150</v>
          </cell>
          <cell r="I973">
            <v>240</v>
          </cell>
          <cell r="J973">
            <v>240</v>
          </cell>
          <cell r="K973">
            <v>150</v>
          </cell>
          <cell r="L973">
            <v>120</v>
          </cell>
          <cell r="M973">
            <v>0</v>
          </cell>
          <cell r="N973">
            <v>0</v>
          </cell>
          <cell r="O973">
            <v>450</v>
          </cell>
          <cell r="P973">
            <v>450</v>
          </cell>
          <cell r="Q973">
            <v>3000</v>
          </cell>
        </row>
        <row r="974">
          <cell r="A974" t="str">
            <v>US59MZA1503921200050</v>
          </cell>
          <cell r="B974" t="str">
            <v>US59MZA150</v>
          </cell>
          <cell r="C974">
            <v>3921200050</v>
          </cell>
          <cell r="D974" t="str">
            <v>SAFETY EQUIPMENT - SUPPLIES</v>
          </cell>
          <cell r="E974">
            <v>300</v>
          </cell>
          <cell r="F974">
            <v>300</v>
          </cell>
          <cell r="G974">
            <v>200</v>
          </cell>
          <cell r="H974">
            <v>100</v>
          </cell>
          <cell r="I974">
            <v>160</v>
          </cell>
          <cell r="J974">
            <v>160</v>
          </cell>
          <cell r="K974">
            <v>100</v>
          </cell>
          <cell r="L974">
            <v>80</v>
          </cell>
          <cell r="M974">
            <v>0</v>
          </cell>
          <cell r="N974">
            <v>0</v>
          </cell>
          <cell r="O974">
            <v>300</v>
          </cell>
          <cell r="P974">
            <v>300</v>
          </cell>
          <cell r="Q974">
            <v>2000</v>
          </cell>
        </row>
        <row r="975">
          <cell r="A975" t="str">
            <v>US59MZA1503921200100</v>
          </cell>
          <cell r="B975" t="str">
            <v>US59MZA150</v>
          </cell>
          <cell r="C975">
            <v>3921200100</v>
          </cell>
          <cell r="D975" t="str">
            <v>FIELD &amp; PRODUCTION SUPPLIES</v>
          </cell>
          <cell r="E975">
            <v>6000</v>
          </cell>
          <cell r="F975">
            <v>6000</v>
          </cell>
          <cell r="G975">
            <v>4000</v>
          </cell>
          <cell r="H975">
            <v>2000</v>
          </cell>
          <cell r="I975">
            <v>3200</v>
          </cell>
          <cell r="J975">
            <v>3200</v>
          </cell>
          <cell r="K975">
            <v>2000</v>
          </cell>
          <cell r="L975">
            <v>1600</v>
          </cell>
          <cell r="M975">
            <v>0</v>
          </cell>
          <cell r="N975">
            <v>0</v>
          </cell>
          <cell r="O975">
            <v>6000</v>
          </cell>
          <cell r="P975">
            <v>6000</v>
          </cell>
          <cell r="Q975">
            <v>40000</v>
          </cell>
        </row>
        <row r="976">
          <cell r="A976" t="str">
            <v>US59MZA1503951100005</v>
          </cell>
          <cell r="B976" t="str">
            <v>US59MZA150</v>
          </cell>
          <cell r="C976">
            <v>3951100005</v>
          </cell>
          <cell r="D976" t="str">
            <v>OTHER RENTALS</v>
          </cell>
          <cell r="E976">
            <v>3750</v>
          </cell>
          <cell r="F976">
            <v>3750</v>
          </cell>
          <cell r="G976">
            <v>2500</v>
          </cell>
          <cell r="H976">
            <v>1250</v>
          </cell>
          <cell r="I976">
            <v>2000</v>
          </cell>
          <cell r="J976">
            <v>2000</v>
          </cell>
          <cell r="K976">
            <v>1250</v>
          </cell>
          <cell r="L976">
            <v>1000</v>
          </cell>
          <cell r="M976">
            <v>0</v>
          </cell>
          <cell r="N976">
            <v>0</v>
          </cell>
          <cell r="O976">
            <v>3750</v>
          </cell>
          <cell r="P976">
            <v>3750</v>
          </cell>
          <cell r="Q976">
            <v>25000</v>
          </cell>
        </row>
        <row r="977">
          <cell r="A977" t="str">
            <v>US59MZA1503951200002</v>
          </cell>
          <cell r="B977" t="str">
            <v>US59MZA150</v>
          </cell>
          <cell r="C977">
            <v>3951200002</v>
          </cell>
          <cell r="D977" t="str">
            <v>OPERATING LEASES - VEHICLES (SHORT DURAT</v>
          </cell>
          <cell r="E977">
            <v>195</v>
          </cell>
          <cell r="F977">
            <v>195</v>
          </cell>
          <cell r="G977">
            <v>130</v>
          </cell>
          <cell r="H977">
            <v>65</v>
          </cell>
          <cell r="I977">
            <v>104</v>
          </cell>
          <cell r="J977">
            <v>104</v>
          </cell>
          <cell r="K977">
            <v>65</v>
          </cell>
          <cell r="L977">
            <v>52</v>
          </cell>
          <cell r="M977">
            <v>0</v>
          </cell>
          <cell r="N977">
            <v>0</v>
          </cell>
          <cell r="O977">
            <v>195</v>
          </cell>
          <cell r="P977">
            <v>195</v>
          </cell>
          <cell r="Q977">
            <v>1300</v>
          </cell>
        </row>
        <row r="978">
          <cell r="A978" t="str">
            <v>US59MZA1503991200015</v>
          </cell>
          <cell r="B978" t="str">
            <v>US59MZA150</v>
          </cell>
          <cell r="C978">
            <v>3991200015</v>
          </cell>
          <cell r="D978" t="str">
            <v>TELEPHONE</v>
          </cell>
          <cell r="E978">
            <v>15</v>
          </cell>
          <cell r="F978">
            <v>15</v>
          </cell>
          <cell r="G978">
            <v>10</v>
          </cell>
          <cell r="H978">
            <v>5</v>
          </cell>
          <cell r="I978">
            <v>8</v>
          </cell>
          <cell r="J978">
            <v>8</v>
          </cell>
          <cell r="K978">
            <v>5</v>
          </cell>
          <cell r="L978">
            <v>4</v>
          </cell>
          <cell r="M978">
            <v>0</v>
          </cell>
          <cell r="N978">
            <v>0</v>
          </cell>
          <cell r="O978">
            <v>15</v>
          </cell>
          <cell r="P978">
            <v>15</v>
          </cell>
          <cell r="Q978">
            <v>100</v>
          </cell>
        </row>
        <row r="979">
          <cell r="A979" t="str">
            <v>US59MZA1503991200099</v>
          </cell>
          <cell r="B979" t="str">
            <v>US59MZA150</v>
          </cell>
          <cell r="C979">
            <v>3991200099</v>
          </cell>
          <cell r="D979" t="str">
            <v>OTHER EXPENSES TO 3RD PARTIES - ADJUSTME</v>
          </cell>
          <cell r="E979">
            <v>405</v>
          </cell>
          <cell r="F979">
            <v>405</v>
          </cell>
          <cell r="G979">
            <v>270</v>
          </cell>
          <cell r="H979">
            <v>135</v>
          </cell>
          <cell r="I979">
            <v>216</v>
          </cell>
          <cell r="J979">
            <v>216</v>
          </cell>
          <cell r="K979">
            <v>135</v>
          </cell>
          <cell r="L979">
            <v>108</v>
          </cell>
          <cell r="M979">
            <v>0</v>
          </cell>
          <cell r="N979">
            <v>0</v>
          </cell>
          <cell r="O979">
            <v>405</v>
          </cell>
          <cell r="P979">
            <v>405</v>
          </cell>
          <cell r="Q979">
            <v>2700</v>
          </cell>
        </row>
        <row r="980">
          <cell r="A980" t="str">
            <v>US59MZA1553111100000</v>
          </cell>
          <cell r="B980" t="str">
            <v>US59MZA155</v>
          </cell>
          <cell r="C980">
            <v>3111100000</v>
          </cell>
          <cell r="D980" t="str">
            <v>WAGES,SALARIES,ALLOWANCES AND COMMI/PERM</v>
          </cell>
          <cell r="E980">
            <v>6433</v>
          </cell>
          <cell r="F980">
            <v>6433</v>
          </cell>
          <cell r="G980">
            <v>6433</v>
          </cell>
          <cell r="H980">
            <v>6433</v>
          </cell>
          <cell r="I980">
            <v>6433</v>
          </cell>
          <cell r="J980">
            <v>6433</v>
          </cell>
          <cell r="K980">
            <v>6433</v>
          </cell>
          <cell r="L980">
            <v>6433</v>
          </cell>
          <cell r="M980">
            <v>6433</v>
          </cell>
          <cell r="N980">
            <v>6433</v>
          </cell>
          <cell r="O980">
            <v>6433</v>
          </cell>
          <cell r="P980">
            <v>6431</v>
          </cell>
          <cell r="Q980">
            <v>77194</v>
          </cell>
        </row>
        <row r="981">
          <cell r="A981" t="str">
            <v>US59MZA1553111100012</v>
          </cell>
          <cell r="B981" t="str">
            <v>US59MZA155</v>
          </cell>
          <cell r="C981">
            <v>3111100012</v>
          </cell>
          <cell r="D981" t="str">
            <v>OVERTIME HOURS /PERMANENTS</v>
          </cell>
          <cell r="E981">
            <v>1287</v>
          </cell>
          <cell r="F981">
            <v>1287</v>
          </cell>
          <cell r="G981">
            <v>1287</v>
          </cell>
          <cell r="H981">
            <v>1287</v>
          </cell>
          <cell r="I981">
            <v>1287</v>
          </cell>
          <cell r="J981">
            <v>1287</v>
          </cell>
          <cell r="K981">
            <v>1287</v>
          </cell>
          <cell r="L981">
            <v>1287</v>
          </cell>
          <cell r="M981">
            <v>1287</v>
          </cell>
          <cell r="N981">
            <v>1287</v>
          </cell>
          <cell r="O981">
            <v>1287</v>
          </cell>
          <cell r="P981">
            <v>1282</v>
          </cell>
          <cell r="Q981">
            <v>15439</v>
          </cell>
        </row>
        <row r="982">
          <cell r="A982" t="str">
            <v>US59MZA1553121300013</v>
          </cell>
          <cell r="B982" t="str">
            <v>US59MZA155</v>
          </cell>
          <cell r="C982">
            <v>3121300013</v>
          </cell>
          <cell r="D982" t="str">
            <v>FRINGE BENEFITS</v>
          </cell>
          <cell r="E982">
            <v>2918</v>
          </cell>
          <cell r="F982">
            <v>2918</v>
          </cell>
          <cell r="G982">
            <v>2918</v>
          </cell>
          <cell r="H982">
            <v>2918</v>
          </cell>
          <cell r="I982">
            <v>2918</v>
          </cell>
          <cell r="J982">
            <v>2918</v>
          </cell>
          <cell r="K982">
            <v>2918</v>
          </cell>
          <cell r="L982">
            <v>2918</v>
          </cell>
          <cell r="M982">
            <v>2918</v>
          </cell>
          <cell r="N982">
            <v>2918</v>
          </cell>
          <cell r="O982">
            <v>2918</v>
          </cell>
          <cell r="P982">
            <v>2917</v>
          </cell>
          <cell r="Q982">
            <v>35015</v>
          </cell>
        </row>
        <row r="983">
          <cell r="A983" t="str">
            <v>US59MZA1553201300001</v>
          </cell>
          <cell r="B983" t="str">
            <v>US59MZA155</v>
          </cell>
          <cell r="C983">
            <v>3201300001</v>
          </cell>
          <cell r="D983" t="str">
            <v>HIRED PERSONNEL FROM 3RD PARTIES</v>
          </cell>
          <cell r="E983">
            <v>12000</v>
          </cell>
          <cell r="F983">
            <v>12000</v>
          </cell>
          <cell r="G983">
            <v>8000</v>
          </cell>
          <cell r="H983">
            <v>4000</v>
          </cell>
          <cell r="I983">
            <v>8000</v>
          </cell>
          <cell r="J983">
            <v>8000</v>
          </cell>
          <cell r="K983">
            <v>4000</v>
          </cell>
          <cell r="L983">
            <v>0</v>
          </cell>
          <cell r="M983">
            <v>0</v>
          </cell>
          <cell r="N983">
            <v>0</v>
          </cell>
          <cell r="O983">
            <v>12000</v>
          </cell>
          <cell r="P983">
            <v>12000</v>
          </cell>
          <cell r="Q983">
            <v>80000</v>
          </cell>
        </row>
        <row r="984">
          <cell r="A984" t="str">
            <v>US59MZA1553921200050</v>
          </cell>
          <cell r="B984" t="str">
            <v>US59MZA155</v>
          </cell>
          <cell r="C984">
            <v>3921200050</v>
          </cell>
          <cell r="D984" t="str">
            <v>SAFETY EQUIPMENT - SUPPLIES</v>
          </cell>
          <cell r="E984">
            <v>300</v>
          </cell>
          <cell r="F984">
            <v>300</v>
          </cell>
          <cell r="G984">
            <v>200</v>
          </cell>
          <cell r="H984">
            <v>100</v>
          </cell>
          <cell r="I984">
            <v>200</v>
          </cell>
          <cell r="J984">
            <v>200</v>
          </cell>
          <cell r="K984">
            <v>100</v>
          </cell>
          <cell r="L984">
            <v>0</v>
          </cell>
          <cell r="M984">
            <v>0</v>
          </cell>
          <cell r="N984">
            <v>0</v>
          </cell>
          <cell r="O984">
            <v>300</v>
          </cell>
          <cell r="P984">
            <v>300</v>
          </cell>
          <cell r="Q984">
            <v>2000</v>
          </cell>
        </row>
        <row r="985">
          <cell r="A985" t="str">
            <v>USCLMZA1503311400099</v>
          </cell>
          <cell r="B985" t="str">
            <v>USCLMZA150</v>
          </cell>
          <cell r="C985">
            <v>3311400099</v>
          </cell>
          <cell r="D985" t="str">
            <v>CO DEPRECIATION</v>
          </cell>
          <cell r="E985">
            <v>671</v>
          </cell>
          <cell r="F985">
            <v>671</v>
          </cell>
          <cell r="G985">
            <v>671</v>
          </cell>
          <cell r="H985">
            <v>671</v>
          </cell>
          <cell r="I985">
            <v>671</v>
          </cell>
          <cell r="J985">
            <v>671</v>
          </cell>
          <cell r="K985">
            <v>671</v>
          </cell>
          <cell r="L985">
            <v>671</v>
          </cell>
          <cell r="M985">
            <v>430</v>
          </cell>
          <cell r="N985">
            <v>430</v>
          </cell>
          <cell r="O985">
            <v>430</v>
          </cell>
          <cell r="P985">
            <v>430</v>
          </cell>
          <cell r="Q985">
            <v>7088</v>
          </cell>
        </row>
        <row r="986">
          <cell r="A986" t="str">
            <v>USCOMZA1503311400099</v>
          </cell>
          <cell r="B986" t="str">
            <v>USCOMZA150</v>
          </cell>
          <cell r="C986">
            <v>3311400099</v>
          </cell>
          <cell r="D986" t="str">
            <v>CO DEPRECIATION</v>
          </cell>
          <cell r="E986">
            <v>18</v>
          </cell>
          <cell r="F986">
            <v>18</v>
          </cell>
          <cell r="G986">
            <v>18</v>
          </cell>
          <cell r="H986">
            <v>18</v>
          </cell>
          <cell r="I986">
            <v>18</v>
          </cell>
          <cell r="J986">
            <v>18</v>
          </cell>
          <cell r="K986">
            <v>18</v>
          </cell>
          <cell r="L986">
            <v>18</v>
          </cell>
          <cell r="M986">
            <v>18</v>
          </cell>
          <cell r="N986">
            <v>18</v>
          </cell>
          <cell r="O986">
            <v>18</v>
          </cell>
          <cell r="P986">
            <v>18</v>
          </cell>
          <cell r="Q986">
            <v>216</v>
          </cell>
        </row>
        <row r="987">
          <cell r="A987" t="str">
            <v>USCRMZA1503111100000</v>
          </cell>
          <cell r="B987" t="str">
            <v>USCRMZA150</v>
          </cell>
          <cell r="C987">
            <v>3111100000</v>
          </cell>
          <cell r="D987" t="str">
            <v>WAGES,SALARIES,ALLOWANCES AND COMMI/PERM</v>
          </cell>
          <cell r="E987">
            <v>21582</v>
          </cell>
          <cell r="F987">
            <v>21582</v>
          </cell>
          <cell r="G987">
            <v>21582</v>
          </cell>
          <cell r="H987">
            <v>21582</v>
          </cell>
          <cell r="I987">
            <v>21582</v>
          </cell>
          <cell r="J987">
            <v>21582</v>
          </cell>
          <cell r="K987">
            <v>21582</v>
          </cell>
          <cell r="L987">
            <v>21582</v>
          </cell>
          <cell r="M987">
            <v>21582</v>
          </cell>
          <cell r="N987">
            <v>21582</v>
          </cell>
          <cell r="O987">
            <v>21582</v>
          </cell>
          <cell r="P987">
            <v>21584</v>
          </cell>
          <cell r="Q987">
            <v>258986</v>
          </cell>
        </row>
        <row r="988">
          <cell r="A988" t="str">
            <v>USCRMZA1503111100012</v>
          </cell>
          <cell r="B988" t="str">
            <v>USCRMZA150</v>
          </cell>
          <cell r="C988">
            <v>3111100012</v>
          </cell>
          <cell r="D988" t="str">
            <v>OVERTIME HOURS /PERMANENTS</v>
          </cell>
          <cell r="E988">
            <v>4289</v>
          </cell>
          <cell r="F988">
            <v>4289</v>
          </cell>
          <cell r="G988">
            <v>4289</v>
          </cell>
          <cell r="H988">
            <v>4289</v>
          </cell>
          <cell r="I988">
            <v>4289</v>
          </cell>
          <cell r="J988">
            <v>4289</v>
          </cell>
          <cell r="K988">
            <v>4289</v>
          </cell>
          <cell r="L988">
            <v>4289</v>
          </cell>
          <cell r="M988">
            <v>4289</v>
          </cell>
          <cell r="N988">
            <v>4289</v>
          </cell>
          <cell r="O988">
            <v>4289</v>
          </cell>
          <cell r="P988">
            <v>4284</v>
          </cell>
          <cell r="Q988">
            <v>51463</v>
          </cell>
        </row>
        <row r="989">
          <cell r="A989" t="str">
            <v>USCRMZA1503121300013</v>
          </cell>
          <cell r="B989" t="str">
            <v>USCRMZA150</v>
          </cell>
          <cell r="C989">
            <v>3121300013</v>
          </cell>
          <cell r="D989" t="str">
            <v>FRINGE BENEFITS</v>
          </cell>
          <cell r="E989">
            <v>9779</v>
          </cell>
          <cell r="F989">
            <v>9779</v>
          </cell>
          <cell r="G989">
            <v>9779</v>
          </cell>
          <cell r="H989">
            <v>9779</v>
          </cell>
          <cell r="I989">
            <v>9779</v>
          </cell>
          <cell r="J989">
            <v>9779</v>
          </cell>
          <cell r="K989">
            <v>9779</v>
          </cell>
          <cell r="L989">
            <v>9779</v>
          </cell>
          <cell r="M989">
            <v>9779</v>
          </cell>
          <cell r="N989">
            <v>9779</v>
          </cell>
          <cell r="O989">
            <v>9779</v>
          </cell>
          <cell r="P989">
            <v>9781</v>
          </cell>
          <cell r="Q989">
            <v>117350</v>
          </cell>
        </row>
        <row r="990">
          <cell r="A990" t="str">
            <v>USCRMZA1503201300001</v>
          </cell>
          <cell r="B990" t="str">
            <v>USCRMZA150</v>
          </cell>
          <cell r="C990">
            <v>3201300001</v>
          </cell>
          <cell r="D990" t="str">
            <v>HIRED PERSONNEL FROM 3RD PARTIES</v>
          </cell>
          <cell r="E990">
            <v>60000</v>
          </cell>
          <cell r="F990">
            <v>60000</v>
          </cell>
          <cell r="G990">
            <v>40000</v>
          </cell>
          <cell r="H990">
            <v>20000</v>
          </cell>
          <cell r="I990">
            <v>32000</v>
          </cell>
          <cell r="J990">
            <v>32000</v>
          </cell>
          <cell r="K990">
            <v>20000</v>
          </cell>
          <cell r="L990">
            <v>16000</v>
          </cell>
          <cell r="M990">
            <v>0</v>
          </cell>
          <cell r="N990">
            <v>0</v>
          </cell>
          <cell r="O990">
            <v>60000</v>
          </cell>
          <cell r="P990">
            <v>60000</v>
          </cell>
          <cell r="Q990">
            <v>400000</v>
          </cell>
        </row>
        <row r="991">
          <cell r="A991" t="str">
            <v>USCRMZA1503201400002</v>
          </cell>
          <cell r="B991" t="str">
            <v>USCRMZA150</v>
          </cell>
          <cell r="C991">
            <v>3201400002</v>
          </cell>
          <cell r="D991" t="str">
            <v>MAINTENANCE OF VEHICLES</v>
          </cell>
          <cell r="E991">
            <v>1275</v>
          </cell>
          <cell r="F991">
            <v>1275</v>
          </cell>
          <cell r="G991">
            <v>850</v>
          </cell>
          <cell r="H991">
            <v>425</v>
          </cell>
          <cell r="I991">
            <v>680</v>
          </cell>
          <cell r="J991">
            <v>680</v>
          </cell>
          <cell r="K991">
            <v>425</v>
          </cell>
          <cell r="L991">
            <v>340</v>
          </cell>
          <cell r="M991">
            <v>0</v>
          </cell>
          <cell r="N991">
            <v>0</v>
          </cell>
          <cell r="O991">
            <v>1275</v>
          </cell>
          <cell r="P991">
            <v>1275</v>
          </cell>
          <cell r="Q991">
            <v>8500</v>
          </cell>
        </row>
        <row r="992">
          <cell r="A992" t="str">
            <v>USCRMZA1503201400029</v>
          </cell>
          <cell r="B992" t="str">
            <v>USCRMZA150</v>
          </cell>
          <cell r="C992">
            <v>3201400029</v>
          </cell>
          <cell r="D992" t="str">
            <v>OTH OUTSIDE SERVICES OTHER</v>
          </cell>
          <cell r="E992">
            <v>2850</v>
          </cell>
          <cell r="F992">
            <v>2850</v>
          </cell>
          <cell r="G992">
            <v>1900</v>
          </cell>
          <cell r="H992">
            <v>950</v>
          </cell>
          <cell r="I992">
            <v>1520</v>
          </cell>
          <cell r="J992">
            <v>1520</v>
          </cell>
          <cell r="K992">
            <v>950</v>
          </cell>
          <cell r="L992">
            <v>760</v>
          </cell>
          <cell r="M992">
            <v>0</v>
          </cell>
          <cell r="N992">
            <v>0</v>
          </cell>
          <cell r="O992">
            <v>2850</v>
          </cell>
          <cell r="P992">
            <v>2850</v>
          </cell>
          <cell r="Q992">
            <v>19000</v>
          </cell>
        </row>
        <row r="993">
          <cell r="A993" t="str">
            <v>USCRMZA1503201400036</v>
          </cell>
          <cell r="B993" t="str">
            <v>USCRMZA150</v>
          </cell>
          <cell r="C993">
            <v>3201400036</v>
          </cell>
          <cell r="D993" t="str">
            <v>OTHER MAINTENANCE BUILDINGS</v>
          </cell>
          <cell r="E993">
            <v>6150</v>
          </cell>
          <cell r="F993">
            <v>6150</v>
          </cell>
          <cell r="G993">
            <v>4100</v>
          </cell>
          <cell r="H993">
            <v>2050</v>
          </cell>
          <cell r="I993">
            <v>3280</v>
          </cell>
          <cell r="J993">
            <v>3280</v>
          </cell>
          <cell r="K993">
            <v>2050</v>
          </cell>
          <cell r="L993">
            <v>1640</v>
          </cell>
          <cell r="M993">
            <v>0</v>
          </cell>
          <cell r="N993">
            <v>0</v>
          </cell>
          <cell r="O993">
            <v>6150</v>
          </cell>
          <cell r="P993">
            <v>6150</v>
          </cell>
          <cell r="Q993">
            <v>41000</v>
          </cell>
        </row>
        <row r="994">
          <cell r="A994" t="str">
            <v>USCRMZA1503201400050</v>
          </cell>
          <cell r="B994" t="str">
            <v>USCRMZA150</v>
          </cell>
          <cell r="C994">
            <v>3201400050</v>
          </cell>
          <cell r="D994" t="str">
            <v>MAINTENANCE FORKLIFTS</v>
          </cell>
          <cell r="E994">
            <v>8250</v>
          </cell>
          <cell r="F994">
            <v>8250</v>
          </cell>
          <cell r="G994">
            <v>5500</v>
          </cell>
          <cell r="H994">
            <v>2750</v>
          </cell>
          <cell r="I994">
            <v>4400</v>
          </cell>
          <cell r="J994">
            <v>4400</v>
          </cell>
          <cell r="K994">
            <v>2750</v>
          </cell>
          <cell r="L994">
            <v>2200</v>
          </cell>
          <cell r="M994">
            <v>0</v>
          </cell>
          <cell r="N994">
            <v>0</v>
          </cell>
          <cell r="O994">
            <v>8250</v>
          </cell>
          <cell r="P994">
            <v>8250</v>
          </cell>
          <cell r="Q994">
            <v>55000</v>
          </cell>
        </row>
        <row r="995">
          <cell r="A995" t="str">
            <v>USCRMZA1503311400099</v>
          </cell>
          <cell r="B995" t="str">
            <v>USCRMZA150</v>
          </cell>
          <cell r="C995">
            <v>3311400099</v>
          </cell>
          <cell r="D995" t="str">
            <v>CO DEPRECIATION</v>
          </cell>
          <cell r="E995">
            <v>2519</v>
          </cell>
          <cell r="F995">
            <v>2519</v>
          </cell>
          <cell r="G995">
            <v>2519</v>
          </cell>
          <cell r="H995">
            <v>2519</v>
          </cell>
          <cell r="I995">
            <v>2519</v>
          </cell>
          <cell r="J995">
            <v>2519</v>
          </cell>
          <cell r="K995">
            <v>2519</v>
          </cell>
          <cell r="L995">
            <v>2519</v>
          </cell>
          <cell r="M995">
            <v>2519</v>
          </cell>
          <cell r="N995">
            <v>2519</v>
          </cell>
          <cell r="O995">
            <v>2519</v>
          </cell>
          <cell r="P995">
            <v>2514</v>
          </cell>
          <cell r="Q995">
            <v>30223</v>
          </cell>
        </row>
        <row r="996">
          <cell r="A996" t="str">
            <v>USCRMZA1503911100012</v>
          </cell>
          <cell r="B996" t="str">
            <v>USCRMZA150</v>
          </cell>
          <cell r="C996">
            <v>3911100012</v>
          </cell>
          <cell r="D996" t="str">
            <v>TRAVEL EXPENSES PERMANENTS / HOTELS</v>
          </cell>
          <cell r="E996">
            <v>30</v>
          </cell>
          <cell r="F996">
            <v>30</v>
          </cell>
          <cell r="G996">
            <v>20</v>
          </cell>
          <cell r="H996">
            <v>10</v>
          </cell>
          <cell r="I996">
            <v>16</v>
          </cell>
          <cell r="J996">
            <v>16</v>
          </cell>
          <cell r="K996">
            <v>10</v>
          </cell>
          <cell r="L996">
            <v>8</v>
          </cell>
          <cell r="M996">
            <v>0</v>
          </cell>
          <cell r="N996">
            <v>0</v>
          </cell>
          <cell r="O996">
            <v>30</v>
          </cell>
          <cell r="P996">
            <v>30</v>
          </cell>
          <cell r="Q996">
            <v>200</v>
          </cell>
        </row>
        <row r="997">
          <cell r="A997" t="str">
            <v>USCRMZA1503911200001</v>
          </cell>
          <cell r="B997" t="str">
            <v>USCRMZA150</v>
          </cell>
          <cell r="C997">
            <v>3911200001</v>
          </cell>
          <cell r="D997" t="str">
            <v>SYMPOSIUMS, CONFERENCES, MEETINGS</v>
          </cell>
          <cell r="E997">
            <v>75</v>
          </cell>
          <cell r="F997">
            <v>75</v>
          </cell>
          <cell r="G997">
            <v>50</v>
          </cell>
          <cell r="H997">
            <v>25</v>
          </cell>
          <cell r="I997">
            <v>40</v>
          </cell>
          <cell r="J997">
            <v>40</v>
          </cell>
          <cell r="K997">
            <v>25</v>
          </cell>
          <cell r="L997">
            <v>20</v>
          </cell>
          <cell r="M997">
            <v>0</v>
          </cell>
          <cell r="N997">
            <v>0</v>
          </cell>
          <cell r="O997">
            <v>75</v>
          </cell>
          <cell r="P997">
            <v>75</v>
          </cell>
          <cell r="Q997">
            <v>500</v>
          </cell>
        </row>
        <row r="998">
          <cell r="A998" t="str">
            <v>USCRMZA1503921100001</v>
          </cell>
          <cell r="B998" t="str">
            <v>USCRMZA150</v>
          </cell>
          <cell r="C998">
            <v>3921100001</v>
          </cell>
          <cell r="D998" t="str">
            <v>UTILITY EXPENSES ELECTRICITY</v>
          </cell>
          <cell r="E998">
            <v>150</v>
          </cell>
          <cell r="F998">
            <v>150</v>
          </cell>
          <cell r="G998">
            <v>100</v>
          </cell>
          <cell r="H998">
            <v>50</v>
          </cell>
          <cell r="I998">
            <v>80</v>
          </cell>
          <cell r="J998">
            <v>80</v>
          </cell>
          <cell r="K998">
            <v>50</v>
          </cell>
          <cell r="L998">
            <v>40</v>
          </cell>
          <cell r="M998">
            <v>0</v>
          </cell>
          <cell r="N998">
            <v>0</v>
          </cell>
          <cell r="O998">
            <v>150</v>
          </cell>
          <cell r="P998">
            <v>150</v>
          </cell>
          <cell r="Q998">
            <v>1000</v>
          </cell>
        </row>
        <row r="999">
          <cell r="A999" t="str">
            <v>USCRMZA1503921200001</v>
          </cell>
          <cell r="B999" t="str">
            <v>USCRMZA150</v>
          </cell>
          <cell r="C999">
            <v>3921200001</v>
          </cell>
          <cell r="D999" t="str">
            <v>FUEL</v>
          </cell>
          <cell r="E999">
            <v>9000</v>
          </cell>
          <cell r="F999">
            <v>9000</v>
          </cell>
          <cell r="G999">
            <v>6000</v>
          </cell>
          <cell r="H999">
            <v>3000</v>
          </cell>
          <cell r="I999">
            <v>4800</v>
          </cell>
          <cell r="J999">
            <v>4800</v>
          </cell>
          <cell r="K999">
            <v>3000</v>
          </cell>
          <cell r="L999">
            <v>2400</v>
          </cell>
          <cell r="M999">
            <v>0</v>
          </cell>
          <cell r="N999">
            <v>0</v>
          </cell>
          <cell r="O999">
            <v>9000</v>
          </cell>
          <cell r="P999">
            <v>9000</v>
          </cell>
          <cell r="Q999">
            <v>60000</v>
          </cell>
        </row>
        <row r="1000">
          <cell r="A1000" t="str">
            <v>USCRMZA1503921200006</v>
          </cell>
          <cell r="B1000" t="str">
            <v>USCRMZA150</v>
          </cell>
          <cell r="C1000">
            <v>3921200006</v>
          </cell>
          <cell r="D1000" t="str">
            <v>FACTORY SUPPLIES MAINTENANCE SUPPLIES</v>
          </cell>
          <cell r="E1000">
            <v>6000</v>
          </cell>
          <cell r="F1000">
            <v>6000</v>
          </cell>
          <cell r="G1000">
            <v>4000</v>
          </cell>
          <cell r="H1000">
            <v>2000</v>
          </cell>
          <cell r="I1000">
            <v>3200</v>
          </cell>
          <cell r="J1000">
            <v>3200</v>
          </cell>
          <cell r="K1000">
            <v>2000</v>
          </cell>
          <cell r="L1000">
            <v>1600</v>
          </cell>
          <cell r="M1000">
            <v>0</v>
          </cell>
          <cell r="N1000">
            <v>0</v>
          </cell>
          <cell r="O1000">
            <v>6000</v>
          </cell>
          <cell r="P1000">
            <v>6000</v>
          </cell>
          <cell r="Q1000">
            <v>40000</v>
          </cell>
        </row>
        <row r="1001">
          <cell r="A1001" t="str">
            <v>USCRMZA1503921200010</v>
          </cell>
          <cell r="B1001" t="str">
            <v>USCRMZA150</v>
          </cell>
          <cell r="C1001">
            <v>3921200010</v>
          </cell>
          <cell r="D1001" t="str">
            <v>ADMINISTRATIVE SUPPLIES</v>
          </cell>
          <cell r="E1001">
            <v>75</v>
          </cell>
          <cell r="F1001">
            <v>75</v>
          </cell>
          <cell r="G1001">
            <v>50</v>
          </cell>
          <cell r="H1001">
            <v>25</v>
          </cell>
          <cell r="I1001">
            <v>40</v>
          </cell>
          <cell r="J1001">
            <v>40</v>
          </cell>
          <cell r="K1001">
            <v>25</v>
          </cell>
          <cell r="L1001">
            <v>20</v>
          </cell>
          <cell r="M1001">
            <v>0</v>
          </cell>
          <cell r="N1001">
            <v>0</v>
          </cell>
          <cell r="O1001">
            <v>75</v>
          </cell>
          <cell r="P1001">
            <v>75</v>
          </cell>
          <cell r="Q1001">
            <v>500</v>
          </cell>
        </row>
        <row r="1002">
          <cell r="A1002" t="str">
            <v>USCRMZA1503921200050</v>
          </cell>
          <cell r="B1002" t="str">
            <v>USCRMZA150</v>
          </cell>
          <cell r="C1002">
            <v>3921200050</v>
          </cell>
          <cell r="D1002" t="str">
            <v>SAFETY EQUIPMENT - SUPPLIES</v>
          </cell>
          <cell r="E1002">
            <v>225</v>
          </cell>
          <cell r="F1002">
            <v>225</v>
          </cell>
          <cell r="G1002">
            <v>150</v>
          </cell>
          <cell r="H1002">
            <v>75</v>
          </cell>
          <cell r="I1002">
            <v>120</v>
          </cell>
          <cell r="J1002">
            <v>120</v>
          </cell>
          <cell r="K1002">
            <v>75</v>
          </cell>
          <cell r="L1002">
            <v>60</v>
          </cell>
          <cell r="M1002">
            <v>0</v>
          </cell>
          <cell r="N1002">
            <v>0</v>
          </cell>
          <cell r="O1002">
            <v>225</v>
          </cell>
          <cell r="P1002">
            <v>225</v>
          </cell>
          <cell r="Q1002">
            <v>1500</v>
          </cell>
        </row>
        <row r="1003">
          <cell r="A1003" t="str">
            <v>USCRMZA1503921200100</v>
          </cell>
          <cell r="B1003" t="str">
            <v>USCRMZA150</v>
          </cell>
          <cell r="C1003">
            <v>3921200100</v>
          </cell>
          <cell r="D1003" t="str">
            <v>FIELD &amp; PRODUCTION SUPPLIES</v>
          </cell>
          <cell r="E1003">
            <v>10350</v>
          </cell>
          <cell r="F1003">
            <v>10350</v>
          </cell>
          <cell r="G1003">
            <v>6900</v>
          </cell>
          <cell r="H1003">
            <v>3450</v>
          </cell>
          <cell r="I1003">
            <v>5520</v>
          </cell>
          <cell r="J1003">
            <v>5520</v>
          </cell>
          <cell r="K1003">
            <v>3450</v>
          </cell>
          <cell r="L1003">
            <v>2760</v>
          </cell>
          <cell r="M1003">
            <v>0</v>
          </cell>
          <cell r="N1003">
            <v>0</v>
          </cell>
          <cell r="O1003">
            <v>10350</v>
          </cell>
          <cell r="P1003">
            <v>10350</v>
          </cell>
          <cell r="Q1003">
            <v>69000</v>
          </cell>
        </row>
        <row r="1004">
          <cell r="A1004" t="str">
            <v>USCRMZA1503951100002</v>
          </cell>
          <cell r="B1004" t="str">
            <v>USCRMZA150</v>
          </cell>
          <cell r="C1004">
            <v>3951100002</v>
          </cell>
          <cell r="D1004" t="str">
            <v>RENTALS - REAL ESTATE</v>
          </cell>
          <cell r="E1004">
            <v>5250</v>
          </cell>
          <cell r="F1004">
            <v>5250</v>
          </cell>
          <cell r="G1004">
            <v>3500</v>
          </cell>
          <cell r="H1004">
            <v>1750</v>
          </cell>
          <cell r="I1004">
            <v>2800</v>
          </cell>
          <cell r="J1004">
            <v>2800</v>
          </cell>
          <cell r="K1004">
            <v>1750</v>
          </cell>
          <cell r="L1004">
            <v>1400</v>
          </cell>
          <cell r="M1004">
            <v>0</v>
          </cell>
          <cell r="N1004">
            <v>0</v>
          </cell>
          <cell r="O1004">
            <v>5250</v>
          </cell>
          <cell r="P1004">
            <v>5250</v>
          </cell>
          <cell r="Q1004">
            <v>35000</v>
          </cell>
        </row>
        <row r="1005">
          <cell r="A1005" t="str">
            <v>USCRMZA1503951100005</v>
          </cell>
          <cell r="B1005" t="str">
            <v>USCRMZA150</v>
          </cell>
          <cell r="C1005">
            <v>3951100005</v>
          </cell>
          <cell r="D1005" t="str">
            <v>OTHER RENTALS</v>
          </cell>
          <cell r="E1005">
            <v>300</v>
          </cell>
          <cell r="F1005">
            <v>300</v>
          </cell>
          <cell r="G1005">
            <v>200</v>
          </cell>
          <cell r="H1005">
            <v>100</v>
          </cell>
          <cell r="I1005">
            <v>160</v>
          </cell>
          <cell r="J1005">
            <v>160</v>
          </cell>
          <cell r="K1005">
            <v>100</v>
          </cell>
          <cell r="L1005">
            <v>80</v>
          </cell>
          <cell r="M1005">
            <v>0</v>
          </cell>
          <cell r="N1005">
            <v>0</v>
          </cell>
          <cell r="O1005">
            <v>300</v>
          </cell>
          <cell r="P1005">
            <v>300</v>
          </cell>
          <cell r="Q1005">
            <v>2000</v>
          </cell>
        </row>
        <row r="1006">
          <cell r="A1006" t="str">
            <v>USCRMZA1503951200002</v>
          </cell>
          <cell r="B1006" t="str">
            <v>USCRMZA150</v>
          </cell>
          <cell r="C1006">
            <v>3951200002</v>
          </cell>
          <cell r="D1006" t="str">
            <v>OPERATING LEASES - VEHICLES (SHORT DURAT</v>
          </cell>
          <cell r="E1006">
            <v>375</v>
          </cell>
          <cell r="F1006">
            <v>375</v>
          </cell>
          <cell r="G1006">
            <v>250</v>
          </cell>
          <cell r="H1006">
            <v>125</v>
          </cell>
          <cell r="I1006">
            <v>200</v>
          </cell>
          <cell r="J1006">
            <v>200</v>
          </cell>
          <cell r="K1006">
            <v>125</v>
          </cell>
          <cell r="L1006">
            <v>100</v>
          </cell>
          <cell r="M1006">
            <v>0</v>
          </cell>
          <cell r="N1006">
            <v>0</v>
          </cell>
          <cell r="O1006">
            <v>375</v>
          </cell>
          <cell r="P1006">
            <v>375</v>
          </cell>
          <cell r="Q1006">
            <v>2500</v>
          </cell>
        </row>
        <row r="1007">
          <cell r="A1007" t="str">
            <v>USCRMZA1503991200012</v>
          </cell>
          <cell r="B1007" t="str">
            <v>USCRMZA150</v>
          </cell>
          <cell r="C1007">
            <v>3991200012</v>
          </cell>
          <cell r="D1007" t="str">
            <v>DELIVERY SERVICES</v>
          </cell>
          <cell r="E1007">
            <v>150</v>
          </cell>
          <cell r="F1007">
            <v>150</v>
          </cell>
          <cell r="G1007">
            <v>100</v>
          </cell>
          <cell r="H1007">
            <v>50</v>
          </cell>
          <cell r="I1007">
            <v>80</v>
          </cell>
          <cell r="J1007">
            <v>80</v>
          </cell>
          <cell r="K1007">
            <v>50</v>
          </cell>
          <cell r="L1007">
            <v>40</v>
          </cell>
          <cell r="M1007">
            <v>0</v>
          </cell>
          <cell r="N1007">
            <v>0</v>
          </cell>
          <cell r="O1007">
            <v>150</v>
          </cell>
          <cell r="P1007">
            <v>150</v>
          </cell>
          <cell r="Q1007">
            <v>1000</v>
          </cell>
        </row>
        <row r="1008">
          <cell r="A1008" t="str">
            <v>USCRMZA1503991200015</v>
          </cell>
          <cell r="B1008" t="str">
            <v>USCRMZA150</v>
          </cell>
          <cell r="C1008">
            <v>3991200015</v>
          </cell>
          <cell r="D1008" t="str">
            <v>TELEPHONE</v>
          </cell>
          <cell r="E1008">
            <v>150</v>
          </cell>
          <cell r="F1008">
            <v>150</v>
          </cell>
          <cell r="G1008">
            <v>100</v>
          </cell>
          <cell r="H1008">
            <v>50</v>
          </cell>
          <cell r="I1008">
            <v>80</v>
          </cell>
          <cell r="J1008">
            <v>80</v>
          </cell>
          <cell r="K1008">
            <v>50</v>
          </cell>
          <cell r="L1008">
            <v>40</v>
          </cell>
          <cell r="M1008">
            <v>0</v>
          </cell>
          <cell r="N1008">
            <v>0</v>
          </cell>
          <cell r="O1008">
            <v>150</v>
          </cell>
          <cell r="P1008">
            <v>150</v>
          </cell>
          <cell r="Q1008">
            <v>1000</v>
          </cell>
        </row>
        <row r="1009">
          <cell r="A1009" t="str">
            <v>USCRMZA1503991200099</v>
          </cell>
          <cell r="B1009" t="str">
            <v>USCRMZA150</v>
          </cell>
          <cell r="C1009">
            <v>3991200099</v>
          </cell>
          <cell r="D1009" t="str">
            <v>OTHER EXPENSES TO 3RD PARTIES - ADJUSTME</v>
          </cell>
          <cell r="E1009">
            <v>900</v>
          </cell>
          <cell r="F1009">
            <v>900</v>
          </cell>
          <cell r="G1009">
            <v>600</v>
          </cell>
          <cell r="H1009">
            <v>300</v>
          </cell>
          <cell r="I1009">
            <v>480</v>
          </cell>
          <cell r="J1009">
            <v>480</v>
          </cell>
          <cell r="K1009">
            <v>300</v>
          </cell>
          <cell r="L1009">
            <v>240</v>
          </cell>
          <cell r="M1009">
            <v>0</v>
          </cell>
          <cell r="N1009">
            <v>0</v>
          </cell>
          <cell r="O1009">
            <v>900</v>
          </cell>
          <cell r="P1009">
            <v>900</v>
          </cell>
          <cell r="Q1009">
            <v>6000</v>
          </cell>
        </row>
        <row r="1010">
          <cell r="A1010" t="str">
            <v>USCRMZA1553201300001</v>
          </cell>
          <cell r="B1010" t="str">
            <v>USCRMZA155</v>
          </cell>
          <cell r="C1010">
            <v>3201300001</v>
          </cell>
          <cell r="D1010" t="str">
            <v>HIRED PERSONNEL FROM 3RD PARTIES</v>
          </cell>
          <cell r="E1010">
            <v>15750</v>
          </cell>
          <cell r="F1010">
            <v>15750</v>
          </cell>
          <cell r="G1010">
            <v>10500</v>
          </cell>
          <cell r="H1010">
            <v>5250</v>
          </cell>
          <cell r="I1010">
            <v>10500</v>
          </cell>
          <cell r="J1010">
            <v>10500</v>
          </cell>
          <cell r="K1010">
            <v>5250</v>
          </cell>
          <cell r="L1010">
            <v>0</v>
          </cell>
          <cell r="M1010">
            <v>0</v>
          </cell>
          <cell r="N1010">
            <v>0</v>
          </cell>
          <cell r="O1010">
            <v>15750</v>
          </cell>
          <cell r="P1010">
            <v>15750</v>
          </cell>
          <cell r="Q1010">
            <v>105000</v>
          </cell>
        </row>
        <row r="1011">
          <cell r="A1011" t="str">
            <v>USCRMZA1553921200050</v>
          </cell>
          <cell r="B1011" t="str">
            <v>USCRMZA155</v>
          </cell>
          <cell r="C1011">
            <v>3921200050</v>
          </cell>
          <cell r="D1011" t="str">
            <v>SAFETY EQUIPMENT - SUPPLIES</v>
          </cell>
          <cell r="E1011">
            <v>225</v>
          </cell>
          <cell r="F1011">
            <v>225</v>
          </cell>
          <cell r="G1011">
            <v>150</v>
          </cell>
          <cell r="H1011">
            <v>75</v>
          </cell>
          <cell r="I1011">
            <v>150</v>
          </cell>
          <cell r="J1011">
            <v>150</v>
          </cell>
          <cell r="K1011">
            <v>75</v>
          </cell>
          <cell r="L1011">
            <v>0</v>
          </cell>
          <cell r="M1011">
            <v>0</v>
          </cell>
          <cell r="N1011">
            <v>0</v>
          </cell>
          <cell r="O1011">
            <v>225</v>
          </cell>
          <cell r="P1011">
            <v>225</v>
          </cell>
          <cell r="Q1011">
            <v>1500</v>
          </cell>
        </row>
        <row r="1012">
          <cell r="A1012" t="str">
            <v>USSTMZA1503311400099</v>
          </cell>
          <cell r="B1012" t="str">
            <v>USSTMZA150</v>
          </cell>
          <cell r="C1012">
            <v>3311400099</v>
          </cell>
          <cell r="D1012" t="str">
            <v>CO DEPRECIATION</v>
          </cell>
          <cell r="E1012">
            <v>110</v>
          </cell>
          <cell r="F1012">
            <v>110</v>
          </cell>
          <cell r="G1012">
            <v>110</v>
          </cell>
          <cell r="H1012">
            <v>110</v>
          </cell>
          <cell r="I1012">
            <v>110</v>
          </cell>
          <cell r="J1012">
            <v>110</v>
          </cell>
          <cell r="K1012">
            <v>110</v>
          </cell>
          <cell r="L1012">
            <v>110</v>
          </cell>
          <cell r="M1012">
            <v>110</v>
          </cell>
          <cell r="N1012">
            <v>110</v>
          </cell>
          <cell r="O1012">
            <v>110</v>
          </cell>
          <cell r="P1012">
            <v>110</v>
          </cell>
          <cell r="Q1012">
            <v>1320</v>
          </cell>
        </row>
        <row r="1013">
          <cell r="A1013" t="str">
            <v>USWOMZA1503111100000</v>
          </cell>
          <cell r="B1013" t="str">
            <v>USWOMZA150</v>
          </cell>
          <cell r="C1013">
            <v>3111100000</v>
          </cell>
          <cell r="D1013" t="str">
            <v>WAGES,SALARIES,ALLOWANCES AND COMMI/PERM</v>
          </cell>
          <cell r="E1013">
            <v>11579</v>
          </cell>
          <cell r="F1013">
            <v>11579</v>
          </cell>
          <cell r="G1013">
            <v>11579</v>
          </cell>
          <cell r="H1013">
            <v>11579</v>
          </cell>
          <cell r="I1013">
            <v>11579</v>
          </cell>
          <cell r="J1013">
            <v>11579</v>
          </cell>
          <cell r="K1013">
            <v>11579</v>
          </cell>
          <cell r="L1013">
            <v>11579</v>
          </cell>
          <cell r="M1013">
            <v>11579</v>
          </cell>
          <cell r="N1013">
            <v>11579</v>
          </cell>
          <cell r="O1013">
            <v>11579</v>
          </cell>
          <cell r="P1013">
            <v>11580</v>
          </cell>
          <cell r="Q1013">
            <v>138949</v>
          </cell>
        </row>
        <row r="1014">
          <cell r="A1014" t="str">
            <v>USWOMZA1503111100012</v>
          </cell>
          <cell r="B1014" t="str">
            <v>USWOMZA150</v>
          </cell>
          <cell r="C1014">
            <v>3111100012</v>
          </cell>
          <cell r="D1014" t="str">
            <v>OVERTIME HOURS /PERMANENTS</v>
          </cell>
          <cell r="E1014">
            <v>2487</v>
          </cell>
          <cell r="F1014">
            <v>2487</v>
          </cell>
          <cell r="G1014">
            <v>2487</v>
          </cell>
          <cell r="H1014">
            <v>2487</v>
          </cell>
          <cell r="I1014">
            <v>2487</v>
          </cell>
          <cell r="J1014">
            <v>2487</v>
          </cell>
          <cell r="K1014">
            <v>2487</v>
          </cell>
          <cell r="L1014">
            <v>2487</v>
          </cell>
          <cell r="M1014">
            <v>2487</v>
          </cell>
          <cell r="N1014">
            <v>2487</v>
          </cell>
          <cell r="O1014">
            <v>2487</v>
          </cell>
          <cell r="P1014">
            <v>2491</v>
          </cell>
          <cell r="Q1014">
            <v>29848</v>
          </cell>
        </row>
        <row r="1015">
          <cell r="A1015" t="str">
            <v>USWOMZA1503121300013</v>
          </cell>
          <cell r="B1015" t="str">
            <v>USWOMZA150</v>
          </cell>
          <cell r="C1015">
            <v>3121300013</v>
          </cell>
          <cell r="D1015" t="str">
            <v>FRINGE BENEFITS</v>
          </cell>
          <cell r="E1015">
            <v>5317</v>
          </cell>
          <cell r="F1015">
            <v>5317</v>
          </cell>
          <cell r="G1015">
            <v>5317</v>
          </cell>
          <cell r="H1015">
            <v>5317</v>
          </cell>
          <cell r="I1015">
            <v>5317</v>
          </cell>
          <cell r="J1015">
            <v>5317</v>
          </cell>
          <cell r="K1015">
            <v>5317</v>
          </cell>
          <cell r="L1015">
            <v>5317</v>
          </cell>
          <cell r="M1015">
            <v>5317</v>
          </cell>
          <cell r="N1015">
            <v>5317</v>
          </cell>
          <cell r="O1015">
            <v>5317</v>
          </cell>
          <cell r="P1015">
            <v>5318</v>
          </cell>
          <cell r="Q1015">
            <v>63805</v>
          </cell>
        </row>
        <row r="1016">
          <cell r="A1016" t="str">
            <v>USWOMZA1503201300001</v>
          </cell>
          <cell r="B1016" t="str">
            <v>USWOMZA150</v>
          </cell>
          <cell r="C1016">
            <v>3201300001</v>
          </cell>
          <cell r="D1016" t="str">
            <v>HIRED PERSONNEL FROM 3RD PARTIES</v>
          </cell>
          <cell r="E1016">
            <v>30000</v>
          </cell>
          <cell r="F1016">
            <v>30000</v>
          </cell>
          <cell r="G1016">
            <v>20000</v>
          </cell>
          <cell r="H1016">
            <v>10000</v>
          </cell>
          <cell r="I1016">
            <v>16000</v>
          </cell>
          <cell r="J1016">
            <v>16000</v>
          </cell>
          <cell r="K1016">
            <v>10000</v>
          </cell>
          <cell r="L1016">
            <v>8000</v>
          </cell>
          <cell r="M1016">
            <v>0</v>
          </cell>
          <cell r="N1016">
            <v>0</v>
          </cell>
          <cell r="O1016">
            <v>30000</v>
          </cell>
          <cell r="P1016">
            <v>30000</v>
          </cell>
          <cell r="Q1016">
            <v>200000</v>
          </cell>
        </row>
        <row r="1017">
          <cell r="A1017" t="str">
            <v>USWOMZA1503201400002</v>
          </cell>
          <cell r="B1017" t="str">
            <v>USWOMZA150</v>
          </cell>
          <cell r="C1017">
            <v>3201400002</v>
          </cell>
          <cell r="D1017" t="str">
            <v>MAINTENANCE OF VEHICLES</v>
          </cell>
          <cell r="E1017">
            <v>150</v>
          </cell>
          <cell r="F1017">
            <v>150</v>
          </cell>
          <cell r="G1017">
            <v>100</v>
          </cell>
          <cell r="H1017">
            <v>50</v>
          </cell>
          <cell r="I1017">
            <v>80</v>
          </cell>
          <cell r="J1017">
            <v>80</v>
          </cell>
          <cell r="K1017">
            <v>50</v>
          </cell>
          <cell r="L1017">
            <v>40</v>
          </cell>
          <cell r="M1017">
            <v>0</v>
          </cell>
          <cell r="N1017">
            <v>0</v>
          </cell>
          <cell r="O1017">
            <v>150</v>
          </cell>
          <cell r="P1017">
            <v>150</v>
          </cell>
          <cell r="Q1017">
            <v>1000</v>
          </cell>
        </row>
        <row r="1018">
          <cell r="A1018" t="str">
            <v>USWOMZA1503201400029</v>
          </cell>
          <cell r="B1018" t="str">
            <v>USWOMZA150</v>
          </cell>
          <cell r="C1018">
            <v>3201400029</v>
          </cell>
          <cell r="D1018" t="str">
            <v>OTH OUTSIDE SERVICES OTHER</v>
          </cell>
          <cell r="E1018">
            <v>4500</v>
          </cell>
          <cell r="F1018">
            <v>4500</v>
          </cell>
          <cell r="G1018">
            <v>3000</v>
          </cell>
          <cell r="H1018">
            <v>1500</v>
          </cell>
          <cell r="I1018">
            <v>2400</v>
          </cell>
          <cell r="J1018">
            <v>2400</v>
          </cell>
          <cell r="K1018">
            <v>1500</v>
          </cell>
          <cell r="L1018">
            <v>1200</v>
          </cell>
          <cell r="M1018">
            <v>0</v>
          </cell>
          <cell r="N1018">
            <v>0</v>
          </cell>
          <cell r="O1018">
            <v>4500</v>
          </cell>
          <cell r="P1018">
            <v>4500</v>
          </cell>
          <cell r="Q1018">
            <v>30000</v>
          </cell>
        </row>
        <row r="1019">
          <cell r="A1019" t="str">
            <v>USWOMZA1503201400050</v>
          </cell>
          <cell r="B1019" t="str">
            <v>USWOMZA150</v>
          </cell>
          <cell r="C1019">
            <v>3201400050</v>
          </cell>
          <cell r="D1019" t="str">
            <v>MAINTENANCE FORKLIFTS</v>
          </cell>
          <cell r="E1019">
            <v>450</v>
          </cell>
          <cell r="F1019">
            <v>450</v>
          </cell>
          <cell r="G1019">
            <v>300</v>
          </cell>
          <cell r="H1019">
            <v>150</v>
          </cell>
          <cell r="I1019">
            <v>240</v>
          </cell>
          <cell r="J1019">
            <v>240</v>
          </cell>
          <cell r="K1019">
            <v>150</v>
          </cell>
          <cell r="L1019">
            <v>120</v>
          </cell>
          <cell r="M1019">
            <v>0</v>
          </cell>
          <cell r="N1019">
            <v>0</v>
          </cell>
          <cell r="O1019">
            <v>450</v>
          </cell>
          <cell r="P1019">
            <v>450</v>
          </cell>
          <cell r="Q1019">
            <v>3000</v>
          </cell>
        </row>
        <row r="1020">
          <cell r="A1020" t="str">
            <v>USWOMZA1503311400099</v>
          </cell>
          <cell r="B1020" t="str">
            <v>USWOMZA150</v>
          </cell>
          <cell r="C1020">
            <v>3311400099</v>
          </cell>
          <cell r="D1020" t="str">
            <v>CO DEPRECIATION</v>
          </cell>
          <cell r="E1020">
            <v>44483</v>
          </cell>
          <cell r="F1020">
            <v>44483</v>
          </cell>
          <cell r="G1020">
            <v>44483</v>
          </cell>
          <cell r="H1020">
            <v>44483</v>
          </cell>
          <cell r="I1020">
            <v>44483</v>
          </cell>
          <cell r="J1020">
            <v>44483</v>
          </cell>
          <cell r="K1020">
            <v>44483</v>
          </cell>
          <cell r="L1020">
            <v>44483</v>
          </cell>
          <cell r="M1020">
            <v>43501</v>
          </cell>
          <cell r="N1020">
            <v>43501</v>
          </cell>
          <cell r="O1020">
            <v>43501</v>
          </cell>
          <cell r="P1020">
            <v>43501</v>
          </cell>
          <cell r="Q1020">
            <v>529868</v>
          </cell>
        </row>
        <row r="1021">
          <cell r="A1021" t="str">
            <v>USWOMZA1503911100010</v>
          </cell>
          <cell r="B1021" t="str">
            <v>USWOMZA150</v>
          </cell>
          <cell r="C1021">
            <v>3911100010</v>
          </cell>
          <cell r="D1021" t="str">
            <v>TRAVEL EXPENSES PERMANENTS / MEALS</v>
          </cell>
          <cell r="E1021">
            <v>75</v>
          </cell>
          <cell r="F1021">
            <v>75</v>
          </cell>
          <cell r="G1021">
            <v>50</v>
          </cell>
          <cell r="H1021">
            <v>25</v>
          </cell>
          <cell r="I1021">
            <v>40</v>
          </cell>
          <cell r="J1021">
            <v>40</v>
          </cell>
          <cell r="K1021">
            <v>25</v>
          </cell>
          <cell r="L1021">
            <v>20</v>
          </cell>
          <cell r="M1021">
            <v>0</v>
          </cell>
          <cell r="N1021">
            <v>0</v>
          </cell>
          <cell r="O1021">
            <v>75</v>
          </cell>
          <cell r="P1021">
            <v>75</v>
          </cell>
          <cell r="Q1021">
            <v>500</v>
          </cell>
        </row>
        <row r="1022">
          <cell r="A1022" t="str">
            <v>USWOMZA1503911100012</v>
          </cell>
          <cell r="B1022" t="str">
            <v>USWOMZA150</v>
          </cell>
          <cell r="C1022">
            <v>3911100012</v>
          </cell>
          <cell r="D1022" t="str">
            <v>TRAVEL EXPENSES PERMANENTS / HOTELS</v>
          </cell>
          <cell r="E1022">
            <v>150</v>
          </cell>
          <cell r="F1022">
            <v>150</v>
          </cell>
          <cell r="G1022">
            <v>100</v>
          </cell>
          <cell r="H1022">
            <v>50</v>
          </cell>
          <cell r="I1022">
            <v>80</v>
          </cell>
          <cell r="J1022">
            <v>80</v>
          </cell>
          <cell r="K1022">
            <v>50</v>
          </cell>
          <cell r="L1022">
            <v>40</v>
          </cell>
          <cell r="M1022">
            <v>0</v>
          </cell>
          <cell r="N1022">
            <v>0</v>
          </cell>
          <cell r="O1022">
            <v>150</v>
          </cell>
          <cell r="P1022">
            <v>150</v>
          </cell>
          <cell r="Q1022">
            <v>1000</v>
          </cell>
        </row>
        <row r="1023">
          <cell r="A1023" t="str">
            <v>USWOMZA1503911100015</v>
          </cell>
          <cell r="B1023" t="str">
            <v>USWOMZA150</v>
          </cell>
          <cell r="C1023">
            <v>3911100015</v>
          </cell>
          <cell r="D1023" t="str">
            <v>TRAVEL EXPENSES PERMANENTS / OTHER</v>
          </cell>
          <cell r="E1023">
            <v>150</v>
          </cell>
          <cell r="F1023">
            <v>150</v>
          </cell>
          <cell r="G1023">
            <v>100</v>
          </cell>
          <cell r="H1023">
            <v>50</v>
          </cell>
          <cell r="I1023">
            <v>80</v>
          </cell>
          <cell r="J1023">
            <v>80</v>
          </cell>
          <cell r="K1023">
            <v>50</v>
          </cell>
          <cell r="L1023">
            <v>40</v>
          </cell>
          <cell r="M1023">
            <v>0</v>
          </cell>
          <cell r="N1023">
            <v>0</v>
          </cell>
          <cell r="O1023">
            <v>150</v>
          </cell>
          <cell r="P1023">
            <v>150</v>
          </cell>
          <cell r="Q1023">
            <v>1000</v>
          </cell>
        </row>
        <row r="1024">
          <cell r="A1024" t="str">
            <v>USWOMZA1503921200001</v>
          </cell>
          <cell r="B1024" t="str">
            <v>USWOMZA150</v>
          </cell>
          <cell r="C1024">
            <v>3921200001</v>
          </cell>
          <cell r="D1024" t="str">
            <v>FUEL</v>
          </cell>
          <cell r="E1024">
            <v>3750</v>
          </cell>
          <cell r="F1024">
            <v>3750</v>
          </cell>
          <cell r="G1024">
            <v>2500</v>
          </cell>
          <cell r="H1024">
            <v>1250</v>
          </cell>
          <cell r="I1024">
            <v>2000</v>
          </cell>
          <cell r="J1024">
            <v>2000</v>
          </cell>
          <cell r="K1024">
            <v>1250</v>
          </cell>
          <cell r="L1024">
            <v>1000</v>
          </cell>
          <cell r="M1024">
            <v>0</v>
          </cell>
          <cell r="N1024">
            <v>0</v>
          </cell>
          <cell r="O1024">
            <v>3750</v>
          </cell>
          <cell r="P1024">
            <v>3750</v>
          </cell>
          <cell r="Q1024">
            <v>25000</v>
          </cell>
        </row>
        <row r="1025">
          <cell r="A1025" t="str">
            <v>USWOMZA1503921200006</v>
          </cell>
          <cell r="B1025" t="str">
            <v>USWOMZA150</v>
          </cell>
          <cell r="C1025">
            <v>3921200006</v>
          </cell>
          <cell r="D1025" t="str">
            <v>FACTORY SUPPLIES MAINTENANCE SUPPLIES</v>
          </cell>
          <cell r="E1025">
            <v>3750</v>
          </cell>
          <cell r="F1025">
            <v>3750</v>
          </cell>
          <cell r="G1025">
            <v>2500</v>
          </cell>
          <cell r="H1025">
            <v>1250</v>
          </cell>
          <cell r="I1025">
            <v>2000</v>
          </cell>
          <cell r="J1025">
            <v>2000</v>
          </cell>
          <cell r="K1025">
            <v>1250</v>
          </cell>
          <cell r="L1025">
            <v>1000</v>
          </cell>
          <cell r="M1025">
            <v>0</v>
          </cell>
          <cell r="N1025">
            <v>0</v>
          </cell>
          <cell r="O1025">
            <v>3750</v>
          </cell>
          <cell r="P1025">
            <v>3750</v>
          </cell>
          <cell r="Q1025">
            <v>25000</v>
          </cell>
        </row>
        <row r="1026">
          <cell r="A1026" t="str">
            <v>USWOMZA1503921200010</v>
          </cell>
          <cell r="B1026" t="str">
            <v>USWOMZA150</v>
          </cell>
          <cell r="C1026">
            <v>3921200010</v>
          </cell>
          <cell r="D1026" t="str">
            <v>ADMINISTRATIVE SUPPLIES</v>
          </cell>
          <cell r="E1026">
            <v>225</v>
          </cell>
          <cell r="F1026">
            <v>225</v>
          </cell>
          <cell r="G1026">
            <v>150</v>
          </cell>
          <cell r="H1026">
            <v>75</v>
          </cell>
          <cell r="I1026">
            <v>120</v>
          </cell>
          <cell r="J1026">
            <v>120</v>
          </cell>
          <cell r="K1026">
            <v>75</v>
          </cell>
          <cell r="L1026">
            <v>60</v>
          </cell>
          <cell r="M1026">
            <v>0</v>
          </cell>
          <cell r="N1026">
            <v>0</v>
          </cell>
          <cell r="O1026">
            <v>225</v>
          </cell>
          <cell r="P1026">
            <v>225</v>
          </cell>
          <cell r="Q1026">
            <v>1500</v>
          </cell>
        </row>
        <row r="1027">
          <cell r="A1027" t="str">
            <v>USWOMZA1503921200050</v>
          </cell>
          <cell r="B1027" t="str">
            <v>USWOMZA150</v>
          </cell>
          <cell r="C1027">
            <v>3921200050</v>
          </cell>
          <cell r="D1027" t="str">
            <v>SAFETY EQUIPMENT - SUPPLIES</v>
          </cell>
          <cell r="E1027">
            <v>750</v>
          </cell>
          <cell r="F1027">
            <v>750</v>
          </cell>
          <cell r="G1027">
            <v>500</v>
          </cell>
          <cell r="H1027">
            <v>250</v>
          </cell>
          <cell r="I1027">
            <v>400</v>
          </cell>
          <cell r="J1027">
            <v>400</v>
          </cell>
          <cell r="K1027">
            <v>250</v>
          </cell>
          <cell r="L1027">
            <v>200</v>
          </cell>
          <cell r="M1027">
            <v>0</v>
          </cell>
          <cell r="N1027">
            <v>0</v>
          </cell>
          <cell r="O1027">
            <v>750</v>
          </cell>
          <cell r="P1027">
            <v>750</v>
          </cell>
          <cell r="Q1027">
            <v>5000</v>
          </cell>
        </row>
        <row r="1028">
          <cell r="A1028" t="str">
            <v>USWOMZA1503921200100</v>
          </cell>
          <cell r="B1028" t="str">
            <v>USWOMZA150</v>
          </cell>
          <cell r="C1028">
            <v>3921200100</v>
          </cell>
          <cell r="D1028" t="str">
            <v>FIELD &amp; PRODUCTION SUPPLIES</v>
          </cell>
          <cell r="E1028">
            <v>10500</v>
          </cell>
          <cell r="F1028">
            <v>10500</v>
          </cell>
          <cell r="G1028">
            <v>7000</v>
          </cell>
          <cell r="H1028">
            <v>3500</v>
          </cell>
          <cell r="I1028">
            <v>5600</v>
          </cell>
          <cell r="J1028">
            <v>5600</v>
          </cell>
          <cell r="K1028">
            <v>3500</v>
          </cell>
          <cell r="L1028">
            <v>2800</v>
          </cell>
          <cell r="M1028">
            <v>0</v>
          </cell>
          <cell r="N1028">
            <v>0</v>
          </cell>
          <cell r="O1028">
            <v>10500</v>
          </cell>
          <cell r="P1028">
            <v>10500</v>
          </cell>
          <cell r="Q1028">
            <v>70000</v>
          </cell>
        </row>
        <row r="1029">
          <cell r="A1029" t="str">
            <v>USWOMZA1503951100005</v>
          </cell>
          <cell r="B1029" t="str">
            <v>USWOMZA150</v>
          </cell>
          <cell r="C1029">
            <v>3951100005</v>
          </cell>
          <cell r="D1029" t="str">
            <v>OTHER RENTALS</v>
          </cell>
          <cell r="E1029">
            <v>3750</v>
          </cell>
          <cell r="F1029">
            <v>3750</v>
          </cell>
          <cell r="G1029">
            <v>2500</v>
          </cell>
          <cell r="H1029">
            <v>1250</v>
          </cell>
          <cell r="I1029">
            <v>2000</v>
          </cell>
          <cell r="J1029">
            <v>2000</v>
          </cell>
          <cell r="K1029">
            <v>1250</v>
          </cell>
          <cell r="L1029">
            <v>1000</v>
          </cell>
          <cell r="M1029">
            <v>0</v>
          </cell>
          <cell r="N1029">
            <v>0</v>
          </cell>
          <cell r="O1029">
            <v>3750</v>
          </cell>
          <cell r="P1029">
            <v>3750</v>
          </cell>
          <cell r="Q1029">
            <v>25000</v>
          </cell>
        </row>
        <row r="1030">
          <cell r="A1030" t="str">
            <v>USWOMZA1503951200002</v>
          </cell>
          <cell r="B1030" t="str">
            <v>USWOMZA150</v>
          </cell>
          <cell r="C1030">
            <v>3951200002</v>
          </cell>
          <cell r="D1030" t="str">
            <v>OPERATING LEASES - VEHICLES (SHORT DURAT</v>
          </cell>
          <cell r="E1030">
            <v>465</v>
          </cell>
          <cell r="F1030">
            <v>465</v>
          </cell>
          <cell r="G1030">
            <v>310</v>
          </cell>
          <cell r="H1030">
            <v>155</v>
          </cell>
          <cell r="I1030">
            <v>248</v>
          </cell>
          <cell r="J1030">
            <v>248</v>
          </cell>
          <cell r="K1030">
            <v>155</v>
          </cell>
          <cell r="L1030">
            <v>124</v>
          </cell>
          <cell r="M1030">
            <v>0</v>
          </cell>
          <cell r="N1030">
            <v>0</v>
          </cell>
          <cell r="O1030">
            <v>465</v>
          </cell>
          <cell r="P1030">
            <v>465</v>
          </cell>
          <cell r="Q1030">
            <v>3100</v>
          </cell>
        </row>
        <row r="1031">
          <cell r="A1031" t="str">
            <v>USWOMZA1503991200012</v>
          </cell>
          <cell r="B1031" t="str">
            <v>USWOMZA150</v>
          </cell>
          <cell r="C1031">
            <v>3991200012</v>
          </cell>
          <cell r="D1031" t="str">
            <v>DELIVERY SERVICES</v>
          </cell>
          <cell r="E1031">
            <v>900</v>
          </cell>
          <cell r="F1031">
            <v>900</v>
          </cell>
          <cell r="G1031">
            <v>600</v>
          </cell>
          <cell r="H1031">
            <v>300</v>
          </cell>
          <cell r="I1031">
            <v>480</v>
          </cell>
          <cell r="J1031">
            <v>480</v>
          </cell>
          <cell r="K1031">
            <v>300</v>
          </cell>
          <cell r="L1031">
            <v>240</v>
          </cell>
          <cell r="M1031">
            <v>0</v>
          </cell>
          <cell r="N1031">
            <v>0</v>
          </cell>
          <cell r="O1031">
            <v>900</v>
          </cell>
          <cell r="P1031">
            <v>900</v>
          </cell>
          <cell r="Q1031">
            <v>6000</v>
          </cell>
        </row>
        <row r="1032">
          <cell r="A1032" t="str">
            <v>USWOMZA1503991200015</v>
          </cell>
          <cell r="B1032" t="str">
            <v>USWOMZA150</v>
          </cell>
          <cell r="C1032">
            <v>3991200015</v>
          </cell>
          <cell r="D1032" t="str">
            <v>TELEPHONE</v>
          </cell>
          <cell r="E1032">
            <v>150</v>
          </cell>
          <cell r="F1032">
            <v>150</v>
          </cell>
          <cell r="G1032">
            <v>100</v>
          </cell>
          <cell r="H1032">
            <v>50</v>
          </cell>
          <cell r="I1032">
            <v>80</v>
          </cell>
          <cell r="J1032">
            <v>80</v>
          </cell>
          <cell r="K1032">
            <v>50</v>
          </cell>
          <cell r="L1032">
            <v>40</v>
          </cell>
          <cell r="M1032">
            <v>0</v>
          </cell>
          <cell r="N1032">
            <v>0</v>
          </cell>
          <cell r="O1032">
            <v>150</v>
          </cell>
          <cell r="P1032">
            <v>150</v>
          </cell>
          <cell r="Q1032">
            <v>1000</v>
          </cell>
        </row>
        <row r="1033">
          <cell r="A1033" t="str">
            <v>USWOMZA1553111100000</v>
          </cell>
          <cell r="B1033" t="str">
            <v>USWOMZA155</v>
          </cell>
          <cell r="C1033">
            <v>3111100000</v>
          </cell>
          <cell r="D1033" t="str">
            <v>WAGES,SALARIES,ALLOWANCES AND COMMI/PERM</v>
          </cell>
          <cell r="E1033">
            <v>7719</v>
          </cell>
          <cell r="F1033">
            <v>7719</v>
          </cell>
          <cell r="G1033">
            <v>7719</v>
          </cell>
          <cell r="H1033">
            <v>7719</v>
          </cell>
          <cell r="I1033">
            <v>7719</v>
          </cell>
          <cell r="J1033">
            <v>7719</v>
          </cell>
          <cell r="K1033">
            <v>7719</v>
          </cell>
          <cell r="L1033">
            <v>7719</v>
          </cell>
          <cell r="M1033">
            <v>7719</v>
          </cell>
          <cell r="N1033">
            <v>7719</v>
          </cell>
          <cell r="O1033">
            <v>7719</v>
          </cell>
          <cell r="P1033">
            <v>7724</v>
          </cell>
          <cell r="Q1033">
            <v>92633</v>
          </cell>
        </row>
        <row r="1034">
          <cell r="A1034" t="str">
            <v>USWOMZA1553111100012</v>
          </cell>
          <cell r="B1034" t="str">
            <v>USWOMZA155</v>
          </cell>
          <cell r="C1034">
            <v>3111100012</v>
          </cell>
          <cell r="D1034" t="str">
            <v>OVERTIME HOURS /PERMANENTS</v>
          </cell>
          <cell r="E1034">
            <v>858</v>
          </cell>
          <cell r="F1034">
            <v>858</v>
          </cell>
          <cell r="G1034">
            <v>858</v>
          </cell>
          <cell r="H1034">
            <v>858</v>
          </cell>
          <cell r="I1034">
            <v>858</v>
          </cell>
          <cell r="J1034">
            <v>858</v>
          </cell>
          <cell r="K1034">
            <v>858</v>
          </cell>
          <cell r="L1034">
            <v>858</v>
          </cell>
          <cell r="M1034">
            <v>858</v>
          </cell>
          <cell r="N1034">
            <v>858</v>
          </cell>
          <cell r="O1034">
            <v>858</v>
          </cell>
          <cell r="P1034">
            <v>855</v>
          </cell>
          <cell r="Q1034">
            <v>10293</v>
          </cell>
        </row>
        <row r="1035">
          <cell r="A1035" t="str">
            <v>USWOMZA1553121300013</v>
          </cell>
          <cell r="B1035" t="str">
            <v>USWOMZA155</v>
          </cell>
          <cell r="C1035">
            <v>3121300013</v>
          </cell>
          <cell r="D1035" t="str">
            <v>FRINGE BENEFITS</v>
          </cell>
          <cell r="E1035">
            <v>3242</v>
          </cell>
          <cell r="F1035">
            <v>3242</v>
          </cell>
          <cell r="G1035">
            <v>3242</v>
          </cell>
          <cell r="H1035">
            <v>3242</v>
          </cell>
          <cell r="I1035">
            <v>3242</v>
          </cell>
          <cell r="J1035">
            <v>3242</v>
          </cell>
          <cell r="K1035">
            <v>3242</v>
          </cell>
          <cell r="L1035">
            <v>3242</v>
          </cell>
          <cell r="M1035">
            <v>3242</v>
          </cell>
          <cell r="N1035">
            <v>3242</v>
          </cell>
          <cell r="O1035">
            <v>3242</v>
          </cell>
          <cell r="P1035">
            <v>3244</v>
          </cell>
          <cell r="Q1035">
            <v>38906</v>
          </cell>
        </row>
        <row r="1036">
          <cell r="A1036" t="str">
            <v>USWOMZA1553201300001</v>
          </cell>
          <cell r="B1036" t="str">
            <v>USWOMZA155</v>
          </cell>
          <cell r="C1036">
            <v>3201300001</v>
          </cell>
          <cell r="D1036" t="str">
            <v>HIRED PERSONNEL FROM 3RD PARTIES</v>
          </cell>
          <cell r="E1036">
            <v>4500</v>
          </cell>
          <cell r="F1036">
            <v>4500</v>
          </cell>
          <cell r="G1036">
            <v>3000</v>
          </cell>
          <cell r="H1036">
            <v>1500</v>
          </cell>
          <cell r="I1036">
            <v>3000</v>
          </cell>
          <cell r="J1036">
            <v>3000</v>
          </cell>
          <cell r="K1036">
            <v>1500</v>
          </cell>
          <cell r="L1036">
            <v>0</v>
          </cell>
          <cell r="M1036">
            <v>0</v>
          </cell>
          <cell r="N1036">
            <v>0</v>
          </cell>
          <cell r="O1036">
            <v>4500</v>
          </cell>
          <cell r="P1036">
            <v>4500</v>
          </cell>
          <cell r="Q1036">
            <v>30000</v>
          </cell>
        </row>
      </sheetData>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JE"/>
      <sheetName val="Bud vs Actual"/>
      <sheetName val="2008 Var Accumulation"/>
      <sheetName val="2009 Var Amortization"/>
      <sheetName val="Budget Explanations"/>
      <sheetName val="08 Budgeted Sales"/>
      <sheetName val="monthlookup"/>
      <sheetName val="External LO"/>
      <sheetName val="Winter LO"/>
      <sheetName val="Winter LE2"/>
      <sheetName val="Prod Var Recon"/>
      <sheetName val="June 09 - Jun-May Rebag"/>
      <sheetName val="Adj to Actual-LO%"/>
      <sheetName val="Adj to Actual-LO"/>
      <sheetName val="1st Yr Amort Entry"/>
      <sheetName val="Template(1stYear)"/>
      <sheetName val="upload(1stYear)"/>
      <sheetName val="2nd Yr Amort Entry"/>
      <sheetName val="Template (2ndYear)"/>
      <sheetName val="upload (2ndYear)"/>
      <sheetName val="JE Bulk Discard to PL"/>
      <sheetName val="JE Winter Prod - Adj to Bud Acc"/>
      <sheetName val="Air Freight Entry"/>
      <sheetName val="JE Bulk Discard Revenue"/>
    </sheetNames>
    <sheetDataSet>
      <sheetData sheetId="0"/>
      <sheetData sheetId="1"/>
      <sheetData sheetId="2"/>
      <sheetData sheetId="3">
        <row r="15">
          <cell r="C15" t="str">
            <v>Revaluation</v>
          </cell>
        </row>
      </sheetData>
      <sheetData sheetId="4"/>
      <sheetData sheetId="5"/>
      <sheetData sheetId="6">
        <row r="2">
          <cell r="B2">
            <v>1</v>
          </cell>
        </row>
      </sheetData>
      <sheetData sheetId="7"/>
      <sheetData sheetId="8"/>
      <sheetData sheetId="9"/>
      <sheetData sheetId="10"/>
      <sheetData sheetId="11"/>
      <sheetData sheetId="12">
        <row r="14">
          <cell r="A14" t="str">
            <v>PPV Excl Hedging</v>
          </cell>
          <cell r="B14">
            <v>-67.6942378546008</v>
          </cell>
          <cell r="C14">
            <v>67694237.854600802</v>
          </cell>
          <cell r="D14">
            <v>5.8462270287710005E-2</v>
          </cell>
          <cell r="E14">
            <v>-3957558.8303762022</v>
          </cell>
        </row>
        <row r="15">
          <cell r="A15" t="str">
            <v>Plant</v>
          </cell>
          <cell r="B15">
            <v>-34.18396849836958</v>
          </cell>
          <cell r="C15">
            <v>34183968.498369582</v>
          </cell>
          <cell r="D15">
            <v>5.8462270287710005E-2</v>
          </cell>
          <cell r="E15">
            <v>-1998472.4058582468</v>
          </cell>
        </row>
        <row r="16">
          <cell r="A16" t="str">
            <v>Field</v>
          </cell>
          <cell r="B16">
            <v>28.050014064248781</v>
          </cell>
          <cell r="C16">
            <v>-28050014.064248782</v>
          </cell>
          <cell r="D16">
            <v>5.8462270287710005E-2</v>
          </cell>
          <cell r="E16">
            <v>1639867.5037981793</v>
          </cell>
        </row>
        <row r="17">
          <cell r="A17" t="str">
            <v xml:space="preserve">Reval </v>
          </cell>
          <cell r="B17">
            <v>23.529014172951612</v>
          </cell>
          <cell r="C17">
            <v>-23529014.172951613</v>
          </cell>
          <cell r="D17">
            <v>5.8462270287710005E-2</v>
          </cell>
          <cell r="E17">
            <v>1375559.5861824567</v>
          </cell>
        </row>
        <row r="18">
          <cell r="A18" t="str">
            <v>Total</v>
          </cell>
          <cell r="B18">
            <v>-50.299178115769983</v>
          </cell>
          <cell r="C18">
            <v>50299178.115769997</v>
          </cell>
          <cell r="E18">
            <v>-2940604.1462538131</v>
          </cell>
        </row>
        <row r="20">
          <cell r="A20" t="str">
            <v>SC Mgt - Hyperion</v>
          </cell>
          <cell r="B20">
            <v>5.4</v>
          </cell>
          <cell r="C20">
            <v>-5400000</v>
          </cell>
          <cell r="D20">
            <v>5.8462270287710005E-2</v>
          </cell>
          <cell r="E20">
            <v>315696.25955363404</v>
          </cell>
        </row>
      </sheetData>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 vs Actual"/>
      <sheetName val="2008 Var Accumulation"/>
      <sheetName val="2009 Var Amortization"/>
      <sheetName val="Budget Explanations"/>
      <sheetName val="08 Budgeted Sales"/>
      <sheetName val="monthlookup"/>
      <sheetName val="External LO"/>
      <sheetName val="Prod Var Recon"/>
      <sheetName val="Winter LO"/>
      <sheetName val="Rebag Exp July 08 - June 09"/>
      <sheetName val="Rebag Exp June 08 - May 09"/>
      <sheetName val="Adj to Actual-LO%"/>
      <sheetName val="Adj to Actual-LO"/>
      <sheetName val="Template(Adj to Actual-LO)"/>
      <sheetName val="upload(Adj to Actual-LO)"/>
      <sheetName val="1st Yr Amort Entry"/>
      <sheetName val="Template(1stYear)"/>
      <sheetName val="upload(1stYear)"/>
      <sheetName val="2nd Yr Amort Entry"/>
      <sheetName val="Template (2ndYear)"/>
      <sheetName val="upload (2ndYear)"/>
      <sheetName val="JE May"/>
      <sheetName val="JE Bulk Discard to PL"/>
      <sheetName val="JE Winter Prod - Adj to Bud Acc"/>
      <sheetName val="Air Freight Entry"/>
      <sheetName val="JE Bulk Discard Revenue"/>
    </sheetNames>
    <sheetDataSet>
      <sheetData sheetId="0">
        <row r="10">
          <cell r="P10">
            <v>265.15375399999925</v>
          </cell>
        </row>
      </sheetData>
      <sheetData sheetId="1">
        <row r="21">
          <cell r="AP21">
            <v>-748288.35</v>
          </cell>
        </row>
      </sheetData>
      <sheetData sheetId="2">
        <row r="15">
          <cell r="C15" t="str">
            <v>Revaluation</v>
          </cell>
        </row>
        <row r="82">
          <cell r="C82" t="str">
            <v>Air Freight</v>
          </cell>
          <cell r="D82">
            <v>1101209020</v>
          </cell>
          <cell r="E82">
            <v>3001500902</v>
          </cell>
          <cell r="F82">
            <v>0</v>
          </cell>
          <cell r="H82">
            <v>0</v>
          </cell>
          <cell r="I82">
            <v>0</v>
          </cell>
          <cell r="J82">
            <v>0</v>
          </cell>
          <cell r="K82">
            <v>-1500000</v>
          </cell>
          <cell r="L82">
            <v>0</v>
          </cell>
          <cell r="M82">
            <v>-1500000</v>
          </cell>
        </row>
      </sheetData>
      <sheetData sheetId="3"/>
      <sheetData sheetId="4">
        <row r="3">
          <cell r="C3">
            <v>386.43136679943859</v>
          </cell>
        </row>
      </sheetData>
      <sheetData sheetId="5">
        <row r="2">
          <cell r="B2">
            <v>1</v>
          </cell>
        </row>
      </sheetData>
      <sheetData sheetId="6"/>
      <sheetData sheetId="7"/>
      <sheetData sheetId="8">
        <row r="42">
          <cell r="E42">
            <v>21075587.451200008</v>
          </cell>
        </row>
      </sheetData>
      <sheetData sheetId="9"/>
      <sheetData sheetId="10">
        <row r="53">
          <cell r="A53">
            <v>1264546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 vs Actual"/>
      <sheetName val="2007 Var Accumulation"/>
      <sheetName val="2008 Var Amortization"/>
      <sheetName val="08 Budgeted Sales"/>
      <sheetName val="P&amp;L Summary-Corn"/>
      <sheetName val="monthlookup"/>
      <sheetName val="1st Yr Amort Entry"/>
      <sheetName val="2nd Yr Amort Entry"/>
      <sheetName val="JE Bulk Discard to PL"/>
      <sheetName val="JE Bulk Discard Revenue"/>
      <sheetName val="Air Freight Entry"/>
    </sheetNames>
    <sheetDataSet>
      <sheetData sheetId="0" refreshError="1"/>
      <sheetData sheetId="1" refreshError="1"/>
      <sheetData sheetId="2">
        <row r="15">
          <cell r="C15" t="str">
            <v>Revaluation</v>
          </cell>
          <cell r="D15">
            <v>1101209030</v>
          </cell>
          <cell r="E15">
            <v>3001500945</v>
          </cell>
          <cell r="F15">
            <v>-21778275.325972941</v>
          </cell>
          <cell r="H15">
            <v>-6974726.6988853887</v>
          </cell>
          <cell r="I15">
            <v>-4880655.2301466586</v>
          </cell>
          <cell r="J15">
            <v>-6125017.7663744045</v>
          </cell>
          <cell r="K15">
            <v>-3359913.416176016</v>
          </cell>
          <cell r="L15">
            <v>-437962.21439047344</v>
          </cell>
        </row>
        <row r="16">
          <cell r="C16" t="str">
            <v xml:space="preserve">Cost Center </v>
          </cell>
          <cell r="D16">
            <v>1101209030</v>
          </cell>
          <cell r="E16">
            <v>3001500902</v>
          </cell>
          <cell r="F16">
            <v>-8622528.5280000046</v>
          </cell>
          <cell r="H16">
            <v>-2761457.4173566164</v>
          </cell>
          <cell r="I16">
            <v>-1932365.5490332963</v>
          </cell>
          <cell r="J16">
            <v>-2425037.7789137787</v>
          </cell>
          <cell r="K16">
            <v>-1330268.2994386002</v>
          </cell>
          <cell r="L16">
            <v>-173399.48325771312</v>
          </cell>
        </row>
        <row r="17">
          <cell r="C17" t="str">
            <v>Yield</v>
          </cell>
          <cell r="D17">
            <v>1101209030</v>
          </cell>
          <cell r="E17">
            <v>3001500905</v>
          </cell>
          <cell r="F17">
            <v>-11739837.727999995</v>
          </cell>
          <cell r="H17">
            <v>-3759809.1867453912</v>
          </cell>
          <cell r="I17">
            <v>-2630975.1139890347</v>
          </cell>
          <cell r="J17">
            <v>-3301763.5043210229</v>
          </cell>
          <cell r="K17">
            <v>-1811201.194568163</v>
          </cell>
          <cell r="L17">
            <v>-236088.72837638267</v>
          </cell>
        </row>
        <row r="18">
          <cell r="C18" t="str">
            <v>Hedge Fees</v>
          </cell>
          <cell r="D18">
            <v>3001500912</v>
          </cell>
          <cell r="E18">
            <v>1101209030</v>
          </cell>
          <cell r="F18">
            <v>39994.752</v>
          </cell>
          <cell r="H18">
            <v>12808.74910498624</v>
          </cell>
          <cell r="I18">
            <v>8963.0878756694183</v>
          </cell>
          <cell r="J18">
            <v>11248.29964242333</v>
          </cell>
          <cell r="K18">
            <v>6170.3188985388215</v>
          </cell>
          <cell r="L18">
            <v>804.29647838219182</v>
          </cell>
        </row>
        <row r="19">
          <cell r="C19" t="str">
            <v>Grower PPV</v>
          </cell>
          <cell r="D19">
            <v>3001500912</v>
          </cell>
          <cell r="E19">
            <v>1101209030</v>
          </cell>
          <cell r="F19">
            <v>21720497.872000001</v>
          </cell>
          <cell r="H19">
            <v>6956222.8483835962</v>
          </cell>
          <cell r="I19">
            <v>4867706.9213987533</v>
          </cell>
          <cell r="J19">
            <v>6108768.1815572772</v>
          </cell>
          <cell r="K19">
            <v>3350999.6137811746</v>
          </cell>
          <cell r="L19">
            <v>436800.30687919987</v>
          </cell>
        </row>
        <row r="20">
          <cell r="C20" t="str">
            <v>Grower PPV Int. Est</v>
          </cell>
          <cell r="D20">
            <v>3001500912</v>
          </cell>
          <cell r="E20">
            <v>1101209030</v>
          </cell>
          <cell r="F20">
            <v>12073327.960000001</v>
          </cell>
          <cell r="H20">
            <v>3866613.0171742369</v>
          </cell>
          <cell r="I20">
            <v>2705712.4759082543</v>
          </cell>
          <cell r="J20">
            <v>3395555.7612990723</v>
          </cell>
          <cell r="K20">
            <v>1862651.4718692384</v>
          </cell>
          <cell r="L20">
            <v>242795.23374919922</v>
          </cell>
        </row>
        <row r="21">
          <cell r="C21" t="str">
            <v>Grower PPV Ext. Est</v>
          </cell>
          <cell r="D21">
            <v>3001500912</v>
          </cell>
          <cell r="E21">
            <v>1101209030</v>
          </cell>
          <cell r="F21">
            <v>13287916.244424</v>
          </cell>
          <cell r="H21">
            <v>4255597.9670257242</v>
          </cell>
          <cell r="I21">
            <v>2977909.7263387828</v>
          </cell>
          <cell r="J21">
            <v>3737151.9028472942</v>
          </cell>
          <cell r="K21">
            <v>2050035.9828502103</v>
          </cell>
          <cell r="L21">
            <v>267220.66536198906</v>
          </cell>
        </row>
        <row r="22">
          <cell r="C22" t="str">
            <v>Other PPV</v>
          </cell>
          <cell r="D22">
            <v>3001500912</v>
          </cell>
          <cell r="E22">
            <v>1101209030</v>
          </cell>
          <cell r="F22">
            <v>3734912.5200000005</v>
          </cell>
          <cell r="H22">
            <v>1196145.8692818475</v>
          </cell>
          <cell r="I22">
            <v>837018.54495054553</v>
          </cell>
          <cell r="J22">
            <v>1050423.1946030925</v>
          </cell>
          <cell r="K22">
            <v>576215.63215457008</v>
          </cell>
          <cell r="L22">
            <v>75109.27900994505</v>
          </cell>
        </row>
        <row r="23">
          <cell r="C23" t="str">
            <v>Currency PPV</v>
          </cell>
          <cell r="D23">
            <v>1101209030</v>
          </cell>
          <cell r="E23">
            <v>3001500907</v>
          </cell>
          <cell r="F23">
            <v>-153042.27249358449</v>
          </cell>
          <cell r="H23">
            <v>-49013.432333003606</v>
          </cell>
          <cell r="I23">
            <v>-34297.783295471927</v>
          </cell>
          <cell r="J23">
            <v>-43042.280621348524</v>
          </cell>
          <cell r="K23">
            <v>-23611.088430864442</v>
          </cell>
          <cell r="L23">
            <v>-3077.6878128959966</v>
          </cell>
        </row>
        <row r="24">
          <cell r="C24" t="str">
            <v>Distrubtion</v>
          </cell>
          <cell r="D24">
            <v>3001500902</v>
          </cell>
          <cell r="E24">
            <v>1101209030</v>
          </cell>
          <cell r="F24">
            <v>3968802.2640000004</v>
          </cell>
          <cell r="H24">
            <v>1271051.5731383299</v>
          </cell>
          <cell r="I24">
            <v>889434.78017785295</v>
          </cell>
          <cell r="J24">
            <v>1116203.3730575477</v>
          </cell>
          <cell r="K24">
            <v>612299.72407687048</v>
          </cell>
          <cell r="L24">
            <v>79812.813549399434</v>
          </cell>
        </row>
        <row r="25">
          <cell r="C25" t="str">
            <v>To be Invoiced Est</v>
          </cell>
          <cell r="D25">
            <v>1101209030</v>
          </cell>
          <cell r="E25">
            <v>3001500945</v>
          </cell>
          <cell r="F25">
            <v>-2209597.84</v>
          </cell>
          <cell r="H25">
            <v>-707647.45223272103</v>
          </cell>
          <cell r="I25">
            <v>-495185.45857739873</v>
          </cell>
          <cell r="J25">
            <v>-621436.99737333937</v>
          </cell>
          <cell r="K25">
            <v>-340892.80789445969</v>
          </cell>
          <cell r="L25">
            <v>-44435.123922081017</v>
          </cell>
        </row>
        <row r="26">
          <cell r="C26" t="str">
            <v>STI Adj</v>
          </cell>
          <cell r="D26">
            <v>1101209030</v>
          </cell>
          <cell r="E26">
            <v>3001500902</v>
          </cell>
          <cell r="H26">
            <v>0</v>
          </cell>
          <cell r="I26">
            <v>0</v>
          </cell>
          <cell r="J26">
            <v>0</v>
          </cell>
          <cell r="K26">
            <v>0</v>
          </cell>
          <cell r="L26">
            <v>0</v>
          </cell>
        </row>
        <row r="27">
          <cell r="C27" t="str">
            <v>Rebag</v>
          </cell>
          <cell r="D27">
            <v>3001500972</v>
          </cell>
          <cell r="E27">
            <v>1101209040</v>
          </cell>
          <cell r="F27">
            <v>2573877.44</v>
          </cell>
          <cell r="H27">
            <v>824311.90862101794</v>
          </cell>
          <cell r="I27">
            <v>576822.9210653198</v>
          </cell>
          <cell r="J27">
            <v>723888.59138302621</v>
          </cell>
          <cell r="K27">
            <v>397093.21389353089</v>
          </cell>
          <cell r="L27">
            <v>51760.80503710515</v>
          </cell>
        </row>
        <row r="32">
          <cell r="C32" t="str">
            <v>Revaluation</v>
          </cell>
          <cell r="D32">
            <v>1101209030</v>
          </cell>
          <cell r="E32">
            <v>3001500945</v>
          </cell>
          <cell r="F32">
            <v>-293415.61000000057</v>
          </cell>
          <cell r="H32">
            <v>-93969.502098087745</v>
          </cell>
          <cell r="I32">
            <v>-65756.374649432808</v>
          </cell>
          <cell r="J32">
            <v>-82521.494346168955</v>
          </cell>
          <cell r="K32">
            <v>-45267.636201602152</v>
          </cell>
          <cell r="L32">
            <v>-5900.6027047089347</v>
          </cell>
        </row>
        <row r="33">
          <cell r="C33" t="str">
            <v xml:space="preserve">Cost Center </v>
          </cell>
          <cell r="D33">
            <v>1101209030</v>
          </cell>
          <cell r="E33">
            <v>3001500902</v>
          </cell>
          <cell r="F33">
            <v>-1551949.42</v>
          </cell>
          <cell r="H33">
            <v>-497028.47874663438</v>
          </cell>
          <cell r="I33">
            <v>-347802.10738784395</v>
          </cell>
          <cell r="J33">
            <v>-436477.06844250695</v>
          </cell>
          <cell r="K33">
            <v>-239431.98437140859</v>
          </cell>
          <cell r="L33">
            <v>-31209.781051606096</v>
          </cell>
        </row>
        <row r="34">
          <cell r="C34" t="str">
            <v>Yield</v>
          </cell>
          <cell r="D34">
            <v>1101209030</v>
          </cell>
          <cell r="E34">
            <v>3001500905</v>
          </cell>
          <cell r="F34">
            <v>-260832.21999999796</v>
          </cell>
          <cell r="H34">
            <v>-83534.321314870205</v>
          </cell>
          <cell r="I34">
            <v>-58454.221910562672</v>
          </cell>
          <cell r="J34">
            <v>-73357.598690909756</v>
          </cell>
          <cell r="K34">
            <v>-40240.728993989585</v>
          </cell>
          <cell r="L34">
            <v>-5245.3490896657504</v>
          </cell>
        </row>
        <row r="35">
          <cell r="C35" t="str">
            <v>Hedge Fees</v>
          </cell>
          <cell r="D35">
            <v>3001500912</v>
          </cell>
          <cell r="E35">
            <v>1101209030</v>
          </cell>
          <cell r="F35">
            <v>11726.92</v>
          </cell>
          <cell r="H35">
            <v>3755.6721455416259</v>
          </cell>
          <cell r="I35">
            <v>2628.0801658913956</v>
          </cell>
          <cell r="J35">
            <v>3298.1304657852857</v>
          </cell>
          <cell r="K35">
            <v>1809.2082705664202</v>
          </cell>
          <cell r="L35">
            <v>235.82895221527298</v>
          </cell>
        </row>
        <row r="36">
          <cell r="C36" t="str">
            <v>Grower PPV</v>
          </cell>
          <cell r="D36">
            <v>3001500912</v>
          </cell>
          <cell r="E36">
            <v>1101209030</v>
          </cell>
          <cell r="F36">
            <v>2022365.24</v>
          </cell>
          <cell r="H36">
            <v>647684.20011218672</v>
          </cell>
          <cell r="I36">
            <v>453225.3972426001</v>
          </cell>
          <cell r="J36">
            <v>568778.87893745082</v>
          </cell>
          <cell r="K36">
            <v>312006.89680786117</v>
          </cell>
          <cell r="L36">
            <v>40669.866899901172</v>
          </cell>
        </row>
        <row r="37">
          <cell r="C37" t="str">
            <v>Grower PPV Int. Est</v>
          </cell>
          <cell r="D37">
            <v>3001500912</v>
          </cell>
          <cell r="E37">
            <v>1101209030</v>
          </cell>
          <cell r="F37">
            <v>0</v>
          </cell>
          <cell r="H37">
            <v>0</v>
          </cell>
          <cell r="I37">
            <v>0</v>
          </cell>
          <cell r="J37">
            <v>0</v>
          </cell>
          <cell r="K37">
            <v>0</v>
          </cell>
          <cell r="L37">
            <v>0</v>
          </cell>
        </row>
        <row r="38">
          <cell r="C38" t="str">
            <v>Grower PPV Ext. Est</v>
          </cell>
          <cell r="D38">
            <v>3001500912</v>
          </cell>
          <cell r="E38">
            <v>1101209030</v>
          </cell>
          <cell r="F38">
            <v>0</v>
          </cell>
          <cell r="H38">
            <v>0</v>
          </cell>
          <cell r="I38">
            <v>0</v>
          </cell>
          <cell r="J38">
            <v>0</v>
          </cell>
          <cell r="K38">
            <v>0</v>
          </cell>
          <cell r="L38">
            <v>0</v>
          </cell>
        </row>
        <row r="39">
          <cell r="C39" t="str">
            <v>Other PPV</v>
          </cell>
          <cell r="D39">
            <v>3001500912</v>
          </cell>
          <cell r="E39">
            <v>1101209030</v>
          </cell>
          <cell r="F39">
            <v>1353671.56</v>
          </cell>
          <cell r="H39">
            <v>433527.86342056398</v>
          </cell>
          <cell r="I39">
            <v>303366.73039189016</v>
          </cell>
          <cell r="J39">
            <v>380712.53259194182</v>
          </cell>
          <cell r="K39">
            <v>208842.03030143876</v>
          </cell>
          <cell r="L39">
            <v>27222.403294165393</v>
          </cell>
        </row>
        <row r="40">
          <cell r="C40" t="str">
            <v>Currency PPV</v>
          </cell>
          <cell r="D40">
            <v>1101209030</v>
          </cell>
          <cell r="E40">
            <v>3001500907</v>
          </cell>
          <cell r="F40">
            <v>-78291.08</v>
          </cell>
          <cell r="H40">
            <v>-25073.55967298925</v>
          </cell>
          <cell r="I40">
            <v>-17545.547723887987</v>
          </cell>
          <cell r="J40">
            <v>-22018.927062454</v>
          </cell>
          <cell r="K40">
            <v>-12078.607976141839</v>
          </cell>
          <cell r="L40">
            <v>-1574.4375645269272</v>
          </cell>
        </row>
        <row r="41">
          <cell r="C41" t="str">
            <v>Distrubtion</v>
          </cell>
          <cell r="D41">
            <v>3001500902</v>
          </cell>
          <cell r="E41">
            <v>1101209030</v>
          </cell>
          <cell r="F41">
            <v>950707.41</v>
          </cell>
          <cell r="H41">
            <v>304474.26419699483</v>
          </cell>
          <cell r="I41">
            <v>213059.80494341048</v>
          </cell>
          <cell r="J41">
            <v>267381.12590252364</v>
          </cell>
          <cell r="K41">
            <v>146673.44102806028</v>
          </cell>
          <cell r="L41">
            <v>19118.773929010851</v>
          </cell>
        </row>
        <row r="42">
          <cell r="C42" t="str">
            <v>To be Invoiced Est</v>
          </cell>
          <cell r="D42">
            <v>1101209030</v>
          </cell>
          <cell r="E42">
            <v>3001500945</v>
          </cell>
          <cell r="F42">
            <v>0</v>
          </cell>
          <cell r="H42">
            <v>0</v>
          </cell>
          <cell r="I42">
            <v>0</v>
          </cell>
          <cell r="J42">
            <v>0</v>
          </cell>
          <cell r="K42">
            <v>0</v>
          </cell>
          <cell r="L42">
            <v>0</v>
          </cell>
        </row>
        <row r="43">
          <cell r="C43" t="str">
            <v>STI Adj</v>
          </cell>
          <cell r="D43">
            <v>1101209030</v>
          </cell>
          <cell r="E43">
            <v>3001500902</v>
          </cell>
          <cell r="F43">
            <v>-185721.4</v>
          </cell>
          <cell r="H43">
            <v>-59479.274081429263</v>
          </cell>
          <cell r="I43">
            <v>-41621.391441365864</v>
          </cell>
          <cell r="J43">
            <v>-52233.101913230013</v>
          </cell>
          <cell r="K43">
            <v>-28652.765849956711</v>
          </cell>
          <cell r="L43">
            <v>-3734.8667140181392</v>
          </cell>
        </row>
        <row r="44">
          <cell r="C44" t="str">
            <v>Rebag</v>
          </cell>
          <cell r="D44">
            <v>3001500972</v>
          </cell>
          <cell r="E44">
            <v>1101209040</v>
          </cell>
          <cell r="F44">
            <v>0</v>
          </cell>
          <cell r="H44">
            <v>0</v>
          </cell>
          <cell r="I44">
            <v>0</v>
          </cell>
          <cell r="J44">
            <v>0</v>
          </cell>
          <cell r="K44">
            <v>0</v>
          </cell>
          <cell r="L44">
            <v>0</v>
          </cell>
        </row>
        <row r="84">
          <cell r="C84" t="str">
            <v>2008 Air Freight</v>
          </cell>
          <cell r="D84">
            <v>3001500902</v>
          </cell>
          <cell r="E84">
            <v>1101209020</v>
          </cell>
          <cell r="F84">
            <v>12000000</v>
          </cell>
          <cell r="H84">
            <v>3843128.9500141139</v>
          </cell>
          <cell r="I84">
            <v>2689279.1961313579</v>
          </cell>
          <cell r="J84">
            <v>3374932.6838951255</v>
          </cell>
          <cell r="K84">
            <v>1851338.5651813983</v>
          </cell>
          <cell r="L84">
            <v>241320.60477800443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YTD CP NCP pivot"/>
      <sheetName val="dwnld - US acct 3001500930 0109"/>
      <sheetName val="descus"/>
      <sheetName val="lookup us"/>
      <sheetName val=" CA YTD CP NCP pivot"/>
      <sheetName val="dwnld - CA acct 3001500930 0109"/>
      <sheetName val="descca"/>
      <sheetName val="lookup ca"/>
    </sheetNames>
    <sheetDataSet>
      <sheetData sheetId="0"/>
      <sheetData sheetId="1"/>
      <sheetData sheetId="2">
        <row r="1">
          <cell r="A1" t="str">
            <v>Material</v>
          </cell>
        </row>
      </sheetData>
      <sheetData sheetId="3"/>
      <sheetData sheetId="4"/>
      <sheetData sheetId="5"/>
      <sheetData sheetId="6">
        <row r="1">
          <cell r="A1" t="str">
            <v>Material</v>
          </cell>
        </row>
      </sheetData>
      <sheetData sheetId="7">
        <row r="1">
          <cell r="A1" t="str">
            <v>Material</v>
          </cell>
          <cell r="B1" t="str">
            <v>CP/NCP</v>
          </cell>
        </row>
        <row r="2">
          <cell r="A2">
            <v>233786</v>
          </cell>
          <cell r="B2" t="str">
            <v>CP</v>
          </cell>
        </row>
        <row r="3">
          <cell r="A3">
            <v>233930</v>
          </cell>
          <cell r="B3" t="str">
            <v>CP</v>
          </cell>
        </row>
        <row r="4">
          <cell r="A4">
            <v>681015</v>
          </cell>
          <cell r="B4" t="str">
            <v>CP</v>
          </cell>
        </row>
        <row r="5">
          <cell r="A5">
            <v>890433</v>
          </cell>
          <cell r="B5" t="str">
            <v>CP</v>
          </cell>
        </row>
        <row r="6">
          <cell r="A6">
            <v>233787</v>
          </cell>
          <cell r="B6" t="str">
            <v>NCP</v>
          </cell>
        </row>
        <row r="7">
          <cell r="A7">
            <v>233788</v>
          </cell>
          <cell r="B7" t="str">
            <v>NCP</v>
          </cell>
        </row>
        <row r="8">
          <cell r="A8">
            <v>233789</v>
          </cell>
          <cell r="B8" t="str">
            <v>NCP</v>
          </cell>
        </row>
        <row r="9">
          <cell r="A9">
            <v>237841</v>
          </cell>
          <cell r="B9" t="str">
            <v>NCP</v>
          </cell>
        </row>
        <row r="10">
          <cell r="A10">
            <v>454240</v>
          </cell>
          <cell r="B10" t="str">
            <v>NCP</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YTD CP NCP pivot"/>
      <sheetName val="dwnld - US acct 3001500930 Corn"/>
      <sheetName val="usdesc"/>
      <sheetName val="lookup us"/>
      <sheetName val=" CA YTD CP NCP pivot"/>
      <sheetName val="dwnld - CA acct 3001500930 Corn"/>
      <sheetName val="cadesc"/>
      <sheetName val="lookup ca"/>
    </sheetNames>
    <sheetDataSet>
      <sheetData sheetId="0"/>
      <sheetData sheetId="1"/>
      <sheetData sheetId="2">
        <row r="1">
          <cell r="A1" t="str">
            <v>Material</v>
          </cell>
          <cell r="B1" t="str">
            <v>Material Description</v>
          </cell>
          <cell r="C1" t="str">
            <v xml:space="preserve">   Total stock</v>
          </cell>
          <cell r="D1" t="str">
            <v>BUn</v>
          </cell>
          <cell r="E1" t="str">
            <v>Standard Price</v>
          </cell>
          <cell r="F1" t="str">
            <v>Crcy</v>
          </cell>
          <cell r="G1" t="str">
            <v xml:space="preserve">    per</v>
          </cell>
          <cell r="H1" t="str">
            <v>Basic Material</v>
          </cell>
          <cell r="I1" t="str">
            <v>Ext. material grp</v>
          </cell>
          <cell r="J1" t="str">
            <v>Matl group</v>
          </cell>
          <cell r="K1" t="str">
            <v>Dv</v>
          </cell>
          <cell r="L1" t="str">
            <v>Fut.plnd price</v>
          </cell>
          <cell r="M1" t="str">
            <v>Crcy</v>
          </cell>
          <cell r="N1" t="str">
            <v>Standard price</v>
          </cell>
          <cell r="O1" t="str">
            <v>Crcy</v>
          </cell>
          <cell r="P1" t="str">
            <v>Product hierarchy</v>
          </cell>
          <cell r="Q1" t="str">
            <v>Product hierarchy</v>
          </cell>
          <cell r="R1" t="str">
            <v>ValA</v>
          </cell>
          <cell r="S1" t="str">
            <v>Future price</v>
          </cell>
          <cell r="T1" t="str">
            <v>Crcy</v>
          </cell>
        </row>
        <row r="2">
          <cell r="A2">
            <v>1581</v>
          </cell>
          <cell r="B2" t="str">
            <v>CRBS NP904             STANDARD KG</v>
          </cell>
          <cell r="C2">
            <v>1345.8150000000001</v>
          </cell>
          <cell r="D2" t="str">
            <v>KG</v>
          </cell>
          <cell r="E2">
            <v>57259.06</v>
          </cell>
          <cell r="G2">
            <v>10000</v>
          </cell>
          <cell r="H2" t="str">
            <v>SC Syngenta</v>
          </cell>
          <cell r="J2" t="str">
            <v>BA090</v>
          </cell>
          <cell r="K2">
            <v>1</v>
          </cell>
          <cell r="N2">
            <v>43413.75</v>
          </cell>
          <cell r="P2" t="str">
            <v>NP904</v>
          </cell>
          <cell r="Q2" t="str">
            <v>01Z01ZZ01DT</v>
          </cell>
          <cell r="R2" t="str">
            <v>US08</v>
          </cell>
        </row>
        <row r="3">
          <cell r="A3">
            <v>1581</v>
          </cell>
          <cell r="B3" t="str">
            <v>CRBS NP904 STANDARD KG</v>
          </cell>
          <cell r="C3">
            <v>1345.8150000000001</v>
          </cell>
          <cell r="D3" t="str">
            <v>KG</v>
          </cell>
          <cell r="E3">
            <v>57259.06</v>
          </cell>
          <cell r="G3">
            <v>10000</v>
          </cell>
          <cell r="H3" t="str">
            <v>SC Syngenta</v>
          </cell>
          <cell r="J3" t="str">
            <v>BA090</v>
          </cell>
          <cell r="K3">
            <v>1</v>
          </cell>
          <cell r="N3">
            <v>43413.75</v>
          </cell>
          <cell r="P3" t="str">
            <v>NP904</v>
          </cell>
          <cell r="Q3" t="str">
            <v>01Z01ZZ01DT</v>
          </cell>
          <cell r="R3" t="str">
            <v>US08</v>
          </cell>
        </row>
        <row r="4">
          <cell r="A4">
            <v>210225</v>
          </cell>
          <cell r="B4" t="str">
            <v>CRBS NP2144            STANDARD KG</v>
          </cell>
          <cell r="C4">
            <v>4625.6450000000004</v>
          </cell>
          <cell r="D4" t="str">
            <v>KG</v>
          </cell>
          <cell r="E4">
            <v>57516.43</v>
          </cell>
          <cell r="G4">
            <v>10000</v>
          </cell>
          <cell r="H4" t="str">
            <v>SC Syngenta</v>
          </cell>
          <cell r="I4" t="str">
            <v>SC SYNGENTA</v>
          </cell>
          <cell r="J4" t="str">
            <v>BA090</v>
          </cell>
          <cell r="K4">
            <v>1</v>
          </cell>
          <cell r="N4">
            <v>43720</v>
          </cell>
          <cell r="P4" t="str">
            <v>NP2144</v>
          </cell>
          <cell r="Q4" t="str">
            <v>01Z01ZZ01AA</v>
          </cell>
          <cell r="R4" t="str">
            <v>US08</v>
          </cell>
        </row>
        <row r="5">
          <cell r="A5">
            <v>210453</v>
          </cell>
          <cell r="B5" t="str">
            <v>CRBS NP2233            STANDARD KG</v>
          </cell>
          <cell r="C5">
            <v>251.738</v>
          </cell>
          <cell r="D5" t="str">
            <v>KG</v>
          </cell>
          <cell r="E5">
            <v>57516.43</v>
          </cell>
          <cell r="G5">
            <v>10000</v>
          </cell>
          <cell r="H5" t="str">
            <v>SC Syngenta</v>
          </cell>
          <cell r="I5" t="str">
            <v>SC SYNGENTA</v>
          </cell>
          <cell r="J5" t="str">
            <v>BA090</v>
          </cell>
          <cell r="K5">
            <v>1</v>
          </cell>
          <cell r="N5">
            <v>43720</v>
          </cell>
          <cell r="P5" t="str">
            <v>NP2233</v>
          </cell>
          <cell r="Q5" t="str">
            <v>01Z01ZZ01EF</v>
          </cell>
          <cell r="R5" t="str">
            <v>US08</v>
          </cell>
        </row>
        <row r="6">
          <cell r="A6">
            <v>211035</v>
          </cell>
          <cell r="B6" t="str">
            <v>CRBS NP904-S           STANDARD KG</v>
          </cell>
          <cell r="C6">
            <v>1375.8040000000001</v>
          </cell>
          <cell r="D6" t="str">
            <v>KG</v>
          </cell>
          <cell r="E6">
            <v>57259.06</v>
          </cell>
          <cell r="G6">
            <v>10000</v>
          </cell>
          <cell r="H6" t="str">
            <v>SC Syngenta</v>
          </cell>
          <cell r="I6" t="str">
            <v>SC SYNGENTA</v>
          </cell>
          <cell r="J6" t="str">
            <v>BA090</v>
          </cell>
          <cell r="K6">
            <v>1</v>
          </cell>
          <cell r="N6">
            <v>43413.75</v>
          </cell>
          <cell r="P6" t="str">
            <v>NP904-S</v>
          </cell>
          <cell r="Q6" t="str">
            <v>01Z01ZZ01DX</v>
          </cell>
          <cell r="R6" t="str">
            <v>US08</v>
          </cell>
        </row>
        <row r="7">
          <cell r="A7">
            <v>223513</v>
          </cell>
          <cell r="B7" t="str">
            <v>TRT  COLORANT,RED,GALLON</v>
          </cell>
          <cell r="C7">
            <v>2180.2159999999999</v>
          </cell>
          <cell r="D7" t="str">
            <v>GAL</v>
          </cell>
          <cell r="E7">
            <v>4427</v>
          </cell>
          <cell r="G7">
            <v>100</v>
          </cell>
          <cell r="H7" t="str">
            <v>SC Syngenta</v>
          </cell>
          <cell r="I7" t="str">
            <v>SC SYNGENTA</v>
          </cell>
          <cell r="J7" t="str">
            <v>CPROT</v>
          </cell>
          <cell r="K7">
            <v>1</v>
          </cell>
          <cell r="N7">
            <v>4200</v>
          </cell>
          <cell r="P7" t="str">
            <v>NON SEEDS</v>
          </cell>
          <cell r="Q7" t="str">
            <v>ZZ</v>
          </cell>
          <cell r="R7" t="str">
            <v>US08</v>
          </cell>
          <cell r="S7">
            <v>4427</v>
          </cell>
        </row>
        <row r="8">
          <cell r="A8">
            <v>223514</v>
          </cell>
          <cell r="B8" t="str">
            <v>TRT  COLORANT,BLUE,2X2.5GL. CONT.</v>
          </cell>
          <cell r="C8">
            <v>15967.37</v>
          </cell>
          <cell r="D8" t="str">
            <v>QT</v>
          </cell>
          <cell r="E8">
            <v>1106.75</v>
          </cell>
          <cell r="G8">
            <v>100</v>
          </cell>
          <cell r="H8" t="str">
            <v>SC Syngenta</v>
          </cell>
          <cell r="I8" t="str">
            <v>SC SYNGENTA</v>
          </cell>
          <cell r="J8" t="str">
            <v>CPROT</v>
          </cell>
          <cell r="K8">
            <v>1</v>
          </cell>
          <cell r="N8">
            <v>1050</v>
          </cell>
          <cell r="P8" t="str">
            <v>NON SEEDS</v>
          </cell>
          <cell r="Q8" t="str">
            <v>ZZ</v>
          </cell>
          <cell r="R8" t="str">
            <v>US08</v>
          </cell>
          <cell r="S8">
            <v>1106.75</v>
          </cell>
        </row>
        <row r="9">
          <cell r="A9">
            <v>223921</v>
          </cell>
          <cell r="B9" t="str">
            <v>TRT  FUNGICIDE, MZXIM 4FS</v>
          </cell>
          <cell r="C9">
            <v>120387.447</v>
          </cell>
          <cell r="D9" t="str">
            <v>FL</v>
          </cell>
          <cell r="E9">
            <v>1009.38</v>
          </cell>
          <cell r="G9">
            <v>100</v>
          </cell>
          <cell r="H9" t="str">
            <v>SC Syngenta</v>
          </cell>
          <cell r="I9" t="str">
            <v>SC SYNGENTA</v>
          </cell>
          <cell r="J9" t="str">
            <v>CPROT</v>
          </cell>
          <cell r="K9">
            <v>1</v>
          </cell>
          <cell r="N9">
            <v>969.53</v>
          </cell>
          <cell r="P9" t="str">
            <v>NON SEEDS</v>
          </cell>
          <cell r="Q9" t="str">
            <v>ZZ</v>
          </cell>
          <cell r="R9" t="str">
            <v>US08</v>
          </cell>
          <cell r="S9">
            <v>1009.38</v>
          </cell>
        </row>
        <row r="10">
          <cell r="A10">
            <v>229834</v>
          </cell>
          <cell r="B10" t="str">
            <v>TRT  OTHER,TALC, LBS</v>
          </cell>
          <cell r="C10">
            <v>26917.03</v>
          </cell>
          <cell r="D10" t="str">
            <v>LB</v>
          </cell>
          <cell r="E10">
            <v>55</v>
          </cell>
          <cell r="G10">
            <v>100</v>
          </cell>
          <cell r="H10" t="str">
            <v>SC Syngenta</v>
          </cell>
          <cell r="I10" t="str">
            <v>SC SYNGENTA</v>
          </cell>
          <cell r="J10" t="str">
            <v>CPROT</v>
          </cell>
          <cell r="K10">
            <v>1</v>
          </cell>
          <cell r="N10">
            <v>46</v>
          </cell>
          <cell r="P10" t="str">
            <v>NON SEEDS</v>
          </cell>
          <cell r="Q10" t="str">
            <v>ZZ</v>
          </cell>
          <cell r="R10" t="str">
            <v>US08</v>
          </cell>
          <cell r="S10">
            <v>55</v>
          </cell>
        </row>
        <row r="11">
          <cell r="A11">
            <v>233786</v>
          </cell>
          <cell r="B11" t="str">
            <v>TRT  FUNGICIDE, APRON XL</v>
          </cell>
          <cell r="C11">
            <v>21294.559000000001</v>
          </cell>
          <cell r="D11" t="str">
            <v>L</v>
          </cell>
          <cell r="E11">
            <v>11900.36</v>
          </cell>
          <cell r="G11">
            <v>100</v>
          </cell>
          <cell r="H11" t="str">
            <v>SC Syngenta</v>
          </cell>
          <cell r="I11" t="str">
            <v>SC SYNGENTA</v>
          </cell>
          <cell r="J11" t="str">
            <v>CPROT</v>
          </cell>
          <cell r="K11">
            <v>1</v>
          </cell>
          <cell r="N11">
            <v>11788.71</v>
          </cell>
          <cell r="P11" t="str">
            <v>NON SEEDS</v>
          </cell>
          <cell r="Q11" t="str">
            <v>ZZ</v>
          </cell>
          <cell r="R11" t="str">
            <v>US08</v>
          </cell>
          <cell r="S11">
            <v>11900.36</v>
          </cell>
        </row>
        <row r="12">
          <cell r="A12">
            <v>233930</v>
          </cell>
          <cell r="B12" t="str">
            <v>TRT  FUNGICIDE, MAXIM XL</v>
          </cell>
          <cell r="C12">
            <v>1100.6289999999999</v>
          </cell>
          <cell r="D12" t="str">
            <v>GAL</v>
          </cell>
          <cell r="E12">
            <v>67575</v>
          </cell>
          <cell r="G12">
            <v>100</v>
          </cell>
          <cell r="H12" t="str">
            <v>SC Syngenta</v>
          </cell>
          <cell r="I12" t="str">
            <v>SC SYNGENTA</v>
          </cell>
          <cell r="J12" t="str">
            <v>CPROT</v>
          </cell>
          <cell r="K12">
            <v>1</v>
          </cell>
          <cell r="N12">
            <v>68000</v>
          </cell>
          <cell r="P12" t="str">
            <v>NON SEEDS</v>
          </cell>
          <cell r="Q12" t="str">
            <v>ZZ</v>
          </cell>
          <cell r="R12" t="str">
            <v>US08</v>
          </cell>
          <cell r="S12">
            <v>67575</v>
          </cell>
        </row>
        <row r="13">
          <cell r="A13">
            <v>237430</v>
          </cell>
          <cell r="B13" t="str">
            <v>CRCO COMPETITOR SEED                 US</v>
          </cell>
          <cell r="C13">
            <v>11</v>
          </cell>
          <cell r="D13" t="str">
            <v>UN</v>
          </cell>
          <cell r="E13">
            <v>9490</v>
          </cell>
          <cell r="G13">
            <v>100</v>
          </cell>
          <cell r="H13" t="str">
            <v>NK</v>
          </cell>
          <cell r="I13" t="str">
            <v>NK US</v>
          </cell>
          <cell r="J13" t="str">
            <v>CO110</v>
          </cell>
          <cell r="K13">
            <v>1</v>
          </cell>
          <cell r="N13">
            <v>9490</v>
          </cell>
          <cell r="P13" t="str">
            <v>Not Relevant</v>
          </cell>
          <cell r="Q13" t="str">
            <v>01Z01ZZZZ</v>
          </cell>
          <cell r="R13" t="str">
            <v>US08</v>
          </cell>
        </row>
        <row r="14">
          <cell r="A14">
            <v>311573</v>
          </cell>
          <cell r="B14" t="str">
            <v>PKG BULK BOX 50</v>
          </cell>
          <cell r="C14">
            <v>4153</v>
          </cell>
          <cell r="D14" t="str">
            <v>PC</v>
          </cell>
          <cell r="E14">
            <v>0.01</v>
          </cell>
          <cell r="G14">
            <v>10000</v>
          </cell>
          <cell r="H14" t="str">
            <v>SC Syngenta</v>
          </cell>
          <cell r="I14" t="str">
            <v>SC SYNGENTA</v>
          </cell>
          <cell r="J14" t="str">
            <v>PACK1</v>
          </cell>
          <cell r="K14">
            <v>1</v>
          </cell>
          <cell r="N14">
            <v>0.01</v>
          </cell>
          <cell r="P14" t="str">
            <v>NON SEEDS</v>
          </cell>
          <cell r="Q14" t="str">
            <v>ZZ</v>
          </cell>
          <cell r="R14" t="str">
            <v>US08</v>
          </cell>
        </row>
        <row r="15">
          <cell r="A15">
            <v>318688</v>
          </cell>
          <cell r="B15" t="str">
            <v>TRT  INSECTICIDE,CRUISER 5FS,CO,OZ</v>
          </cell>
          <cell r="C15">
            <v>2578351.9190000002</v>
          </cell>
          <cell r="D15" t="str">
            <v>FL</v>
          </cell>
          <cell r="E15">
            <v>534.38</v>
          </cell>
          <cell r="G15">
            <v>100</v>
          </cell>
          <cell r="H15" t="str">
            <v>SC Syngenta</v>
          </cell>
          <cell r="I15" t="str">
            <v>SC SYNGENTA</v>
          </cell>
          <cell r="J15" t="str">
            <v>CPROT</v>
          </cell>
          <cell r="K15">
            <v>1</v>
          </cell>
          <cell r="N15">
            <v>797</v>
          </cell>
          <cell r="P15" t="str">
            <v>NON SEEDS</v>
          </cell>
          <cell r="Q15" t="str">
            <v>ZZ</v>
          </cell>
          <cell r="R15" t="str">
            <v>US08</v>
          </cell>
        </row>
        <row r="16">
          <cell r="A16">
            <v>432266</v>
          </cell>
          <cell r="B16" t="str">
            <v>TRT  FUNGICIDE,DYNASTY GALLON,GL</v>
          </cell>
          <cell r="C16">
            <v>1398.4359999999999</v>
          </cell>
          <cell r="D16" t="str">
            <v>GAL</v>
          </cell>
          <cell r="E16">
            <v>76500</v>
          </cell>
          <cell r="G16">
            <v>100</v>
          </cell>
          <cell r="H16" t="str">
            <v>SC Syngenta</v>
          </cell>
          <cell r="I16" t="str">
            <v>SC SYNGENTA</v>
          </cell>
          <cell r="J16" t="str">
            <v>CPROT</v>
          </cell>
          <cell r="K16">
            <v>1</v>
          </cell>
          <cell r="N16">
            <v>76500</v>
          </cell>
          <cell r="P16" t="str">
            <v>NON SEEDS</v>
          </cell>
          <cell r="Q16" t="str">
            <v>ZZ</v>
          </cell>
          <cell r="R16" t="str">
            <v>US08</v>
          </cell>
          <cell r="S16">
            <v>76500</v>
          </cell>
        </row>
        <row r="17">
          <cell r="A17">
            <v>493489</v>
          </cell>
          <cell r="B17" t="str">
            <v>BAG  14x3.5x34 Red Stripe -PS REV 10/04</v>
          </cell>
          <cell r="C17">
            <v>57335</v>
          </cell>
          <cell r="D17" t="str">
            <v>PC</v>
          </cell>
          <cell r="E17">
            <v>620</v>
          </cell>
          <cell r="G17">
            <v>1000</v>
          </cell>
          <cell r="H17" t="str">
            <v>SC Syngenta</v>
          </cell>
          <cell r="I17" t="str">
            <v>SC SYNGENTA</v>
          </cell>
          <cell r="J17" t="str">
            <v>PACKS</v>
          </cell>
          <cell r="K17">
            <v>1</v>
          </cell>
          <cell r="N17">
            <v>435.27</v>
          </cell>
          <cell r="P17" t="str">
            <v>NON SEEDS</v>
          </cell>
          <cell r="Q17" t="str">
            <v>ZZ</v>
          </cell>
          <cell r="R17" t="str">
            <v>US08</v>
          </cell>
          <cell r="S17">
            <v>620</v>
          </cell>
        </row>
        <row r="18">
          <cell r="A18">
            <v>493490</v>
          </cell>
          <cell r="B18" t="str">
            <v>BAG  14x3.5x34 Blue Stripe -PS REV 10/04</v>
          </cell>
          <cell r="C18">
            <v>27338</v>
          </cell>
          <cell r="D18" t="str">
            <v>PC</v>
          </cell>
          <cell r="E18">
            <v>640</v>
          </cell>
          <cell r="G18">
            <v>1000</v>
          </cell>
          <cell r="H18" t="str">
            <v>SC Syngenta</v>
          </cell>
          <cell r="I18" t="str">
            <v>SC SYNGENTA</v>
          </cell>
          <cell r="J18" t="str">
            <v>PACKS</v>
          </cell>
          <cell r="K18">
            <v>1</v>
          </cell>
          <cell r="N18">
            <v>435.27</v>
          </cell>
          <cell r="P18" t="str">
            <v>NON SEEDS</v>
          </cell>
          <cell r="Q18" t="str">
            <v>ZZ</v>
          </cell>
          <cell r="R18" t="str">
            <v>US08</v>
          </cell>
          <cell r="S18">
            <v>640</v>
          </cell>
        </row>
        <row r="19">
          <cell r="A19">
            <v>509720</v>
          </cell>
          <cell r="B19" t="str">
            <v>CRBS NP1822 CRUISER KG</v>
          </cell>
          <cell r="C19">
            <v>425</v>
          </cell>
          <cell r="D19" t="str">
            <v>KG</v>
          </cell>
          <cell r="E19">
            <v>33.67</v>
          </cell>
          <cell r="G19">
            <v>1</v>
          </cell>
          <cell r="J19" t="str">
            <v>BA090</v>
          </cell>
          <cell r="K19">
            <v>1</v>
          </cell>
          <cell r="N19">
            <v>0.01</v>
          </cell>
          <cell r="P19" t="str">
            <v>NP1822</v>
          </cell>
          <cell r="Q19" t="str">
            <v>01Z01ZZ01TN</v>
          </cell>
          <cell r="R19" t="str">
            <v>US08</v>
          </cell>
          <cell r="S19">
            <v>33.67</v>
          </cell>
        </row>
        <row r="20">
          <cell r="A20">
            <v>509740</v>
          </cell>
          <cell r="B20" t="str">
            <v>CRBS NP1879 CRUISER KG</v>
          </cell>
          <cell r="C20">
            <v>1650</v>
          </cell>
          <cell r="D20" t="str">
            <v>KG</v>
          </cell>
          <cell r="E20">
            <v>19.66</v>
          </cell>
          <cell r="G20">
            <v>1</v>
          </cell>
          <cell r="J20" t="str">
            <v>BA090</v>
          </cell>
          <cell r="K20">
            <v>1</v>
          </cell>
          <cell r="N20">
            <v>0.01</v>
          </cell>
          <cell r="P20" t="str">
            <v>NP1879</v>
          </cell>
          <cell r="Q20" t="str">
            <v>01Z01ZZ01TS</v>
          </cell>
          <cell r="R20" t="str">
            <v>US08</v>
          </cell>
          <cell r="S20">
            <v>19.66</v>
          </cell>
        </row>
        <row r="21">
          <cell r="A21">
            <v>521515</v>
          </cell>
          <cell r="B21" t="str">
            <v>CRBS NP2730            STANDARD KG</v>
          </cell>
          <cell r="C21">
            <v>3657.77</v>
          </cell>
          <cell r="D21" t="str">
            <v>KG</v>
          </cell>
          <cell r="E21">
            <v>58568.52</v>
          </cell>
          <cell r="G21">
            <v>10000</v>
          </cell>
          <cell r="H21" t="str">
            <v>SC Syngenta</v>
          </cell>
          <cell r="I21" t="str">
            <v>SC SYNGENTA</v>
          </cell>
          <cell r="J21" t="str">
            <v>BA090</v>
          </cell>
          <cell r="K21">
            <v>1</v>
          </cell>
          <cell r="N21">
            <v>0.01</v>
          </cell>
          <cell r="P21" t="str">
            <v>NP2730</v>
          </cell>
          <cell r="Q21" t="str">
            <v>01Z01ZZ0157</v>
          </cell>
          <cell r="R21" t="str">
            <v>US08</v>
          </cell>
        </row>
        <row r="22">
          <cell r="A22">
            <v>522253</v>
          </cell>
          <cell r="B22" t="str">
            <v>CRBS NP2861            STANDARD KG</v>
          </cell>
          <cell r="C22">
            <v>430.596</v>
          </cell>
          <cell r="D22" t="str">
            <v>KG</v>
          </cell>
          <cell r="E22">
            <v>58568.52</v>
          </cell>
          <cell r="G22">
            <v>10000</v>
          </cell>
          <cell r="H22" t="str">
            <v>SC Syngenta</v>
          </cell>
          <cell r="I22" t="str">
            <v>SC SYNGENTA</v>
          </cell>
          <cell r="J22" t="str">
            <v>BA090</v>
          </cell>
          <cell r="K22">
            <v>1</v>
          </cell>
          <cell r="N22">
            <v>0.01</v>
          </cell>
          <cell r="P22" t="str">
            <v>NP2861</v>
          </cell>
          <cell r="Q22" t="str">
            <v>01Z01ZZ01C6</v>
          </cell>
          <cell r="R22" t="str">
            <v>US08</v>
          </cell>
        </row>
        <row r="23">
          <cell r="A23">
            <v>532646</v>
          </cell>
          <cell r="B23" t="str">
            <v>CRBS NPFF7913          STANDARD KG</v>
          </cell>
          <cell r="C23">
            <v>1970.768</v>
          </cell>
          <cell r="D23" t="str">
            <v>KG</v>
          </cell>
          <cell r="E23">
            <v>58781.57</v>
          </cell>
          <cell r="G23">
            <v>10000</v>
          </cell>
          <cell r="H23" t="str">
            <v>SC Syngenta</v>
          </cell>
          <cell r="I23" t="str">
            <v>SC SYNGENTA</v>
          </cell>
          <cell r="J23" t="str">
            <v>BA090</v>
          </cell>
          <cell r="K23">
            <v>1</v>
          </cell>
          <cell r="N23">
            <v>0.01</v>
          </cell>
          <cell r="P23" t="str">
            <v>NPFF7913</v>
          </cell>
          <cell r="Q23" t="str">
            <v>01Z01ZZ01R6</v>
          </cell>
          <cell r="R23" t="str">
            <v>US08</v>
          </cell>
        </row>
        <row r="24">
          <cell r="A24">
            <v>532754</v>
          </cell>
          <cell r="B24" t="str">
            <v>BAG  CO,BAG,14.5x34x2.5,SOM,PLAIN,NK</v>
          </cell>
          <cell r="C24">
            <v>69929</v>
          </cell>
          <cell r="D24" t="str">
            <v>PC</v>
          </cell>
          <cell r="E24">
            <v>40</v>
          </cell>
          <cell r="G24">
            <v>100</v>
          </cell>
          <cell r="H24" t="str">
            <v>NK</v>
          </cell>
          <cell r="I24" t="str">
            <v>SC SYNGENTA</v>
          </cell>
          <cell r="J24" t="str">
            <v>PACKS</v>
          </cell>
          <cell r="K24">
            <v>1</v>
          </cell>
          <cell r="N24">
            <v>31.19</v>
          </cell>
          <cell r="P24" t="str">
            <v>NON SEEDS</v>
          </cell>
          <cell r="Q24" t="str">
            <v>ZZ</v>
          </cell>
          <cell r="R24" t="str">
            <v>US08</v>
          </cell>
          <cell r="S24">
            <v>40</v>
          </cell>
        </row>
        <row r="25">
          <cell r="A25">
            <v>532758</v>
          </cell>
          <cell r="B25" t="str">
            <v>BAG  CO,BAG,14.5X34X2.5,SOM,HT,BL EZ,NK</v>
          </cell>
          <cell r="C25">
            <v>82306</v>
          </cell>
          <cell r="D25" t="str">
            <v>PC</v>
          </cell>
          <cell r="E25">
            <v>57</v>
          </cell>
          <cell r="G25">
            <v>100</v>
          </cell>
          <cell r="H25" t="str">
            <v>SC Syngenta</v>
          </cell>
          <cell r="I25" t="str">
            <v>SC SYNGENTA</v>
          </cell>
          <cell r="J25" t="str">
            <v>PACKS</v>
          </cell>
          <cell r="K25">
            <v>1</v>
          </cell>
          <cell r="N25">
            <v>31.87</v>
          </cell>
          <cell r="P25" t="str">
            <v>NON SEEDS</v>
          </cell>
          <cell r="Q25" t="str">
            <v>ZZ</v>
          </cell>
          <cell r="R25" t="str">
            <v>US08</v>
          </cell>
          <cell r="S25">
            <v>57</v>
          </cell>
        </row>
        <row r="26">
          <cell r="A26">
            <v>532759</v>
          </cell>
          <cell r="B26" t="str">
            <v>BAG  CO,BAG,14.5X34X3.5,SOM,HT,BL EZ,NK</v>
          </cell>
          <cell r="C26">
            <v>107611</v>
          </cell>
          <cell r="D26" t="str">
            <v>PC</v>
          </cell>
          <cell r="E26">
            <v>49</v>
          </cell>
          <cell r="G26">
            <v>100</v>
          </cell>
          <cell r="H26" t="str">
            <v>SC Syngenta</v>
          </cell>
          <cell r="I26" t="str">
            <v>SC SYNGENTA</v>
          </cell>
          <cell r="J26" t="str">
            <v>PACKS</v>
          </cell>
          <cell r="K26">
            <v>1</v>
          </cell>
          <cell r="N26">
            <v>34.92</v>
          </cell>
          <cell r="P26" t="str">
            <v>NON SEEDS</v>
          </cell>
          <cell r="Q26" t="str">
            <v>ZZ</v>
          </cell>
          <cell r="R26" t="str">
            <v>US08</v>
          </cell>
          <cell r="S26">
            <v>49</v>
          </cell>
        </row>
        <row r="27">
          <cell r="A27">
            <v>532760</v>
          </cell>
          <cell r="B27" t="str">
            <v>BAG  CO,BAG,14.5X34X4.5,SOM,HT,BL EZ,NK</v>
          </cell>
          <cell r="C27">
            <v>176007</v>
          </cell>
          <cell r="D27" t="str">
            <v>PC</v>
          </cell>
          <cell r="E27">
            <v>49</v>
          </cell>
          <cell r="G27">
            <v>100</v>
          </cell>
          <cell r="H27" t="str">
            <v>SC Syngenta</v>
          </cell>
          <cell r="I27" t="str">
            <v>SC SYNGENTA</v>
          </cell>
          <cell r="J27" t="str">
            <v>PACKS</v>
          </cell>
          <cell r="K27">
            <v>1</v>
          </cell>
          <cell r="N27">
            <v>38.08</v>
          </cell>
          <cell r="P27" t="str">
            <v>NON SEEDS</v>
          </cell>
          <cell r="Q27" t="str">
            <v>ZZ</v>
          </cell>
          <cell r="R27" t="str">
            <v>US08</v>
          </cell>
          <cell r="S27">
            <v>49</v>
          </cell>
        </row>
        <row r="28">
          <cell r="A28">
            <v>533499</v>
          </cell>
          <cell r="B28" t="str">
            <v>CRCO XL606AGP           DRYSH   KG</v>
          </cell>
          <cell r="C28">
            <v>298973</v>
          </cell>
          <cell r="D28" t="str">
            <v>KG</v>
          </cell>
          <cell r="E28">
            <v>142.61000000000001</v>
          </cell>
          <cell r="G28">
            <v>100</v>
          </cell>
          <cell r="H28" t="str">
            <v>SC Syngenta</v>
          </cell>
          <cell r="I28" t="str">
            <v>SC SYNGENTA</v>
          </cell>
          <cell r="J28" t="str">
            <v>CO020</v>
          </cell>
          <cell r="K28">
            <v>1</v>
          </cell>
          <cell r="N28">
            <v>0.01</v>
          </cell>
          <cell r="P28" t="str">
            <v>XL606AGP</v>
          </cell>
          <cell r="Q28" t="str">
            <v>01Z01030901</v>
          </cell>
          <cell r="R28" t="str">
            <v>US08</v>
          </cell>
        </row>
        <row r="29">
          <cell r="A29">
            <v>537559</v>
          </cell>
          <cell r="B29" t="str">
            <v>CRBS G05RR             STANDARD KG</v>
          </cell>
          <cell r="C29">
            <v>2920.6819999999998</v>
          </cell>
          <cell r="D29" t="str">
            <v>KG</v>
          </cell>
          <cell r="E29">
            <v>1565.1</v>
          </cell>
          <cell r="G29">
            <v>100</v>
          </cell>
          <cell r="H29" t="str">
            <v>SC Syngenta</v>
          </cell>
          <cell r="I29" t="str">
            <v>SC SYNGENTA</v>
          </cell>
          <cell r="J29" t="str">
            <v>BA090</v>
          </cell>
          <cell r="K29">
            <v>1</v>
          </cell>
          <cell r="N29">
            <v>0.01</v>
          </cell>
          <cell r="P29" t="str">
            <v>G05RR</v>
          </cell>
          <cell r="Q29" t="str">
            <v>01Z01ZZ0902</v>
          </cell>
          <cell r="R29" t="str">
            <v>US08</v>
          </cell>
        </row>
        <row r="30">
          <cell r="A30">
            <v>537561</v>
          </cell>
          <cell r="B30" t="str">
            <v>CRBS G33RR             STANDARD KG</v>
          </cell>
          <cell r="C30">
            <v>119.295</v>
          </cell>
          <cell r="D30" t="str">
            <v>KG</v>
          </cell>
          <cell r="E30">
            <v>1861.1</v>
          </cell>
          <cell r="G30">
            <v>100</v>
          </cell>
          <cell r="H30" t="str">
            <v>SC Syngenta</v>
          </cell>
          <cell r="I30" t="str">
            <v>SC SYNGENTA</v>
          </cell>
          <cell r="J30" t="str">
            <v>BA090</v>
          </cell>
          <cell r="K30">
            <v>1</v>
          </cell>
          <cell r="N30">
            <v>0.01</v>
          </cell>
          <cell r="P30" t="str">
            <v>G33RR</v>
          </cell>
          <cell r="Q30" t="str">
            <v>01Z01ZZ0903</v>
          </cell>
          <cell r="R30" t="str">
            <v>US08</v>
          </cell>
        </row>
        <row r="31">
          <cell r="A31">
            <v>537566</v>
          </cell>
          <cell r="B31" t="str">
            <v>CRBS K591RR STER       STANDARD KG</v>
          </cell>
          <cell r="C31">
            <v>277.59100000000001</v>
          </cell>
          <cell r="D31" t="str">
            <v>KG</v>
          </cell>
          <cell r="E31">
            <v>2442</v>
          </cell>
          <cell r="G31">
            <v>100</v>
          </cell>
          <cell r="H31" t="str">
            <v>SC Syngenta</v>
          </cell>
          <cell r="I31" t="str">
            <v>SC SYNGENTA</v>
          </cell>
          <cell r="J31" t="str">
            <v>BA090</v>
          </cell>
          <cell r="K31">
            <v>1</v>
          </cell>
          <cell r="N31">
            <v>0.01</v>
          </cell>
          <cell r="P31" t="str">
            <v>K591RR STER</v>
          </cell>
          <cell r="Q31" t="str">
            <v>01Z01ZZ2006</v>
          </cell>
          <cell r="R31" t="str">
            <v>US08</v>
          </cell>
        </row>
        <row r="32">
          <cell r="A32">
            <v>537589</v>
          </cell>
          <cell r="B32" t="str">
            <v>CRBS K591RR            STANDARD KG</v>
          </cell>
          <cell r="C32">
            <v>412.76900000000001</v>
          </cell>
          <cell r="D32" t="str">
            <v>KG</v>
          </cell>
          <cell r="E32">
            <v>1887</v>
          </cell>
          <cell r="G32">
            <v>100</v>
          </cell>
          <cell r="H32" t="str">
            <v>SC Syngenta</v>
          </cell>
          <cell r="I32" t="str">
            <v>SC SYNGENTA</v>
          </cell>
          <cell r="J32" t="str">
            <v>BA090</v>
          </cell>
          <cell r="K32">
            <v>1</v>
          </cell>
          <cell r="N32">
            <v>0.01</v>
          </cell>
          <cell r="P32" t="str">
            <v>K591RR</v>
          </cell>
          <cell r="Q32" t="str">
            <v>01Z01ZZ0910</v>
          </cell>
          <cell r="R32" t="str">
            <v>US08</v>
          </cell>
        </row>
        <row r="33">
          <cell r="A33">
            <v>537600</v>
          </cell>
          <cell r="B33" t="str">
            <v>CRBS K78CB             STANDARD KG</v>
          </cell>
          <cell r="C33">
            <v>92.533000000000001</v>
          </cell>
          <cell r="D33" t="str">
            <v>KG</v>
          </cell>
          <cell r="E33">
            <v>1591</v>
          </cell>
          <cell r="G33">
            <v>100</v>
          </cell>
          <cell r="H33" t="str">
            <v>SC Syngenta</v>
          </cell>
          <cell r="I33" t="str">
            <v>SC SYNGENTA</v>
          </cell>
          <cell r="J33" t="str">
            <v>BA090</v>
          </cell>
          <cell r="K33">
            <v>1</v>
          </cell>
          <cell r="N33">
            <v>0.01</v>
          </cell>
          <cell r="P33" t="str">
            <v>K78CB</v>
          </cell>
          <cell r="Q33" t="str">
            <v>01Z01ZZAA36</v>
          </cell>
          <cell r="R33" t="str">
            <v>US08</v>
          </cell>
        </row>
        <row r="34">
          <cell r="A34">
            <v>537621</v>
          </cell>
          <cell r="B34" t="str">
            <v>CRBS R50               STANDARD KG</v>
          </cell>
          <cell r="C34">
            <v>725.57100000000003</v>
          </cell>
          <cell r="D34" t="str">
            <v>KG</v>
          </cell>
          <cell r="E34">
            <v>1609.5</v>
          </cell>
          <cell r="G34">
            <v>100</v>
          </cell>
          <cell r="H34" t="str">
            <v>SC Syngenta</v>
          </cell>
          <cell r="I34" t="str">
            <v>SC SYNGENTA</v>
          </cell>
          <cell r="J34" t="str">
            <v>BA090</v>
          </cell>
          <cell r="K34">
            <v>1</v>
          </cell>
          <cell r="N34">
            <v>0.01</v>
          </cell>
          <cell r="P34" t="str">
            <v>R50</v>
          </cell>
          <cell r="Q34" t="str">
            <v>01Z01ZZ01U3</v>
          </cell>
          <cell r="R34" t="str">
            <v>US08</v>
          </cell>
        </row>
        <row r="35">
          <cell r="A35">
            <v>538358</v>
          </cell>
          <cell r="B35" t="str">
            <v>CRBS NP2564            STANDARD KG</v>
          </cell>
          <cell r="C35">
            <v>62.143000000000001</v>
          </cell>
          <cell r="D35" t="str">
            <v>KG</v>
          </cell>
          <cell r="E35">
            <v>58781.57</v>
          </cell>
          <cell r="G35">
            <v>10000</v>
          </cell>
          <cell r="H35" t="str">
            <v>SC Syngenta</v>
          </cell>
          <cell r="I35" t="str">
            <v>SC SYNGENTA</v>
          </cell>
          <cell r="J35" t="str">
            <v>BA090</v>
          </cell>
          <cell r="K35">
            <v>1</v>
          </cell>
          <cell r="N35">
            <v>0.01</v>
          </cell>
          <cell r="P35" t="str">
            <v>NP2564</v>
          </cell>
          <cell r="Q35" t="str">
            <v>01Z01ZZ01R0</v>
          </cell>
          <cell r="R35" t="str">
            <v>US08</v>
          </cell>
        </row>
        <row r="36">
          <cell r="A36">
            <v>538359</v>
          </cell>
          <cell r="B36" t="str">
            <v>CRBS NP2564-S          STANDARD KG</v>
          </cell>
          <cell r="C36">
            <v>1.95</v>
          </cell>
          <cell r="D36" t="str">
            <v>KG</v>
          </cell>
          <cell r="E36">
            <v>58688.95</v>
          </cell>
          <cell r="G36">
            <v>10000</v>
          </cell>
          <cell r="H36" t="str">
            <v>SC Syngenta</v>
          </cell>
          <cell r="I36" t="str">
            <v>SC SYNGENTA</v>
          </cell>
          <cell r="J36" t="str">
            <v>BA090</v>
          </cell>
          <cell r="K36">
            <v>1</v>
          </cell>
          <cell r="N36">
            <v>0.01</v>
          </cell>
          <cell r="P36" t="str">
            <v>NP2564-S</v>
          </cell>
          <cell r="Q36" t="str">
            <v>01Z01ZZ1140</v>
          </cell>
          <cell r="R36" t="str">
            <v>US08</v>
          </cell>
        </row>
        <row r="37">
          <cell r="A37">
            <v>539107</v>
          </cell>
          <cell r="B37" t="str">
            <v>CRCO N3030BT   LR70  SPC  NK</v>
          </cell>
          <cell r="C37">
            <v>1976</v>
          </cell>
          <cell r="D37" t="str">
            <v>UN</v>
          </cell>
          <cell r="E37">
            <v>4770.01</v>
          </cell>
          <cell r="G37">
            <v>100</v>
          </cell>
          <cell r="H37" t="str">
            <v>NK</v>
          </cell>
          <cell r="I37" t="str">
            <v>NK US</v>
          </cell>
          <cell r="J37" t="str">
            <v>CO110</v>
          </cell>
          <cell r="K37">
            <v>1</v>
          </cell>
          <cell r="N37">
            <v>0.01</v>
          </cell>
          <cell r="P37" t="str">
            <v>X3031ABB</v>
          </cell>
          <cell r="Q37" t="str">
            <v>01Z010306AH</v>
          </cell>
          <cell r="R37" t="str">
            <v>US08</v>
          </cell>
        </row>
        <row r="38">
          <cell r="A38">
            <v>539143</v>
          </cell>
          <cell r="B38" t="str">
            <v>CRCO N3030BT   MR2   SPC  NK</v>
          </cell>
          <cell r="C38">
            <v>579</v>
          </cell>
          <cell r="D38" t="str">
            <v>UN</v>
          </cell>
          <cell r="E38">
            <v>4770.01</v>
          </cell>
          <cell r="G38">
            <v>100</v>
          </cell>
          <cell r="H38" t="str">
            <v>NK</v>
          </cell>
          <cell r="I38" t="str">
            <v>NK US</v>
          </cell>
          <cell r="J38" t="str">
            <v>CO110</v>
          </cell>
          <cell r="K38">
            <v>1</v>
          </cell>
          <cell r="N38">
            <v>0.01</v>
          </cell>
          <cell r="P38" t="str">
            <v>X3031ABB</v>
          </cell>
          <cell r="Q38" t="str">
            <v>01Z010306AH</v>
          </cell>
          <cell r="R38" t="str">
            <v>US08</v>
          </cell>
        </row>
        <row r="39">
          <cell r="A39">
            <v>539437</v>
          </cell>
          <cell r="B39" t="str">
            <v>CRCO N45-A6   MF2   SPC  NK</v>
          </cell>
          <cell r="C39">
            <v>1337</v>
          </cell>
          <cell r="D39" t="str">
            <v>UN</v>
          </cell>
          <cell r="E39">
            <v>4938.24</v>
          </cell>
          <cell r="G39">
            <v>100</v>
          </cell>
          <cell r="H39" t="str">
            <v>NK</v>
          </cell>
          <cell r="I39" t="str">
            <v>NK US</v>
          </cell>
          <cell r="J39" t="str">
            <v>CO110</v>
          </cell>
          <cell r="K39">
            <v>1</v>
          </cell>
          <cell r="N39">
            <v>0.01</v>
          </cell>
          <cell r="P39" t="str">
            <v>X4555ABB</v>
          </cell>
          <cell r="Q39" t="str">
            <v>01Z010406AJ</v>
          </cell>
          <cell r="R39" t="str">
            <v>US08</v>
          </cell>
        </row>
        <row r="40">
          <cell r="A40">
            <v>549011</v>
          </cell>
          <cell r="B40" t="str">
            <v>CRCO N29-A2   LR70  SPC  NK</v>
          </cell>
          <cell r="C40">
            <v>157</v>
          </cell>
          <cell r="D40" t="str">
            <v>UN</v>
          </cell>
          <cell r="E40">
            <v>4319.38</v>
          </cell>
          <cell r="G40">
            <v>100</v>
          </cell>
          <cell r="H40" t="str">
            <v>NK</v>
          </cell>
          <cell r="I40" t="str">
            <v>NK US</v>
          </cell>
          <cell r="J40" t="str">
            <v>CO110</v>
          </cell>
          <cell r="K40">
            <v>1</v>
          </cell>
          <cell r="N40">
            <v>0.01</v>
          </cell>
          <cell r="P40" t="str">
            <v>X29204BB</v>
          </cell>
          <cell r="Q40" t="str">
            <v>01Z010306AV</v>
          </cell>
          <cell r="R40" t="str">
            <v>US08</v>
          </cell>
        </row>
        <row r="41">
          <cell r="A41">
            <v>549020</v>
          </cell>
          <cell r="B41" t="str">
            <v>CRCO N29-A2   MF1   SPC  NK</v>
          </cell>
          <cell r="C41">
            <v>1267</v>
          </cell>
          <cell r="D41" t="str">
            <v>UN</v>
          </cell>
          <cell r="E41">
            <v>4319.38</v>
          </cell>
          <cell r="G41">
            <v>100</v>
          </cell>
          <cell r="H41" t="str">
            <v>NK</v>
          </cell>
          <cell r="I41" t="str">
            <v>NK US</v>
          </cell>
          <cell r="J41" t="str">
            <v>CO110</v>
          </cell>
          <cell r="K41">
            <v>1</v>
          </cell>
          <cell r="N41">
            <v>0.01</v>
          </cell>
          <cell r="P41" t="str">
            <v>X29204BB</v>
          </cell>
          <cell r="Q41" t="str">
            <v>01Z010306AV</v>
          </cell>
          <cell r="R41" t="str">
            <v>US08</v>
          </cell>
        </row>
        <row r="42">
          <cell r="A42">
            <v>549029</v>
          </cell>
          <cell r="B42" t="str">
            <v>CRCO N29-A2   MF2   SPC  NK</v>
          </cell>
          <cell r="C42">
            <v>491</v>
          </cell>
          <cell r="D42" t="str">
            <v>UN</v>
          </cell>
          <cell r="E42">
            <v>4319.38</v>
          </cell>
          <cell r="G42">
            <v>100</v>
          </cell>
          <cell r="H42" t="str">
            <v>NK</v>
          </cell>
          <cell r="I42" t="str">
            <v>NK US</v>
          </cell>
          <cell r="J42" t="str">
            <v>CO110</v>
          </cell>
          <cell r="K42">
            <v>1</v>
          </cell>
          <cell r="N42">
            <v>0.01</v>
          </cell>
          <cell r="P42" t="str">
            <v>X29204BB</v>
          </cell>
          <cell r="Q42" t="str">
            <v>01Z010306AV</v>
          </cell>
          <cell r="R42" t="str">
            <v>US08</v>
          </cell>
        </row>
        <row r="43">
          <cell r="A43">
            <v>549047</v>
          </cell>
          <cell r="B43" t="str">
            <v>CRCO N29-A2   MR2   SPC  NK</v>
          </cell>
          <cell r="C43">
            <v>197</v>
          </cell>
          <cell r="D43" t="str">
            <v>UN</v>
          </cell>
          <cell r="E43">
            <v>4319.38</v>
          </cell>
          <cell r="G43">
            <v>100</v>
          </cell>
          <cell r="H43" t="str">
            <v>NK</v>
          </cell>
          <cell r="I43" t="str">
            <v>NK US</v>
          </cell>
          <cell r="J43" t="str">
            <v>CO110</v>
          </cell>
          <cell r="K43">
            <v>1</v>
          </cell>
          <cell r="N43">
            <v>0.01</v>
          </cell>
          <cell r="P43" t="str">
            <v>X29204BB</v>
          </cell>
          <cell r="Q43" t="str">
            <v>01Z010306AV</v>
          </cell>
          <cell r="R43" t="str">
            <v>US08</v>
          </cell>
        </row>
        <row r="44">
          <cell r="A44">
            <v>556479</v>
          </cell>
          <cell r="B44" t="str">
            <v>CRCO N33-Z7   MF2   SPC  NK</v>
          </cell>
          <cell r="C44">
            <v>963</v>
          </cell>
          <cell r="D44" t="str">
            <v>UN</v>
          </cell>
          <cell r="E44">
            <v>6502.38</v>
          </cell>
          <cell r="G44">
            <v>100</v>
          </cell>
          <cell r="H44" t="str">
            <v>NK</v>
          </cell>
          <cell r="I44" t="str">
            <v>NK US</v>
          </cell>
          <cell r="J44" t="str">
            <v>CO110</v>
          </cell>
          <cell r="K44">
            <v>1</v>
          </cell>
          <cell r="N44">
            <v>0.01</v>
          </cell>
          <cell r="P44" t="str">
            <v>X35294WG</v>
          </cell>
          <cell r="Q44" t="str">
            <v>01Z010316AF</v>
          </cell>
          <cell r="R44" t="str">
            <v>US08</v>
          </cell>
        </row>
        <row r="45">
          <cell r="A45">
            <v>556626</v>
          </cell>
          <cell r="B45" t="str">
            <v>CRCO N34-F1   MF1   SPC  NK</v>
          </cell>
          <cell r="C45">
            <v>255</v>
          </cell>
          <cell r="D45" t="str">
            <v>UN</v>
          </cell>
          <cell r="E45">
            <v>4533.7</v>
          </cell>
          <cell r="G45">
            <v>100</v>
          </cell>
          <cell r="H45" t="str">
            <v>NK</v>
          </cell>
          <cell r="I45" t="str">
            <v>NK US</v>
          </cell>
          <cell r="J45" t="str">
            <v>CO110</v>
          </cell>
          <cell r="K45">
            <v>1</v>
          </cell>
          <cell r="N45">
            <v>0.01</v>
          </cell>
          <cell r="P45" t="str">
            <v>X31085BB</v>
          </cell>
          <cell r="Q45" t="str">
            <v>01Z010306BH</v>
          </cell>
          <cell r="R45" t="str">
            <v>US08</v>
          </cell>
        </row>
        <row r="46">
          <cell r="A46">
            <v>556628</v>
          </cell>
          <cell r="B46" t="str">
            <v>CRCO N34-F1   MF1QBP  SPC  NK</v>
          </cell>
          <cell r="C46">
            <v>100</v>
          </cell>
          <cell r="D46" t="str">
            <v>UN</v>
          </cell>
          <cell r="E46">
            <v>455355.33</v>
          </cell>
          <cell r="G46">
            <v>10000</v>
          </cell>
          <cell r="H46" t="str">
            <v>NK</v>
          </cell>
          <cell r="I46" t="str">
            <v>NK US</v>
          </cell>
          <cell r="J46" t="str">
            <v>CO110</v>
          </cell>
          <cell r="K46">
            <v>1</v>
          </cell>
          <cell r="N46">
            <v>0.01</v>
          </cell>
          <cell r="P46" t="str">
            <v>X31085BB</v>
          </cell>
          <cell r="Q46" t="str">
            <v>01Z010306BH</v>
          </cell>
          <cell r="R46" t="str">
            <v>US08</v>
          </cell>
        </row>
        <row r="47">
          <cell r="A47">
            <v>556635</v>
          </cell>
          <cell r="B47" t="str">
            <v>CRCO N34-F1   MF2   SPC  NK</v>
          </cell>
          <cell r="C47">
            <v>1305</v>
          </cell>
          <cell r="D47" t="str">
            <v>UN</v>
          </cell>
          <cell r="E47">
            <v>4533.7</v>
          </cell>
          <cell r="G47">
            <v>100</v>
          </cell>
          <cell r="H47" t="str">
            <v>NK</v>
          </cell>
          <cell r="I47" t="str">
            <v>NK US</v>
          </cell>
          <cell r="J47" t="str">
            <v>CO110</v>
          </cell>
          <cell r="K47">
            <v>1</v>
          </cell>
          <cell r="N47">
            <v>0.01</v>
          </cell>
          <cell r="P47" t="str">
            <v>X31085BB</v>
          </cell>
          <cell r="Q47" t="str">
            <v>01Z010306BH</v>
          </cell>
          <cell r="R47" t="str">
            <v>US08</v>
          </cell>
        </row>
        <row r="48">
          <cell r="A48">
            <v>556644</v>
          </cell>
          <cell r="B48" t="str">
            <v>CRCO N34-F1   MR1   SPC  NK</v>
          </cell>
          <cell r="C48">
            <v>355</v>
          </cell>
          <cell r="D48" t="str">
            <v>UN</v>
          </cell>
          <cell r="E48">
            <v>4533.7</v>
          </cell>
          <cell r="G48">
            <v>100</v>
          </cell>
          <cell r="H48" t="str">
            <v>NK</v>
          </cell>
          <cell r="I48" t="str">
            <v>NK US</v>
          </cell>
          <cell r="J48" t="str">
            <v>CO110</v>
          </cell>
          <cell r="K48">
            <v>1</v>
          </cell>
          <cell r="N48">
            <v>0.01</v>
          </cell>
          <cell r="P48" t="str">
            <v>X31085BB</v>
          </cell>
          <cell r="Q48" t="str">
            <v>01Z010306BH</v>
          </cell>
          <cell r="R48" t="str">
            <v>US08</v>
          </cell>
        </row>
        <row r="49">
          <cell r="A49">
            <v>556646</v>
          </cell>
          <cell r="B49" t="str">
            <v>CRCO N34-F1   MR1QBP  SPC  NK</v>
          </cell>
          <cell r="C49">
            <v>50</v>
          </cell>
          <cell r="D49" t="str">
            <v>UN</v>
          </cell>
          <cell r="E49">
            <v>455355.33</v>
          </cell>
          <cell r="G49">
            <v>10000</v>
          </cell>
          <cell r="H49" t="str">
            <v>NK</v>
          </cell>
          <cell r="I49" t="str">
            <v>NK US</v>
          </cell>
          <cell r="J49" t="str">
            <v>CO110</v>
          </cell>
          <cell r="K49">
            <v>1</v>
          </cell>
          <cell r="N49">
            <v>0.01</v>
          </cell>
          <cell r="P49" t="str">
            <v>X31085BB</v>
          </cell>
          <cell r="Q49" t="str">
            <v>01Z010306BH</v>
          </cell>
          <cell r="R49" t="str">
            <v>US08</v>
          </cell>
        </row>
        <row r="50">
          <cell r="A50">
            <v>556653</v>
          </cell>
          <cell r="B50" t="str">
            <v>CRCO N34-F1   MR2   SPC  NK</v>
          </cell>
          <cell r="C50">
            <v>995</v>
          </cell>
          <cell r="D50" t="str">
            <v>UN</v>
          </cell>
          <cell r="E50">
            <v>4533.7</v>
          </cell>
          <cell r="G50">
            <v>100</v>
          </cell>
          <cell r="H50" t="str">
            <v>NK</v>
          </cell>
          <cell r="I50" t="str">
            <v>NK US</v>
          </cell>
          <cell r="J50" t="str">
            <v>CO110</v>
          </cell>
          <cell r="K50">
            <v>1</v>
          </cell>
          <cell r="N50">
            <v>0.01</v>
          </cell>
          <cell r="P50" t="str">
            <v>X31085BB</v>
          </cell>
          <cell r="Q50" t="str">
            <v>01Z010306BH</v>
          </cell>
          <cell r="R50" t="str">
            <v>US08</v>
          </cell>
        </row>
        <row r="51">
          <cell r="A51">
            <v>558442</v>
          </cell>
          <cell r="B51" t="str">
            <v>CRCO N27-W8     MF2     SPC     80KS NK</v>
          </cell>
          <cell r="C51">
            <v>931</v>
          </cell>
          <cell r="D51" t="str">
            <v>UN</v>
          </cell>
          <cell r="E51">
            <v>6587.42</v>
          </cell>
          <cell r="G51">
            <v>100</v>
          </cell>
          <cell r="H51" t="str">
            <v>NK</v>
          </cell>
          <cell r="I51" t="str">
            <v>NK US</v>
          </cell>
          <cell r="J51" t="str">
            <v>CO110</v>
          </cell>
          <cell r="K51">
            <v>1</v>
          </cell>
          <cell r="N51">
            <v>0.01</v>
          </cell>
          <cell r="P51" t="str">
            <v>X26164BB</v>
          </cell>
          <cell r="Q51" t="str">
            <v>01Z010206BB</v>
          </cell>
          <cell r="R51" t="str">
            <v>US08</v>
          </cell>
        </row>
        <row r="52">
          <cell r="A52">
            <v>646780</v>
          </cell>
          <cell r="B52" t="str">
            <v>BAG  CO,BAG,14.5X2.5X34 GH CONV CORN</v>
          </cell>
          <cell r="C52">
            <v>42540</v>
          </cell>
          <cell r="D52" t="str">
            <v>PC</v>
          </cell>
          <cell r="E52">
            <v>450</v>
          </cell>
          <cell r="G52">
            <v>1000</v>
          </cell>
          <cell r="H52" t="str">
            <v>Golden Harvest</v>
          </cell>
          <cell r="I52" t="str">
            <v>SC SYNGENTA</v>
          </cell>
          <cell r="J52" t="str">
            <v>PACKS</v>
          </cell>
          <cell r="K52">
            <v>1</v>
          </cell>
          <cell r="N52">
            <v>310.14999999999998</v>
          </cell>
          <cell r="P52" t="str">
            <v>NON SEEDS</v>
          </cell>
          <cell r="Q52" t="str">
            <v>ZZ</v>
          </cell>
          <cell r="R52" t="str">
            <v>US08</v>
          </cell>
          <cell r="S52">
            <v>450</v>
          </cell>
        </row>
        <row r="53">
          <cell r="A53">
            <v>646782</v>
          </cell>
          <cell r="B53" t="str">
            <v>BAG  CO,BAG,14.5X4.5X34 GH CONV CORN</v>
          </cell>
          <cell r="C53">
            <v>49453</v>
          </cell>
          <cell r="D53" t="str">
            <v>PC</v>
          </cell>
          <cell r="E53">
            <v>490</v>
          </cell>
          <cell r="G53">
            <v>1000</v>
          </cell>
          <cell r="H53" t="str">
            <v>Golden Harvest</v>
          </cell>
          <cell r="I53" t="str">
            <v>SC SYNGENTA</v>
          </cell>
          <cell r="J53" t="str">
            <v>PACKS</v>
          </cell>
          <cell r="K53">
            <v>1</v>
          </cell>
          <cell r="N53">
            <v>397.68</v>
          </cell>
          <cell r="P53" t="str">
            <v>NON SEEDS</v>
          </cell>
          <cell r="Q53" t="str">
            <v>ZZ</v>
          </cell>
          <cell r="R53" t="str">
            <v>US08</v>
          </cell>
          <cell r="S53">
            <v>490</v>
          </cell>
        </row>
        <row r="54">
          <cell r="A54">
            <v>646784</v>
          </cell>
          <cell r="B54" t="str">
            <v>BAG  CO,BAG,14.5X2.5X34 GH GLY CORN</v>
          </cell>
          <cell r="C54">
            <v>65138</v>
          </cell>
          <cell r="D54" t="str">
            <v>PC</v>
          </cell>
          <cell r="E54">
            <v>430</v>
          </cell>
          <cell r="G54">
            <v>1000</v>
          </cell>
          <cell r="H54" t="str">
            <v>SC Syngenta</v>
          </cell>
          <cell r="I54" t="str">
            <v>SC SYNGENTA</v>
          </cell>
          <cell r="J54" t="str">
            <v>PACKS</v>
          </cell>
          <cell r="K54">
            <v>1</v>
          </cell>
          <cell r="N54">
            <v>310.48</v>
          </cell>
          <cell r="P54" t="str">
            <v>NON SEEDS</v>
          </cell>
          <cell r="Q54" t="str">
            <v>ZZ</v>
          </cell>
          <cell r="R54" t="str">
            <v>US08</v>
          </cell>
          <cell r="S54">
            <v>430</v>
          </cell>
        </row>
        <row r="55">
          <cell r="A55">
            <v>646788</v>
          </cell>
          <cell r="B55" t="str">
            <v>BAG  CO,BAG,14.5X2.5X34 GH LIB CORN</v>
          </cell>
          <cell r="C55">
            <v>88320</v>
          </cell>
          <cell r="D55" t="str">
            <v>PC</v>
          </cell>
          <cell r="E55">
            <v>430</v>
          </cell>
          <cell r="G55">
            <v>1000</v>
          </cell>
          <cell r="H55" t="str">
            <v>SC Syngenta</v>
          </cell>
          <cell r="I55" t="str">
            <v>SC SYNGENTA</v>
          </cell>
          <cell r="J55" t="str">
            <v>PACKS</v>
          </cell>
          <cell r="K55">
            <v>1</v>
          </cell>
          <cell r="N55">
            <v>310.05</v>
          </cell>
          <cell r="P55" t="str">
            <v>NON SEEDS</v>
          </cell>
          <cell r="Q55" t="str">
            <v>ZZ</v>
          </cell>
          <cell r="R55" t="str">
            <v>US08</v>
          </cell>
          <cell r="S55">
            <v>430</v>
          </cell>
        </row>
        <row r="56">
          <cell r="A56">
            <v>646792</v>
          </cell>
          <cell r="B56" t="str">
            <v>BAG  CO,BAG,14.5x2.5x34 GARST CORN</v>
          </cell>
          <cell r="C56">
            <v>72794</v>
          </cell>
          <cell r="D56" t="str">
            <v>PC</v>
          </cell>
          <cell r="E56">
            <v>420</v>
          </cell>
          <cell r="G56">
            <v>1000</v>
          </cell>
          <cell r="H56" t="str">
            <v>Garst</v>
          </cell>
          <cell r="I56" t="str">
            <v>SC SYNGENTA</v>
          </cell>
          <cell r="J56" t="str">
            <v>PACKS</v>
          </cell>
          <cell r="K56">
            <v>1</v>
          </cell>
          <cell r="N56">
            <v>306.98</v>
          </cell>
          <cell r="P56" t="str">
            <v>NON SEEDS</v>
          </cell>
          <cell r="Q56" t="str">
            <v>ZZ</v>
          </cell>
          <cell r="R56" t="str">
            <v>US08</v>
          </cell>
          <cell r="S56">
            <v>420</v>
          </cell>
        </row>
        <row r="57">
          <cell r="A57">
            <v>646793</v>
          </cell>
          <cell r="B57" t="str">
            <v>BAG  CO,BAG,14.5X3.5X34 GARST CORN</v>
          </cell>
          <cell r="C57">
            <v>73831</v>
          </cell>
          <cell r="D57" t="str">
            <v>PC</v>
          </cell>
          <cell r="E57">
            <v>470</v>
          </cell>
          <cell r="G57">
            <v>1000</v>
          </cell>
          <cell r="H57" t="str">
            <v>Garst</v>
          </cell>
          <cell r="I57" t="str">
            <v>SC SYNGENTA</v>
          </cell>
          <cell r="J57" t="str">
            <v>PACKS</v>
          </cell>
          <cell r="K57">
            <v>1</v>
          </cell>
          <cell r="N57">
            <v>337.65</v>
          </cell>
          <cell r="P57" t="str">
            <v>NON SEEDS</v>
          </cell>
          <cell r="Q57" t="str">
            <v>ZZ</v>
          </cell>
          <cell r="R57" t="str">
            <v>US08</v>
          </cell>
          <cell r="S57">
            <v>470</v>
          </cell>
        </row>
        <row r="58">
          <cell r="A58">
            <v>646794</v>
          </cell>
          <cell r="B58" t="str">
            <v>BAG  CO,BAG,14.5X4.5X34 GARST CORN</v>
          </cell>
          <cell r="C58">
            <v>64639</v>
          </cell>
          <cell r="D58" t="str">
            <v>PC</v>
          </cell>
          <cell r="E58">
            <v>490</v>
          </cell>
          <cell r="G58">
            <v>1000</v>
          </cell>
          <cell r="H58" t="str">
            <v>Garst</v>
          </cell>
          <cell r="I58" t="str">
            <v>SC SYNGENTA</v>
          </cell>
          <cell r="J58" t="str">
            <v>PACKS</v>
          </cell>
          <cell r="K58">
            <v>1</v>
          </cell>
          <cell r="N58">
            <v>365.13</v>
          </cell>
          <cell r="P58" t="str">
            <v>NON SEEDS</v>
          </cell>
          <cell r="Q58" t="str">
            <v>ZZ</v>
          </cell>
          <cell r="R58" t="str">
            <v>US08</v>
          </cell>
          <cell r="S58">
            <v>490</v>
          </cell>
        </row>
        <row r="59">
          <cell r="A59">
            <v>646797</v>
          </cell>
          <cell r="B59" t="str">
            <v>BAG  CO,BAG,14.5X3.5X34 GH LASER CORN</v>
          </cell>
          <cell r="C59">
            <v>58605</v>
          </cell>
          <cell r="D59" t="str">
            <v>PC</v>
          </cell>
          <cell r="E59">
            <v>450</v>
          </cell>
          <cell r="G59">
            <v>1000</v>
          </cell>
          <cell r="H59" t="str">
            <v>SC Syngenta</v>
          </cell>
          <cell r="I59" t="str">
            <v>GH LASER</v>
          </cell>
          <cell r="J59" t="str">
            <v>PACKS</v>
          </cell>
          <cell r="K59">
            <v>1</v>
          </cell>
          <cell r="N59">
            <v>335.68</v>
          </cell>
          <cell r="P59" t="str">
            <v>NON SEEDS</v>
          </cell>
          <cell r="Q59" t="str">
            <v>ZZ</v>
          </cell>
          <cell r="R59" t="str">
            <v>US08</v>
          </cell>
          <cell r="S59">
            <v>450</v>
          </cell>
        </row>
        <row r="60">
          <cell r="A60">
            <v>646798</v>
          </cell>
          <cell r="B60" t="str">
            <v>BAG  CO,BAG,14.5X4.5X34 GH LASER CORN</v>
          </cell>
          <cell r="C60">
            <v>71439</v>
          </cell>
          <cell r="D60" t="str">
            <v>PC</v>
          </cell>
          <cell r="E60">
            <v>490</v>
          </cell>
          <cell r="G60">
            <v>1000</v>
          </cell>
          <cell r="H60" t="str">
            <v>SC Syngenta</v>
          </cell>
          <cell r="I60" t="str">
            <v>GH LASER</v>
          </cell>
          <cell r="J60" t="str">
            <v>PACKS</v>
          </cell>
          <cell r="K60">
            <v>1</v>
          </cell>
          <cell r="N60">
            <v>393.08</v>
          </cell>
          <cell r="P60" t="str">
            <v>NON SEEDS</v>
          </cell>
          <cell r="Q60" t="str">
            <v>ZZ</v>
          </cell>
          <cell r="R60" t="str">
            <v>US08</v>
          </cell>
          <cell r="S60">
            <v>490</v>
          </cell>
        </row>
        <row r="61">
          <cell r="A61">
            <v>653563</v>
          </cell>
          <cell r="B61" t="str">
            <v>CRCO N65-M7     MF1     SPC     80KS CA</v>
          </cell>
          <cell r="C61">
            <v>662</v>
          </cell>
          <cell r="D61" t="str">
            <v>UN</v>
          </cell>
          <cell r="E61">
            <v>5196.07</v>
          </cell>
          <cell r="G61">
            <v>100</v>
          </cell>
          <cell r="H61" t="str">
            <v>NK</v>
          </cell>
          <cell r="I61" t="str">
            <v>NK CA</v>
          </cell>
          <cell r="J61" t="str">
            <v>CO110</v>
          </cell>
          <cell r="K61">
            <v>1</v>
          </cell>
          <cell r="N61">
            <v>0.01</v>
          </cell>
          <cell r="P61" t="str">
            <v>X6567A/MITIC</v>
          </cell>
          <cell r="Q61" t="str">
            <v>01Z010601AA</v>
          </cell>
          <cell r="R61" t="str">
            <v>US08</v>
          </cell>
        </row>
        <row r="62">
          <cell r="A62">
            <v>653566</v>
          </cell>
          <cell r="B62" t="str">
            <v>CRCO N65-M7     MF2     STD     80KS CA</v>
          </cell>
          <cell r="C62">
            <v>0</v>
          </cell>
          <cell r="D62" t="str">
            <v>UN</v>
          </cell>
          <cell r="E62">
            <v>4480.99</v>
          </cell>
          <cell r="G62">
            <v>100</v>
          </cell>
          <cell r="H62" t="str">
            <v>NK</v>
          </cell>
          <cell r="I62" t="str">
            <v>NK CA</v>
          </cell>
          <cell r="J62" t="str">
            <v>CO110</v>
          </cell>
          <cell r="K62">
            <v>1</v>
          </cell>
          <cell r="N62">
            <v>0.01</v>
          </cell>
          <cell r="P62" t="str">
            <v>X6567A/MITIC</v>
          </cell>
          <cell r="Q62" t="str">
            <v>01Z010601AA</v>
          </cell>
          <cell r="R62" t="str">
            <v>US08</v>
          </cell>
        </row>
        <row r="63">
          <cell r="A63">
            <v>653569</v>
          </cell>
          <cell r="B63" t="str">
            <v>CRCO N65-M7     MF2     SPC     80KS CA</v>
          </cell>
          <cell r="C63">
            <v>707</v>
          </cell>
          <cell r="D63" t="str">
            <v>UN</v>
          </cell>
          <cell r="E63">
            <v>5196.07</v>
          </cell>
          <cell r="G63">
            <v>100</v>
          </cell>
          <cell r="H63" t="str">
            <v>NK</v>
          </cell>
          <cell r="I63" t="str">
            <v>NK CA</v>
          </cell>
          <cell r="J63" t="str">
            <v>CO110</v>
          </cell>
          <cell r="K63">
            <v>1</v>
          </cell>
          <cell r="N63">
            <v>0.01</v>
          </cell>
          <cell r="P63" t="str">
            <v>X6567A/MITIC</v>
          </cell>
          <cell r="Q63" t="str">
            <v>01Z010601AA</v>
          </cell>
          <cell r="R63" t="str">
            <v>US08</v>
          </cell>
        </row>
        <row r="64">
          <cell r="A64">
            <v>655469</v>
          </cell>
          <cell r="B64" t="str">
            <v>TRT  CF CLEAR</v>
          </cell>
          <cell r="C64">
            <v>620.44299999999998</v>
          </cell>
          <cell r="D64" t="str">
            <v>GAL</v>
          </cell>
          <cell r="E64">
            <v>2295</v>
          </cell>
          <cell r="G64">
            <v>100</v>
          </cell>
          <cell r="H64" t="str">
            <v>SC Syngenta</v>
          </cell>
          <cell r="I64" t="str">
            <v>SC SYNGENTA</v>
          </cell>
          <cell r="J64" t="str">
            <v>CPROT</v>
          </cell>
          <cell r="K64">
            <v>1</v>
          </cell>
          <cell r="N64">
            <v>2185.3200000000002</v>
          </cell>
          <cell r="P64" t="str">
            <v>NON SEEDS</v>
          </cell>
          <cell r="Q64" t="str">
            <v>ZZ</v>
          </cell>
          <cell r="R64" t="str">
            <v>US08</v>
          </cell>
          <cell r="S64">
            <v>2295</v>
          </cell>
        </row>
        <row r="65">
          <cell r="A65">
            <v>655470</v>
          </cell>
          <cell r="B65" t="str">
            <v>TRT  CUSTOM COLOR GLOSS 661</v>
          </cell>
          <cell r="C65">
            <v>5372.0879999999997</v>
          </cell>
          <cell r="D65" t="str">
            <v>GAL</v>
          </cell>
          <cell r="E65">
            <v>3150</v>
          </cell>
          <cell r="G65">
            <v>100</v>
          </cell>
          <cell r="H65" t="str">
            <v>SC Syngenta</v>
          </cell>
          <cell r="I65" t="str">
            <v>SC SYNGENTA</v>
          </cell>
          <cell r="J65" t="str">
            <v>CPROT</v>
          </cell>
          <cell r="K65">
            <v>1</v>
          </cell>
          <cell r="N65">
            <v>3000</v>
          </cell>
          <cell r="P65" t="str">
            <v>NON SEEDS</v>
          </cell>
          <cell r="Q65" t="str">
            <v>ZZ</v>
          </cell>
          <cell r="R65" t="str">
            <v>US08</v>
          </cell>
          <cell r="S65">
            <v>3150</v>
          </cell>
        </row>
        <row r="66">
          <cell r="A66">
            <v>680817</v>
          </cell>
          <cell r="B66" t="str">
            <v>BAG  CO,BAG,14.5x2.5x34 SYN LASER  9/05</v>
          </cell>
          <cell r="C66">
            <v>32566</v>
          </cell>
          <cell r="D66" t="str">
            <v>PC</v>
          </cell>
          <cell r="E66">
            <v>45</v>
          </cell>
          <cell r="G66">
            <v>100</v>
          </cell>
          <cell r="H66" t="str">
            <v>SC Syngenta</v>
          </cell>
          <cell r="I66" t="str">
            <v>NK LASER</v>
          </cell>
          <cell r="J66" t="str">
            <v>PACKS</v>
          </cell>
          <cell r="K66">
            <v>1</v>
          </cell>
          <cell r="N66">
            <v>32.869999999999997</v>
          </cell>
          <cell r="P66" t="str">
            <v>NON SEEDS</v>
          </cell>
          <cell r="Q66" t="str">
            <v>ZZ</v>
          </cell>
          <cell r="R66" t="str">
            <v>US08</v>
          </cell>
          <cell r="S66">
            <v>45</v>
          </cell>
        </row>
        <row r="67">
          <cell r="A67">
            <v>680818</v>
          </cell>
          <cell r="B67" t="str">
            <v>BAG  CO,BAG,14.5x3.5x34 SYN LASER  9/05</v>
          </cell>
          <cell r="C67">
            <v>38806</v>
          </cell>
          <cell r="D67" t="str">
            <v>PC</v>
          </cell>
          <cell r="E67">
            <v>49</v>
          </cell>
          <cell r="G67">
            <v>100</v>
          </cell>
          <cell r="H67" t="str">
            <v>SC Syngenta</v>
          </cell>
          <cell r="I67" t="str">
            <v>NK LASER</v>
          </cell>
          <cell r="J67" t="str">
            <v>PACKS</v>
          </cell>
          <cell r="K67">
            <v>1</v>
          </cell>
          <cell r="N67">
            <v>35.65</v>
          </cell>
          <cell r="P67" t="str">
            <v>NON SEEDS</v>
          </cell>
          <cell r="Q67" t="str">
            <v>ZZ</v>
          </cell>
          <cell r="R67" t="str">
            <v>US08</v>
          </cell>
          <cell r="S67">
            <v>49</v>
          </cell>
        </row>
        <row r="68">
          <cell r="A68">
            <v>680819</v>
          </cell>
          <cell r="B68" t="str">
            <v>BAG  CO,BAG,14.5x4.5x34 SYN LASER  9/05</v>
          </cell>
          <cell r="C68">
            <v>31616</v>
          </cell>
          <cell r="D68" t="str">
            <v>PC</v>
          </cell>
          <cell r="E68">
            <v>50</v>
          </cell>
          <cell r="G68">
            <v>100</v>
          </cell>
          <cell r="H68" t="str">
            <v>SC Syngenta</v>
          </cell>
          <cell r="I68" t="str">
            <v>NK LASER</v>
          </cell>
          <cell r="J68" t="str">
            <v>PACKS</v>
          </cell>
          <cell r="K68">
            <v>1</v>
          </cell>
          <cell r="N68">
            <v>38.57</v>
          </cell>
          <cell r="P68" t="str">
            <v>NON SEEDS</v>
          </cell>
          <cell r="Q68" t="str">
            <v>ZZ</v>
          </cell>
          <cell r="R68" t="str">
            <v>US08</v>
          </cell>
          <cell r="S68">
            <v>50</v>
          </cell>
        </row>
        <row r="69">
          <cell r="A69">
            <v>681927</v>
          </cell>
          <cell r="B69" t="str">
            <v>CRCO N3030BT    MF2     SPC     80KS CA</v>
          </cell>
          <cell r="C69">
            <v>623</v>
          </cell>
          <cell r="D69" t="str">
            <v>UN</v>
          </cell>
          <cell r="E69">
            <v>4719.76</v>
          </cell>
          <cell r="G69">
            <v>100</v>
          </cell>
          <cell r="H69" t="str">
            <v>NK</v>
          </cell>
          <cell r="I69" t="str">
            <v>NK CA</v>
          </cell>
          <cell r="J69" t="str">
            <v>CO110</v>
          </cell>
          <cell r="K69">
            <v>1</v>
          </cell>
          <cell r="N69">
            <v>0.01</v>
          </cell>
          <cell r="P69" t="str">
            <v>X3031ABB</v>
          </cell>
          <cell r="Q69" t="str">
            <v>01Z010306AH</v>
          </cell>
          <cell r="R69" t="str">
            <v>US08</v>
          </cell>
        </row>
        <row r="70">
          <cell r="A70">
            <v>681928</v>
          </cell>
          <cell r="B70" t="str">
            <v>CRCO N3030BT    MR2     SPC     80KS CA</v>
          </cell>
          <cell r="C70">
            <v>335</v>
          </cell>
          <cell r="D70" t="str">
            <v>UN</v>
          </cell>
          <cell r="E70">
            <v>4719.76</v>
          </cell>
          <cell r="G70">
            <v>100</v>
          </cell>
          <cell r="H70" t="str">
            <v>NK</v>
          </cell>
          <cell r="I70" t="str">
            <v>NK CA</v>
          </cell>
          <cell r="J70" t="str">
            <v>CO110</v>
          </cell>
          <cell r="K70">
            <v>1</v>
          </cell>
          <cell r="N70">
            <v>0.01</v>
          </cell>
          <cell r="P70" t="str">
            <v>X3031ABB</v>
          </cell>
          <cell r="Q70" t="str">
            <v>01Z010306AH</v>
          </cell>
          <cell r="R70" t="str">
            <v>US08</v>
          </cell>
        </row>
        <row r="71">
          <cell r="A71">
            <v>685750</v>
          </cell>
          <cell r="B71" t="str">
            <v>CRCO N33-P2     MF1     SPC     80KS CA</v>
          </cell>
          <cell r="C71">
            <v>0</v>
          </cell>
          <cell r="D71" t="str">
            <v>UN</v>
          </cell>
          <cell r="E71">
            <v>6516.85</v>
          </cell>
          <cell r="G71">
            <v>100</v>
          </cell>
          <cell r="H71" t="str">
            <v>NK</v>
          </cell>
          <cell r="I71" t="str">
            <v>NK CA</v>
          </cell>
          <cell r="J71" t="str">
            <v>CO110</v>
          </cell>
          <cell r="K71">
            <v>1</v>
          </cell>
          <cell r="N71">
            <v>0.01</v>
          </cell>
          <cell r="P71" t="str">
            <v>X35294GR</v>
          </cell>
          <cell r="Q71" t="str">
            <v>01Z010315AA</v>
          </cell>
          <cell r="R71" t="str">
            <v>US08</v>
          </cell>
        </row>
        <row r="72">
          <cell r="A72">
            <v>685752</v>
          </cell>
          <cell r="B72" t="str">
            <v>CRCO N33-P2     MF2     STD     80KS CA</v>
          </cell>
          <cell r="C72">
            <v>0</v>
          </cell>
          <cell r="D72" t="str">
            <v>UN</v>
          </cell>
          <cell r="E72">
            <v>5807.84</v>
          </cell>
          <cell r="G72">
            <v>100</v>
          </cell>
          <cell r="H72" t="str">
            <v>NK</v>
          </cell>
          <cell r="I72" t="str">
            <v>NK CA</v>
          </cell>
          <cell r="J72" t="str">
            <v>CO110</v>
          </cell>
          <cell r="K72">
            <v>1</v>
          </cell>
          <cell r="N72">
            <v>0.01</v>
          </cell>
          <cell r="P72" t="str">
            <v>X35294GR</v>
          </cell>
          <cell r="Q72" t="str">
            <v>01Z010315AA</v>
          </cell>
          <cell r="R72" t="str">
            <v>US08</v>
          </cell>
        </row>
        <row r="73">
          <cell r="A73">
            <v>685756</v>
          </cell>
          <cell r="B73" t="str">
            <v>CRCO N33-P2     MF2     SPC     80KS CA</v>
          </cell>
          <cell r="C73">
            <v>0</v>
          </cell>
          <cell r="D73" t="str">
            <v>UN</v>
          </cell>
          <cell r="E73">
            <v>6516.85</v>
          </cell>
          <cell r="G73">
            <v>100</v>
          </cell>
          <cell r="H73" t="str">
            <v>NK</v>
          </cell>
          <cell r="I73" t="str">
            <v>NK CA</v>
          </cell>
          <cell r="J73" t="str">
            <v>CO110</v>
          </cell>
          <cell r="K73">
            <v>1</v>
          </cell>
          <cell r="N73">
            <v>0.01</v>
          </cell>
          <cell r="P73" t="str">
            <v>X35294GR</v>
          </cell>
          <cell r="Q73" t="str">
            <v>01Z010315AA</v>
          </cell>
          <cell r="R73" t="str">
            <v>US08</v>
          </cell>
        </row>
        <row r="74">
          <cell r="A74">
            <v>685804</v>
          </cell>
          <cell r="B74" t="str">
            <v>CRCO N34-F1     MF2     SPC     80KS CA</v>
          </cell>
          <cell r="C74">
            <v>151</v>
          </cell>
          <cell r="D74" t="str">
            <v>UN</v>
          </cell>
          <cell r="E74">
            <v>4547.5200000000004</v>
          </cell>
          <cell r="G74">
            <v>100</v>
          </cell>
          <cell r="H74" t="str">
            <v>NK</v>
          </cell>
          <cell r="I74" t="str">
            <v>NK CA</v>
          </cell>
          <cell r="J74" t="str">
            <v>CO110</v>
          </cell>
          <cell r="K74">
            <v>1</v>
          </cell>
          <cell r="N74">
            <v>0.01</v>
          </cell>
          <cell r="P74" t="str">
            <v>X31085BB</v>
          </cell>
          <cell r="Q74" t="str">
            <v>01Z010306BH</v>
          </cell>
          <cell r="R74" t="str">
            <v>US08</v>
          </cell>
        </row>
        <row r="75">
          <cell r="A75">
            <v>685816</v>
          </cell>
          <cell r="B75" t="str">
            <v>CRCO N34-F1     MR2     SPC     80KS CA</v>
          </cell>
          <cell r="C75">
            <v>0</v>
          </cell>
          <cell r="D75" t="str">
            <v>UN</v>
          </cell>
          <cell r="E75">
            <v>4547.5200000000004</v>
          </cell>
          <cell r="G75">
            <v>100</v>
          </cell>
          <cell r="H75" t="str">
            <v>NK</v>
          </cell>
          <cell r="I75" t="str">
            <v>NK CA</v>
          </cell>
          <cell r="J75" t="str">
            <v>CO110</v>
          </cell>
          <cell r="K75">
            <v>1</v>
          </cell>
          <cell r="N75">
            <v>0.01</v>
          </cell>
          <cell r="P75" t="str">
            <v>X31085BB</v>
          </cell>
          <cell r="Q75" t="str">
            <v>01Z010306BH</v>
          </cell>
          <cell r="R75" t="str">
            <v>US08</v>
          </cell>
        </row>
        <row r="76">
          <cell r="A76">
            <v>685996</v>
          </cell>
          <cell r="B76" t="str">
            <v>CRCO 8888      LR70    STD     70KS CA</v>
          </cell>
          <cell r="C76">
            <v>104</v>
          </cell>
          <cell r="D76" t="str">
            <v>UN</v>
          </cell>
          <cell r="E76">
            <v>4555.78</v>
          </cell>
          <cell r="G76">
            <v>100</v>
          </cell>
          <cell r="H76" t="str">
            <v>NK</v>
          </cell>
          <cell r="I76" t="str">
            <v>NK CA</v>
          </cell>
          <cell r="J76" t="str">
            <v>CO110</v>
          </cell>
          <cell r="K76">
            <v>1</v>
          </cell>
          <cell r="N76">
            <v>0.01</v>
          </cell>
          <cell r="P76">
            <v>8888</v>
          </cell>
          <cell r="Q76" t="str">
            <v>01Z010301AW</v>
          </cell>
          <cell r="R76" t="str">
            <v>US08</v>
          </cell>
        </row>
        <row r="77">
          <cell r="A77">
            <v>685998</v>
          </cell>
          <cell r="B77" t="str">
            <v>CRCO 8888      LR70    SPC     70KS CA</v>
          </cell>
          <cell r="C77">
            <v>527</v>
          </cell>
          <cell r="D77" t="str">
            <v>UN</v>
          </cell>
          <cell r="E77">
            <v>5264.79</v>
          </cell>
          <cell r="G77">
            <v>100</v>
          </cell>
          <cell r="H77" t="str">
            <v>NK</v>
          </cell>
          <cell r="I77" t="str">
            <v>NK CA</v>
          </cell>
          <cell r="J77" t="str">
            <v>CO110</v>
          </cell>
          <cell r="K77">
            <v>1</v>
          </cell>
          <cell r="N77">
            <v>0.01</v>
          </cell>
          <cell r="P77">
            <v>8888</v>
          </cell>
          <cell r="Q77" t="str">
            <v>01Z010301AW</v>
          </cell>
          <cell r="R77" t="str">
            <v>US08</v>
          </cell>
        </row>
        <row r="78">
          <cell r="A78">
            <v>686000</v>
          </cell>
          <cell r="B78" t="str">
            <v>CRCO 8888      MF1     STD     80KS CA</v>
          </cell>
          <cell r="C78">
            <v>60</v>
          </cell>
          <cell r="D78" t="str">
            <v>UN</v>
          </cell>
          <cell r="E78">
            <v>4555.78</v>
          </cell>
          <cell r="G78">
            <v>100</v>
          </cell>
          <cell r="H78" t="str">
            <v>NK</v>
          </cell>
          <cell r="I78" t="str">
            <v>NK CA</v>
          </cell>
          <cell r="J78" t="str">
            <v>CO110</v>
          </cell>
          <cell r="K78">
            <v>1</v>
          </cell>
          <cell r="N78">
            <v>0.01</v>
          </cell>
          <cell r="P78">
            <v>8888</v>
          </cell>
          <cell r="Q78" t="str">
            <v>01Z010301AW</v>
          </cell>
          <cell r="R78" t="str">
            <v>US08</v>
          </cell>
        </row>
        <row r="79">
          <cell r="A79">
            <v>699577</v>
          </cell>
          <cell r="B79" t="str">
            <v>CRCO N45-A6     LR70    SPC     70KS CA</v>
          </cell>
          <cell r="C79">
            <v>808</v>
          </cell>
          <cell r="D79" t="str">
            <v>UN</v>
          </cell>
          <cell r="E79">
            <v>4923.91</v>
          </cell>
          <cell r="G79">
            <v>100</v>
          </cell>
          <cell r="H79" t="str">
            <v>NK</v>
          </cell>
          <cell r="I79" t="str">
            <v>NK CA</v>
          </cell>
          <cell r="J79" t="str">
            <v>CO110</v>
          </cell>
          <cell r="K79">
            <v>1</v>
          </cell>
          <cell r="N79">
            <v>0.01</v>
          </cell>
          <cell r="P79" t="str">
            <v>X4555ABB</v>
          </cell>
          <cell r="Q79" t="str">
            <v>01Z010406AJ</v>
          </cell>
          <cell r="R79" t="str">
            <v>US08</v>
          </cell>
        </row>
        <row r="80">
          <cell r="A80">
            <v>707574</v>
          </cell>
          <cell r="B80" t="str">
            <v>BAG NK CO,BAG,14.5X2X26,ACP/FET REV10/05</v>
          </cell>
          <cell r="C80">
            <v>43777</v>
          </cell>
          <cell r="D80" t="str">
            <v>PC</v>
          </cell>
          <cell r="E80">
            <v>73</v>
          </cell>
          <cell r="G80">
            <v>100</v>
          </cell>
          <cell r="H80" t="str">
            <v>SC Syngenta</v>
          </cell>
          <cell r="I80" t="str">
            <v>SC SYNGENTA</v>
          </cell>
          <cell r="J80" t="str">
            <v>PACKS</v>
          </cell>
          <cell r="K80">
            <v>1</v>
          </cell>
          <cell r="N80">
            <v>41.5</v>
          </cell>
          <cell r="P80" t="str">
            <v>NON SEEDS</v>
          </cell>
          <cell r="Q80" t="str">
            <v>ZZ</v>
          </cell>
          <cell r="R80" t="str">
            <v>US08</v>
          </cell>
          <cell r="S80">
            <v>73</v>
          </cell>
        </row>
        <row r="81">
          <cell r="A81">
            <v>707575</v>
          </cell>
          <cell r="B81" t="str">
            <v>BAG GT CO,BAG,14.5X2X26,ACP/FET REV10/05</v>
          </cell>
          <cell r="C81">
            <v>42420</v>
          </cell>
          <cell r="D81" t="str">
            <v>PC</v>
          </cell>
          <cell r="E81">
            <v>54</v>
          </cell>
          <cell r="G81">
            <v>100</v>
          </cell>
          <cell r="H81" t="str">
            <v>SC Syngenta</v>
          </cell>
          <cell r="I81" t="str">
            <v>SC SYNGENTA</v>
          </cell>
          <cell r="J81" t="str">
            <v>PACKS</v>
          </cell>
          <cell r="K81">
            <v>1</v>
          </cell>
          <cell r="N81">
            <v>41.9</v>
          </cell>
          <cell r="P81" t="str">
            <v>NON SEEDS</v>
          </cell>
          <cell r="Q81" t="str">
            <v>ZZ</v>
          </cell>
          <cell r="R81" t="str">
            <v>US08</v>
          </cell>
          <cell r="S81">
            <v>54</v>
          </cell>
        </row>
        <row r="82">
          <cell r="A82">
            <v>707576</v>
          </cell>
          <cell r="B82" t="str">
            <v>BAG GH CO,BAG,14.5X2X26,ACP/FET REV10/05</v>
          </cell>
          <cell r="C82">
            <v>47145</v>
          </cell>
          <cell r="D82" t="str">
            <v>PC</v>
          </cell>
          <cell r="E82">
            <v>53</v>
          </cell>
          <cell r="G82">
            <v>100</v>
          </cell>
          <cell r="H82" t="str">
            <v>SC Syngenta</v>
          </cell>
          <cell r="I82" t="str">
            <v>SC SYNGENTA</v>
          </cell>
          <cell r="J82" t="str">
            <v>PACKS</v>
          </cell>
          <cell r="K82">
            <v>1</v>
          </cell>
          <cell r="N82">
            <v>37.71</v>
          </cell>
          <cell r="P82" t="str">
            <v>NON SEEDS</v>
          </cell>
          <cell r="Q82" t="str">
            <v>ZZ</v>
          </cell>
          <cell r="R82" t="str">
            <v>US08</v>
          </cell>
          <cell r="S82">
            <v>53</v>
          </cell>
        </row>
        <row r="83">
          <cell r="A83">
            <v>707577</v>
          </cell>
          <cell r="B83" t="str">
            <v>BAG COMP CO,BAG,14.5X2X26,ACP/FETRE10/05</v>
          </cell>
          <cell r="C83">
            <v>19065</v>
          </cell>
          <cell r="D83" t="str">
            <v>PC</v>
          </cell>
          <cell r="E83">
            <v>66</v>
          </cell>
          <cell r="G83">
            <v>100</v>
          </cell>
          <cell r="H83" t="str">
            <v>SC Syngenta</v>
          </cell>
          <cell r="I83" t="str">
            <v>SC SYNGENTA</v>
          </cell>
          <cell r="J83" t="str">
            <v>PACKS</v>
          </cell>
          <cell r="K83">
            <v>1</v>
          </cell>
          <cell r="N83">
            <v>37.4</v>
          </cell>
          <cell r="P83" t="str">
            <v>NON SEEDS</v>
          </cell>
          <cell r="Q83" t="str">
            <v>ZZ</v>
          </cell>
          <cell r="R83" t="str">
            <v>US08</v>
          </cell>
          <cell r="S83">
            <v>66</v>
          </cell>
        </row>
        <row r="84">
          <cell r="A84">
            <v>717292</v>
          </cell>
          <cell r="B84" t="str">
            <v>CRCO N83-N5     MF1     CMR     MX</v>
          </cell>
          <cell r="C84">
            <v>38</v>
          </cell>
          <cell r="D84" t="str">
            <v>UN</v>
          </cell>
          <cell r="E84">
            <v>6961.87</v>
          </cell>
          <cell r="G84">
            <v>100</v>
          </cell>
          <cell r="H84" t="str">
            <v>NK</v>
          </cell>
          <cell r="I84" t="str">
            <v>NK MX</v>
          </cell>
          <cell r="J84" t="str">
            <v>CO110</v>
          </cell>
          <cell r="K84">
            <v>1</v>
          </cell>
          <cell r="N84">
            <v>0.01</v>
          </cell>
          <cell r="P84" t="str">
            <v>N83-N5</v>
          </cell>
          <cell r="Q84" t="str">
            <v>01Z010801AG</v>
          </cell>
          <cell r="R84" t="str">
            <v>US08</v>
          </cell>
        </row>
        <row r="85">
          <cell r="A85">
            <v>717293</v>
          </cell>
          <cell r="B85" t="str">
            <v>CRCO N83-N5     MF2     CMR     MX</v>
          </cell>
          <cell r="C85">
            <v>2042</v>
          </cell>
          <cell r="D85" t="str">
            <v>UN</v>
          </cell>
          <cell r="E85">
            <v>6961.87</v>
          </cell>
          <cell r="G85">
            <v>100</v>
          </cell>
          <cell r="H85" t="str">
            <v>NK</v>
          </cell>
          <cell r="I85" t="str">
            <v>NK MX</v>
          </cell>
          <cell r="J85" t="str">
            <v>CO110</v>
          </cell>
          <cell r="K85">
            <v>1</v>
          </cell>
          <cell r="N85">
            <v>0.01</v>
          </cell>
          <cell r="P85" t="str">
            <v>N83-N5</v>
          </cell>
          <cell r="Q85" t="str">
            <v>01Z010801AG</v>
          </cell>
          <cell r="R85" t="str">
            <v>US08</v>
          </cell>
        </row>
        <row r="86">
          <cell r="A86">
            <v>735031</v>
          </cell>
          <cell r="B86" t="str">
            <v>TRT  COLORANT,ORANGE,GALLON</v>
          </cell>
          <cell r="C86">
            <v>12.797000000000001</v>
          </cell>
          <cell r="D86" t="str">
            <v>GAL</v>
          </cell>
          <cell r="E86">
            <v>8040</v>
          </cell>
          <cell r="G86">
            <v>100</v>
          </cell>
          <cell r="H86" t="str">
            <v>SC Syngenta</v>
          </cell>
          <cell r="I86" t="str">
            <v>SC SYNGENTA</v>
          </cell>
          <cell r="J86" t="str">
            <v>CPROT</v>
          </cell>
          <cell r="K86">
            <v>1</v>
          </cell>
          <cell r="N86">
            <v>0.01</v>
          </cell>
          <cell r="P86" t="str">
            <v>NON SEEDS</v>
          </cell>
          <cell r="Q86" t="str">
            <v>ZZ</v>
          </cell>
          <cell r="R86" t="str">
            <v>US08</v>
          </cell>
          <cell r="S86">
            <v>8040</v>
          </cell>
        </row>
        <row r="87">
          <cell r="A87">
            <v>736407</v>
          </cell>
          <cell r="B87" t="str">
            <v>CRCO N48-R3     MF2     SPC     80KS CA</v>
          </cell>
          <cell r="C87">
            <v>0</v>
          </cell>
          <cell r="D87" t="str">
            <v>UN</v>
          </cell>
          <cell r="E87">
            <v>4663.03</v>
          </cell>
          <cell r="G87">
            <v>100</v>
          </cell>
          <cell r="H87" t="str">
            <v>NK</v>
          </cell>
          <cell r="I87" t="str">
            <v>NK CA</v>
          </cell>
          <cell r="J87" t="str">
            <v>CO110</v>
          </cell>
          <cell r="K87">
            <v>1</v>
          </cell>
          <cell r="N87">
            <v>0.01</v>
          </cell>
          <cell r="P87" t="str">
            <v>X51466BB</v>
          </cell>
          <cell r="Q87" t="str">
            <v>01Z010406BO</v>
          </cell>
          <cell r="R87" t="str">
            <v>US08</v>
          </cell>
        </row>
        <row r="88">
          <cell r="A88">
            <v>736419</v>
          </cell>
          <cell r="B88" t="str">
            <v>CRCO N48-R3     MR2     SPC     80KS CA</v>
          </cell>
          <cell r="C88">
            <v>0</v>
          </cell>
          <cell r="D88" t="str">
            <v>UN</v>
          </cell>
          <cell r="E88">
            <v>4663.03</v>
          </cell>
          <cell r="G88">
            <v>100</v>
          </cell>
          <cell r="H88" t="str">
            <v>NK</v>
          </cell>
          <cell r="I88" t="str">
            <v>NK CA</v>
          </cell>
          <cell r="J88" t="str">
            <v>CO110</v>
          </cell>
          <cell r="K88">
            <v>1</v>
          </cell>
          <cell r="N88">
            <v>0.01</v>
          </cell>
          <cell r="P88" t="str">
            <v>X51466BB</v>
          </cell>
          <cell r="Q88" t="str">
            <v>01Z010406BO</v>
          </cell>
          <cell r="R88" t="str">
            <v>US08</v>
          </cell>
        </row>
        <row r="89">
          <cell r="A89">
            <v>748632</v>
          </cell>
          <cell r="B89" t="str">
            <v>CRBS NPFO4990      STANDARD KG</v>
          </cell>
          <cell r="C89">
            <v>38.283999999999999</v>
          </cell>
          <cell r="D89" t="str">
            <v>KG</v>
          </cell>
          <cell r="E89">
            <v>58946.02</v>
          </cell>
          <cell r="G89">
            <v>10000</v>
          </cell>
          <cell r="H89" t="str">
            <v>SC Syngenta</v>
          </cell>
          <cell r="I89" t="str">
            <v>SC SYNGENTA</v>
          </cell>
          <cell r="J89" t="str">
            <v>BA090</v>
          </cell>
          <cell r="K89">
            <v>1</v>
          </cell>
          <cell r="N89">
            <v>0.01</v>
          </cell>
          <cell r="P89" t="str">
            <v>NPFO4990</v>
          </cell>
          <cell r="Q89" t="str">
            <v>01Z01YY01CV</v>
          </cell>
          <cell r="R89" t="str">
            <v>US08</v>
          </cell>
        </row>
        <row r="90">
          <cell r="A90">
            <v>748634</v>
          </cell>
          <cell r="B90" t="str">
            <v>CRBS NPID5943HX      STANDARD KG</v>
          </cell>
          <cell r="C90">
            <v>63.322000000000003</v>
          </cell>
          <cell r="D90" t="str">
            <v>KG</v>
          </cell>
          <cell r="E90">
            <v>58946.02</v>
          </cell>
          <cell r="G90">
            <v>10000</v>
          </cell>
          <cell r="H90" t="str">
            <v>SC Syngenta</v>
          </cell>
          <cell r="I90" t="str">
            <v>SC SYNGENTA</v>
          </cell>
          <cell r="J90" t="str">
            <v>BA090</v>
          </cell>
          <cell r="K90">
            <v>1</v>
          </cell>
          <cell r="N90">
            <v>0.01</v>
          </cell>
          <cell r="P90" t="str">
            <v>NPID5943HX</v>
          </cell>
          <cell r="Q90" t="str">
            <v>01Z01ZZ1811</v>
          </cell>
          <cell r="R90" t="str">
            <v>US08</v>
          </cell>
        </row>
        <row r="91">
          <cell r="A91">
            <v>762953</v>
          </cell>
          <cell r="B91" t="str">
            <v>BAG  SB,BAG,WHITE WORK,14.5X3.5X33</v>
          </cell>
          <cell r="C91">
            <v>17445</v>
          </cell>
          <cell r="D91" t="str">
            <v>PC</v>
          </cell>
          <cell r="E91">
            <v>34.21</v>
          </cell>
          <cell r="G91">
            <v>100</v>
          </cell>
          <cell r="H91" t="str">
            <v>SC Syngenta</v>
          </cell>
          <cell r="I91" t="str">
            <v>SC SYNGENTA</v>
          </cell>
          <cell r="J91" t="str">
            <v>PACKS</v>
          </cell>
          <cell r="K91">
            <v>1</v>
          </cell>
          <cell r="N91">
            <v>0.01</v>
          </cell>
          <cell r="P91" t="str">
            <v>NON SEEDS</v>
          </cell>
          <cell r="Q91" t="str">
            <v>ZZ</v>
          </cell>
          <cell r="R91" t="str">
            <v>US08</v>
          </cell>
        </row>
        <row r="92">
          <cell r="A92">
            <v>776565</v>
          </cell>
          <cell r="B92" t="str">
            <v>CRBS G05RR STER      STANDARD KG</v>
          </cell>
          <cell r="C92">
            <v>1448.7739999999999</v>
          </cell>
          <cell r="D92" t="str">
            <v>KG</v>
          </cell>
          <cell r="E92">
            <v>1665</v>
          </cell>
          <cell r="G92">
            <v>100</v>
          </cell>
          <cell r="H92" t="str">
            <v>SC Syngenta</v>
          </cell>
          <cell r="I92" t="str">
            <v>SC SYNGENTA</v>
          </cell>
          <cell r="J92" t="str">
            <v>BA090</v>
          </cell>
          <cell r="K92">
            <v>1</v>
          </cell>
          <cell r="N92">
            <v>0.01</v>
          </cell>
          <cell r="P92" t="str">
            <v>G05RR STER</v>
          </cell>
          <cell r="Q92" t="str">
            <v>01Z01ZZ2015</v>
          </cell>
          <cell r="R92" t="str">
            <v>US08</v>
          </cell>
        </row>
        <row r="93">
          <cell r="A93">
            <v>776566</v>
          </cell>
          <cell r="B93" t="str">
            <v>CRBS G33RR STER      STANDARD KG</v>
          </cell>
          <cell r="C93">
            <v>138.79900000000001</v>
          </cell>
          <cell r="D93" t="str">
            <v>KG</v>
          </cell>
          <cell r="E93">
            <v>1665</v>
          </cell>
          <cell r="G93">
            <v>100</v>
          </cell>
          <cell r="H93" t="str">
            <v>SC Syngenta</v>
          </cell>
          <cell r="I93" t="str">
            <v>SC SYNGENTA</v>
          </cell>
          <cell r="J93" t="str">
            <v>BA090</v>
          </cell>
          <cell r="K93">
            <v>1</v>
          </cell>
          <cell r="N93">
            <v>0.01</v>
          </cell>
          <cell r="P93" t="str">
            <v>G33RR STER</v>
          </cell>
          <cell r="Q93" t="str">
            <v>01Z01ZZ2014</v>
          </cell>
          <cell r="R93" t="str">
            <v>US08</v>
          </cell>
        </row>
        <row r="94">
          <cell r="A94">
            <v>816632</v>
          </cell>
          <cell r="B94" t="str">
            <v>BAG  14X3X33  HERBICIDE TOLERANT CORN CA</v>
          </cell>
          <cell r="C94">
            <v>9390</v>
          </cell>
          <cell r="D94" t="str">
            <v>PC</v>
          </cell>
          <cell r="E94">
            <v>75</v>
          </cell>
          <cell r="G94">
            <v>100</v>
          </cell>
          <cell r="H94" t="str">
            <v>SC Syngenta</v>
          </cell>
          <cell r="I94" t="str">
            <v>SC SYNGENTA</v>
          </cell>
          <cell r="J94" t="str">
            <v>PACKS</v>
          </cell>
          <cell r="K94">
            <v>1</v>
          </cell>
          <cell r="N94">
            <v>38</v>
          </cell>
          <cell r="P94" t="str">
            <v>NON SEEDS</v>
          </cell>
          <cell r="Q94" t="str">
            <v>ZZ</v>
          </cell>
          <cell r="R94" t="str">
            <v>US08</v>
          </cell>
          <cell r="S94">
            <v>75</v>
          </cell>
        </row>
        <row r="95">
          <cell r="A95">
            <v>816633</v>
          </cell>
          <cell r="B95" t="str">
            <v>BAG  15X3X33  HERBICIDE TOLERANT CORN CA</v>
          </cell>
          <cell r="C95">
            <v>8001</v>
          </cell>
          <cell r="D95" t="str">
            <v>PC</v>
          </cell>
          <cell r="E95">
            <v>64</v>
          </cell>
          <cell r="G95">
            <v>100</v>
          </cell>
          <cell r="H95" t="str">
            <v>SC Syngenta</v>
          </cell>
          <cell r="I95" t="str">
            <v>SC SYNGENTA</v>
          </cell>
          <cell r="J95" t="str">
            <v>PACKS</v>
          </cell>
          <cell r="K95">
            <v>1</v>
          </cell>
          <cell r="N95">
            <v>38</v>
          </cell>
          <cell r="P95" t="str">
            <v>NON SEEDS</v>
          </cell>
          <cell r="Q95" t="str">
            <v>ZZ</v>
          </cell>
          <cell r="R95" t="str">
            <v>US08</v>
          </cell>
          <cell r="S95">
            <v>64</v>
          </cell>
        </row>
        <row r="96">
          <cell r="A96">
            <v>816635</v>
          </cell>
          <cell r="B96" t="str">
            <v>BAG 15X4.5X35 HERBICIDE TOLERANT CORN CA</v>
          </cell>
          <cell r="C96">
            <v>450</v>
          </cell>
          <cell r="D96" t="str">
            <v>PC</v>
          </cell>
          <cell r="E96">
            <v>72</v>
          </cell>
          <cell r="G96">
            <v>100</v>
          </cell>
          <cell r="H96" t="str">
            <v>SC Syngenta</v>
          </cell>
          <cell r="I96" t="str">
            <v>SC SYNGENTA</v>
          </cell>
          <cell r="J96" t="str">
            <v>PACKS</v>
          </cell>
          <cell r="K96">
            <v>1</v>
          </cell>
          <cell r="N96">
            <v>38</v>
          </cell>
          <cell r="P96" t="str">
            <v>NON SEEDS</v>
          </cell>
          <cell r="Q96" t="str">
            <v>ZZ</v>
          </cell>
          <cell r="R96" t="str">
            <v>US08</v>
          </cell>
          <cell r="S96">
            <v>72</v>
          </cell>
        </row>
        <row r="97">
          <cell r="A97">
            <v>883074</v>
          </cell>
          <cell r="B97" t="str">
            <v>CRCO N45-A6   MF2   UNTR  NK</v>
          </cell>
          <cell r="C97">
            <v>0</v>
          </cell>
          <cell r="D97" t="str">
            <v>UN</v>
          </cell>
          <cell r="E97">
            <v>420375.44</v>
          </cell>
          <cell r="G97">
            <v>10000</v>
          </cell>
          <cell r="H97" t="str">
            <v>NK</v>
          </cell>
          <cell r="I97" t="str">
            <v>NK US</v>
          </cell>
          <cell r="J97" t="str">
            <v>CO110</v>
          </cell>
          <cell r="K97">
            <v>1</v>
          </cell>
          <cell r="N97">
            <v>0.01</v>
          </cell>
          <cell r="P97" t="str">
            <v>X4555ABB</v>
          </cell>
          <cell r="Q97" t="str">
            <v>01Z010406AJ</v>
          </cell>
          <cell r="R97" t="str">
            <v>US08</v>
          </cell>
        </row>
        <row r="98">
          <cell r="A98">
            <v>924384</v>
          </cell>
          <cell r="B98" t="str">
            <v>BAG  WHITE WORKBAG 14.5X2.5X34</v>
          </cell>
          <cell r="C98">
            <v>11876</v>
          </cell>
          <cell r="D98" t="str">
            <v>PC</v>
          </cell>
          <cell r="E98">
            <v>485.8</v>
          </cell>
          <cell r="G98">
            <v>1000</v>
          </cell>
          <cell r="J98" t="str">
            <v>PACKS</v>
          </cell>
          <cell r="K98">
            <v>1</v>
          </cell>
          <cell r="N98">
            <v>0.01</v>
          </cell>
          <cell r="P98" t="str">
            <v>NON SEEDS</v>
          </cell>
          <cell r="Q98" t="str">
            <v>ZZ</v>
          </cell>
          <cell r="R98" t="str">
            <v>US08</v>
          </cell>
          <cell r="S98">
            <v>485.8</v>
          </cell>
        </row>
        <row r="99">
          <cell r="A99">
            <v>924426</v>
          </cell>
          <cell r="B99" t="str">
            <v>BAG  WHITE WORKBAG 14.5X3.5X34</v>
          </cell>
          <cell r="C99">
            <v>13697</v>
          </cell>
          <cell r="D99" t="str">
            <v>PC</v>
          </cell>
          <cell r="E99">
            <v>512.45000000000005</v>
          </cell>
          <cell r="G99">
            <v>1000</v>
          </cell>
          <cell r="J99" t="str">
            <v>PACKS</v>
          </cell>
          <cell r="K99">
            <v>1</v>
          </cell>
          <cell r="N99">
            <v>0.01</v>
          </cell>
          <cell r="P99" t="str">
            <v>NON SEEDS</v>
          </cell>
          <cell r="Q99" t="str">
            <v>ZZ</v>
          </cell>
          <cell r="R99" t="str">
            <v>US08</v>
          </cell>
          <cell r="S99">
            <v>512.45000000000005</v>
          </cell>
        </row>
        <row r="100">
          <cell r="A100">
            <v>924448</v>
          </cell>
          <cell r="B100" t="str">
            <v>BAG  WHITE WORKBAG 14.5X4.5X34</v>
          </cell>
          <cell r="C100">
            <v>2060</v>
          </cell>
          <cell r="D100" t="str">
            <v>PC</v>
          </cell>
          <cell r="E100">
            <v>563.1</v>
          </cell>
          <cell r="G100">
            <v>1000</v>
          </cell>
          <cell r="J100" t="str">
            <v>PACKS</v>
          </cell>
          <cell r="K100">
            <v>1</v>
          </cell>
          <cell r="N100">
            <v>0.01</v>
          </cell>
          <cell r="P100" t="str">
            <v>NON SEEDS</v>
          </cell>
          <cell r="Q100" t="str">
            <v>ZZ</v>
          </cell>
          <cell r="R100" t="str">
            <v>US08</v>
          </cell>
          <cell r="S100">
            <v>563.1</v>
          </cell>
        </row>
        <row r="101">
          <cell r="A101">
            <v>930178</v>
          </cell>
          <cell r="B101" t="str">
            <v>CRCO H-7439 3000GT  MF2      SPC GH</v>
          </cell>
          <cell r="C101">
            <v>6687</v>
          </cell>
          <cell r="D101" t="str">
            <v>UN</v>
          </cell>
          <cell r="E101">
            <v>474589.62</v>
          </cell>
          <cell r="G101">
            <v>10000</v>
          </cell>
          <cell r="H101" t="str">
            <v>Golden Harvest</v>
          </cell>
          <cell r="I101" t="str">
            <v>GH GOLDEN HARVEST</v>
          </cell>
          <cell r="J101" t="str">
            <v>CO110</v>
          </cell>
          <cell r="K101">
            <v>1</v>
          </cell>
          <cell r="N101">
            <v>0.01</v>
          </cell>
          <cell r="P101" t="str">
            <v>X36344WP</v>
          </cell>
          <cell r="Q101" t="str">
            <v>01Z01043900</v>
          </cell>
          <cell r="R101" t="str">
            <v>US08</v>
          </cell>
        </row>
        <row r="102">
          <cell r="A102">
            <v>930181</v>
          </cell>
          <cell r="B102" t="str">
            <v>CRCO H-7439 3000GT  MR1      SPC GH</v>
          </cell>
          <cell r="C102">
            <v>2928</v>
          </cell>
          <cell r="D102" t="str">
            <v>UN</v>
          </cell>
          <cell r="E102">
            <v>474589.62</v>
          </cell>
          <cell r="G102">
            <v>10000</v>
          </cell>
          <cell r="H102" t="str">
            <v>Golden Harvest</v>
          </cell>
          <cell r="I102" t="str">
            <v>GH GOLDEN HARVEST</v>
          </cell>
          <cell r="J102" t="str">
            <v>CO110</v>
          </cell>
          <cell r="K102">
            <v>1</v>
          </cell>
          <cell r="N102">
            <v>0.01</v>
          </cell>
          <cell r="P102" t="str">
            <v>X36344WP</v>
          </cell>
          <cell r="Q102" t="str">
            <v>01Z01043900</v>
          </cell>
          <cell r="R102" t="str">
            <v>US08</v>
          </cell>
        </row>
        <row r="103">
          <cell r="A103">
            <v>930184</v>
          </cell>
          <cell r="B103" t="str">
            <v>CRCO H-7439 3000GT  MR2      SPC GH</v>
          </cell>
          <cell r="C103">
            <v>12088</v>
          </cell>
          <cell r="D103" t="str">
            <v>UN</v>
          </cell>
          <cell r="E103">
            <v>474589.62</v>
          </cell>
          <cell r="G103">
            <v>10000</v>
          </cell>
          <cell r="H103" t="str">
            <v>Golden Harvest</v>
          </cell>
          <cell r="I103" t="str">
            <v>GH GOLDEN HARVEST</v>
          </cell>
          <cell r="J103" t="str">
            <v>CO110</v>
          </cell>
          <cell r="K103">
            <v>1</v>
          </cell>
          <cell r="N103">
            <v>0.01</v>
          </cell>
          <cell r="P103" t="str">
            <v>X36344WP</v>
          </cell>
          <cell r="Q103" t="str">
            <v>01Z01043900</v>
          </cell>
          <cell r="R103" t="str">
            <v>US08</v>
          </cell>
        </row>
        <row r="104">
          <cell r="A104">
            <v>930938</v>
          </cell>
          <cell r="B104" t="str">
            <v>CRCO H-8818CB/LL/RW  MF2      SPC  GH</v>
          </cell>
          <cell r="C104">
            <v>0</v>
          </cell>
          <cell r="D104" t="str">
            <v>UN</v>
          </cell>
          <cell r="E104">
            <v>404275.34</v>
          </cell>
          <cell r="G104">
            <v>10000</v>
          </cell>
          <cell r="H104" t="str">
            <v>Golden Harvest</v>
          </cell>
          <cell r="I104" t="str">
            <v>GH GOLDEN HARVEST</v>
          </cell>
          <cell r="J104" t="str">
            <v>CO110</v>
          </cell>
          <cell r="K104">
            <v>1</v>
          </cell>
          <cell r="N104">
            <v>0.01</v>
          </cell>
          <cell r="P104" t="str">
            <v>X65416YD</v>
          </cell>
          <cell r="Q104" t="str">
            <v>01Z01063204</v>
          </cell>
          <cell r="R104" t="str">
            <v>US08</v>
          </cell>
        </row>
        <row r="105">
          <cell r="A105">
            <v>930948</v>
          </cell>
          <cell r="B105" t="str">
            <v>CRCO H-8818CB/LL/RW  MR2      SPC  GH</v>
          </cell>
          <cell r="C105">
            <v>1644</v>
          </cell>
          <cell r="D105" t="str">
            <v>UN</v>
          </cell>
          <cell r="E105">
            <v>404275.34</v>
          </cell>
          <cell r="G105">
            <v>10000</v>
          </cell>
          <cell r="H105" t="str">
            <v>Golden Harvest</v>
          </cell>
          <cell r="I105" t="str">
            <v>GH GOLDEN HARVEST</v>
          </cell>
          <cell r="J105" t="str">
            <v>CO110</v>
          </cell>
          <cell r="K105">
            <v>1</v>
          </cell>
          <cell r="N105">
            <v>0.01</v>
          </cell>
          <cell r="P105" t="str">
            <v>X65416YD</v>
          </cell>
          <cell r="Q105" t="str">
            <v>01Z01063204</v>
          </cell>
          <cell r="R105" t="str">
            <v>US08</v>
          </cell>
        </row>
        <row r="106">
          <cell r="A106">
            <v>931694</v>
          </cell>
          <cell r="B106" t="str">
            <v>CRCO X36344WP    DRYSH   KG</v>
          </cell>
          <cell r="C106">
            <v>975706.90500000003</v>
          </cell>
          <cell r="D106" t="str">
            <v>KG</v>
          </cell>
          <cell r="E106">
            <v>13374.83</v>
          </cell>
          <cell r="G106">
            <v>10000</v>
          </cell>
          <cell r="H106" t="str">
            <v>SC Syngenta</v>
          </cell>
          <cell r="I106" t="str">
            <v>SC SYNGENTA</v>
          </cell>
          <cell r="J106" t="str">
            <v>CO020</v>
          </cell>
          <cell r="K106">
            <v>1</v>
          </cell>
          <cell r="N106">
            <v>0.01</v>
          </cell>
          <cell r="P106" t="str">
            <v>X36344WP</v>
          </cell>
          <cell r="Q106" t="str">
            <v>01Z01043900</v>
          </cell>
          <cell r="R106" t="str">
            <v>US08</v>
          </cell>
        </row>
        <row r="107">
          <cell r="A107">
            <v>937112</v>
          </cell>
          <cell r="B107" t="str">
            <v>CRCO N34-D6    MF1     STD CA</v>
          </cell>
          <cell r="C107">
            <v>0</v>
          </cell>
          <cell r="D107" t="str">
            <v>UN</v>
          </cell>
          <cell r="E107">
            <v>551563.93999999994</v>
          </cell>
          <cell r="G107">
            <v>10000</v>
          </cell>
          <cell r="H107" t="str">
            <v>NK</v>
          </cell>
          <cell r="I107" t="str">
            <v>NK CA</v>
          </cell>
          <cell r="J107" t="str">
            <v>CO110</v>
          </cell>
          <cell r="K107">
            <v>1</v>
          </cell>
          <cell r="N107">
            <v>0.01</v>
          </cell>
          <cell r="P107" t="str">
            <v>X31085</v>
          </cell>
          <cell r="Q107" t="str">
            <v>01Z010301AQ</v>
          </cell>
          <cell r="R107" t="str">
            <v>US08</v>
          </cell>
        </row>
        <row r="108">
          <cell r="A108">
            <v>937115</v>
          </cell>
          <cell r="B108" t="str">
            <v>CRCO N34-D6    MF2     SPC CA</v>
          </cell>
          <cell r="C108">
            <v>0</v>
          </cell>
          <cell r="D108" t="str">
            <v>UN</v>
          </cell>
          <cell r="E108">
            <v>501378.47</v>
          </cell>
          <cell r="G108">
            <v>10000</v>
          </cell>
          <cell r="H108" t="str">
            <v>NK</v>
          </cell>
          <cell r="I108" t="str">
            <v>NK CA</v>
          </cell>
          <cell r="J108" t="str">
            <v>CO110</v>
          </cell>
          <cell r="K108">
            <v>1</v>
          </cell>
          <cell r="N108">
            <v>0.01</v>
          </cell>
          <cell r="P108" t="str">
            <v>X31085</v>
          </cell>
          <cell r="Q108" t="str">
            <v>01Z010301AQ</v>
          </cell>
          <cell r="R108" t="str">
            <v>US08</v>
          </cell>
        </row>
        <row r="109">
          <cell r="A109">
            <v>937123</v>
          </cell>
          <cell r="B109" t="str">
            <v>CRCO N34-D6    MR2     SPC CA</v>
          </cell>
          <cell r="C109">
            <v>0</v>
          </cell>
          <cell r="D109" t="str">
            <v>UN</v>
          </cell>
          <cell r="E109">
            <v>501378.47</v>
          </cell>
          <cell r="G109">
            <v>10000</v>
          </cell>
          <cell r="H109" t="str">
            <v>NK</v>
          </cell>
          <cell r="I109" t="str">
            <v>NK CA</v>
          </cell>
          <cell r="J109" t="str">
            <v>CO110</v>
          </cell>
          <cell r="K109">
            <v>1</v>
          </cell>
          <cell r="N109">
            <v>0.01</v>
          </cell>
          <cell r="P109" t="str">
            <v>X31085</v>
          </cell>
          <cell r="Q109" t="str">
            <v>01Z010301AQ</v>
          </cell>
          <cell r="R109" t="str">
            <v>US08</v>
          </cell>
        </row>
        <row r="110">
          <cell r="A110">
            <v>937124</v>
          </cell>
          <cell r="B110" t="str">
            <v>CRCO N34-D6    MR2     STD CA</v>
          </cell>
          <cell r="C110">
            <v>0</v>
          </cell>
          <cell r="D110" t="str">
            <v>UN</v>
          </cell>
          <cell r="E110">
            <v>432318.93</v>
          </cell>
          <cell r="G110">
            <v>10000</v>
          </cell>
          <cell r="H110" t="str">
            <v>NK</v>
          </cell>
          <cell r="I110" t="str">
            <v>NK CA</v>
          </cell>
          <cell r="J110" t="str">
            <v>CO110</v>
          </cell>
          <cell r="K110">
            <v>1</v>
          </cell>
          <cell r="N110">
            <v>0.01</v>
          </cell>
          <cell r="P110" t="str">
            <v>X31085</v>
          </cell>
          <cell r="Q110" t="str">
            <v>01Z010301AQ</v>
          </cell>
          <cell r="R110" t="str">
            <v>US08</v>
          </cell>
        </row>
        <row r="111">
          <cell r="A111">
            <v>945303</v>
          </cell>
          <cell r="B111" t="str">
            <v>CRBS NP2563Bt11     STD    KG</v>
          </cell>
          <cell r="C111">
            <v>0</v>
          </cell>
          <cell r="D111" t="str">
            <v>KG</v>
          </cell>
          <cell r="E111">
            <v>58946.02</v>
          </cell>
          <cell r="G111">
            <v>10000</v>
          </cell>
          <cell r="H111" t="str">
            <v>SC Syngenta</v>
          </cell>
          <cell r="I111" t="str">
            <v>SC SYNGENTA</v>
          </cell>
          <cell r="J111" t="str">
            <v>BA090</v>
          </cell>
          <cell r="K111">
            <v>1</v>
          </cell>
          <cell r="N111">
            <v>0.01</v>
          </cell>
          <cell r="P111" t="str">
            <v>NP2563BT11</v>
          </cell>
          <cell r="Q111" t="str">
            <v>01Z01ZZ0641</v>
          </cell>
          <cell r="R111" t="str">
            <v>US08</v>
          </cell>
        </row>
        <row r="112">
          <cell r="A112">
            <v>949102</v>
          </cell>
          <cell r="B112" t="str">
            <v>CRBS K0012     STD    KG</v>
          </cell>
          <cell r="C112">
            <v>250.83699999999999</v>
          </cell>
          <cell r="D112" t="str">
            <v>KG</v>
          </cell>
          <cell r="E112">
            <v>156500</v>
          </cell>
          <cell r="G112">
            <v>10000</v>
          </cell>
          <cell r="H112" t="str">
            <v>SC Syngenta</v>
          </cell>
          <cell r="I112" t="str">
            <v>SC SYNGENTA</v>
          </cell>
          <cell r="J112" t="str">
            <v>BA090</v>
          </cell>
          <cell r="K112">
            <v>1</v>
          </cell>
          <cell r="N112">
            <v>0.01</v>
          </cell>
          <cell r="P112" t="str">
            <v>K0012</v>
          </cell>
          <cell r="Q112" t="str">
            <v>01Z01YY01G2</v>
          </cell>
          <cell r="R112" t="str">
            <v>US08</v>
          </cell>
        </row>
        <row r="113">
          <cell r="A113">
            <v>953272</v>
          </cell>
          <cell r="B113" t="str">
            <v>TAG Agrisure CB/LL 11 inch Rev 11/07</v>
          </cell>
          <cell r="C113">
            <v>627983</v>
          </cell>
          <cell r="D113" t="str">
            <v>PC</v>
          </cell>
          <cell r="E113">
            <v>0.01</v>
          </cell>
          <cell r="G113">
            <v>99999</v>
          </cell>
          <cell r="H113" t="str">
            <v>SC Syngenta</v>
          </cell>
          <cell r="I113" t="str">
            <v>SC SYNGENTA</v>
          </cell>
          <cell r="J113" t="str">
            <v>PACKS</v>
          </cell>
          <cell r="K113">
            <v>1</v>
          </cell>
          <cell r="N113">
            <v>0.01</v>
          </cell>
          <cell r="P113" t="str">
            <v>NON SEEDS</v>
          </cell>
          <cell r="Q113" t="str">
            <v>ZZ</v>
          </cell>
          <cell r="R113" t="str">
            <v>US08</v>
          </cell>
        </row>
        <row r="114">
          <cell r="A114">
            <v>953273</v>
          </cell>
          <cell r="B114" t="str">
            <v>TAG Agrisure CB/LL CL 11 inch Rev 11/07</v>
          </cell>
          <cell r="C114">
            <v>61999</v>
          </cell>
          <cell r="D114" t="str">
            <v>PC</v>
          </cell>
          <cell r="E114">
            <v>0.01</v>
          </cell>
          <cell r="G114">
            <v>99999</v>
          </cell>
          <cell r="H114" t="str">
            <v>SC Syngenta</v>
          </cell>
          <cell r="I114" t="str">
            <v>SC SYNGENTA</v>
          </cell>
          <cell r="J114" t="str">
            <v>PACKS</v>
          </cell>
          <cell r="K114">
            <v>1</v>
          </cell>
          <cell r="N114">
            <v>0.01</v>
          </cell>
          <cell r="P114" t="str">
            <v>NON SEEDS</v>
          </cell>
          <cell r="Q114" t="str">
            <v>ZZ</v>
          </cell>
          <cell r="R114" t="str">
            <v>US08</v>
          </cell>
        </row>
        <row r="115">
          <cell r="A115">
            <v>953274</v>
          </cell>
          <cell r="B115" t="str">
            <v>TAG Agrisure CB/LL/RW 11 inch Rev 11/07</v>
          </cell>
          <cell r="C115">
            <v>611088</v>
          </cell>
          <cell r="D115" t="str">
            <v>PC</v>
          </cell>
          <cell r="E115">
            <v>0.01</v>
          </cell>
          <cell r="G115">
            <v>99999</v>
          </cell>
          <cell r="H115" t="str">
            <v>SC Syngenta</v>
          </cell>
          <cell r="I115" t="str">
            <v>SC SYNGENTA</v>
          </cell>
          <cell r="J115" t="str">
            <v>PACKS</v>
          </cell>
          <cell r="K115">
            <v>1</v>
          </cell>
          <cell r="N115">
            <v>0.01</v>
          </cell>
          <cell r="P115" t="str">
            <v>NON SEEDS</v>
          </cell>
          <cell r="Q115" t="str">
            <v>ZZ</v>
          </cell>
          <cell r="R115" t="str">
            <v>US08</v>
          </cell>
        </row>
        <row r="116">
          <cell r="A116">
            <v>953275</v>
          </cell>
          <cell r="B116" t="str">
            <v>TAG Agrisure CB/LL/RW CL 11inch Rev11/07</v>
          </cell>
          <cell r="C116">
            <v>7203</v>
          </cell>
          <cell r="D116" t="str">
            <v>PC</v>
          </cell>
          <cell r="E116">
            <v>0.01</v>
          </cell>
          <cell r="G116">
            <v>99999</v>
          </cell>
          <cell r="H116" t="str">
            <v>SC Syngenta</v>
          </cell>
          <cell r="I116" t="str">
            <v>SC SYNGENTA</v>
          </cell>
          <cell r="J116" t="str">
            <v>PACKS</v>
          </cell>
          <cell r="K116">
            <v>1</v>
          </cell>
          <cell r="N116">
            <v>0.01</v>
          </cell>
          <cell r="P116" t="str">
            <v>NON SEEDS</v>
          </cell>
          <cell r="Q116" t="str">
            <v>ZZ</v>
          </cell>
          <cell r="R116" t="str">
            <v>US08</v>
          </cell>
        </row>
        <row r="117">
          <cell r="A117">
            <v>953276</v>
          </cell>
          <cell r="B117" t="str">
            <v>TAG Clearfield 11inch Rev05/08</v>
          </cell>
          <cell r="C117">
            <v>123669</v>
          </cell>
          <cell r="D117" t="str">
            <v>PC</v>
          </cell>
          <cell r="E117">
            <v>0.01</v>
          </cell>
          <cell r="G117">
            <v>99999</v>
          </cell>
          <cell r="H117" t="str">
            <v>SC Syngenta</v>
          </cell>
          <cell r="I117" t="str">
            <v>SC SYNGENTA</v>
          </cell>
          <cell r="J117" t="str">
            <v>PACKS</v>
          </cell>
          <cell r="K117">
            <v>1</v>
          </cell>
          <cell r="N117">
            <v>0.01</v>
          </cell>
          <cell r="P117" t="str">
            <v>NON SEEDS</v>
          </cell>
          <cell r="Q117" t="str">
            <v>ZZ</v>
          </cell>
          <cell r="R117" t="str">
            <v>US08</v>
          </cell>
        </row>
        <row r="118">
          <cell r="A118">
            <v>953277</v>
          </cell>
          <cell r="B118" t="str">
            <v>TAG Conventional 11inch Rev 05/08</v>
          </cell>
          <cell r="C118">
            <v>820334</v>
          </cell>
          <cell r="D118" t="str">
            <v>PC</v>
          </cell>
          <cell r="E118">
            <v>0.01</v>
          </cell>
          <cell r="G118">
            <v>99999</v>
          </cell>
          <cell r="H118" t="str">
            <v>SC Syngenta</v>
          </cell>
          <cell r="I118" t="str">
            <v>SC SYNGENTA</v>
          </cell>
          <cell r="J118" t="str">
            <v>PACKS</v>
          </cell>
          <cell r="K118">
            <v>1</v>
          </cell>
          <cell r="N118">
            <v>0.01</v>
          </cell>
          <cell r="P118" t="str">
            <v>NON SEEDS</v>
          </cell>
          <cell r="Q118" t="str">
            <v>ZZ</v>
          </cell>
          <cell r="R118" t="str">
            <v>US08</v>
          </cell>
        </row>
        <row r="119">
          <cell r="A119">
            <v>953298</v>
          </cell>
          <cell r="B119" t="str">
            <v>TAG Agrisure GT 11inch Rev 05/08</v>
          </cell>
          <cell r="C119">
            <v>503928</v>
          </cell>
          <cell r="D119" t="str">
            <v>PC</v>
          </cell>
          <cell r="E119">
            <v>0.01</v>
          </cell>
          <cell r="G119">
            <v>99999</v>
          </cell>
          <cell r="H119" t="str">
            <v>SC Syngenta</v>
          </cell>
          <cell r="I119" t="str">
            <v>SC SYNGENTA</v>
          </cell>
          <cell r="J119" t="str">
            <v>PACKS</v>
          </cell>
          <cell r="K119">
            <v>1</v>
          </cell>
          <cell r="N119">
            <v>0.01</v>
          </cell>
          <cell r="P119" t="str">
            <v>NON SEEDS</v>
          </cell>
          <cell r="Q119" t="str">
            <v>ZZ</v>
          </cell>
          <cell r="R119" t="str">
            <v>US08</v>
          </cell>
        </row>
        <row r="120">
          <cell r="A120">
            <v>953299</v>
          </cell>
          <cell r="B120" t="str">
            <v>TAG Agrisure GT/CB/LL 11inch Rev 11/07</v>
          </cell>
          <cell r="C120">
            <v>853275</v>
          </cell>
          <cell r="D120" t="str">
            <v>PC</v>
          </cell>
          <cell r="E120">
            <v>0.01</v>
          </cell>
          <cell r="G120">
            <v>99999</v>
          </cell>
          <cell r="H120" t="str">
            <v>SC Syngenta</v>
          </cell>
          <cell r="I120" t="str">
            <v>SC SYNGENTA</v>
          </cell>
          <cell r="J120" t="str">
            <v>PACKS</v>
          </cell>
          <cell r="K120">
            <v>1</v>
          </cell>
          <cell r="N120">
            <v>0.01</v>
          </cell>
          <cell r="P120" t="str">
            <v>NON SEEDS</v>
          </cell>
          <cell r="Q120" t="str">
            <v>ZZ</v>
          </cell>
          <cell r="R120" t="str">
            <v>US08</v>
          </cell>
        </row>
        <row r="121">
          <cell r="A121">
            <v>953300</v>
          </cell>
          <cell r="B121" t="str">
            <v>TAG Agrisure 3000GT 11inch Rev11/07</v>
          </cell>
          <cell r="C121">
            <v>1337744</v>
          </cell>
          <cell r="D121" t="str">
            <v>PC</v>
          </cell>
          <cell r="E121">
            <v>0.01</v>
          </cell>
          <cell r="G121">
            <v>99999</v>
          </cell>
          <cell r="H121" t="str">
            <v>SC Syngenta</v>
          </cell>
          <cell r="I121" t="str">
            <v>SC SYNGENTA</v>
          </cell>
          <cell r="J121" t="str">
            <v>PACKS</v>
          </cell>
          <cell r="K121">
            <v>1</v>
          </cell>
          <cell r="N121">
            <v>0.01</v>
          </cell>
          <cell r="P121" t="str">
            <v>NON SEEDS</v>
          </cell>
          <cell r="Q121" t="str">
            <v>ZZ</v>
          </cell>
          <cell r="R121" t="str">
            <v>US08</v>
          </cell>
        </row>
        <row r="122">
          <cell r="A122">
            <v>953301</v>
          </cell>
          <cell r="B122" t="str">
            <v>TAG Agrisure GT CL 11inch Rev04/07</v>
          </cell>
          <cell r="C122">
            <v>15120</v>
          </cell>
          <cell r="D122" t="str">
            <v>PC</v>
          </cell>
          <cell r="E122">
            <v>0.01</v>
          </cell>
          <cell r="G122">
            <v>99999</v>
          </cell>
          <cell r="H122" t="str">
            <v>SC Syngenta</v>
          </cell>
          <cell r="I122" t="str">
            <v>SC SYNGENTA</v>
          </cell>
          <cell r="J122" t="str">
            <v>PACKS</v>
          </cell>
          <cell r="K122">
            <v>1</v>
          </cell>
          <cell r="N122">
            <v>0.01</v>
          </cell>
          <cell r="P122" t="str">
            <v>NON SEEDS</v>
          </cell>
          <cell r="Q122" t="str">
            <v>ZZ</v>
          </cell>
          <cell r="R122" t="str">
            <v>US08</v>
          </cell>
        </row>
        <row r="123">
          <cell r="A123">
            <v>953302</v>
          </cell>
          <cell r="B123" t="str">
            <v>TAG Agrisure GT/RW 11inch Rev 11/07</v>
          </cell>
          <cell r="C123">
            <v>87082</v>
          </cell>
          <cell r="D123" t="str">
            <v>PC</v>
          </cell>
          <cell r="E123">
            <v>0.01</v>
          </cell>
          <cell r="G123">
            <v>99999</v>
          </cell>
          <cell r="H123" t="str">
            <v>SC Syngenta</v>
          </cell>
          <cell r="I123" t="str">
            <v>SC SYNGENTA</v>
          </cell>
          <cell r="J123" t="str">
            <v>PACKS</v>
          </cell>
          <cell r="K123">
            <v>1</v>
          </cell>
          <cell r="N123">
            <v>0.01</v>
          </cell>
          <cell r="P123" t="str">
            <v>NON SEEDS</v>
          </cell>
          <cell r="Q123" t="str">
            <v>ZZ</v>
          </cell>
          <cell r="R123" t="str">
            <v>US08</v>
          </cell>
        </row>
        <row r="124">
          <cell r="A124">
            <v>953303</v>
          </cell>
          <cell r="B124" t="str">
            <v>TAG Herculex 1/LL 11inch Rev 05/08</v>
          </cell>
          <cell r="C124">
            <v>100755</v>
          </cell>
          <cell r="D124" t="str">
            <v>PC</v>
          </cell>
          <cell r="E124">
            <v>0.01</v>
          </cell>
          <cell r="G124">
            <v>99999</v>
          </cell>
          <cell r="H124" t="str">
            <v>SC Syngenta</v>
          </cell>
          <cell r="I124" t="str">
            <v>SC SYNGENTA</v>
          </cell>
          <cell r="J124" t="str">
            <v>PACKS</v>
          </cell>
          <cell r="K124">
            <v>1</v>
          </cell>
          <cell r="N124">
            <v>0.01</v>
          </cell>
          <cell r="P124" t="str">
            <v>NON SEEDS</v>
          </cell>
          <cell r="Q124" t="str">
            <v>ZZ</v>
          </cell>
          <cell r="R124" t="str">
            <v>US08</v>
          </cell>
        </row>
        <row r="125">
          <cell r="A125">
            <v>953304</v>
          </cell>
          <cell r="B125" t="str">
            <v>TAG Herculex 1/LL CL 11inch Rev 05/08</v>
          </cell>
          <cell r="C125">
            <v>39662</v>
          </cell>
          <cell r="D125" t="str">
            <v>PC</v>
          </cell>
          <cell r="E125">
            <v>0.01</v>
          </cell>
          <cell r="G125">
            <v>99999</v>
          </cell>
          <cell r="H125" t="str">
            <v>SC Syngenta</v>
          </cell>
          <cell r="I125" t="str">
            <v>SC SYNGENTA</v>
          </cell>
          <cell r="J125" t="str">
            <v>PACKS</v>
          </cell>
          <cell r="K125">
            <v>1</v>
          </cell>
          <cell r="N125">
            <v>0.01</v>
          </cell>
          <cell r="P125" t="str">
            <v>NON SEEDS</v>
          </cell>
          <cell r="Q125" t="str">
            <v>ZZ</v>
          </cell>
          <cell r="R125" t="str">
            <v>US08</v>
          </cell>
        </row>
        <row r="126">
          <cell r="A126">
            <v>953305</v>
          </cell>
          <cell r="B126" t="str">
            <v>TAG Herculex 1/LL RR2 11inch Rev 05/08</v>
          </cell>
          <cell r="C126">
            <v>45360</v>
          </cell>
          <cell r="D126" t="str">
            <v>PC</v>
          </cell>
          <cell r="E126">
            <v>0.01</v>
          </cell>
          <cell r="G126">
            <v>99999</v>
          </cell>
          <cell r="H126" t="str">
            <v>SC Syngenta</v>
          </cell>
          <cell r="I126" t="str">
            <v>SC SYNGENTA</v>
          </cell>
          <cell r="J126" t="str">
            <v>PACKS</v>
          </cell>
          <cell r="K126">
            <v>1</v>
          </cell>
          <cell r="N126">
            <v>0.01</v>
          </cell>
          <cell r="P126" t="str">
            <v>NON SEEDS</v>
          </cell>
          <cell r="Q126" t="str">
            <v>ZZ</v>
          </cell>
          <cell r="R126" t="str">
            <v>US08</v>
          </cell>
        </row>
        <row r="127">
          <cell r="A127">
            <v>953306</v>
          </cell>
          <cell r="B127" t="str">
            <v>TAG Agrisure LL 11inch Rev 11/07</v>
          </cell>
          <cell r="C127">
            <v>151286</v>
          </cell>
          <cell r="D127" t="str">
            <v>PC</v>
          </cell>
          <cell r="E127">
            <v>0.01</v>
          </cell>
          <cell r="G127">
            <v>99999</v>
          </cell>
          <cell r="H127" t="str">
            <v>SC Syngenta</v>
          </cell>
          <cell r="I127" t="str">
            <v>SC SYNGENTA</v>
          </cell>
          <cell r="J127" t="str">
            <v>PACKS</v>
          </cell>
          <cell r="K127">
            <v>1</v>
          </cell>
          <cell r="N127">
            <v>0.01</v>
          </cell>
          <cell r="P127" t="str">
            <v>NON SEEDS</v>
          </cell>
          <cell r="Q127" t="str">
            <v>ZZ</v>
          </cell>
          <cell r="R127" t="str">
            <v>US08</v>
          </cell>
        </row>
        <row r="128">
          <cell r="A128">
            <v>953307</v>
          </cell>
          <cell r="B128" t="str">
            <v>TAG Roundup Ready 2 11inch Rev 05/08</v>
          </cell>
          <cell r="C128">
            <v>223662</v>
          </cell>
          <cell r="D128" t="str">
            <v>PC</v>
          </cell>
          <cell r="E128">
            <v>0.01</v>
          </cell>
          <cell r="G128">
            <v>99999</v>
          </cell>
          <cell r="H128" t="str">
            <v>SC Syngenta</v>
          </cell>
          <cell r="I128" t="str">
            <v>SC SYNGENTA</v>
          </cell>
          <cell r="J128" t="str">
            <v>PACKS</v>
          </cell>
          <cell r="K128">
            <v>1</v>
          </cell>
          <cell r="N128">
            <v>0.01</v>
          </cell>
          <cell r="P128" t="str">
            <v>NON SEEDS</v>
          </cell>
          <cell r="Q128" t="str">
            <v>ZZ</v>
          </cell>
          <cell r="R128" t="str">
            <v>US08</v>
          </cell>
        </row>
        <row r="129">
          <cell r="A129">
            <v>953308</v>
          </cell>
          <cell r="B129" t="str">
            <v>TAG Agrisure RW 11inch Rev 11/07</v>
          </cell>
          <cell r="C129">
            <v>86226</v>
          </cell>
          <cell r="D129" t="str">
            <v>PC</v>
          </cell>
          <cell r="E129">
            <v>0.01</v>
          </cell>
          <cell r="G129">
            <v>99999</v>
          </cell>
          <cell r="H129" t="str">
            <v>SC Syngenta</v>
          </cell>
          <cell r="I129" t="str">
            <v>SC SYNGENTA</v>
          </cell>
          <cell r="J129" t="str">
            <v>PACKS</v>
          </cell>
          <cell r="K129">
            <v>1</v>
          </cell>
          <cell r="N129">
            <v>0.01</v>
          </cell>
          <cell r="P129" t="str">
            <v>NON SEEDS</v>
          </cell>
          <cell r="Q129" t="str">
            <v>ZZ</v>
          </cell>
          <cell r="R129" t="str">
            <v>US08</v>
          </cell>
        </row>
        <row r="130">
          <cell r="A130">
            <v>953309</v>
          </cell>
          <cell r="B130" t="str">
            <v>TAG YieldGard CB 11inch Rev 05/08</v>
          </cell>
          <cell r="C130">
            <v>29045</v>
          </cell>
          <cell r="D130" t="str">
            <v>PC</v>
          </cell>
          <cell r="E130">
            <v>0.01</v>
          </cell>
          <cell r="G130">
            <v>99999</v>
          </cell>
          <cell r="H130" t="str">
            <v>SC Syngenta</v>
          </cell>
          <cell r="I130" t="str">
            <v>SC SYNGENTA</v>
          </cell>
          <cell r="J130" t="str">
            <v>PACKS</v>
          </cell>
          <cell r="K130">
            <v>1</v>
          </cell>
          <cell r="N130">
            <v>0.01</v>
          </cell>
          <cell r="P130" t="str">
            <v>NON SEEDS</v>
          </cell>
          <cell r="Q130" t="str">
            <v>ZZ</v>
          </cell>
          <cell r="R130" t="str">
            <v>US08</v>
          </cell>
        </row>
        <row r="131">
          <cell r="A131">
            <v>953311</v>
          </cell>
          <cell r="B131" t="str">
            <v>TAG YieldGard CB GT 11inch Rev 04/07</v>
          </cell>
          <cell r="C131">
            <v>35640</v>
          </cell>
          <cell r="D131" t="str">
            <v>PC</v>
          </cell>
          <cell r="E131">
            <v>0.01</v>
          </cell>
          <cell r="G131">
            <v>99999</v>
          </cell>
          <cell r="H131" t="str">
            <v>SC Syngenta</v>
          </cell>
          <cell r="I131" t="str">
            <v>SC SYNGENTA</v>
          </cell>
          <cell r="J131" t="str">
            <v>PACKS</v>
          </cell>
          <cell r="K131">
            <v>1</v>
          </cell>
          <cell r="N131">
            <v>0.01</v>
          </cell>
          <cell r="P131" t="str">
            <v>NON SEEDS</v>
          </cell>
          <cell r="Q131" t="str">
            <v>ZZ</v>
          </cell>
          <cell r="R131" t="str">
            <v>US08</v>
          </cell>
        </row>
        <row r="132">
          <cell r="A132">
            <v>953312</v>
          </cell>
          <cell r="B132" t="str">
            <v>TAG YieldGard CB RR2 11inch Rev 05/08</v>
          </cell>
          <cell r="C132">
            <v>176829</v>
          </cell>
          <cell r="D132" t="str">
            <v>PC</v>
          </cell>
          <cell r="E132">
            <v>0.01</v>
          </cell>
          <cell r="G132">
            <v>99999</v>
          </cell>
          <cell r="H132" t="str">
            <v>SC Syngenta</v>
          </cell>
          <cell r="I132" t="str">
            <v>SC SYNGENTA</v>
          </cell>
          <cell r="J132" t="str">
            <v>PACKS</v>
          </cell>
          <cell r="K132">
            <v>1</v>
          </cell>
          <cell r="N132">
            <v>0.01</v>
          </cell>
          <cell r="P132" t="str">
            <v>NON SEEDS</v>
          </cell>
          <cell r="Q132" t="str">
            <v>ZZ</v>
          </cell>
          <cell r="R132" t="str">
            <v>US08</v>
          </cell>
        </row>
        <row r="133">
          <cell r="A133">
            <v>953313</v>
          </cell>
          <cell r="B133" t="str">
            <v>TAG YieldGard Plus 11inch Rev 05/08</v>
          </cell>
          <cell r="C133">
            <v>52639</v>
          </cell>
          <cell r="D133" t="str">
            <v>PC</v>
          </cell>
          <cell r="E133">
            <v>0.01</v>
          </cell>
          <cell r="G133">
            <v>99999</v>
          </cell>
          <cell r="H133" t="str">
            <v>SC Syngenta</v>
          </cell>
          <cell r="I133" t="str">
            <v>SC SYNGENTA</v>
          </cell>
          <cell r="J133" t="str">
            <v>PACKS</v>
          </cell>
          <cell r="K133">
            <v>1</v>
          </cell>
          <cell r="N133">
            <v>0.01</v>
          </cell>
          <cell r="P133" t="str">
            <v>NON SEEDS</v>
          </cell>
          <cell r="Q133" t="str">
            <v>ZZ</v>
          </cell>
          <cell r="R133" t="str">
            <v>US08</v>
          </cell>
        </row>
        <row r="134">
          <cell r="A134">
            <v>953314</v>
          </cell>
          <cell r="B134" t="str">
            <v>TAG YieldGard Plus CL 11inch Rev 05/08</v>
          </cell>
          <cell r="C134">
            <v>61560</v>
          </cell>
          <cell r="D134" t="str">
            <v>PC</v>
          </cell>
          <cell r="E134">
            <v>0.01</v>
          </cell>
          <cell r="G134">
            <v>99999</v>
          </cell>
          <cell r="H134" t="str">
            <v>SC Syngenta</v>
          </cell>
          <cell r="I134" t="str">
            <v>SC SYNGENTA</v>
          </cell>
          <cell r="J134" t="str">
            <v>PACKS</v>
          </cell>
          <cell r="K134">
            <v>1</v>
          </cell>
          <cell r="N134">
            <v>0.01</v>
          </cell>
          <cell r="P134" t="str">
            <v>NON SEEDS</v>
          </cell>
          <cell r="Q134" t="str">
            <v>ZZ</v>
          </cell>
          <cell r="R134" t="str">
            <v>US08</v>
          </cell>
        </row>
        <row r="135">
          <cell r="A135">
            <v>953316</v>
          </cell>
          <cell r="B135" t="str">
            <v>TAG YieldGard Plus RR2 11inch Rev 05/08</v>
          </cell>
          <cell r="C135">
            <v>161597</v>
          </cell>
          <cell r="D135" t="str">
            <v>PC</v>
          </cell>
          <cell r="E135">
            <v>0.01</v>
          </cell>
          <cell r="G135">
            <v>99999</v>
          </cell>
          <cell r="H135" t="str">
            <v>SC Syngenta</v>
          </cell>
          <cell r="I135" t="str">
            <v>SC SYNGENTA</v>
          </cell>
          <cell r="J135" t="str">
            <v>PACKS</v>
          </cell>
          <cell r="K135">
            <v>1</v>
          </cell>
          <cell r="N135">
            <v>0.01</v>
          </cell>
          <cell r="P135" t="str">
            <v>NON SEEDS</v>
          </cell>
          <cell r="Q135" t="str">
            <v>ZZ</v>
          </cell>
          <cell r="R135" t="str">
            <v>US08</v>
          </cell>
        </row>
        <row r="136">
          <cell r="A136">
            <v>953317</v>
          </cell>
          <cell r="B136" t="str">
            <v>TAG YieldGard RW 11inch Rev 05/08</v>
          </cell>
          <cell r="C136">
            <v>42120</v>
          </cell>
          <cell r="D136" t="str">
            <v>PC</v>
          </cell>
          <cell r="E136">
            <v>0.01</v>
          </cell>
          <cell r="G136">
            <v>99999</v>
          </cell>
          <cell r="H136" t="str">
            <v>SC Syngenta</v>
          </cell>
          <cell r="I136" t="str">
            <v>SC SYNGENTA</v>
          </cell>
          <cell r="J136" t="str">
            <v>PACKS</v>
          </cell>
          <cell r="K136">
            <v>1</v>
          </cell>
          <cell r="N136">
            <v>0.01</v>
          </cell>
          <cell r="P136" t="str">
            <v>NON SEEDS</v>
          </cell>
          <cell r="Q136" t="str">
            <v>ZZ</v>
          </cell>
          <cell r="R136" t="str">
            <v>US08</v>
          </cell>
        </row>
        <row r="137">
          <cell r="A137">
            <v>953319</v>
          </cell>
          <cell r="B137" t="str">
            <v>TAG YieldGard RW RR2 11inch Rev 05/08</v>
          </cell>
          <cell r="C137">
            <v>69829</v>
          </cell>
          <cell r="D137" t="str">
            <v>PC</v>
          </cell>
          <cell r="E137">
            <v>0.01</v>
          </cell>
          <cell r="G137">
            <v>99999</v>
          </cell>
          <cell r="H137" t="str">
            <v>SC Syngenta</v>
          </cell>
          <cell r="I137" t="str">
            <v>SC SYNGENTA</v>
          </cell>
          <cell r="J137" t="str">
            <v>PACKS</v>
          </cell>
          <cell r="K137">
            <v>1</v>
          </cell>
          <cell r="N137">
            <v>0.01</v>
          </cell>
          <cell r="P137" t="str">
            <v>NON SEEDS</v>
          </cell>
          <cell r="Q137" t="str">
            <v>ZZ</v>
          </cell>
          <cell r="R137" t="str">
            <v>US08</v>
          </cell>
        </row>
        <row r="138">
          <cell r="A138">
            <v>959048</v>
          </cell>
          <cell r="B138" t="str">
            <v>CRCO N23F-LL   LR70  SPC  NK</v>
          </cell>
          <cell r="C138">
            <v>149</v>
          </cell>
          <cell r="D138" t="str">
            <v>UN</v>
          </cell>
          <cell r="E138">
            <v>529785.5</v>
          </cell>
          <cell r="G138">
            <v>10000</v>
          </cell>
          <cell r="H138" t="str">
            <v>NK</v>
          </cell>
          <cell r="I138" t="str">
            <v>NK US</v>
          </cell>
          <cell r="J138" t="str">
            <v>CO110</v>
          </cell>
          <cell r="K138">
            <v>1</v>
          </cell>
          <cell r="N138">
            <v>0.01</v>
          </cell>
          <cell r="P138" t="str">
            <v>X23114HI</v>
          </cell>
          <cell r="Q138" t="str">
            <v>01Z01021002</v>
          </cell>
          <cell r="R138" t="str">
            <v>US08</v>
          </cell>
        </row>
        <row r="139">
          <cell r="A139">
            <v>959076</v>
          </cell>
          <cell r="B139" t="str">
            <v>CRCO N23F-LL   MF1   SPC  NK</v>
          </cell>
          <cell r="C139">
            <v>969</v>
          </cell>
          <cell r="D139" t="str">
            <v>UN</v>
          </cell>
          <cell r="E139">
            <v>529785.5</v>
          </cell>
          <cell r="G139">
            <v>10000</v>
          </cell>
          <cell r="H139" t="str">
            <v>NK</v>
          </cell>
          <cell r="I139" t="str">
            <v>NK US</v>
          </cell>
          <cell r="J139" t="str">
            <v>CO110</v>
          </cell>
          <cell r="K139">
            <v>1</v>
          </cell>
          <cell r="N139">
            <v>0.01</v>
          </cell>
          <cell r="P139" t="str">
            <v>X23114HI</v>
          </cell>
          <cell r="Q139" t="str">
            <v>01Z01021002</v>
          </cell>
          <cell r="R139" t="str">
            <v>US08</v>
          </cell>
        </row>
        <row r="140">
          <cell r="A140">
            <v>959080</v>
          </cell>
          <cell r="B140" t="str">
            <v>CRCO N23F-LL   MF1QBP  SPC  NK</v>
          </cell>
          <cell r="C140">
            <v>0</v>
          </cell>
          <cell r="D140" t="str">
            <v>UN</v>
          </cell>
          <cell r="E140">
            <v>530285.49</v>
          </cell>
          <cell r="G140">
            <v>10000</v>
          </cell>
          <cell r="H140" t="str">
            <v>NK</v>
          </cell>
          <cell r="I140" t="str">
            <v>NK US</v>
          </cell>
          <cell r="J140" t="str">
            <v>CO110</v>
          </cell>
          <cell r="K140">
            <v>1</v>
          </cell>
          <cell r="N140">
            <v>0.01</v>
          </cell>
          <cell r="P140" t="str">
            <v>X23114HI</v>
          </cell>
          <cell r="Q140" t="str">
            <v>01Z01021002</v>
          </cell>
          <cell r="R140" t="str">
            <v>US08</v>
          </cell>
        </row>
        <row r="141">
          <cell r="A141">
            <v>959100</v>
          </cell>
          <cell r="B141" t="str">
            <v>CRCO N23F-LL   MF2   SPC  NK</v>
          </cell>
          <cell r="C141">
            <v>1267</v>
          </cell>
          <cell r="D141" t="str">
            <v>UN</v>
          </cell>
          <cell r="E141">
            <v>529785.5</v>
          </cell>
          <cell r="G141">
            <v>10000</v>
          </cell>
          <cell r="H141" t="str">
            <v>NK</v>
          </cell>
          <cell r="I141" t="str">
            <v>NK US</v>
          </cell>
          <cell r="J141" t="str">
            <v>CO110</v>
          </cell>
          <cell r="K141">
            <v>1</v>
          </cell>
          <cell r="N141">
            <v>0.01</v>
          </cell>
          <cell r="P141" t="str">
            <v>X23114HI</v>
          </cell>
          <cell r="Q141" t="str">
            <v>01Z01021002</v>
          </cell>
          <cell r="R141" t="str">
            <v>US08</v>
          </cell>
        </row>
        <row r="142">
          <cell r="A142">
            <v>959149</v>
          </cell>
          <cell r="B142" t="str">
            <v>CRCO N23F-LL   MR2   SPC  NK</v>
          </cell>
          <cell r="C142">
            <v>523</v>
          </cell>
          <cell r="D142" t="str">
            <v>UN</v>
          </cell>
          <cell r="E142">
            <v>529785.5</v>
          </cell>
          <cell r="G142">
            <v>10000</v>
          </cell>
          <cell r="H142" t="str">
            <v>NK</v>
          </cell>
          <cell r="I142" t="str">
            <v>NK US</v>
          </cell>
          <cell r="J142" t="str">
            <v>CO110</v>
          </cell>
          <cell r="K142">
            <v>1</v>
          </cell>
          <cell r="N142">
            <v>0.01</v>
          </cell>
          <cell r="P142" t="str">
            <v>X23114HI</v>
          </cell>
          <cell r="Q142" t="str">
            <v>01Z01021002</v>
          </cell>
          <cell r="R142" t="str">
            <v>US08</v>
          </cell>
        </row>
        <row r="143">
          <cell r="A143">
            <v>960550</v>
          </cell>
          <cell r="B143" t="str">
            <v>CRCO N33J-GT/CB/LL   MF1   SPC  NK</v>
          </cell>
          <cell r="C143">
            <v>38</v>
          </cell>
          <cell r="D143" t="str">
            <v>UN</v>
          </cell>
          <cell r="E143">
            <v>463750.52</v>
          </cell>
          <cell r="G143">
            <v>10000</v>
          </cell>
          <cell r="H143" t="str">
            <v>NK</v>
          </cell>
          <cell r="I143" t="str">
            <v>NK US</v>
          </cell>
          <cell r="J143" t="str">
            <v>CO110</v>
          </cell>
          <cell r="K143">
            <v>1</v>
          </cell>
          <cell r="N143">
            <v>0.01</v>
          </cell>
          <cell r="P143" t="str">
            <v>X36324WG</v>
          </cell>
          <cell r="Q143" t="str">
            <v>01Z010316AG</v>
          </cell>
          <cell r="R143" t="str">
            <v>US08</v>
          </cell>
        </row>
        <row r="144">
          <cell r="A144">
            <v>960969</v>
          </cell>
          <cell r="B144" t="str">
            <v>CRCO N33J-GT/CB/LL   MR2   SPC  NK</v>
          </cell>
          <cell r="C144">
            <v>703</v>
          </cell>
          <cell r="D144" t="str">
            <v>UN</v>
          </cell>
          <cell r="E144">
            <v>463750.52</v>
          </cell>
          <cell r="G144">
            <v>10000</v>
          </cell>
          <cell r="H144" t="str">
            <v>NK</v>
          </cell>
          <cell r="I144" t="str">
            <v>NK US</v>
          </cell>
          <cell r="J144" t="str">
            <v>CO110</v>
          </cell>
          <cell r="K144">
            <v>1</v>
          </cell>
          <cell r="N144">
            <v>0.01</v>
          </cell>
          <cell r="P144" t="str">
            <v>X36324WG</v>
          </cell>
          <cell r="Q144" t="str">
            <v>01Z010316AG</v>
          </cell>
          <cell r="R144" t="str">
            <v>US08</v>
          </cell>
        </row>
        <row r="145">
          <cell r="A145">
            <v>982805</v>
          </cell>
          <cell r="B145" t="str">
            <v>CRCO N64Z-00    LR70    SPC CA</v>
          </cell>
          <cell r="C145">
            <v>0</v>
          </cell>
          <cell r="D145" t="str">
            <v>UN</v>
          </cell>
          <cell r="E145">
            <v>505115.55</v>
          </cell>
          <cell r="G145">
            <v>10000</v>
          </cell>
          <cell r="H145" t="str">
            <v>NK</v>
          </cell>
          <cell r="I145" t="str">
            <v>NK CA</v>
          </cell>
          <cell r="J145" t="str">
            <v>CO110</v>
          </cell>
          <cell r="K145">
            <v>1</v>
          </cell>
          <cell r="N145">
            <v>0.01</v>
          </cell>
          <cell r="P145" t="str">
            <v>X61476</v>
          </cell>
          <cell r="Q145" t="str">
            <v>01Z0106011B</v>
          </cell>
          <cell r="R145" t="str">
            <v>US08</v>
          </cell>
        </row>
        <row r="146">
          <cell r="A146">
            <v>982817</v>
          </cell>
          <cell r="B146" t="str">
            <v>CRCO N64Z-00    MR2     SPC CA</v>
          </cell>
          <cell r="C146">
            <v>0</v>
          </cell>
          <cell r="D146" t="str">
            <v>UN</v>
          </cell>
          <cell r="E146">
            <v>505115.55</v>
          </cell>
          <cell r="G146">
            <v>10000</v>
          </cell>
          <cell r="H146" t="str">
            <v>NK</v>
          </cell>
          <cell r="I146" t="str">
            <v>NK CA</v>
          </cell>
          <cell r="J146" t="str">
            <v>CO110</v>
          </cell>
          <cell r="K146">
            <v>1</v>
          </cell>
          <cell r="N146">
            <v>0.01</v>
          </cell>
          <cell r="P146" t="str">
            <v>X61476</v>
          </cell>
          <cell r="Q146" t="str">
            <v>01Z0106011B</v>
          </cell>
          <cell r="R146" t="str">
            <v>US08</v>
          </cell>
        </row>
        <row r="147">
          <cell r="A147">
            <v>989037</v>
          </cell>
          <cell r="B147" t="str">
            <v>CRCO 8917CB/LL   MF1   SPC    NK</v>
          </cell>
          <cell r="C147">
            <v>1049</v>
          </cell>
          <cell r="D147" t="str">
            <v>UN</v>
          </cell>
          <cell r="E147">
            <v>435026.05</v>
          </cell>
          <cell r="G147">
            <v>10000</v>
          </cell>
          <cell r="H147" t="str">
            <v>NK</v>
          </cell>
          <cell r="I147" t="str">
            <v>GT GARST</v>
          </cell>
          <cell r="J147" t="str">
            <v>CO110</v>
          </cell>
          <cell r="K147">
            <v>1</v>
          </cell>
          <cell r="N147">
            <v>0.01</v>
          </cell>
          <cell r="P147" t="str">
            <v>X29204BB</v>
          </cell>
          <cell r="Q147" t="str">
            <v>01Z010306AV</v>
          </cell>
          <cell r="R147" t="str">
            <v>US08</v>
          </cell>
        </row>
        <row r="148">
          <cell r="A148">
            <v>1042033</v>
          </cell>
          <cell r="B148" t="str">
            <v>CRCO N24-V8    LR70    STD CA</v>
          </cell>
          <cell r="C148">
            <v>0</v>
          </cell>
          <cell r="D148" t="str">
            <v>UN</v>
          </cell>
          <cell r="E148">
            <v>551281.79</v>
          </cell>
          <cell r="G148">
            <v>10000</v>
          </cell>
          <cell r="H148" t="str">
            <v>NK</v>
          </cell>
          <cell r="I148" t="str">
            <v>NK CA</v>
          </cell>
          <cell r="J148" t="str">
            <v>CO110</v>
          </cell>
          <cell r="K148">
            <v>1</v>
          </cell>
          <cell r="N148">
            <v>0.01</v>
          </cell>
          <cell r="P148" t="str">
            <v>X2539ARN</v>
          </cell>
          <cell r="Q148" t="str">
            <v>01Z0102ABAB</v>
          </cell>
          <cell r="R148" t="str">
            <v>US08</v>
          </cell>
        </row>
        <row r="149">
          <cell r="A149">
            <v>1042034</v>
          </cell>
          <cell r="B149" t="str">
            <v>CRCO N24-V8    MF1     STD CA</v>
          </cell>
          <cell r="C149">
            <v>0</v>
          </cell>
          <cell r="D149" t="str">
            <v>UN</v>
          </cell>
          <cell r="E149">
            <v>551281.79</v>
          </cell>
          <cell r="G149">
            <v>10000</v>
          </cell>
          <cell r="H149" t="str">
            <v>NK</v>
          </cell>
          <cell r="I149" t="str">
            <v>NK CA</v>
          </cell>
          <cell r="J149" t="str">
            <v>CO110</v>
          </cell>
          <cell r="K149">
            <v>1</v>
          </cell>
          <cell r="N149">
            <v>0.01</v>
          </cell>
          <cell r="P149" t="str">
            <v>X2539ARN</v>
          </cell>
          <cell r="Q149" t="str">
            <v>01Z0102ABAB</v>
          </cell>
          <cell r="R149" t="str">
            <v>US08</v>
          </cell>
        </row>
        <row r="150">
          <cell r="A150">
            <v>1042035</v>
          </cell>
          <cell r="B150" t="str">
            <v>CRCO N24-V8    MF2     STD CA</v>
          </cell>
          <cell r="C150">
            <v>0</v>
          </cell>
          <cell r="D150" t="str">
            <v>UN</v>
          </cell>
          <cell r="E150">
            <v>551281.79</v>
          </cell>
          <cell r="G150">
            <v>10000</v>
          </cell>
          <cell r="H150" t="str">
            <v>NK</v>
          </cell>
          <cell r="I150" t="str">
            <v>NK CA</v>
          </cell>
          <cell r="J150" t="str">
            <v>CO110</v>
          </cell>
          <cell r="K150">
            <v>1</v>
          </cell>
          <cell r="N150">
            <v>0.01</v>
          </cell>
          <cell r="P150" t="str">
            <v>X2539ARN</v>
          </cell>
          <cell r="Q150" t="str">
            <v>01Z0102ABAB</v>
          </cell>
          <cell r="R150" t="str">
            <v>US08</v>
          </cell>
        </row>
        <row r="151">
          <cell r="A151">
            <v>1071940</v>
          </cell>
          <cell r="B151" t="str">
            <v>CRBS NPID2941     STD    KG</v>
          </cell>
          <cell r="C151">
            <v>128.82</v>
          </cell>
          <cell r="D151" t="str">
            <v>KG</v>
          </cell>
          <cell r="E151">
            <v>58946.02</v>
          </cell>
          <cell r="G151">
            <v>10000</v>
          </cell>
          <cell r="H151" t="str">
            <v>SC Syngenta</v>
          </cell>
          <cell r="I151" t="str">
            <v>SC SYNGENTA</v>
          </cell>
          <cell r="J151" t="str">
            <v>BA090</v>
          </cell>
          <cell r="K151">
            <v>1</v>
          </cell>
          <cell r="N151">
            <v>0.01</v>
          </cell>
          <cell r="P151" t="str">
            <v>NPID2941</v>
          </cell>
          <cell r="Q151" t="str">
            <v>01Z01YY01JK</v>
          </cell>
          <cell r="R151" t="str">
            <v>US08</v>
          </cell>
        </row>
        <row r="152">
          <cell r="A152">
            <v>1072005</v>
          </cell>
          <cell r="B152" t="str">
            <v>CRCO EX 6989CB/LL   SPC   FET   GH</v>
          </cell>
          <cell r="C152">
            <v>0</v>
          </cell>
          <cell r="D152" t="str">
            <v>D10</v>
          </cell>
          <cell r="E152">
            <v>163333.89000000001</v>
          </cell>
          <cell r="G152">
            <v>10000</v>
          </cell>
          <cell r="H152" t="str">
            <v>Golden Harvest</v>
          </cell>
          <cell r="I152" t="str">
            <v>GH GOLDEN HARVEST</v>
          </cell>
          <cell r="J152" t="str">
            <v>CO110</v>
          </cell>
          <cell r="K152">
            <v>1</v>
          </cell>
          <cell r="N152">
            <v>0.01</v>
          </cell>
          <cell r="P152" t="str">
            <v>X34327BB</v>
          </cell>
          <cell r="Q152" t="str">
            <v>01Z01ZZ06EH</v>
          </cell>
          <cell r="R152" t="str">
            <v>US08</v>
          </cell>
        </row>
        <row r="153">
          <cell r="A153">
            <v>1072058</v>
          </cell>
          <cell r="B153" t="str">
            <v>CRCO NJ860CB/LL   SPC   FET    GT</v>
          </cell>
          <cell r="C153">
            <v>0</v>
          </cell>
          <cell r="D153" t="str">
            <v>D10</v>
          </cell>
          <cell r="E153">
            <v>163333.89000000001</v>
          </cell>
          <cell r="G153">
            <v>10000</v>
          </cell>
          <cell r="H153" t="str">
            <v>Garst</v>
          </cell>
          <cell r="I153" t="str">
            <v>GT GARST</v>
          </cell>
          <cell r="J153" t="str">
            <v>CO110</v>
          </cell>
          <cell r="K153">
            <v>1</v>
          </cell>
          <cell r="N153">
            <v>0.01</v>
          </cell>
          <cell r="P153" t="str">
            <v>X34327BB</v>
          </cell>
          <cell r="Q153" t="str">
            <v>01Z01ZZ06EH</v>
          </cell>
          <cell r="R153" t="str">
            <v>US08</v>
          </cell>
        </row>
        <row r="154">
          <cell r="A154">
            <v>1072494</v>
          </cell>
          <cell r="B154" t="str">
            <v>CRCO NX7877   SPC  FET   NK</v>
          </cell>
          <cell r="C154">
            <v>0</v>
          </cell>
          <cell r="D154" t="str">
            <v>D10</v>
          </cell>
          <cell r="E154">
            <v>171981.72</v>
          </cell>
          <cell r="G154">
            <v>10000</v>
          </cell>
          <cell r="H154" t="str">
            <v>NK</v>
          </cell>
          <cell r="I154" t="str">
            <v>NK US</v>
          </cell>
          <cell r="J154" t="str">
            <v>CO110</v>
          </cell>
          <cell r="K154">
            <v>1</v>
          </cell>
          <cell r="N154">
            <v>0.01</v>
          </cell>
          <cell r="P154" t="str">
            <v>X74677WG</v>
          </cell>
          <cell r="Q154" t="str">
            <v>01Z010716AS</v>
          </cell>
          <cell r="R154" t="str">
            <v>US08</v>
          </cell>
        </row>
        <row r="155">
          <cell r="A155">
            <v>1089123</v>
          </cell>
          <cell r="B155" t="str">
            <v>CRBS R10     STD    KG</v>
          </cell>
          <cell r="C155">
            <v>373.76</v>
          </cell>
          <cell r="D155" t="str">
            <v>KG</v>
          </cell>
          <cell r="E155">
            <v>156510</v>
          </cell>
          <cell r="G155">
            <v>10000</v>
          </cell>
          <cell r="H155" t="str">
            <v>SC Syngenta</v>
          </cell>
          <cell r="I155" t="str">
            <v>SC SYNGENTA</v>
          </cell>
          <cell r="J155" t="str">
            <v>BA090</v>
          </cell>
          <cell r="K155">
            <v>1</v>
          </cell>
          <cell r="N155">
            <v>0.01</v>
          </cell>
          <cell r="P155" t="str">
            <v>R10</v>
          </cell>
          <cell r="Q155" t="str">
            <v>01Z01YY01KF</v>
          </cell>
          <cell r="R155" t="str">
            <v>US08</v>
          </cell>
          <cell r="S155">
            <v>156510</v>
          </cell>
        </row>
        <row r="156">
          <cell r="A156">
            <v>1100394</v>
          </cell>
          <cell r="B156" t="str">
            <v>CRBS NPCO6979     STD    KG</v>
          </cell>
          <cell r="C156">
            <v>43.545000000000002</v>
          </cell>
          <cell r="D156" t="str">
            <v>KG</v>
          </cell>
          <cell r="E156">
            <v>58946.02</v>
          </cell>
          <cell r="G156">
            <v>10000</v>
          </cell>
          <cell r="H156" t="str">
            <v>SC Syngenta</v>
          </cell>
          <cell r="I156" t="str">
            <v>SC SYNGENTA</v>
          </cell>
          <cell r="J156" t="str">
            <v>BA090</v>
          </cell>
          <cell r="K156">
            <v>1</v>
          </cell>
          <cell r="N156">
            <v>0.01</v>
          </cell>
          <cell r="P156" t="str">
            <v>NPCO6979</v>
          </cell>
          <cell r="Q156" t="str">
            <v>01Z01XX01CK</v>
          </cell>
          <cell r="R156" t="str">
            <v>US08</v>
          </cell>
        </row>
        <row r="157">
          <cell r="A157">
            <v>1100396</v>
          </cell>
          <cell r="B157" t="str">
            <v>CRBS NPFB7972     STD    KG</v>
          </cell>
          <cell r="C157">
            <v>0</v>
          </cell>
          <cell r="D157" t="str">
            <v>KG</v>
          </cell>
          <cell r="E157">
            <v>58946.02</v>
          </cell>
          <cell r="G157">
            <v>10000</v>
          </cell>
          <cell r="H157" t="str">
            <v>SC Syngenta</v>
          </cell>
          <cell r="I157" t="str">
            <v>SC SYNGENTA</v>
          </cell>
          <cell r="J157" t="str">
            <v>BA090</v>
          </cell>
          <cell r="K157">
            <v>1</v>
          </cell>
          <cell r="N157">
            <v>0.01</v>
          </cell>
          <cell r="P157" t="str">
            <v>NPFB7972</v>
          </cell>
          <cell r="Q157" t="str">
            <v>01Z01XX01CJ</v>
          </cell>
          <cell r="R157" t="str">
            <v>US08</v>
          </cell>
        </row>
        <row r="158">
          <cell r="A158">
            <v>1100420</v>
          </cell>
          <cell r="B158" t="str">
            <v>CRBS NPFB7973     STD    KG</v>
          </cell>
          <cell r="C158">
            <v>0</v>
          </cell>
          <cell r="D158" t="str">
            <v>KG</v>
          </cell>
          <cell r="E158">
            <v>58946.02</v>
          </cell>
          <cell r="G158">
            <v>10000</v>
          </cell>
          <cell r="H158" t="str">
            <v>SC Syngenta</v>
          </cell>
          <cell r="I158" t="str">
            <v>SC SYNGENTA</v>
          </cell>
          <cell r="J158" t="str">
            <v>BA090</v>
          </cell>
          <cell r="K158">
            <v>1</v>
          </cell>
          <cell r="N158">
            <v>0.01</v>
          </cell>
          <cell r="P158" t="str">
            <v>NPFB7973</v>
          </cell>
          <cell r="Q158" t="str">
            <v>01Z01XX01CH</v>
          </cell>
          <cell r="R158" t="str">
            <v>US08</v>
          </cell>
        </row>
        <row r="159">
          <cell r="A159">
            <v>1100432</v>
          </cell>
          <cell r="B159" t="str">
            <v>CRBS NPOH7944     STD    KG</v>
          </cell>
          <cell r="C159">
            <v>52.843000000000004</v>
          </cell>
          <cell r="D159" t="str">
            <v>KG</v>
          </cell>
          <cell r="E159">
            <v>58946.02</v>
          </cell>
          <cell r="G159">
            <v>10000</v>
          </cell>
          <cell r="H159" t="str">
            <v>SC Syngenta</v>
          </cell>
          <cell r="I159" t="str">
            <v>SC SYNGENTA</v>
          </cell>
          <cell r="J159" t="str">
            <v>BA090</v>
          </cell>
          <cell r="K159">
            <v>1</v>
          </cell>
          <cell r="N159">
            <v>0.01</v>
          </cell>
          <cell r="P159" t="str">
            <v>NPOH7944</v>
          </cell>
          <cell r="Q159" t="str">
            <v>01Z01XX01CI</v>
          </cell>
          <cell r="R159" t="str">
            <v>US08</v>
          </cell>
        </row>
        <row r="160">
          <cell r="A160">
            <v>1100452</v>
          </cell>
          <cell r="B160" t="str">
            <v>CRBS NPFB7928     STD    KG</v>
          </cell>
          <cell r="C160">
            <v>0</v>
          </cell>
          <cell r="D160" t="str">
            <v>KG</v>
          </cell>
          <cell r="E160">
            <v>58946.02</v>
          </cell>
          <cell r="G160">
            <v>10000</v>
          </cell>
          <cell r="H160" t="str">
            <v>SC Syngenta</v>
          </cell>
          <cell r="I160" t="str">
            <v>SC SYNGENTA</v>
          </cell>
          <cell r="J160" t="str">
            <v>BA090</v>
          </cell>
          <cell r="K160">
            <v>1</v>
          </cell>
          <cell r="N160">
            <v>0.01</v>
          </cell>
          <cell r="P160" t="str">
            <v>NPFB7928</v>
          </cell>
          <cell r="Q160" t="str">
            <v>01Z01XX01CO</v>
          </cell>
          <cell r="R160" t="str">
            <v>US08</v>
          </cell>
        </row>
        <row r="161">
          <cell r="A161">
            <v>1101086</v>
          </cell>
          <cell r="B161" t="str">
            <v>CRCO GP280*GPX274   SPC  GLG</v>
          </cell>
          <cell r="C161">
            <v>0</v>
          </cell>
          <cell r="D161" t="str">
            <v>UN</v>
          </cell>
          <cell r="E161">
            <v>527001.80000000005</v>
          </cell>
          <cell r="G161">
            <v>10000</v>
          </cell>
          <cell r="H161" t="str">
            <v>GLG</v>
          </cell>
          <cell r="I161" t="str">
            <v>GL US</v>
          </cell>
          <cell r="J161" t="str">
            <v>CO110</v>
          </cell>
          <cell r="K161">
            <v>1</v>
          </cell>
          <cell r="N161">
            <v>0.01</v>
          </cell>
          <cell r="P161" t="str">
            <v>X79127</v>
          </cell>
          <cell r="Q161" t="str">
            <v>01Z010701HW</v>
          </cell>
          <cell r="R161" t="str">
            <v>US08</v>
          </cell>
        </row>
        <row r="162">
          <cell r="A162">
            <v>1116395</v>
          </cell>
          <cell r="B162" t="str">
            <v>BAG  CO,BAG,14.5X3.5X34,SOM,AG,HT,NK</v>
          </cell>
          <cell r="C162">
            <v>215200</v>
          </cell>
          <cell r="D162" t="str">
            <v>PC</v>
          </cell>
          <cell r="E162">
            <v>484</v>
          </cell>
          <cell r="G162">
            <v>1000</v>
          </cell>
          <cell r="H162" t="str">
            <v>NK</v>
          </cell>
          <cell r="I162" t="str">
            <v>SC SYNGENTA</v>
          </cell>
          <cell r="J162" t="str">
            <v>PACKS</v>
          </cell>
          <cell r="K162">
            <v>1</v>
          </cell>
          <cell r="N162">
            <v>0.01</v>
          </cell>
          <cell r="P162" t="str">
            <v>NON SEEDS</v>
          </cell>
          <cell r="Q162" t="str">
            <v>ZZ</v>
          </cell>
          <cell r="R162" t="str">
            <v>US08</v>
          </cell>
          <cell r="S162">
            <v>484</v>
          </cell>
        </row>
        <row r="163">
          <cell r="A163">
            <v>1116398</v>
          </cell>
          <cell r="B163" t="str">
            <v>BAG  CO,BAG,14.5X2.5X34 GARST AG CORN</v>
          </cell>
          <cell r="C163">
            <v>412098</v>
          </cell>
          <cell r="D163" t="str">
            <v>PC</v>
          </cell>
          <cell r="E163">
            <v>426</v>
          </cell>
          <cell r="G163">
            <v>1000</v>
          </cell>
          <cell r="H163" t="str">
            <v>Garst</v>
          </cell>
          <cell r="I163" t="str">
            <v>SC SYNGENTA</v>
          </cell>
          <cell r="J163" t="str">
            <v>PACKS</v>
          </cell>
          <cell r="K163">
            <v>1</v>
          </cell>
          <cell r="N163">
            <v>0.01</v>
          </cell>
          <cell r="P163" t="str">
            <v>NON SEEDS</v>
          </cell>
          <cell r="Q163" t="str">
            <v>ZZ</v>
          </cell>
          <cell r="R163" t="str">
            <v>US08</v>
          </cell>
          <cell r="S163">
            <v>426</v>
          </cell>
        </row>
        <row r="164">
          <cell r="A164">
            <v>1116399</v>
          </cell>
          <cell r="B164" t="str">
            <v>BAG  CO,BAG,14.5X3.5X34 GARST AG CORN</v>
          </cell>
          <cell r="C164">
            <v>284585</v>
          </cell>
          <cell r="D164" t="str">
            <v>PC</v>
          </cell>
          <cell r="E164">
            <v>484</v>
          </cell>
          <cell r="G164">
            <v>1000</v>
          </cell>
          <cell r="H164" t="str">
            <v>Garst</v>
          </cell>
          <cell r="I164" t="str">
            <v>SC SYNGENTA</v>
          </cell>
          <cell r="J164" t="str">
            <v>PACKS</v>
          </cell>
          <cell r="K164">
            <v>1</v>
          </cell>
          <cell r="N164">
            <v>0.01</v>
          </cell>
          <cell r="P164" t="str">
            <v>NON SEEDS</v>
          </cell>
          <cell r="Q164" t="str">
            <v>ZZ</v>
          </cell>
          <cell r="R164" t="str">
            <v>US08</v>
          </cell>
          <cell r="S164">
            <v>484</v>
          </cell>
        </row>
        <row r="165">
          <cell r="A165">
            <v>1116400</v>
          </cell>
          <cell r="B165" t="str">
            <v>BAG  CO,BAG,14.5X4.5X34 GARST AG CORN</v>
          </cell>
          <cell r="C165">
            <v>189585</v>
          </cell>
          <cell r="D165" t="str">
            <v>PC</v>
          </cell>
          <cell r="E165">
            <v>534</v>
          </cell>
          <cell r="G165">
            <v>1000</v>
          </cell>
          <cell r="H165" t="str">
            <v>Garst</v>
          </cell>
          <cell r="I165" t="str">
            <v>SC SYNGENTA</v>
          </cell>
          <cell r="J165" t="str">
            <v>PACKS</v>
          </cell>
          <cell r="K165">
            <v>1</v>
          </cell>
          <cell r="N165">
            <v>0.01</v>
          </cell>
          <cell r="P165" t="str">
            <v>NON SEEDS</v>
          </cell>
          <cell r="Q165" t="str">
            <v>ZZ</v>
          </cell>
          <cell r="R165" t="str">
            <v>US08</v>
          </cell>
          <cell r="S165">
            <v>534</v>
          </cell>
        </row>
        <row r="166">
          <cell r="A166">
            <v>1116401</v>
          </cell>
          <cell r="B166" t="str">
            <v>BAG  CO,BAG,14.5X5.5X34 GARST AG CORN</v>
          </cell>
          <cell r="C166">
            <v>18383</v>
          </cell>
          <cell r="D166" t="str">
            <v>PC</v>
          </cell>
          <cell r="E166">
            <v>573</v>
          </cell>
          <cell r="G166">
            <v>1000</v>
          </cell>
          <cell r="H166" t="str">
            <v>Garst</v>
          </cell>
          <cell r="I166" t="str">
            <v>SC SYNGENTA</v>
          </cell>
          <cell r="J166" t="str">
            <v>PACKS</v>
          </cell>
          <cell r="K166">
            <v>1</v>
          </cell>
          <cell r="N166">
            <v>0.01</v>
          </cell>
          <cell r="P166" t="str">
            <v>NON SEEDS</v>
          </cell>
          <cell r="Q166" t="str">
            <v>ZZ</v>
          </cell>
          <cell r="R166" t="str">
            <v>US08</v>
          </cell>
          <cell r="S166">
            <v>573</v>
          </cell>
        </row>
        <row r="167">
          <cell r="A167">
            <v>1116403</v>
          </cell>
          <cell r="B167" t="str">
            <v>BAG  CO,BAG,14.5X3.5X34 GH AG GLY CORN</v>
          </cell>
          <cell r="C167">
            <v>32690</v>
          </cell>
          <cell r="D167" t="str">
            <v>PC</v>
          </cell>
          <cell r="E167">
            <v>457</v>
          </cell>
          <cell r="G167">
            <v>1000</v>
          </cell>
          <cell r="H167" t="str">
            <v>Golden Harvest</v>
          </cell>
          <cell r="I167" t="str">
            <v>SC SYNGENTA</v>
          </cell>
          <cell r="J167" t="str">
            <v>PACKS</v>
          </cell>
          <cell r="K167">
            <v>1</v>
          </cell>
          <cell r="N167">
            <v>0.01</v>
          </cell>
          <cell r="P167" t="str">
            <v>NON SEEDS</v>
          </cell>
          <cell r="Q167" t="str">
            <v>ZZ</v>
          </cell>
          <cell r="R167" t="str">
            <v>US08</v>
          </cell>
          <cell r="S167">
            <v>457</v>
          </cell>
        </row>
        <row r="168">
          <cell r="A168">
            <v>1116404</v>
          </cell>
          <cell r="B168" t="str">
            <v>BAG  CO,BAG,14.5X4.5X34 GH AG GLY CORN</v>
          </cell>
          <cell r="C168">
            <v>32275</v>
          </cell>
          <cell r="D168" t="str">
            <v>PC</v>
          </cell>
          <cell r="E168">
            <v>500</v>
          </cell>
          <cell r="G168">
            <v>1000</v>
          </cell>
          <cell r="H168" t="str">
            <v>Golden Harvest</v>
          </cell>
          <cell r="I168" t="str">
            <v>SC SYNGENTA</v>
          </cell>
          <cell r="J168" t="str">
            <v>PACKS</v>
          </cell>
          <cell r="K168">
            <v>1</v>
          </cell>
          <cell r="N168">
            <v>0.01</v>
          </cell>
          <cell r="P168" t="str">
            <v>NON SEEDS</v>
          </cell>
          <cell r="Q168" t="str">
            <v>ZZ</v>
          </cell>
          <cell r="R168" t="str">
            <v>US08</v>
          </cell>
          <cell r="S168">
            <v>500</v>
          </cell>
        </row>
        <row r="169">
          <cell r="A169">
            <v>1116405</v>
          </cell>
          <cell r="B169" t="str">
            <v>BAG  CO,BAG,14.5X5.5X34 GH AG GLY CORN</v>
          </cell>
          <cell r="C169">
            <v>16200</v>
          </cell>
          <cell r="D169" t="str">
            <v>PC</v>
          </cell>
          <cell r="E169">
            <v>617</v>
          </cell>
          <cell r="G169">
            <v>1000</v>
          </cell>
          <cell r="H169" t="str">
            <v>Golden Harvest</v>
          </cell>
          <cell r="I169" t="str">
            <v>SC SYNGENTA</v>
          </cell>
          <cell r="J169" t="str">
            <v>PACKS</v>
          </cell>
          <cell r="K169">
            <v>1</v>
          </cell>
          <cell r="N169">
            <v>0.01</v>
          </cell>
          <cell r="P169" t="str">
            <v>NON SEEDS</v>
          </cell>
          <cell r="Q169" t="str">
            <v>ZZ</v>
          </cell>
          <cell r="R169" t="str">
            <v>US08</v>
          </cell>
          <cell r="S169">
            <v>617</v>
          </cell>
        </row>
        <row r="170">
          <cell r="A170">
            <v>1116406</v>
          </cell>
          <cell r="B170" t="str">
            <v>BAG  CO,BAG,14.5X2.5X34 GH AG LIB CORN</v>
          </cell>
          <cell r="C170">
            <v>45352</v>
          </cell>
          <cell r="D170" t="str">
            <v>PC</v>
          </cell>
          <cell r="E170">
            <v>425</v>
          </cell>
          <cell r="G170">
            <v>1000</v>
          </cell>
          <cell r="H170" t="str">
            <v>Golden Harvest</v>
          </cell>
          <cell r="I170" t="str">
            <v>SC SYNGENTA</v>
          </cell>
          <cell r="J170" t="str">
            <v>PACKS</v>
          </cell>
          <cell r="K170">
            <v>1</v>
          </cell>
          <cell r="N170">
            <v>0.01</v>
          </cell>
          <cell r="P170" t="str">
            <v>NON SEEDS</v>
          </cell>
          <cell r="Q170" t="str">
            <v>ZZ</v>
          </cell>
          <cell r="R170" t="str">
            <v>US08</v>
          </cell>
          <cell r="S170">
            <v>425</v>
          </cell>
        </row>
        <row r="171">
          <cell r="A171">
            <v>1116407</v>
          </cell>
          <cell r="B171" t="str">
            <v>BAG  CO,BAG,14.5X3.5X34 GH AG LIB CORN</v>
          </cell>
          <cell r="C171">
            <v>16095</v>
          </cell>
          <cell r="D171" t="str">
            <v>PC</v>
          </cell>
          <cell r="E171">
            <v>457</v>
          </cell>
          <cell r="G171">
            <v>1000</v>
          </cell>
          <cell r="H171" t="str">
            <v>Golden Harvest</v>
          </cell>
          <cell r="I171" t="str">
            <v>SC SYNGENTA</v>
          </cell>
          <cell r="J171" t="str">
            <v>PACKS</v>
          </cell>
          <cell r="K171">
            <v>1</v>
          </cell>
          <cell r="N171">
            <v>0.01</v>
          </cell>
          <cell r="P171" t="str">
            <v>NON SEEDS</v>
          </cell>
          <cell r="Q171" t="str">
            <v>ZZ</v>
          </cell>
          <cell r="R171" t="str">
            <v>US08</v>
          </cell>
          <cell r="S171">
            <v>457</v>
          </cell>
        </row>
        <row r="172">
          <cell r="A172">
            <v>1116410</v>
          </cell>
          <cell r="B172" t="str">
            <v>BAG  CO,BAG,14.5X2.5X34 GH AGGLYLIB CORN</v>
          </cell>
          <cell r="C172">
            <v>305592</v>
          </cell>
          <cell r="D172" t="str">
            <v>PC</v>
          </cell>
          <cell r="E172">
            <v>425</v>
          </cell>
          <cell r="G172">
            <v>1000</v>
          </cell>
          <cell r="H172" t="str">
            <v>Golden Harvest</v>
          </cell>
          <cell r="I172" t="str">
            <v>SC SYNGENTA</v>
          </cell>
          <cell r="J172" t="str">
            <v>PACKS</v>
          </cell>
          <cell r="K172">
            <v>1</v>
          </cell>
          <cell r="N172">
            <v>0.01</v>
          </cell>
          <cell r="P172" t="str">
            <v>NON SEEDS</v>
          </cell>
          <cell r="Q172" t="str">
            <v>ZZ</v>
          </cell>
          <cell r="R172" t="str">
            <v>US08</v>
          </cell>
          <cell r="S172">
            <v>425</v>
          </cell>
        </row>
        <row r="173">
          <cell r="A173">
            <v>1116412</v>
          </cell>
          <cell r="B173" t="str">
            <v>BAG  CO,BAG,14.5X4.5X34 GH AGGLYLIB CORN</v>
          </cell>
          <cell r="C173">
            <v>73918</v>
          </cell>
          <cell r="D173" t="str">
            <v>PC</v>
          </cell>
          <cell r="E173">
            <v>500</v>
          </cell>
          <cell r="G173">
            <v>1000</v>
          </cell>
          <cell r="H173" t="str">
            <v>Golden Harvest</v>
          </cell>
          <cell r="I173" t="str">
            <v>SC SYNGENTA</v>
          </cell>
          <cell r="J173" t="str">
            <v>PACKS</v>
          </cell>
          <cell r="K173">
            <v>1</v>
          </cell>
          <cell r="N173">
            <v>0.01</v>
          </cell>
          <cell r="P173" t="str">
            <v>NON SEEDS</v>
          </cell>
          <cell r="Q173" t="str">
            <v>ZZ</v>
          </cell>
          <cell r="R173" t="str">
            <v>US08</v>
          </cell>
          <cell r="S173">
            <v>500</v>
          </cell>
        </row>
        <row r="174">
          <cell r="A174">
            <v>1116413</v>
          </cell>
          <cell r="B174" t="str">
            <v>BAG  CO,BAG,14.5X5.5X34 GH AGGLYLIB CORN</v>
          </cell>
          <cell r="C174">
            <v>22511</v>
          </cell>
          <cell r="D174" t="str">
            <v>PC</v>
          </cell>
          <cell r="E174">
            <v>617</v>
          </cell>
          <cell r="G174">
            <v>1000</v>
          </cell>
          <cell r="H174" t="str">
            <v>Golden Harvest</v>
          </cell>
          <cell r="I174" t="str">
            <v>SC SYNGENTA</v>
          </cell>
          <cell r="J174" t="str">
            <v>PACKS</v>
          </cell>
          <cell r="K174">
            <v>1</v>
          </cell>
          <cell r="N174">
            <v>0.01</v>
          </cell>
          <cell r="P174" t="str">
            <v>NON SEEDS</v>
          </cell>
          <cell r="Q174" t="str">
            <v>ZZ</v>
          </cell>
          <cell r="R174" t="str">
            <v>US08</v>
          </cell>
          <cell r="S174">
            <v>617</v>
          </cell>
        </row>
        <row r="175">
          <cell r="A175">
            <v>1127319</v>
          </cell>
          <cell r="B175" t="str">
            <v>TAG CORN BULK BOX 3000GT REV 08/08</v>
          </cell>
          <cell r="C175">
            <v>10377</v>
          </cell>
          <cell r="D175" t="str">
            <v>PC</v>
          </cell>
          <cell r="E175">
            <v>0.01</v>
          </cell>
          <cell r="G175">
            <v>99999</v>
          </cell>
          <cell r="H175" t="str">
            <v>SC Syngenta</v>
          </cell>
          <cell r="I175" t="str">
            <v>SC SYNGENTA</v>
          </cell>
          <cell r="J175" t="str">
            <v>PACKS</v>
          </cell>
          <cell r="K175">
            <v>1</v>
          </cell>
          <cell r="N175">
            <v>0.01</v>
          </cell>
          <cell r="P175" t="str">
            <v>NON SEEDS</v>
          </cell>
          <cell r="Q175" t="str">
            <v>ZZ</v>
          </cell>
          <cell r="R175" t="str">
            <v>US08</v>
          </cell>
        </row>
        <row r="176">
          <cell r="A176">
            <v>1128188</v>
          </cell>
          <cell r="B176" t="str">
            <v>TAG CORN BULK BOX CB/LL REV 08/08</v>
          </cell>
          <cell r="C176">
            <v>8632</v>
          </cell>
          <cell r="D176" t="str">
            <v>PC</v>
          </cell>
          <cell r="E176">
            <v>0.01</v>
          </cell>
          <cell r="G176">
            <v>99999</v>
          </cell>
          <cell r="H176" t="str">
            <v>SC Syngenta</v>
          </cell>
          <cell r="I176" t="str">
            <v>SC SYNGENTA</v>
          </cell>
          <cell r="J176" t="str">
            <v>PACKS</v>
          </cell>
          <cell r="K176">
            <v>1</v>
          </cell>
          <cell r="N176">
            <v>0.01</v>
          </cell>
          <cell r="P176" t="str">
            <v>NON SEEDS</v>
          </cell>
          <cell r="Q176" t="str">
            <v>ZZ</v>
          </cell>
          <cell r="R176" t="str">
            <v>US08</v>
          </cell>
        </row>
        <row r="177">
          <cell r="A177">
            <v>1128189</v>
          </cell>
          <cell r="B177" t="str">
            <v>TAG CORN BULK BOX CB/LL/CL REV 08/08</v>
          </cell>
          <cell r="C177">
            <v>797</v>
          </cell>
          <cell r="D177" t="str">
            <v>PC</v>
          </cell>
          <cell r="E177">
            <v>0.01</v>
          </cell>
          <cell r="G177">
            <v>99999</v>
          </cell>
          <cell r="H177" t="str">
            <v>SC Syngenta</v>
          </cell>
          <cell r="I177" t="str">
            <v>SC SYNGENTA</v>
          </cell>
          <cell r="J177" t="str">
            <v>PACKS</v>
          </cell>
          <cell r="K177">
            <v>1</v>
          </cell>
          <cell r="N177">
            <v>0.01</v>
          </cell>
          <cell r="P177" t="str">
            <v>NON SEEDS</v>
          </cell>
          <cell r="Q177" t="str">
            <v>ZZ</v>
          </cell>
          <cell r="R177" t="str">
            <v>US08</v>
          </cell>
        </row>
        <row r="178">
          <cell r="A178">
            <v>1128191</v>
          </cell>
          <cell r="B178" t="str">
            <v>TAG CORN BULK BOX CB/LL/RW REV 08/08</v>
          </cell>
          <cell r="C178">
            <v>6103</v>
          </cell>
          <cell r="D178" t="str">
            <v>PC</v>
          </cell>
          <cell r="E178">
            <v>0.01</v>
          </cell>
          <cell r="G178">
            <v>99999</v>
          </cell>
          <cell r="H178" t="str">
            <v>SC Syngenta</v>
          </cell>
          <cell r="I178" t="str">
            <v>SC SYNGENTA</v>
          </cell>
          <cell r="J178" t="str">
            <v>PACKS</v>
          </cell>
          <cell r="K178">
            <v>1</v>
          </cell>
          <cell r="N178">
            <v>0.01</v>
          </cell>
          <cell r="P178" t="str">
            <v>NON SEEDS</v>
          </cell>
          <cell r="Q178" t="str">
            <v>ZZ</v>
          </cell>
          <cell r="R178" t="str">
            <v>US08</v>
          </cell>
        </row>
        <row r="179">
          <cell r="A179">
            <v>1128192</v>
          </cell>
          <cell r="B179" t="str">
            <v>TAG CORN BULK BOX CB/LL/RW/CL REV 08/08</v>
          </cell>
          <cell r="C179">
            <v>789</v>
          </cell>
          <cell r="D179" t="str">
            <v>PC</v>
          </cell>
          <cell r="E179">
            <v>0.01</v>
          </cell>
          <cell r="G179">
            <v>99999</v>
          </cell>
          <cell r="H179" t="str">
            <v>SC Syngenta</v>
          </cell>
          <cell r="I179" t="str">
            <v>SC SYNGENTA</v>
          </cell>
          <cell r="J179" t="str">
            <v>PACKS</v>
          </cell>
          <cell r="K179">
            <v>1</v>
          </cell>
          <cell r="N179">
            <v>0.01</v>
          </cell>
          <cell r="P179" t="str">
            <v>NON SEEDS</v>
          </cell>
          <cell r="Q179" t="str">
            <v>ZZ</v>
          </cell>
          <cell r="R179" t="str">
            <v>US08</v>
          </cell>
        </row>
        <row r="180">
          <cell r="A180">
            <v>1128193</v>
          </cell>
          <cell r="B180" t="str">
            <v>TAG CORN BULK BOX CL REV 08/08</v>
          </cell>
          <cell r="C180">
            <v>1843</v>
          </cell>
          <cell r="D180" t="str">
            <v>PC</v>
          </cell>
          <cell r="E180">
            <v>0.01</v>
          </cell>
          <cell r="G180">
            <v>99999</v>
          </cell>
          <cell r="H180" t="str">
            <v>SC Syngenta</v>
          </cell>
          <cell r="I180" t="str">
            <v>SC SYNGENTA</v>
          </cell>
          <cell r="J180" t="str">
            <v>PACKS</v>
          </cell>
          <cell r="K180">
            <v>1</v>
          </cell>
          <cell r="N180">
            <v>0.01</v>
          </cell>
          <cell r="P180" t="str">
            <v>NON SEEDS</v>
          </cell>
          <cell r="Q180" t="str">
            <v>ZZ</v>
          </cell>
          <cell r="R180" t="str">
            <v>US08</v>
          </cell>
        </row>
        <row r="181">
          <cell r="A181">
            <v>1128194</v>
          </cell>
          <cell r="B181" t="str">
            <v>TAG CORN BULK BOX CONVENTIONAL REV 08/08</v>
          </cell>
          <cell r="C181">
            <v>1622</v>
          </cell>
          <cell r="D181" t="str">
            <v>PC</v>
          </cell>
          <cell r="E181">
            <v>0.01</v>
          </cell>
          <cell r="G181">
            <v>99999</v>
          </cell>
          <cell r="H181" t="str">
            <v>SC Syngenta</v>
          </cell>
          <cell r="I181" t="str">
            <v>SC SYNGENTA</v>
          </cell>
          <cell r="J181" t="str">
            <v>PACKS</v>
          </cell>
          <cell r="K181">
            <v>1</v>
          </cell>
          <cell r="N181">
            <v>0.01</v>
          </cell>
          <cell r="P181" t="str">
            <v>NON SEEDS</v>
          </cell>
          <cell r="Q181" t="str">
            <v>ZZ</v>
          </cell>
          <cell r="R181" t="str">
            <v>US08</v>
          </cell>
        </row>
        <row r="182">
          <cell r="A182">
            <v>1128195</v>
          </cell>
          <cell r="B182" t="str">
            <v>TAG CORN BULK BOX CRW/RR2 REV 08/08</v>
          </cell>
          <cell r="C182">
            <v>800</v>
          </cell>
          <cell r="D182" t="str">
            <v>PC</v>
          </cell>
          <cell r="E182">
            <v>0.01</v>
          </cell>
          <cell r="G182">
            <v>99999</v>
          </cell>
          <cell r="H182" t="str">
            <v>SC Syngenta</v>
          </cell>
          <cell r="I182" t="str">
            <v>SC SYNGENTA</v>
          </cell>
          <cell r="J182" t="str">
            <v>PACKS</v>
          </cell>
          <cell r="K182">
            <v>1</v>
          </cell>
          <cell r="N182">
            <v>0.01</v>
          </cell>
          <cell r="P182" t="str">
            <v>NON SEEDS</v>
          </cell>
          <cell r="Q182" t="str">
            <v>ZZ</v>
          </cell>
          <cell r="R182" t="str">
            <v>US08</v>
          </cell>
        </row>
        <row r="183">
          <cell r="A183">
            <v>1128196</v>
          </cell>
          <cell r="B183" t="str">
            <v>TAG CORN BULK BOX GT REV 08/08</v>
          </cell>
          <cell r="C183">
            <v>4717</v>
          </cell>
          <cell r="D183" t="str">
            <v>PC</v>
          </cell>
          <cell r="E183">
            <v>0.01</v>
          </cell>
          <cell r="G183">
            <v>99999</v>
          </cell>
          <cell r="H183" t="str">
            <v>SC Syngenta</v>
          </cell>
          <cell r="I183" t="str">
            <v>SC SYNGENTA</v>
          </cell>
          <cell r="J183" t="str">
            <v>PACKS</v>
          </cell>
          <cell r="K183">
            <v>1</v>
          </cell>
          <cell r="N183">
            <v>0.01</v>
          </cell>
          <cell r="P183" t="str">
            <v>NON SEEDS</v>
          </cell>
          <cell r="Q183" t="str">
            <v>ZZ</v>
          </cell>
          <cell r="R183" t="str">
            <v>US08</v>
          </cell>
        </row>
        <row r="184">
          <cell r="A184">
            <v>1128197</v>
          </cell>
          <cell r="B184" t="str">
            <v>TAG CORN BULK BOX GT/CB/LL REV 08/08</v>
          </cell>
          <cell r="C184">
            <v>4760</v>
          </cell>
          <cell r="D184" t="str">
            <v>PC</v>
          </cell>
          <cell r="E184">
            <v>0.01</v>
          </cell>
          <cell r="G184">
            <v>99999</v>
          </cell>
          <cell r="H184" t="str">
            <v>SC Syngenta</v>
          </cell>
          <cell r="I184" t="str">
            <v>SC SYNGENTA</v>
          </cell>
          <cell r="J184" t="str">
            <v>PACKS</v>
          </cell>
          <cell r="K184">
            <v>1</v>
          </cell>
          <cell r="N184">
            <v>0.01</v>
          </cell>
          <cell r="P184" t="str">
            <v>NON SEEDS</v>
          </cell>
          <cell r="Q184" t="str">
            <v>ZZ</v>
          </cell>
          <cell r="R184" t="str">
            <v>US08</v>
          </cell>
        </row>
        <row r="185">
          <cell r="A185">
            <v>1128208</v>
          </cell>
          <cell r="B185" t="str">
            <v>TAG CORN BULK BOX GT/RW REV 08/08</v>
          </cell>
          <cell r="C185">
            <v>768</v>
          </cell>
          <cell r="D185" t="str">
            <v>PC</v>
          </cell>
          <cell r="E185">
            <v>0.01</v>
          </cell>
          <cell r="G185">
            <v>99999</v>
          </cell>
          <cell r="H185" t="str">
            <v>SC Syngenta</v>
          </cell>
          <cell r="I185" t="str">
            <v>SC SYNGENTA</v>
          </cell>
          <cell r="J185" t="str">
            <v>PACKS</v>
          </cell>
          <cell r="K185">
            <v>1</v>
          </cell>
          <cell r="N185">
            <v>0.01</v>
          </cell>
          <cell r="P185" t="str">
            <v>NON SEEDS</v>
          </cell>
          <cell r="Q185" t="str">
            <v>ZZ</v>
          </cell>
          <cell r="R185" t="str">
            <v>US08</v>
          </cell>
        </row>
        <row r="186">
          <cell r="A186">
            <v>1128209</v>
          </cell>
          <cell r="B186" t="str">
            <v>TAG CORN BULK BOX HX1/LL REV 08/08</v>
          </cell>
          <cell r="C186">
            <v>1803</v>
          </cell>
          <cell r="D186" t="str">
            <v>PC</v>
          </cell>
          <cell r="E186">
            <v>0.01</v>
          </cell>
          <cell r="G186">
            <v>99999</v>
          </cell>
          <cell r="H186" t="str">
            <v>SC Syngenta</v>
          </cell>
          <cell r="I186" t="str">
            <v>SC SYNGENTA</v>
          </cell>
          <cell r="J186" t="str">
            <v>PACKS</v>
          </cell>
          <cell r="K186">
            <v>1</v>
          </cell>
          <cell r="N186">
            <v>0.01</v>
          </cell>
          <cell r="P186" t="str">
            <v>NON SEEDS</v>
          </cell>
          <cell r="Q186" t="str">
            <v>ZZ</v>
          </cell>
          <cell r="R186" t="str">
            <v>US08</v>
          </cell>
        </row>
        <row r="187">
          <cell r="A187">
            <v>1128210</v>
          </cell>
          <cell r="B187" t="str">
            <v>TAG CORN BULK BOX HX1/LL/CL REV 08/08</v>
          </cell>
          <cell r="C187">
            <v>883</v>
          </cell>
          <cell r="D187" t="str">
            <v>PC</v>
          </cell>
          <cell r="E187">
            <v>0.01</v>
          </cell>
          <cell r="G187">
            <v>99999</v>
          </cell>
          <cell r="H187" t="str">
            <v>SC Syngenta</v>
          </cell>
          <cell r="I187" t="str">
            <v>SC SYNGENTA</v>
          </cell>
          <cell r="J187" t="str">
            <v>PACKS</v>
          </cell>
          <cell r="K187">
            <v>1</v>
          </cell>
          <cell r="N187">
            <v>0.01</v>
          </cell>
          <cell r="P187" t="str">
            <v>NON SEEDS</v>
          </cell>
          <cell r="Q187" t="str">
            <v>ZZ</v>
          </cell>
          <cell r="R187" t="str">
            <v>US08</v>
          </cell>
        </row>
        <row r="188">
          <cell r="A188">
            <v>1128211</v>
          </cell>
          <cell r="B188" t="str">
            <v>TAG CORN BULK BOX HX1/LL/RR2 REV 08/08</v>
          </cell>
          <cell r="C188">
            <v>800</v>
          </cell>
          <cell r="D188" t="str">
            <v>PC</v>
          </cell>
          <cell r="E188">
            <v>0.01</v>
          </cell>
          <cell r="G188">
            <v>99999</v>
          </cell>
          <cell r="H188" t="str">
            <v>SC Syngenta</v>
          </cell>
          <cell r="I188" t="str">
            <v>SC SYNGENTA</v>
          </cell>
          <cell r="J188" t="str">
            <v>PACKS</v>
          </cell>
          <cell r="K188">
            <v>1</v>
          </cell>
          <cell r="N188">
            <v>0.01</v>
          </cell>
          <cell r="P188" t="str">
            <v>NON SEEDS</v>
          </cell>
          <cell r="Q188" t="str">
            <v>ZZ</v>
          </cell>
          <cell r="R188" t="str">
            <v>US08</v>
          </cell>
        </row>
        <row r="189">
          <cell r="A189">
            <v>1128212</v>
          </cell>
          <cell r="B189" t="str">
            <v>TAG CORN BULK BOX LL REV 08/08</v>
          </cell>
          <cell r="C189">
            <v>695</v>
          </cell>
          <cell r="D189" t="str">
            <v>PC</v>
          </cell>
          <cell r="E189">
            <v>0.01</v>
          </cell>
          <cell r="G189">
            <v>99999</v>
          </cell>
          <cell r="H189" t="str">
            <v>SC Syngenta</v>
          </cell>
          <cell r="I189" t="str">
            <v>SC SYNGENTA</v>
          </cell>
          <cell r="J189" t="str">
            <v>PACKS</v>
          </cell>
          <cell r="K189">
            <v>1</v>
          </cell>
          <cell r="N189">
            <v>0.01</v>
          </cell>
          <cell r="P189" t="str">
            <v>NON SEEDS</v>
          </cell>
          <cell r="Q189" t="str">
            <v>ZZ</v>
          </cell>
          <cell r="R189" t="str">
            <v>US08</v>
          </cell>
        </row>
        <row r="190">
          <cell r="A190">
            <v>1128213</v>
          </cell>
          <cell r="B190" t="str">
            <v>TAG CORN BULK BOX RR2 REV 08/08</v>
          </cell>
          <cell r="C190">
            <v>675</v>
          </cell>
          <cell r="D190" t="str">
            <v>PC</v>
          </cell>
          <cell r="E190">
            <v>0.01</v>
          </cell>
          <cell r="G190">
            <v>99999</v>
          </cell>
          <cell r="H190" t="str">
            <v>SC Syngenta</v>
          </cell>
          <cell r="I190" t="str">
            <v>SC SYNGENTA</v>
          </cell>
          <cell r="J190" t="str">
            <v>PACKS</v>
          </cell>
          <cell r="K190">
            <v>1</v>
          </cell>
          <cell r="N190">
            <v>0.01</v>
          </cell>
          <cell r="P190" t="str">
            <v>NON SEEDS</v>
          </cell>
          <cell r="Q190" t="str">
            <v>ZZ</v>
          </cell>
          <cell r="R190" t="str">
            <v>US08</v>
          </cell>
        </row>
        <row r="191">
          <cell r="A191">
            <v>1128214</v>
          </cell>
          <cell r="B191" t="str">
            <v>TAG CORN BULK BOX RW REV 08/08</v>
          </cell>
          <cell r="C191">
            <v>800</v>
          </cell>
          <cell r="D191" t="str">
            <v>PC</v>
          </cell>
          <cell r="E191">
            <v>0.01</v>
          </cell>
          <cell r="G191">
            <v>99999</v>
          </cell>
          <cell r="H191" t="str">
            <v>SC Syngenta</v>
          </cell>
          <cell r="I191" t="str">
            <v>SC SYNGENTA</v>
          </cell>
          <cell r="J191" t="str">
            <v>PACKS</v>
          </cell>
          <cell r="K191">
            <v>1</v>
          </cell>
          <cell r="N191">
            <v>0.01</v>
          </cell>
          <cell r="P191" t="str">
            <v>NON SEEDS</v>
          </cell>
          <cell r="Q191" t="str">
            <v>ZZ</v>
          </cell>
          <cell r="R191" t="str">
            <v>US08</v>
          </cell>
        </row>
        <row r="192">
          <cell r="A192">
            <v>1128215</v>
          </cell>
          <cell r="B192" t="str">
            <v>TAG CORN BULK BOX YG1 REV 08/08</v>
          </cell>
          <cell r="C192">
            <v>970</v>
          </cell>
          <cell r="D192" t="str">
            <v>PC</v>
          </cell>
          <cell r="E192">
            <v>0.01</v>
          </cell>
          <cell r="G192">
            <v>99999</v>
          </cell>
          <cell r="H192" t="str">
            <v>SC Syngenta</v>
          </cell>
          <cell r="I192" t="str">
            <v>SC SYNGENTA</v>
          </cell>
          <cell r="J192" t="str">
            <v>PACKS</v>
          </cell>
          <cell r="K192">
            <v>1</v>
          </cell>
          <cell r="N192">
            <v>0.01</v>
          </cell>
          <cell r="P192" t="str">
            <v>NON SEEDS</v>
          </cell>
          <cell r="Q192" t="str">
            <v>ZZ</v>
          </cell>
          <cell r="R192" t="str">
            <v>US08</v>
          </cell>
        </row>
        <row r="193">
          <cell r="A193">
            <v>1128216</v>
          </cell>
          <cell r="B193" t="str">
            <v>TAG CORN BULK BOX YG1/RR2 REV 08/08</v>
          </cell>
          <cell r="C193">
            <v>1173</v>
          </cell>
          <cell r="D193" t="str">
            <v>PC</v>
          </cell>
          <cell r="E193">
            <v>0.01</v>
          </cell>
          <cell r="G193">
            <v>99999</v>
          </cell>
          <cell r="H193" t="str">
            <v>SC Syngenta</v>
          </cell>
          <cell r="I193" t="str">
            <v>SC SYNGENTA</v>
          </cell>
          <cell r="J193" t="str">
            <v>PACKS</v>
          </cell>
          <cell r="K193">
            <v>1</v>
          </cell>
          <cell r="N193">
            <v>0.01</v>
          </cell>
          <cell r="P193" t="str">
            <v>NON SEEDS</v>
          </cell>
          <cell r="Q193" t="str">
            <v>ZZ</v>
          </cell>
          <cell r="R193" t="str">
            <v>US08</v>
          </cell>
        </row>
        <row r="194">
          <cell r="A194">
            <v>1128217</v>
          </cell>
          <cell r="B194" t="str">
            <v>TAG CORN BULK BOX YPL REV 08/08</v>
          </cell>
          <cell r="C194">
            <v>795</v>
          </cell>
          <cell r="D194" t="str">
            <v>PC</v>
          </cell>
          <cell r="E194">
            <v>0.01</v>
          </cell>
          <cell r="G194">
            <v>99999</v>
          </cell>
          <cell r="H194" t="str">
            <v>SC Syngenta</v>
          </cell>
          <cell r="I194" t="str">
            <v>SC SYNGENTA</v>
          </cell>
          <cell r="J194" t="str">
            <v>PACKS</v>
          </cell>
          <cell r="K194">
            <v>1</v>
          </cell>
          <cell r="N194">
            <v>0.01</v>
          </cell>
          <cell r="P194" t="str">
            <v>NON SEEDS</v>
          </cell>
          <cell r="Q194" t="str">
            <v>ZZ</v>
          </cell>
          <cell r="R194" t="str">
            <v>US08</v>
          </cell>
        </row>
        <row r="195">
          <cell r="A195">
            <v>1128218</v>
          </cell>
          <cell r="B195" t="str">
            <v>TAG CORN BULK BOX YPL/RR2 REV 08/08</v>
          </cell>
          <cell r="C195">
            <v>4925</v>
          </cell>
          <cell r="D195" t="str">
            <v>PC</v>
          </cell>
          <cell r="E195">
            <v>0.01</v>
          </cell>
          <cell r="G195">
            <v>99999</v>
          </cell>
          <cell r="H195" t="str">
            <v>SC Syngenta</v>
          </cell>
          <cell r="I195" t="str">
            <v>SC SYNGENTA</v>
          </cell>
          <cell r="J195" t="str">
            <v>PACKS</v>
          </cell>
          <cell r="K195">
            <v>1</v>
          </cell>
          <cell r="N195">
            <v>0.01</v>
          </cell>
          <cell r="P195" t="str">
            <v>NON SEEDS</v>
          </cell>
          <cell r="Q195" t="str">
            <v>ZZ</v>
          </cell>
          <cell r="R195" t="str">
            <v>US08</v>
          </cell>
        </row>
        <row r="196">
          <cell r="A196">
            <v>1138005</v>
          </cell>
          <cell r="B196" t="str">
            <v>TAG CB/LL/RW-LOW GT 3.5 X 8 RED</v>
          </cell>
          <cell r="C196">
            <v>70472</v>
          </cell>
          <cell r="D196" t="str">
            <v>PC</v>
          </cell>
          <cell r="E196">
            <v>0.01</v>
          </cell>
          <cell r="G196">
            <v>99999</v>
          </cell>
          <cell r="H196" t="str">
            <v>SC Syngenta</v>
          </cell>
          <cell r="I196" t="str">
            <v>SC SYNGENTA</v>
          </cell>
          <cell r="J196" t="str">
            <v>PACKS</v>
          </cell>
          <cell r="K196">
            <v>1</v>
          </cell>
          <cell r="N196">
            <v>0.01</v>
          </cell>
          <cell r="P196" t="str">
            <v>NON SEEDS</v>
          </cell>
          <cell r="Q196" t="str">
            <v>ZZ</v>
          </cell>
          <cell r="R196" t="str">
            <v>US08</v>
          </cell>
        </row>
      </sheetData>
      <sheetData sheetId="3">
        <row r="2">
          <cell r="A2">
            <v>223060</v>
          </cell>
        </row>
      </sheetData>
      <sheetData sheetId="4"/>
      <sheetData sheetId="5"/>
      <sheetData sheetId="6">
        <row r="1">
          <cell r="A1" t="str">
            <v>Material</v>
          </cell>
          <cell r="B1" t="str">
            <v>Material Description</v>
          </cell>
          <cell r="C1" t="str">
            <v>Total stock</v>
          </cell>
          <cell r="D1" t="str">
            <v>BUn</v>
          </cell>
          <cell r="E1" t="str">
            <v>Standard Price</v>
          </cell>
          <cell r="F1" t="str">
            <v>Crcy</v>
          </cell>
          <cell r="G1" t="str">
            <v xml:space="preserve">    per</v>
          </cell>
          <cell r="H1" t="str">
            <v>Basic Material</v>
          </cell>
          <cell r="I1" t="str">
            <v>Ext. material grp</v>
          </cell>
          <cell r="J1" t="str">
            <v>Matl group</v>
          </cell>
          <cell r="K1" t="str">
            <v>Dv</v>
          </cell>
          <cell r="L1" t="str">
            <v>Fut.plnd price</v>
          </cell>
          <cell r="M1" t="str">
            <v>Crcy</v>
          </cell>
          <cell r="N1" t="str">
            <v>Standard price</v>
          </cell>
          <cell r="O1" t="str">
            <v>Crcy</v>
          </cell>
          <cell r="P1" t="str">
            <v>Product hierarchy</v>
          </cell>
          <cell r="Q1" t="str">
            <v>Product hierarchy</v>
          </cell>
          <cell r="R1" t="str">
            <v>ValA</v>
          </cell>
          <cell r="S1" t="str">
            <v xml:space="preserve">  Future price</v>
          </cell>
          <cell r="T1" t="str">
            <v>Crcy</v>
          </cell>
        </row>
        <row r="2">
          <cell r="A2">
            <v>2114</v>
          </cell>
          <cell r="B2" t="str">
            <v>CRBS NP1779            STANDARD KG</v>
          </cell>
          <cell r="C2">
            <v>0</v>
          </cell>
          <cell r="D2" t="str">
            <v>KG</v>
          </cell>
          <cell r="E2">
            <v>1671.31</v>
          </cell>
          <cell r="G2">
            <v>100</v>
          </cell>
          <cell r="H2" t="str">
            <v>SC Syngenta</v>
          </cell>
          <cell r="J2" t="str">
            <v>BA090</v>
          </cell>
          <cell r="K2">
            <v>1</v>
          </cell>
          <cell r="N2">
            <v>1674.32</v>
          </cell>
          <cell r="P2" t="str">
            <v>NP1779</v>
          </cell>
          <cell r="Q2" t="str">
            <v>01Z01ZZ01ZK</v>
          </cell>
          <cell r="R2" t="str">
            <v>CA01</v>
          </cell>
        </row>
        <row r="3">
          <cell r="A3">
            <v>2114</v>
          </cell>
          <cell r="B3" t="str">
            <v>CRBS NP1779            STANDARD KG</v>
          </cell>
          <cell r="C3">
            <v>0</v>
          </cell>
          <cell r="D3" t="str">
            <v>KG</v>
          </cell>
          <cell r="E3">
            <v>1671.31</v>
          </cell>
          <cell r="G3">
            <v>100</v>
          </cell>
          <cell r="H3" t="str">
            <v>SC Syngenta</v>
          </cell>
          <cell r="J3" t="str">
            <v>BA090</v>
          </cell>
          <cell r="K3">
            <v>1</v>
          </cell>
          <cell r="N3">
            <v>1674.32</v>
          </cell>
          <cell r="P3" t="str">
            <v>NP1779</v>
          </cell>
          <cell r="Q3" t="str">
            <v>01Z01ZZ01ZK</v>
          </cell>
          <cell r="R3" t="str">
            <v>CA01</v>
          </cell>
        </row>
        <row r="4">
          <cell r="A4">
            <v>2114</v>
          </cell>
          <cell r="B4" t="str">
            <v>CRBS NP1779            STANDARD KG</v>
          </cell>
          <cell r="C4">
            <v>0</v>
          </cell>
          <cell r="D4" t="str">
            <v>KG</v>
          </cell>
          <cell r="E4">
            <v>1671.31</v>
          </cell>
          <cell r="G4">
            <v>100</v>
          </cell>
          <cell r="H4" t="str">
            <v>SC Syngenta</v>
          </cell>
          <cell r="J4" t="str">
            <v>BA090</v>
          </cell>
          <cell r="K4">
            <v>1</v>
          </cell>
          <cell r="N4">
            <v>1674.32</v>
          </cell>
          <cell r="P4" t="str">
            <v>NP1779</v>
          </cell>
          <cell r="Q4" t="str">
            <v>01Z01ZZ01ZK</v>
          </cell>
          <cell r="R4" t="str">
            <v>CA01</v>
          </cell>
        </row>
        <row r="5">
          <cell r="A5">
            <v>2114</v>
          </cell>
          <cell r="B5" t="str">
            <v>CRBS NP1779            STANDARD KG</v>
          </cell>
          <cell r="C5">
            <v>0</v>
          </cell>
          <cell r="D5" t="str">
            <v>KG</v>
          </cell>
          <cell r="E5">
            <v>1671.31</v>
          </cell>
          <cell r="G5">
            <v>100</v>
          </cell>
          <cell r="H5" t="str">
            <v>SC Syngenta</v>
          </cell>
          <cell r="J5" t="str">
            <v>BA090</v>
          </cell>
          <cell r="K5">
            <v>1</v>
          </cell>
          <cell r="N5">
            <v>1674.32</v>
          </cell>
          <cell r="P5" t="str">
            <v>NP1779</v>
          </cell>
          <cell r="Q5" t="str">
            <v>01Z01ZZ01ZK</v>
          </cell>
          <cell r="R5" t="str">
            <v>CA01</v>
          </cell>
        </row>
        <row r="6">
          <cell r="A6">
            <v>2114</v>
          </cell>
          <cell r="B6" t="str">
            <v>CRBS NP1779            STANDARD KG</v>
          </cell>
          <cell r="C6">
            <v>0</v>
          </cell>
          <cell r="D6" t="str">
            <v>KG</v>
          </cell>
          <cell r="E6">
            <v>1671.31</v>
          </cell>
          <cell r="G6">
            <v>100</v>
          </cell>
          <cell r="H6" t="str">
            <v>SC Syngenta</v>
          </cell>
          <cell r="J6" t="str">
            <v>BA090</v>
          </cell>
          <cell r="K6">
            <v>1</v>
          </cell>
          <cell r="N6">
            <v>1674.32</v>
          </cell>
          <cell r="P6" t="str">
            <v>NP1779</v>
          </cell>
          <cell r="Q6" t="str">
            <v>01Z01ZZ01ZK</v>
          </cell>
          <cell r="R6" t="str">
            <v>CA01</v>
          </cell>
        </row>
        <row r="7">
          <cell r="A7">
            <v>2114</v>
          </cell>
          <cell r="B7" t="str">
            <v>CRBS NP1779            STANDARD KG</v>
          </cell>
          <cell r="C7">
            <v>0</v>
          </cell>
          <cell r="D7" t="str">
            <v>KG</v>
          </cell>
          <cell r="E7">
            <v>1671.31</v>
          </cell>
          <cell r="G7">
            <v>100</v>
          </cell>
          <cell r="H7" t="str">
            <v>SC Syngenta</v>
          </cell>
          <cell r="J7" t="str">
            <v>BA090</v>
          </cell>
          <cell r="K7">
            <v>1</v>
          </cell>
          <cell r="N7">
            <v>1674.32</v>
          </cell>
          <cell r="P7" t="str">
            <v>NP1779</v>
          </cell>
          <cell r="Q7" t="str">
            <v>01Z01ZZ01ZK</v>
          </cell>
          <cell r="R7" t="str">
            <v>CA01</v>
          </cell>
        </row>
        <row r="8">
          <cell r="A8">
            <v>2114</v>
          </cell>
          <cell r="B8" t="str">
            <v>CRBS NP1779            STANDARD KG</v>
          </cell>
          <cell r="C8">
            <v>0</v>
          </cell>
          <cell r="D8" t="str">
            <v>KG</v>
          </cell>
          <cell r="E8">
            <v>1671.31</v>
          </cell>
          <cell r="G8">
            <v>100</v>
          </cell>
          <cell r="H8" t="str">
            <v>SC Syngenta</v>
          </cell>
          <cell r="J8" t="str">
            <v>BA090</v>
          </cell>
          <cell r="K8">
            <v>1</v>
          </cell>
          <cell r="N8">
            <v>1674.32</v>
          </cell>
          <cell r="P8" t="str">
            <v>NP1779</v>
          </cell>
          <cell r="Q8" t="str">
            <v>01Z01ZZ01ZK</v>
          </cell>
          <cell r="R8" t="str">
            <v>CA01</v>
          </cell>
        </row>
        <row r="9">
          <cell r="A9">
            <v>2114</v>
          </cell>
          <cell r="B9" t="str">
            <v>CRBS NP1779            STANDARD KG</v>
          </cell>
          <cell r="C9">
            <v>0</v>
          </cell>
          <cell r="D9" t="str">
            <v>KG</v>
          </cell>
          <cell r="E9">
            <v>1671.31</v>
          </cell>
          <cell r="G9">
            <v>100</v>
          </cell>
          <cell r="H9" t="str">
            <v>SC Syngenta</v>
          </cell>
          <cell r="J9" t="str">
            <v>BA090</v>
          </cell>
          <cell r="K9">
            <v>1</v>
          </cell>
          <cell r="N9">
            <v>1674.32</v>
          </cell>
          <cell r="P9" t="str">
            <v>NP1779</v>
          </cell>
          <cell r="Q9" t="str">
            <v>01Z01ZZ01ZK</v>
          </cell>
          <cell r="R9" t="str">
            <v>CA01</v>
          </cell>
        </row>
        <row r="10">
          <cell r="A10">
            <v>2114</v>
          </cell>
          <cell r="B10" t="str">
            <v>CRBS NP1779            STANDARD KG</v>
          </cell>
          <cell r="C10">
            <v>0</v>
          </cell>
          <cell r="D10" t="str">
            <v>KG</v>
          </cell>
          <cell r="E10">
            <v>1671.31</v>
          </cell>
          <cell r="G10">
            <v>100</v>
          </cell>
          <cell r="H10" t="str">
            <v>SC Syngenta</v>
          </cell>
          <cell r="J10" t="str">
            <v>BA090</v>
          </cell>
          <cell r="K10">
            <v>1</v>
          </cell>
          <cell r="N10">
            <v>1674.32</v>
          </cell>
          <cell r="P10" t="str">
            <v>NP1779</v>
          </cell>
          <cell r="Q10" t="str">
            <v>01Z01ZZ01ZK</v>
          </cell>
          <cell r="R10" t="str">
            <v>CA01</v>
          </cell>
        </row>
        <row r="11">
          <cell r="A11">
            <v>2114</v>
          </cell>
          <cell r="B11" t="str">
            <v>CRBS NP1779            STANDARD KG</v>
          </cell>
          <cell r="C11">
            <v>0</v>
          </cell>
          <cell r="D11" t="str">
            <v>KG</v>
          </cell>
          <cell r="E11">
            <v>1671.31</v>
          </cell>
          <cell r="G11">
            <v>100</v>
          </cell>
          <cell r="H11" t="str">
            <v>SC Syngenta</v>
          </cell>
          <cell r="J11" t="str">
            <v>BA090</v>
          </cell>
          <cell r="K11">
            <v>1</v>
          </cell>
          <cell r="N11">
            <v>1674.32</v>
          </cell>
          <cell r="P11" t="str">
            <v>NP1779</v>
          </cell>
          <cell r="Q11" t="str">
            <v>01Z01ZZ01ZK</v>
          </cell>
          <cell r="R11" t="str">
            <v>CA01</v>
          </cell>
        </row>
        <row r="12">
          <cell r="A12">
            <v>2114</v>
          </cell>
          <cell r="B12" t="str">
            <v>CRBS NP1779            STANDARD KG</v>
          </cell>
          <cell r="C12">
            <v>0</v>
          </cell>
          <cell r="D12" t="str">
            <v>KG</v>
          </cell>
          <cell r="E12">
            <v>1671.31</v>
          </cell>
          <cell r="G12">
            <v>100</v>
          </cell>
          <cell r="H12" t="str">
            <v>SC Syngenta</v>
          </cell>
          <cell r="J12" t="str">
            <v>BA090</v>
          </cell>
          <cell r="K12">
            <v>1</v>
          </cell>
          <cell r="N12">
            <v>1674.32</v>
          </cell>
          <cell r="P12" t="str">
            <v>NP1779</v>
          </cell>
          <cell r="Q12" t="str">
            <v>01Z01ZZ01ZK</v>
          </cell>
          <cell r="R12" t="str">
            <v>CA01</v>
          </cell>
        </row>
        <row r="13">
          <cell r="A13">
            <v>2114</v>
          </cell>
          <cell r="B13" t="str">
            <v>CRBS NP1779            STANDARD KG</v>
          </cell>
          <cell r="C13">
            <v>0</v>
          </cell>
          <cell r="D13" t="str">
            <v>KG</v>
          </cell>
          <cell r="E13">
            <v>1671.31</v>
          </cell>
          <cell r="G13">
            <v>100</v>
          </cell>
          <cell r="H13" t="str">
            <v>SC Syngenta</v>
          </cell>
          <cell r="J13" t="str">
            <v>BA090</v>
          </cell>
          <cell r="K13">
            <v>1</v>
          </cell>
          <cell r="N13">
            <v>1674.32</v>
          </cell>
          <cell r="P13" t="str">
            <v>NP1779</v>
          </cell>
          <cell r="Q13" t="str">
            <v>01Z01ZZ01ZK</v>
          </cell>
          <cell r="R13" t="str">
            <v>CA01</v>
          </cell>
        </row>
        <row r="14">
          <cell r="A14">
            <v>2114</v>
          </cell>
          <cell r="B14" t="str">
            <v>CRBS NP1779            STANDARD KG</v>
          </cell>
          <cell r="C14">
            <v>0</v>
          </cell>
          <cell r="D14" t="str">
            <v>KG</v>
          </cell>
          <cell r="E14">
            <v>1671.31</v>
          </cell>
          <cell r="G14">
            <v>100</v>
          </cell>
          <cell r="H14" t="str">
            <v>SC Syngenta</v>
          </cell>
          <cell r="J14" t="str">
            <v>BA090</v>
          </cell>
          <cell r="K14">
            <v>1</v>
          </cell>
          <cell r="N14">
            <v>1674.32</v>
          </cell>
          <cell r="P14" t="str">
            <v>NP1779</v>
          </cell>
          <cell r="Q14" t="str">
            <v>01Z01ZZ01ZK</v>
          </cell>
          <cell r="R14" t="str">
            <v>CA01</v>
          </cell>
        </row>
        <row r="15">
          <cell r="A15">
            <v>2114</v>
          </cell>
          <cell r="B15" t="str">
            <v>CRBS NP1779            STANDARD KG</v>
          </cell>
          <cell r="C15">
            <v>0</v>
          </cell>
          <cell r="D15" t="str">
            <v>KG</v>
          </cell>
          <cell r="E15">
            <v>1671.31</v>
          </cell>
          <cell r="G15">
            <v>100</v>
          </cell>
          <cell r="H15" t="str">
            <v>SC Syngenta</v>
          </cell>
          <cell r="J15" t="str">
            <v>BA090</v>
          </cell>
          <cell r="K15">
            <v>1</v>
          </cell>
          <cell r="N15">
            <v>1674.32</v>
          </cell>
          <cell r="P15" t="str">
            <v>NP1779</v>
          </cell>
          <cell r="Q15" t="str">
            <v>01Z01ZZ01ZK</v>
          </cell>
          <cell r="R15" t="str">
            <v>CA01</v>
          </cell>
        </row>
        <row r="16">
          <cell r="A16">
            <v>2114</v>
          </cell>
          <cell r="B16" t="str">
            <v>CRBS NP1779            STANDARD KG</v>
          </cell>
          <cell r="C16">
            <v>0</v>
          </cell>
          <cell r="D16" t="str">
            <v>KG</v>
          </cell>
          <cell r="E16">
            <v>1671.31</v>
          </cell>
          <cell r="G16">
            <v>100</v>
          </cell>
          <cell r="H16" t="str">
            <v>SC Syngenta</v>
          </cell>
          <cell r="J16" t="str">
            <v>BA090</v>
          </cell>
          <cell r="K16">
            <v>1</v>
          </cell>
          <cell r="N16">
            <v>1674.32</v>
          </cell>
          <cell r="P16" t="str">
            <v>NP1779</v>
          </cell>
          <cell r="Q16" t="str">
            <v>01Z01ZZ01ZK</v>
          </cell>
          <cell r="R16" t="str">
            <v>CA01</v>
          </cell>
        </row>
        <row r="17">
          <cell r="A17">
            <v>2114</v>
          </cell>
          <cell r="B17" t="str">
            <v>CRBS NP1779            STANDARD KG</v>
          </cell>
          <cell r="C17">
            <v>0</v>
          </cell>
          <cell r="D17" t="str">
            <v>KG</v>
          </cell>
          <cell r="E17">
            <v>1671.31</v>
          </cell>
          <cell r="G17">
            <v>100</v>
          </cell>
          <cell r="H17" t="str">
            <v>SC Syngenta</v>
          </cell>
          <cell r="J17" t="str">
            <v>BA090</v>
          </cell>
          <cell r="K17">
            <v>1</v>
          </cell>
          <cell r="N17">
            <v>1674.32</v>
          </cell>
          <cell r="P17" t="str">
            <v>NP1779</v>
          </cell>
          <cell r="Q17" t="str">
            <v>01Z01ZZ01ZK</v>
          </cell>
          <cell r="R17" t="str">
            <v>CA01</v>
          </cell>
        </row>
        <row r="18">
          <cell r="A18">
            <v>2114</v>
          </cell>
          <cell r="B18" t="str">
            <v>CRBS NP1779            STANDARD KG</v>
          </cell>
          <cell r="C18">
            <v>0</v>
          </cell>
          <cell r="D18" t="str">
            <v>KG</v>
          </cell>
          <cell r="E18">
            <v>1671.31</v>
          </cell>
          <cell r="G18">
            <v>100</v>
          </cell>
          <cell r="H18" t="str">
            <v>SC Syngenta</v>
          </cell>
          <cell r="J18" t="str">
            <v>BA090</v>
          </cell>
          <cell r="K18">
            <v>1</v>
          </cell>
          <cell r="N18">
            <v>1674.32</v>
          </cell>
          <cell r="P18" t="str">
            <v>NP1779</v>
          </cell>
          <cell r="Q18" t="str">
            <v>01Z01ZZ01ZK</v>
          </cell>
          <cell r="R18" t="str">
            <v>CA01</v>
          </cell>
        </row>
        <row r="19">
          <cell r="A19">
            <v>2114</v>
          </cell>
          <cell r="B19" t="str">
            <v>CRBS NP1779            STANDARD KG</v>
          </cell>
          <cell r="C19">
            <v>0</v>
          </cell>
          <cell r="D19" t="str">
            <v>KG</v>
          </cell>
          <cell r="E19">
            <v>1671.31</v>
          </cell>
          <cell r="G19">
            <v>100</v>
          </cell>
          <cell r="H19" t="str">
            <v>SC Syngenta</v>
          </cell>
          <cell r="J19" t="str">
            <v>BA090</v>
          </cell>
          <cell r="K19">
            <v>1</v>
          </cell>
          <cell r="N19">
            <v>1674.32</v>
          </cell>
          <cell r="P19" t="str">
            <v>NP1779</v>
          </cell>
          <cell r="Q19" t="str">
            <v>01Z01ZZ01ZK</v>
          </cell>
          <cell r="R19" t="str">
            <v>CA01</v>
          </cell>
        </row>
        <row r="20">
          <cell r="A20">
            <v>2114</v>
          </cell>
          <cell r="B20" t="str">
            <v>CRBS NP1779            STANDARD KG</v>
          </cell>
          <cell r="C20">
            <v>0</v>
          </cell>
          <cell r="D20" t="str">
            <v>KG</v>
          </cell>
          <cell r="E20">
            <v>1671.31</v>
          </cell>
          <cell r="G20">
            <v>100</v>
          </cell>
          <cell r="H20" t="str">
            <v>SC Syngenta</v>
          </cell>
          <cell r="J20" t="str">
            <v>BA090</v>
          </cell>
          <cell r="K20">
            <v>1</v>
          </cell>
          <cell r="N20">
            <v>1674.32</v>
          </cell>
          <cell r="P20" t="str">
            <v>NP1779</v>
          </cell>
          <cell r="Q20" t="str">
            <v>01Z01ZZ01ZK</v>
          </cell>
          <cell r="R20" t="str">
            <v>CA01</v>
          </cell>
        </row>
        <row r="21">
          <cell r="A21">
            <v>2114</v>
          </cell>
          <cell r="B21" t="str">
            <v>CRBS NP1779            STANDARD KG</v>
          </cell>
          <cell r="C21">
            <v>0</v>
          </cell>
          <cell r="D21" t="str">
            <v>KG</v>
          </cell>
          <cell r="E21">
            <v>1671.31</v>
          </cell>
          <cell r="G21">
            <v>100</v>
          </cell>
          <cell r="H21" t="str">
            <v>SC Syngenta</v>
          </cell>
          <cell r="J21" t="str">
            <v>BA090</v>
          </cell>
          <cell r="K21">
            <v>1</v>
          </cell>
          <cell r="N21">
            <v>1674.32</v>
          </cell>
          <cell r="P21" t="str">
            <v>NP1779</v>
          </cell>
          <cell r="Q21" t="str">
            <v>01Z01ZZ01ZK</v>
          </cell>
          <cell r="R21" t="str">
            <v>CA01</v>
          </cell>
        </row>
        <row r="22">
          <cell r="A22">
            <v>2114</v>
          </cell>
          <cell r="B22" t="str">
            <v>CRBS NP1779            STANDARD KG</v>
          </cell>
          <cell r="C22">
            <v>0</v>
          </cell>
          <cell r="D22" t="str">
            <v>KG</v>
          </cell>
          <cell r="E22">
            <v>1671.31</v>
          </cell>
          <cell r="G22">
            <v>100</v>
          </cell>
          <cell r="H22" t="str">
            <v>SC Syngenta</v>
          </cell>
          <cell r="J22" t="str">
            <v>BA090</v>
          </cell>
          <cell r="K22">
            <v>1</v>
          </cell>
          <cell r="N22">
            <v>1674.32</v>
          </cell>
          <cell r="P22" t="str">
            <v>NP1779</v>
          </cell>
          <cell r="Q22" t="str">
            <v>01Z01ZZ01ZK</v>
          </cell>
          <cell r="R22" t="str">
            <v>CA01</v>
          </cell>
        </row>
        <row r="23">
          <cell r="A23">
            <v>2114</v>
          </cell>
          <cell r="B23" t="str">
            <v>CRBS NP1779            STANDARD KG</v>
          </cell>
          <cell r="C23">
            <v>0</v>
          </cell>
          <cell r="D23" t="str">
            <v>KG</v>
          </cell>
          <cell r="E23">
            <v>1671.31</v>
          </cell>
          <cell r="G23">
            <v>100</v>
          </cell>
          <cell r="H23" t="str">
            <v>SC Syngenta</v>
          </cell>
          <cell r="J23" t="str">
            <v>BA090</v>
          </cell>
          <cell r="K23">
            <v>1</v>
          </cell>
          <cell r="N23">
            <v>1674.32</v>
          </cell>
          <cell r="P23" t="str">
            <v>NP1779</v>
          </cell>
          <cell r="Q23" t="str">
            <v>01Z01ZZ01ZK</v>
          </cell>
          <cell r="R23" t="str">
            <v>CA01</v>
          </cell>
        </row>
        <row r="24">
          <cell r="A24">
            <v>2114</v>
          </cell>
          <cell r="B24" t="str">
            <v>CRBS NP1779            STANDARD KG</v>
          </cell>
          <cell r="C24">
            <v>0</v>
          </cell>
          <cell r="D24" t="str">
            <v>KG</v>
          </cell>
          <cell r="E24">
            <v>1671.31</v>
          </cell>
          <cell r="G24">
            <v>100</v>
          </cell>
          <cell r="H24" t="str">
            <v>SC Syngenta</v>
          </cell>
          <cell r="J24" t="str">
            <v>BA090</v>
          </cell>
          <cell r="K24">
            <v>1</v>
          </cell>
          <cell r="N24">
            <v>1674.32</v>
          </cell>
          <cell r="P24" t="str">
            <v>NP1779</v>
          </cell>
          <cell r="Q24" t="str">
            <v>01Z01ZZ01ZK</v>
          </cell>
          <cell r="R24" t="str">
            <v>CA01</v>
          </cell>
        </row>
        <row r="25">
          <cell r="A25">
            <v>2114</v>
          </cell>
          <cell r="B25" t="str">
            <v>CRBS NP1779            STANDARD KG</v>
          </cell>
          <cell r="C25">
            <v>0</v>
          </cell>
          <cell r="D25" t="str">
            <v>KG</v>
          </cell>
          <cell r="E25">
            <v>1671.31</v>
          </cell>
          <cell r="G25">
            <v>100</v>
          </cell>
          <cell r="H25" t="str">
            <v>SC Syngenta</v>
          </cell>
          <cell r="J25" t="str">
            <v>BA090</v>
          </cell>
          <cell r="K25">
            <v>1</v>
          </cell>
          <cell r="N25">
            <v>1674.32</v>
          </cell>
          <cell r="P25" t="str">
            <v>NP1779</v>
          </cell>
          <cell r="Q25" t="str">
            <v>01Z01ZZ01ZK</v>
          </cell>
          <cell r="R25" t="str">
            <v>CA01</v>
          </cell>
        </row>
        <row r="26">
          <cell r="A26">
            <v>2114</v>
          </cell>
          <cell r="B26" t="str">
            <v>CRBS NP1779            STANDARD KG</v>
          </cell>
          <cell r="C26">
            <v>0</v>
          </cell>
          <cell r="D26" t="str">
            <v>KG</v>
          </cell>
          <cell r="E26">
            <v>1671.31</v>
          </cell>
          <cell r="G26">
            <v>100</v>
          </cell>
          <cell r="H26" t="str">
            <v>SC Syngenta</v>
          </cell>
          <cell r="J26" t="str">
            <v>BA090</v>
          </cell>
          <cell r="K26">
            <v>1</v>
          </cell>
          <cell r="N26">
            <v>1674.32</v>
          </cell>
          <cell r="P26" t="str">
            <v>NP1779</v>
          </cell>
          <cell r="Q26" t="str">
            <v>01Z01ZZ01ZK</v>
          </cell>
          <cell r="R26" t="str">
            <v>CA01</v>
          </cell>
        </row>
        <row r="27">
          <cell r="A27">
            <v>2114</v>
          </cell>
          <cell r="B27" t="str">
            <v>CRBS NP1779            STANDARD KG</v>
          </cell>
          <cell r="C27">
            <v>0</v>
          </cell>
          <cell r="D27" t="str">
            <v>KG</v>
          </cell>
          <cell r="E27">
            <v>1671.31</v>
          </cell>
          <cell r="G27">
            <v>100</v>
          </cell>
          <cell r="H27" t="str">
            <v>SC Syngenta</v>
          </cell>
          <cell r="J27" t="str">
            <v>BA090</v>
          </cell>
          <cell r="K27">
            <v>1</v>
          </cell>
          <cell r="N27">
            <v>1674.32</v>
          </cell>
          <cell r="P27" t="str">
            <v>NP1779</v>
          </cell>
          <cell r="Q27" t="str">
            <v>01Z01ZZ01ZK</v>
          </cell>
          <cell r="R27" t="str">
            <v>CA01</v>
          </cell>
        </row>
        <row r="28">
          <cell r="A28">
            <v>2114</v>
          </cell>
          <cell r="B28" t="str">
            <v>CRBS NP1779            STANDARD KG</v>
          </cell>
          <cell r="C28">
            <v>0</v>
          </cell>
          <cell r="D28" t="str">
            <v>KG</v>
          </cell>
          <cell r="E28">
            <v>1671.31</v>
          </cell>
          <cell r="G28">
            <v>100</v>
          </cell>
          <cell r="H28" t="str">
            <v>SC Syngenta</v>
          </cell>
          <cell r="J28" t="str">
            <v>BA090</v>
          </cell>
          <cell r="K28">
            <v>1</v>
          </cell>
          <cell r="N28">
            <v>1674.32</v>
          </cell>
          <cell r="P28" t="str">
            <v>NP1779</v>
          </cell>
          <cell r="Q28" t="str">
            <v>01Z01ZZ01ZK</v>
          </cell>
          <cell r="R28" t="str">
            <v>CA01</v>
          </cell>
        </row>
        <row r="29">
          <cell r="A29">
            <v>2114</v>
          </cell>
          <cell r="B29" t="str">
            <v>CRBS NP1779 STANDARD KG</v>
          </cell>
          <cell r="C29">
            <v>0</v>
          </cell>
          <cell r="D29" t="str">
            <v>KG</v>
          </cell>
          <cell r="E29">
            <v>1671.31</v>
          </cell>
          <cell r="G29">
            <v>100</v>
          </cell>
          <cell r="H29" t="str">
            <v>SC Syngenta</v>
          </cell>
          <cell r="J29" t="str">
            <v>BA090</v>
          </cell>
          <cell r="K29">
            <v>1</v>
          </cell>
          <cell r="N29">
            <v>1674.32</v>
          </cell>
          <cell r="P29" t="str">
            <v>NP1779</v>
          </cell>
          <cell r="Q29" t="str">
            <v>01Z01ZZ01ZK</v>
          </cell>
          <cell r="R29" t="str">
            <v>CA01</v>
          </cell>
        </row>
        <row r="30">
          <cell r="A30">
            <v>2114</v>
          </cell>
          <cell r="B30" t="str">
            <v>CRBS NP1779 STANDARD KG</v>
          </cell>
          <cell r="C30">
            <v>0</v>
          </cell>
          <cell r="D30" t="str">
            <v>KG</v>
          </cell>
          <cell r="E30">
            <v>1671.31</v>
          </cell>
          <cell r="G30">
            <v>100</v>
          </cell>
          <cell r="H30" t="str">
            <v>SC Syngenta</v>
          </cell>
          <cell r="J30" t="str">
            <v>BA090</v>
          </cell>
          <cell r="K30">
            <v>1</v>
          </cell>
          <cell r="N30">
            <v>1674.32</v>
          </cell>
          <cell r="P30" t="str">
            <v>NP1779</v>
          </cell>
          <cell r="Q30" t="str">
            <v>01Z01ZZ01ZK</v>
          </cell>
          <cell r="R30" t="str">
            <v>CA01</v>
          </cell>
        </row>
        <row r="31">
          <cell r="A31">
            <v>2114</v>
          </cell>
          <cell r="B31" t="str">
            <v>CRBS NP1779 STANDARD KG</v>
          </cell>
          <cell r="C31">
            <v>0</v>
          </cell>
          <cell r="D31" t="str">
            <v>KG</v>
          </cell>
          <cell r="E31">
            <v>1671.31</v>
          </cell>
          <cell r="G31">
            <v>100</v>
          </cell>
          <cell r="H31" t="str">
            <v>SC Syngenta</v>
          </cell>
          <cell r="J31" t="str">
            <v>BA090</v>
          </cell>
          <cell r="K31">
            <v>1</v>
          </cell>
          <cell r="N31">
            <v>1674.32</v>
          </cell>
          <cell r="P31" t="str">
            <v>NP1779</v>
          </cell>
          <cell r="Q31" t="str">
            <v>01Z01ZZ01ZK</v>
          </cell>
          <cell r="R31" t="str">
            <v>CA01</v>
          </cell>
        </row>
        <row r="32">
          <cell r="A32">
            <v>2114</v>
          </cell>
          <cell r="B32" t="str">
            <v>CRBS NP1779 STANDARD KG</v>
          </cell>
          <cell r="C32">
            <v>0</v>
          </cell>
          <cell r="D32" t="str">
            <v>KG</v>
          </cell>
          <cell r="E32">
            <v>1671.31</v>
          </cell>
          <cell r="G32">
            <v>100</v>
          </cell>
          <cell r="H32" t="str">
            <v>SC Syngenta</v>
          </cell>
          <cell r="J32" t="str">
            <v>BA090</v>
          </cell>
          <cell r="K32">
            <v>1</v>
          </cell>
          <cell r="N32">
            <v>1674.32</v>
          </cell>
          <cell r="P32" t="str">
            <v>NP1779</v>
          </cell>
          <cell r="Q32" t="str">
            <v>01Z01ZZ01ZK</v>
          </cell>
          <cell r="R32" t="str">
            <v>CA01</v>
          </cell>
        </row>
        <row r="33">
          <cell r="A33">
            <v>2114</v>
          </cell>
          <cell r="B33" t="str">
            <v>CRBS NP1779 STANDARD KG</v>
          </cell>
          <cell r="C33">
            <v>0</v>
          </cell>
          <cell r="D33" t="str">
            <v>KG</v>
          </cell>
          <cell r="E33">
            <v>1671.31</v>
          </cell>
          <cell r="G33">
            <v>100</v>
          </cell>
          <cell r="H33" t="str">
            <v>SC Syngenta</v>
          </cell>
          <cell r="J33" t="str">
            <v>BA090</v>
          </cell>
          <cell r="K33">
            <v>1</v>
          </cell>
          <cell r="N33">
            <v>1674.32</v>
          </cell>
          <cell r="P33" t="str">
            <v>NP1779</v>
          </cell>
          <cell r="Q33" t="str">
            <v>01Z01ZZ01ZK</v>
          </cell>
          <cell r="R33" t="str">
            <v>CA01</v>
          </cell>
        </row>
        <row r="34">
          <cell r="A34">
            <v>2114</v>
          </cell>
          <cell r="B34" t="str">
            <v>CRBS NP1779 STANDARD KG</v>
          </cell>
          <cell r="C34">
            <v>0</v>
          </cell>
          <cell r="D34" t="str">
            <v>KG</v>
          </cell>
          <cell r="E34">
            <v>1671.31</v>
          </cell>
          <cell r="G34">
            <v>100</v>
          </cell>
          <cell r="H34" t="str">
            <v>SC Syngenta</v>
          </cell>
          <cell r="J34" t="str">
            <v>BA090</v>
          </cell>
          <cell r="K34">
            <v>1</v>
          </cell>
          <cell r="N34">
            <v>1674.32</v>
          </cell>
          <cell r="P34" t="str">
            <v>NP1779</v>
          </cell>
          <cell r="Q34" t="str">
            <v>01Z01ZZ01ZK</v>
          </cell>
          <cell r="R34" t="str">
            <v>CA01</v>
          </cell>
        </row>
        <row r="35">
          <cell r="A35">
            <v>2114</v>
          </cell>
          <cell r="B35" t="str">
            <v>CRBS NP1779 STANDARD KG</v>
          </cell>
          <cell r="C35">
            <v>0</v>
          </cell>
          <cell r="D35" t="str">
            <v>KG</v>
          </cell>
          <cell r="E35">
            <v>1671.31</v>
          </cell>
          <cell r="G35">
            <v>100</v>
          </cell>
          <cell r="H35" t="str">
            <v>SC Syngenta</v>
          </cell>
          <cell r="J35" t="str">
            <v>BA090</v>
          </cell>
          <cell r="K35">
            <v>1</v>
          </cell>
          <cell r="N35">
            <v>1674.32</v>
          </cell>
          <cell r="P35" t="str">
            <v>NP1779</v>
          </cell>
          <cell r="Q35" t="str">
            <v>01Z01ZZ01ZK</v>
          </cell>
          <cell r="R35" t="str">
            <v>CA01</v>
          </cell>
        </row>
        <row r="36">
          <cell r="A36">
            <v>2114</v>
          </cell>
          <cell r="B36" t="str">
            <v>CRBS NP1779 STANDARD KG</v>
          </cell>
          <cell r="C36">
            <v>0</v>
          </cell>
          <cell r="D36" t="str">
            <v>KG</v>
          </cell>
          <cell r="E36">
            <v>1671.31</v>
          </cell>
          <cell r="G36">
            <v>100</v>
          </cell>
          <cell r="H36" t="str">
            <v>SC Syngenta</v>
          </cell>
          <cell r="J36" t="str">
            <v>BA090</v>
          </cell>
          <cell r="K36">
            <v>1</v>
          </cell>
          <cell r="N36">
            <v>1674.32</v>
          </cell>
          <cell r="P36" t="str">
            <v>NP1779</v>
          </cell>
          <cell r="Q36" t="str">
            <v>01Z01ZZ01ZK</v>
          </cell>
          <cell r="R36" t="str">
            <v>CA01</v>
          </cell>
        </row>
        <row r="37">
          <cell r="A37">
            <v>2114</v>
          </cell>
          <cell r="B37" t="str">
            <v>CRBS NP1779 STANDARD KG</v>
          </cell>
          <cell r="C37">
            <v>0</v>
          </cell>
          <cell r="D37" t="str">
            <v>KG</v>
          </cell>
          <cell r="E37">
            <v>1671.31</v>
          </cell>
          <cell r="G37">
            <v>100</v>
          </cell>
          <cell r="H37" t="str">
            <v>SC Syngenta</v>
          </cell>
          <cell r="J37" t="str">
            <v>BA090</v>
          </cell>
          <cell r="K37">
            <v>1</v>
          </cell>
          <cell r="N37">
            <v>1674.32</v>
          </cell>
          <cell r="P37" t="str">
            <v>NP1779</v>
          </cell>
          <cell r="Q37" t="str">
            <v>01Z01ZZ01ZK</v>
          </cell>
          <cell r="R37" t="str">
            <v>CA01</v>
          </cell>
        </row>
        <row r="38">
          <cell r="A38">
            <v>2114</v>
          </cell>
          <cell r="B38" t="str">
            <v>CRBS NP1779            STANDARD KG</v>
          </cell>
          <cell r="C38">
            <v>0</v>
          </cell>
          <cell r="D38" t="str">
            <v>KG</v>
          </cell>
          <cell r="E38">
            <v>1671.31</v>
          </cell>
          <cell r="G38">
            <v>100</v>
          </cell>
          <cell r="H38" t="str">
            <v>SC Syngenta</v>
          </cell>
          <cell r="J38" t="str">
            <v>BA090</v>
          </cell>
          <cell r="K38">
            <v>1</v>
          </cell>
          <cell r="N38">
            <v>1674.32</v>
          </cell>
          <cell r="P38" t="str">
            <v>NP1779</v>
          </cell>
          <cell r="Q38" t="str">
            <v>01Z01ZZ01ZK</v>
          </cell>
          <cell r="R38" t="str">
            <v>CA01</v>
          </cell>
        </row>
        <row r="39">
          <cell r="A39">
            <v>2114</v>
          </cell>
          <cell r="B39" t="str">
            <v>CRBS NP1779            STANDARD KG</v>
          </cell>
          <cell r="C39">
            <v>0</v>
          </cell>
          <cell r="D39" t="str">
            <v>KG</v>
          </cell>
          <cell r="E39">
            <v>1671.31</v>
          </cell>
          <cell r="G39">
            <v>100</v>
          </cell>
          <cell r="H39" t="str">
            <v>SC Syngenta</v>
          </cell>
          <cell r="J39" t="str">
            <v>BA090</v>
          </cell>
          <cell r="K39">
            <v>1</v>
          </cell>
          <cell r="N39">
            <v>1674.32</v>
          </cell>
          <cell r="P39" t="str">
            <v>NP1779</v>
          </cell>
          <cell r="Q39" t="str">
            <v>01Z01ZZ01ZK</v>
          </cell>
          <cell r="R39" t="str">
            <v>CA01</v>
          </cell>
        </row>
        <row r="40">
          <cell r="A40">
            <v>2114</v>
          </cell>
          <cell r="B40" t="str">
            <v>CRBS NP1779            STANDARD KG</v>
          </cell>
          <cell r="C40">
            <v>0</v>
          </cell>
          <cell r="D40" t="str">
            <v>KG</v>
          </cell>
          <cell r="E40">
            <v>1671.31</v>
          </cell>
          <cell r="G40">
            <v>100</v>
          </cell>
          <cell r="H40" t="str">
            <v>SC Syngenta</v>
          </cell>
          <cell r="J40" t="str">
            <v>BA090</v>
          </cell>
          <cell r="K40">
            <v>1</v>
          </cell>
          <cell r="N40">
            <v>1674.32</v>
          </cell>
          <cell r="P40" t="str">
            <v>NP1779</v>
          </cell>
          <cell r="Q40" t="str">
            <v>01Z01ZZ01ZK</v>
          </cell>
          <cell r="R40" t="str">
            <v>CA01</v>
          </cell>
        </row>
        <row r="41">
          <cell r="A41">
            <v>2114</v>
          </cell>
          <cell r="B41" t="str">
            <v>CRBS NP1779            STANDARD KG</v>
          </cell>
          <cell r="C41">
            <v>0</v>
          </cell>
          <cell r="D41" t="str">
            <v>KG</v>
          </cell>
          <cell r="E41">
            <v>1671.31</v>
          </cell>
          <cell r="G41">
            <v>100</v>
          </cell>
          <cell r="H41" t="str">
            <v>SC Syngenta</v>
          </cell>
          <cell r="J41" t="str">
            <v>BA090</v>
          </cell>
          <cell r="K41">
            <v>1</v>
          </cell>
          <cell r="N41">
            <v>1674.32</v>
          </cell>
          <cell r="P41" t="str">
            <v>NP1779</v>
          </cell>
          <cell r="Q41" t="str">
            <v>01Z01ZZ01ZK</v>
          </cell>
          <cell r="R41" t="str">
            <v>CA01</v>
          </cell>
        </row>
        <row r="42">
          <cell r="A42">
            <v>2114</v>
          </cell>
          <cell r="B42" t="str">
            <v>CRBS NP1779            STANDARD KG</v>
          </cell>
          <cell r="C42">
            <v>0</v>
          </cell>
          <cell r="D42" t="str">
            <v>KG</v>
          </cell>
          <cell r="E42">
            <v>1671.31</v>
          </cell>
          <cell r="G42">
            <v>100</v>
          </cell>
          <cell r="H42" t="str">
            <v>SC Syngenta</v>
          </cell>
          <cell r="J42" t="str">
            <v>BA090</v>
          </cell>
          <cell r="K42">
            <v>1</v>
          </cell>
          <cell r="N42">
            <v>1674.32</v>
          </cell>
          <cell r="P42" t="str">
            <v>NP1779</v>
          </cell>
          <cell r="Q42" t="str">
            <v>01Z01ZZ01ZK</v>
          </cell>
          <cell r="R42" t="str">
            <v>CA01</v>
          </cell>
        </row>
        <row r="43">
          <cell r="A43">
            <v>2114</v>
          </cell>
          <cell r="B43" t="str">
            <v>CRBS NP1779            STANDARD KG</v>
          </cell>
          <cell r="C43">
            <v>0</v>
          </cell>
          <cell r="D43" t="str">
            <v>KG</v>
          </cell>
          <cell r="E43">
            <v>1671.31</v>
          </cell>
          <cell r="G43">
            <v>100</v>
          </cell>
          <cell r="H43" t="str">
            <v>SC Syngenta</v>
          </cell>
          <cell r="J43" t="str">
            <v>BA090</v>
          </cell>
          <cell r="K43">
            <v>1</v>
          </cell>
          <cell r="N43">
            <v>1674.32</v>
          </cell>
          <cell r="P43" t="str">
            <v>NP1779</v>
          </cell>
          <cell r="Q43" t="str">
            <v>01Z01ZZ01ZK</v>
          </cell>
          <cell r="R43" t="str">
            <v>CA01</v>
          </cell>
        </row>
        <row r="44">
          <cell r="A44">
            <v>2114</v>
          </cell>
          <cell r="B44" t="str">
            <v>CRBS NP1779            STANDARD KG</v>
          </cell>
          <cell r="C44">
            <v>0</v>
          </cell>
          <cell r="D44" t="str">
            <v>KG</v>
          </cell>
          <cell r="E44">
            <v>1671.31</v>
          </cell>
          <cell r="G44">
            <v>100</v>
          </cell>
          <cell r="H44" t="str">
            <v>SC Syngenta</v>
          </cell>
          <cell r="J44" t="str">
            <v>BA090</v>
          </cell>
          <cell r="K44">
            <v>1</v>
          </cell>
          <cell r="N44">
            <v>1674.32</v>
          </cell>
          <cell r="P44" t="str">
            <v>NP1779</v>
          </cell>
          <cell r="Q44" t="str">
            <v>01Z01ZZ01ZK</v>
          </cell>
          <cell r="R44" t="str">
            <v>CA01</v>
          </cell>
        </row>
        <row r="45">
          <cell r="A45">
            <v>2114</v>
          </cell>
          <cell r="B45" t="str">
            <v>CRBS NP1779            STANDARD KG</v>
          </cell>
          <cell r="C45">
            <v>0</v>
          </cell>
          <cell r="D45" t="str">
            <v>KG</v>
          </cell>
          <cell r="E45">
            <v>1671.31</v>
          </cell>
          <cell r="G45">
            <v>100</v>
          </cell>
          <cell r="H45" t="str">
            <v>SC Syngenta</v>
          </cell>
          <cell r="J45" t="str">
            <v>BA090</v>
          </cell>
          <cell r="K45">
            <v>1</v>
          </cell>
          <cell r="N45">
            <v>1674.32</v>
          </cell>
          <cell r="P45" t="str">
            <v>NP1779</v>
          </cell>
          <cell r="Q45" t="str">
            <v>01Z01ZZ01ZK</v>
          </cell>
          <cell r="R45" t="str">
            <v>CA01</v>
          </cell>
        </row>
        <row r="46">
          <cell r="A46">
            <v>2114</v>
          </cell>
          <cell r="B46" t="str">
            <v>CRBS NP1779            STANDARD KG</v>
          </cell>
          <cell r="C46">
            <v>0</v>
          </cell>
          <cell r="D46" t="str">
            <v>KG</v>
          </cell>
          <cell r="E46">
            <v>1671.31</v>
          </cell>
          <cell r="G46">
            <v>100</v>
          </cell>
          <cell r="H46" t="str">
            <v>SC Syngenta</v>
          </cell>
          <cell r="J46" t="str">
            <v>BA090</v>
          </cell>
          <cell r="K46">
            <v>1</v>
          </cell>
          <cell r="N46">
            <v>1674.32</v>
          </cell>
          <cell r="P46" t="str">
            <v>NP1779</v>
          </cell>
          <cell r="Q46" t="str">
            <v>01Z01ZZ01ZK</v>
          </cell>
          <cell r="R46" t="str">
            <v>CA01</v>
          </cell>
        </row>
        <row r="47">
          <cell r="A47">
            <v>2114</v>
          </cell>
          <cell r="B47" t="str">
            <v>CRBS NP1779            STANDARD KG</v>
          </cell>
          <cell r="C47">
            <v>0</v>
          </cell>
          <cell r="D47" t="str">
            <v>KG</v>
          </cell>
          <cell r="E47">
            <v>1671.31</v>
          </cell>
          <cell r="G47">
            <v>100</v>
          </cell>
          <cell r="H47" t="str">
            <v>SC Syngenta</v>
          </cell>
          <cell r="J47" t="str">
            <v>BA090</v>
          </cell>
          <cell r="K47">
            <v>1</v>
          </cell>
          <cell r="N47">
            <v>1674.32</v>
          </cell>
          <cell r="P47" t="str">
            <v>NP1779</v>
          </cell>
          <cell r="Q47" t="str">
            <v>01Z01ZZ01ZK</v>
          </cell>
          <cell r="R47" t="str">
            <v>CA01</v>
          </cell>
        </row>
        <row r="48">
          <cell r="A48">
            <v>2114</v>
          </cell>
          <cell r="B48" t="str">
            <v>CRBS NP1779            STANDARD KG</v>
          </cell>
          <cell r="C48">
            <v>0</v>
          </cell>
          <cell r="D48" t="str">
            <v>KG</v>
          </cell>
          <cell r="E48">
            <v>1671.31</v>
          </cell>
          <cell r="G48">
            <v>100</v>
          </cell>
          <cell r="H48" t="str">
            <v>SC Syngenta</v>
          </cell>
          <cell r="J48" t="str">
            <v>BA090</v>
          </cell>
          <cell r="K48">
            <v>1</v>
          </cell>
          <cell r="N48">
            <v>1674.32</v>
          </cell>
          <cell r="P48" t="str">
            <v>NP1779</v>
          </cell>
          <cell r="Q48" t="str">
            <v>01Z01ZZ01ZK</v>
          </cell>
          <cell r="R48" t="str">
            <v>CA01</v>
          </cell>
        </row>
        <row r="49">
          <cell r="A49">
            <v>2114</v>
          </cell>
          <cell r="B49" t="str">
            <v>CRBS NP1779            STANDARD KG</v>
          </cell>
          <cell r="C49">
            <v>0</v>
          </cell>
          <cell r="D49" t="str">
            <v>KG</v>
          </cell>
          <cell r="E49">
            <v>1671.31</v>
          </cell>
          <cell r="G49">
            <v>100</v>
          </cell>
          <cell r="H49" t="str">
            <v>SC Syngenta</v>
          </cell>
          <cell r="J49" t="str">
            <v>BA090</v>
          </cell>
          <cell r="K49">
            <v>1</v>
          </cell>
          <cell r="N49">
            <v>1674.32</v>
          </cell>
          <cell r="P49" t="str">
            <v>NP1779</v>
          </cell>
          <cell r="Q49" t="str">
            <v>01Z01ZZ01ZK</v>
          </cell>
          <cell r="R49" t="str">
            <v>CA01</v>
          </cell>
        </row>
        <row r="50">
          <cell r="A50">
            <v>2114</v>
          </cell>
          <cell r="B50" t="str">
            <v>CRBS NP1779            STANDARD KG</v>
          </cell>
          <cell r="C50">
            <v>0</v>
          </cell>
          <cell r="D50" t="str">
            <v>KG</v>
          </cell>
          <cell r="E50">
            <v>1671.31</v>
          </cell>
          <cell r="G50">
            <v>100</v>
          </cell>
          <cell r="H50" t="str">
            <v>SC Syngenta</v>
          </cell>
          <cell r="J50" t="str">
            <v>BA090</v>
          </cell>
          <cell r="K50">
            <v>1</v>
          </cell>
          <cell r="N50">
            <v>1674.32</v>
          </cell>
          <cell r="P50" t="str">
            <v>NP1779</v>
          </cell>
          <cell r="Q50" t="str">
            <v>01Z01ZZ01ZK</v>
          </cell>
          <cell r="R50" t="str">
            <v>CA01</v>
          </cell>
        </row>
        <row r="51">
          <cell r="A51">
            <v>2114</v>
          </cell>
          <cell r="B51" t="str">
            <v>CRBS NP1779            STANDARD KG</v>
          </cell>
          <cell r="C51">
            <v>0</v>
          </cell>
          <cell r="D51" t="str">
            <v>KG</v>
          </cell>
          <cell r="E51">
            <v>1671.31</v>
          </cell>
          <cell r="G51">
            <v>100</v>
          </cell>
          <cell r="H51" t="str">
            <v>SC Syngenta</v>
          </cell>
          <cell r="J51" t="str">
            <v>BA090</v>
          </cell>
          <cell r="K51">
            <v>1</v>
          </cell>
          <cell r="N51">
            <v>1674.32</v>
          </cell>
          <cell r="P51" t="str">
            <v>NP1779</v>
          </cell>
          <cell r="Q51" t="str">
            <v>01Z01ZZ01ZK</v>
          </cell>
          <cell r="R51" t="str">
            <v>CA01</v>
          </cell>
        </row>
        <row r="52">
          <cell r="A52">
            <v>2114</v>
          </cell>
          <cell r="B52" t="str">
            <v>CRBS NP1779            STANDARD KG</v>
          </cell>
          <cell r="C52">
            <v>0</v>
          </cell>
          <cell r="D52" t="str">
            <v>KG</v>
          </cell>
          <cell r="E52">
            <v>1671.31</v>
          </cell>
          <cell r="G52">
            <v>100</v>
          </cell>
          <cell r="H52" t="str">
            <v>SC Syngenta</v>
          </cell>
          <cell r="J52" t="str">
            <v>BA090</v>
          </cell>
          <cell r="K52">
            <v>1</v>
          </cell>
          <cell r="N52">
            <v>1674.32</v>
          </cell>
          <cell r="P52" t="str">
            <v>NP1779</v>
          </cell>
          <cell r="Q52" t="str">
            <v>01Z01ZZ01ZK</v>
          </cell>
          <cell r="R52" t="str">
            <v>CA01</v>
          </cell>
        </row>
        <row r="53">
          <cell r="A53">
            <v>2114</v>
          </cell>
          <cell r="B53" t="str">
            <v>CRBS NP1779            STANDARD KG</v>
          </cell>
          <cell r="C53">
            <v>0</v>
          </cell>
          <cell r="D53" t="str">
            <v>KG</v>
          </cell>
          <cell r="E53">
            <v>1671.31</v>
          </cell>
          <cell r="G53">
            <v>100</v>
          </cell>
          <cell r="H53" t="str">
            <v>SC Syngenta</v>
          </cell>
          <cell r="J53" t="str">
            <v>BA090</v>
          </cell>
          <cell r="K53">
            <v>1</v>
          </cell>
          <cell r="N53">
            <v>1674.32</v>
          </cell>
          <cell r="P53" t="str">
            <v>NP1779</v>
          </cell>
          <cell r="Q53" t="str">
            <v>01Z01ZZ01ZK</v>
          </cell>
          <cell r="R53" t="str">
            <v>CA01</v>
          </cell>
        </row>
        <row r="54">
          <cell r="A54">
            <v>2114</v>
          </cell>
          <cell r="B54" t="str">
            <v>CRBS NP1779            STANDARD KG</v>
          </cell>
          <cell r="C54">
            <v>0</v>
          </cell>
          <cell r="D54" t="str">
            <v>KG</v>
          </cell>
          <cell r="E54">
            <v>1671.31</v>
          </cell>
          <cell r="G54">
            <v>100</v>
          </cell>
          <cell r="H54" t="str">
            <v>SC Syngenta</v>
          </cell>
          <cell r="J54" t="str">
            <v>BA090</v>
          </cell>
          <cell r="K54">
            <v>1</v>
          </cell>
          <cell r="N54">
            <v>1674.32</v>
          </cell>
          <cell r="P54" t="str">
            <v>NP1779</v>
          </cell>
          <cell r="Q54" t="str">
            <v>01Z01ZZ01ZK</v>
          </cell>
          <cell r="R54" t="str">
            <v>CA01</v>
          </cell>
        </row>
        <row r="55">
          <cell r="A55">
            <v>2114</v>
          </cell>
          <cell r="B55" t="str">
            <v>CRBS NP1779            STANDARD KG</v>
          </cell>
          <cell r="C55">
            <v>0</v>
          </cell>
          <cell r="D55" t="str">
            <v>KG</v>
          </cell>
          <cell r="E55">
            <v>1671.31</v>
          </cell>
          <cell r="G55">
            <v>100</v>
          </cell>
          <cell r="H55" t="str">
            <v>SC Syngenta</v>
          </cell>
          <cell r="J55" t="str">
            <v>BA090</v>
          </cell>
          <cell r="K55">
            <v>1</v>
          </cell>
          <cell r="N55">
            <v>1674.32</v>
          </cell>
          <cell r="P55" t="str">
            <v>NP1779</v>
          </cell>
          <cell r="Q55" t="str">
            <v>01Z01ZZ01ZK</v>
          </cell>
          <cell r="R55" t="str">
            <v>CA01</v>
          </cell>
        </row>
        <row r="56">
          <cell r="A56">
            <v>2139</v>
          </cell>
          <cell r="B56" t="str">
            <v>Áàòüê.ôîðìà êóêóðóäçè NP2241</v>
          </cell>
          <cell r="C56">
            <v>75</v>
          </cell>
          <cell r="D56" t="str">
            <v>KG</v>
          </cell>
          <cell r="E56">
            <v>0.01</v>
          </cell>
          <cell r="G56">
            <v>100</v>
          </cell>
          <cell r="H56" t="str">
            <v>SC Syngenta</v>
          </cell>
          <cell r="J56" t="str">
            <v>BA090</v>
          </cell>
          <cell r="K56">
            <v>1</v>
          </cell>
          <cell r="P56" t="str">
            <v>NP2241</v>
          </cell>
          <cell r="Q56" t="str">
            <v>01Z01ZZ01BQ</v>
          </cell>
          <cell r="R56" t="str">
            <v>CA01</v>
          </cell>
          <cell r="S56">
            <v>0.01</v>
          </cell>
        </row>
        <row r="57">
          <cell r="A57">
            <v>2139</v>
          </cell>
          <cell r="B57" t="str">
            <v>Áàòüê.ôîðìà êóêóðóäçè NP2241</v>
          </cell>
          <cell r="C57">
            <v>75</v>
          </cell>
          <cell r="D57" t="str">
            <v>KG</v>
          </cell>
          <cell r="E57">
            <v>0.01</v>
          </cell>
          <cell r="G57">
            <v>100</v>
          </cell>
          <cell r="H57" t="str">
            <v>SC Syngenta</v>
          </cell>
          <cell r="J57" t="str">
            <v>BA090</v>
          </cell>
          <cell r="K57">
            <v>1</v>
          </cell>
          <cell r="P57" t="str">
            <v>NP2241</v>
          </cell>
          <cell r="Q57" t="str">
            <v>01Z01ZZ01BQ</v>
          </cell>
          <cell r="R57" t="str">
            <v>CA01</v>
          </cell>
          <cell r="S57">
            <v>0.01</v>
          </cell>
        </row>
        <row r="58">
          <cell r="A58">
            <v>2139</v>
          </cell>
          <cell r="B58" t="str">
            <v>Áàòüê.ôîðìà êóêóðóäçè NP2241</v>
          </cell>
          <cell r="C58">
            <v>75</v>
          </cell>
          <cell r="D58" t="str">
            <v>KG</v>
          </cell>
          <cell r="E58">
            <v>0.01</v>
          </cell>
          <cell r="G58">
            <v>100</v>
          </cell>
          <cell r="H58" t="str">
            <v>SC Syngenta</v>
          </cell>
          <cell r="J58" t="str">
            <v>BA090</v>
          </cell>
          <cell r="K58">
            <v>1</v>
          </cell>
          <cell r="P58" t="str">
            <v>NP2241</v>
          </cell>
          <cell r="Q58" t="str">
            <v>01Z01ZZ01BQ</v>
          </cell>
          <cell r="R58" t="str">
            <v>CA01</v>
          </cell>
          <cell r="S58">
            <v>0.01</v>
          </cell>
        </row>
        <row r="59">
          <cell r="A59">
            <v>2139</v>
          </cell>
          <cell r="B59" t="str">
            <v>Áàòüê.ôîðìà êóêóðóäçè NP2241</v>
          </cell>
          <cell r="C59">
            <v>75</v>
          </cell>
          <cell r="D59" t="str">
            <v>KG</v>
          </cell>
          <cell r="E59">
            <v>0.01</v>
          </cell>
          <cell r="G59">
            <v>100</v>
          </cell>
          <cell r="H59" t="str">
            <v>SC Syngenta</v>
          </cell>
          <cell r="J59" t="str">
            <v>BA090</v>
          </cell>
          <cell r="K59">
            <v>1</v>
          </cell>
          <cell r="P59" t="str">
            <v>NP2241</v>
          </cell>
          <cell r="Q59" t="str">
            <v>01Z01ZZ01BQ</v>
          </cell>
          <cell r="R59" t="str">
            <v>CA01</v>
          </cell>
          <cell r="S59">
            <v>0.01</v>
          </cell>
        </row>
        <row r="60">
          <cell r="A60">
            <v>2139</v>
          </cell>
          <cell r="B60" t="str">
            <v>Áàòüê.ôîðìà êóêóðóäçè NP2241</v>
          </cell>
          <cell r="C60">
            <v>75</v>
          </cell>
          <cell r="D60" t="str">
            <v>KG</v>
          </cell>
          <cell r="E60">
            <v>0.01</v>
          </cell>
          <cell r="G60">
            <v>100</v>
          </cell>
          <cell r="H60" t="str">
            <v>SC Syngenta</v>
          </cell>
          <cell r="J60" t="str">
            <v>BA090</v>
          </cell>
          <cell r="K60">
            <v>1</v>
          </cell>
          <cell r="P60" t="str">
            <v>NP2241</v>
          </cell>
          <cell r="Q60" t="str">
            <v>01Z01ZZ01BQ</v>
          </cell>
          <cell r="R60" t="str">
            <v>CA01</v>
          </cell>
          <cell r="S60">
            <v>0.01</v>
          </cell>
        </row>
        <row r="61">
          <cell r="A61">
            <v>2139</v>
          </cell>
          <cell r="B61" t="str">
            <v>Áàòüê.ôîðìà êóêóðóäçè NP2241</v>
          </cell>
          <cell r="C61">
            <v>75</v>
          </cell>
          <cell r="D61" t="str">
            <v>KG</v>
          </cell>
          <cell r="E61">
            <v>0.01</v>
          </cell>
          <cell r="G61">
            <v>100</v>
          </cell>
          <cell r="H61" t="str">
            <v>SC Syngenta</v>
          </cell>
          <cell r="J61" t="str">
            <v>BA090</v>
          </cell>
          <cell r="K61">
            <v>1</v>
          </cell>
          <cell r="P61" t="str">
            <v>NP2241</v>
          </cell>
          <cell r="Q61" t="str">
            <v>01Z01ZZ01BQ</v>
          </cell>
          <cell r="R61" t="str">
            <v>CA01</v>
          </cell>
          <cell r="S61">
            <v>0.01</v>
          </cell>
        </row>
        <row r="62">
          <cell r="A62">
            <v>2139</v>
          </cell>
          <cell r="B62" t="str">
            <v>Áàòüê.ôîðìà êóêóðóäçè NP2241</v>
          </cell>
          <cell r="C62">
            <v>75</v>
          </cell>
          <cell r="D62" t="str">
            <v>KG</v>
          </cell>
          <cell r="E62">
            <v>0.01</v>
          </cell>
          <cell r="G62">
            <v>100</v>
          </cell>
          <cell r="H62" t="str">
            <v>SC Syngenta</v>
          </cell>
          <cell r="J62" t="str">
            <v>BA090</v>
          </cell>
          <cell r="K62">
            <v>1</v>
          </cell>
          <cell r="P62" t="str">
            <v>NP2241</v>
          </cell>
          <cell r="Q62" t="str">
            <v>01Z01ZZ01BQ</v>
          </cell>
          <cell r="R62" t="str">
            <v>CA01</v>
          </cell>
          <cell r="S62">
            <v>0.01</v>
          </cell>
        </row>
        <row r="63">
          <cell r="A63">
            <v>2139</v>
          </cell>
          <cell r="B63" t="str">
            <v>Áàòüê.ôîðìà êóêóðóäçè NP2241</v>
          </cell>
          <cell r="C63">
            <v>75</v>
          </cell>
          <cell r="D63" t="str">
            <v>KG</v>
          </cell>
          <cell r="E63">
            <v>0.01</v>
          </cell>
          <cell r="G63">
            <v>100</v>
          </cell>
          <cell r="H63" t="str">
            <v>SC Syngenta</v>
          </cell>
          <cell r="J63" t="str">
            <v>BA090</v>
          </cell>
          <cell r="K63">
            <v>1</v>
          </cell>
          <cell r="P63" t="str">
            <v>NP2241</v>
          </cell>
          <cell r="Q63" t="str">
            <v>01Z01ZZ01BQ</v>
          </cell>
          <cell r="R63" t="str">
            <v>CA01</v>
          </cell>
          <cell r="S63">
            <v>0.01</v>
          </cell>
        </row>
        <row r="64">
          <cell r="A64">
            <v>2139</v>
          </cell>
          <cell r="B64" t="str">
            <v>Áàòüê.ôîðìà êóêóðóäçè NP2241</v>
          </cell>
          <cell r="C64">
            <v>75</v>
          </cell>
          <cell r="D64" t="str">
            <v>KG</v>
          </cell>
          <cell r="E64">
            <v>0.01</v>
          </cell>
          <cell r="G64">
            <v>100</v>
          </cell>
          <cell r="H64" t="str">
            <v>SC Syngenta</v>
          </cell>
          <cell r="J64" t="str">
            <v>BA090</v>
          </cell>
          <cell r="K64">
            <v>1</v>
          </cell>
          <cell r="P64" t="str">
            <v>NP2241</v>
          </cell>
          <cell r="Q64" t="str">
            <v>01Z01ZZ01BQ</v>
          </cell>
          <cell r="R64" t="str">
            <v>CA01</v>
          </cell>
          <cell r="S64">
            <v>0.01</v>
          </cell>
        </row>
        <row r="65">
          <cell r="A65">
            <v>2139</v>
          </cell>
          <cell r="B65" t="str">
            <v>Áàòüê.ôîðìà êóêóðóäçè NP2241</v>
          </cell>
          <cell r="C65">
            <v>75</v>
          </cell>
          <cell r="D65" t="str">
            <v>KG</v>
          </cell>
          <cell r="E65">
            <v>0.01</v>
          </cell>
          <cell r="G65">
            <v>100</v>
          </cell>
          <cell r="H65" t="str">
            <v>SC Syngenta</v>
          </cell>
          <cell r="J65" t="str">
            <v>BA090</v>
          </cell>
          <cell r="K65">
            <v>1</v>
          </cell>
          <cell r="P65" t="str">
            <v>NP2241</v>
          </cell>
          <cell r="Q65" t="str">
            <v>01Z01ZZ01BQ</v>
          </cell>
          <cell r="R65" t="str">
            <v>CA01</v>
          </cell>
          <cell r="S65">
            <v>0.01</v>
          </cell>
        </row>
        <row r="66">
          <cell r="A66">
            <v>2139</v>
          </cell>
          <cell r="B66" t="str">
            <v>Áàòüê.ôîðìà êóêóðóäçè NP2241</v>
          </cell>
          <cell r="C66">
            <v>75</v>
          </cell>
          <cell r="D66" t="str">
            <v>KG</v>
          </cell>
          <cell r="E66">
            <v>0.01</v>
          </cell>
          <cell r="G66">
            <v>100</v>
          </cell>
          <cell r="H66" t="str">
            <v>SC Syngenta</v>
          </cell>
          <cell r="J66" t="str">
            <v>BA090</v>
          </cell>
          <cell r="K66">
            <v>1</v>
          </cell>
          <cell r="P66" t="str">
            <v>NP2241</v>
          </cell>
          <cell r="Q66" t="str">
            <v>01Z01ZZ01BQ</v>
          </cell>
          <cell r="R66" t="str">
            <v>CA01</v>
          </cell>
          <cell r="S66">
            <v>0.01</v>
          </cell>
        </row>
        <row r="67">
          <cell r="A67">
            <v>2139</v>
          </cell>
          <cell r="B67" t="str">
            <v>Áàòüê.ôîðìà êóêóðóäçè NP2241</v>
          </cell>
          <cell r="C67">
            <v>75</v>
          </cell>
          <cell r="D67" t="str">
            <v>KG</v>
          </cell>
          <cell r="E67">
            <v>0.01</v>
          </cell>
          <cell r="G67">
            <v>100</v>
          </cell>
          <cell r="H67" t="str">
            <v>SC Syngenta</v>
          </cell>
          <cell r="J67" t="str">
            <v>BA090</v>
          </cell>
          <cell r="K67">
            <v>1</v>
          </cell>
          <cell r="P67" t="str">
            <v>NP2241</v>
          </cell>
          <cell r="Q67" t="str">
            <v>01Z01ZZ01BQ</v>
          </cell>
          <cell r="R67" t="str">
            <v>CA01</v>
          </cell>
          <cell r="S67">
            <v>0.01</v>
          </cell>
        </row>
        <row r="68">
          <cell r="A68">
            <v>2139</v>
          </cell>
          <cell r="B68" t="str">
            <v>CRBS NP2241 STANDARD KG</v>
          </cell>
          <cell r="C68">
            <v>75</v>
          </cell>
          <cell r="D68" t="str">
            <v>KG</v>
          </cell>
          <cell r="E68">
            <v>0.01</v>
          </cell>
          <cell r="G68">
            <v>100</v>
          </cell>
          <cell r="H68" t="str">
            <v>SC Syngenta</v>
          </cell>
          <cell r="J68" t="str">
            <v>BA090</v>
          </cell>
          <cell r="K68">
            <v>1</v>
          </cell>
          <cell r="P68" t="str">
            <v>NP2241</v>
          </cell>
          <cell r="Q68" t="str">
            <v>01Z01ZZ01BQ</v>
          </cell>
          <cell r="R68" t="str">
            <v>CA01</v>
          </cell>
          <cell r="S68">
            <v>0.01</v>
          </cell>
        </row>
        <row r="69">
          <cell r="A69">
            <v>2139</v>
          </cell>
          <cell r="B69" t="str">
            <v>CRBS NP2241 STANDARD KG</v>
          </cell>
          <cell r="C69">
            <v>75</v>
          </cell>
          <cell r="D69" t="str">
            <v>KG</v>
          </cell>
          <cell r="E69">
            <v>0.01</v>
          </cell>
          <cell r="G69">
            <v>100</v>
          </cell>
          <cell r="H69" t="str">
            <v>SC Syngenta</v>
          </cell>
          <cell r="J69" t="str">
            <v>BA090</v>
          </cell>
          <cell r="K69">
            <v>1</v>
          </cell>
          <cell r="P69" t="str">
            <v>NP2241</v>
          </cell>
          <cell r="Q69" t="str">
            <v>01Z01ZZ01BQ</v>
          </cell>
          <cell r="R69" t="str">
            <v>CA01</v>
          </cell>
          <cell r="S69">
            <v>0.01</v>
          </cell>
        </row>
        <row r="70">
          <cell r="A70">
            <v>2139</v>
          </cell>
          <cell r="B70" t="str">
            <v>CRBS NP2241 STANDARD KG</v>
          </cell>
          <cell r="C70">
            <v>75</v>
          </cell>
          <cell r="D70" t="str">
            <v>KG</v>
          </cell>
          <cell r="E70">
            <v>0.01</v>
          </cell>
          <cell r="G70">
            <v>100</v>
          </cell>
          <cell r="H70" t="str">
            <v>SC Syngenta</v>
          </cell>
          <cell r="J70" t="str">
            <v>BA090</v>
          </cell>
          <cell r="K70">
            <v>1</v>
          </cell>
          <cell r="P70" t="str">
            <v>NP2241</v>
          </cell>
          <cell r="Q70" t="str">
            <v>01Z01ZZ01BQ</v>
          </cell>
          <cell r="R70" t="str">
            <v>CA01</v>
          </cell>
          <cell r="S70">
            <v>0.01</v>
          </cell>
        </row>
        <row r="71">
          <cell r="A71">
            <v>2139</v>
          </cell>
          <cell r="B71" t="str">
            <v>CRBS NP2241 STANDARD KG</v>
          </cell>
          <cell r="C71">
            <v>75</v>
          </cell>
          <cell r="D71" t="str">
            <v>KG</v>
          </cell>
          <cell r="E71">
            <v>0.01</v>
          </cell>
          <cell r="G71">
            <v>100</v>
          </cell>
          <cell r="H71" t="str">
            <v>SC Syngenta</v>
          </cell>
          <cell r="J71" t="str">
            <v>BA090</v>
          </cell>
          <cell r="K71">
            <v>1</v>
          </cell>
          <cell r="P71" t="str">
            <v>NP2241</v>
          </cell>
          <cell r="Q71" t="str">
            <v>01Z01ZZ01BQ</v>
          </cell>
          <cell r="R71" t="str">
            <v>CA01</v>
          </cell>
          <cell r="S71">
            <v>0.01</v>
          </cell>
        </row>
        <row r="72">
          <cell r="A72">
            <v>2139</v>
          </cell>
          <cell r="B72" t="str">
            <v>CRBS NP2241 STANDARD KG</v>
          </cell>
          <cell r="C72">
            <v>75</v>
          </cell>
          <cell r="D72" t="str">
            <v>KG</v>
          </cell>
          <cell r="E72">
            <v>0.01</v>
          </cell>
          <cell r="G72">
            <v>100</v>
          </cell>
          <cell r="H72" t="str">
            <v>SC Syngenta</v>
          </cell>
          <cell r="J72" t="str">
            <v>BA090</v>
          </cell>
          <cell r="K72">
            <v>1</v>
          </cell>
          <cell r="P72" t="str">
            <v>NP2241</v>
          </cell>
          <cell r="Q72" t="str">
            <v>01Z01ZZ01BQ</v>
          </cell>
          <cell r="R72" t="str">
            <v>CA01</v>
          </cell>
          <cell r="S72">
            <v>0.01</v>
          </cell>
        </row>
        <row r="73">
          <cell r="A73">
            <v>2139</v>
          </cell>
          <cell r="B73" t="str">
            <v>CRBS NP2241 STANDARD KG</v>
          </cell>
          <cell r="C73">
            <v>75</v>
          </cell>
          <cell r="D73" t="str">
            <v>KG</v>
          </cell>
          <cell r="E73">
            <v>0.01</v>
          </cell>
          <cell r="G73">
            <v>100</v>
          </cell>
          <cell r="H73" t="str">
            <v>SC Syngenta</v>
          </cell>
          <cell r="J73" t="str">
            <v>BA090</v>
          </cell>
          <cell r="K73">
            <v>1</v>
          </cell>
          <cell r="P73" t="str">
            <v>NP2241</v>
          </cell>
          <cell r="Q73" t="str">
            <v>01Z01ZZ01BQ</v>
          </cell>
          <cell r="R73" t="str">
            <v>CA01</v>
          </cell>
          <cell r="S73">
            <v>0.01</v>
          </cell>
        </row>
        <row r="74">
          <cell r="A74">
            <v>2139</v>
          </cell>
          <cell r="B74" t="str">
            <v>CRBS NP2241 STANDARD KG</v>
          </cell>
          <cell r="C74">
            <v>75</v>
          </cell>
          <cell r="D74" t="str">
            <v>KG</v>
          </cell>
          <cell r="E74">
            <v>0.01</v>
          </cell>
          <cell r="G74">
            <v>100</v>
          </cell>
          <cell r="H74" t="str">
            <v>SC Syngenta</v>
          </cell>
          <cell r="J74" t="str">
            <v>BA090</v>
          </cell>
          <cell r="K74">
            <v>1</v>
          </cell>
          <cell r="P74" t="str">
            <v>NP2241</v>
          </cell>
          <cell r="Q74" t="str">
            <v>01Z01ZZ01BQ</v>
          </cell>
          <cell r="R74" t="str">
            <v>CA01</v>
          </cell>
          <cell r="S74">
            <v>0.01</v>
          </cell>
        </row>
        <row r="75">
          <cell r="A75">
            <v>2139</v>
          </cell>
          <cell r="B75" t="str">
            <v>CRBS NP2241 STANDARD KG</v>
          </cell>
          <cell r="C75">
            <v>75</v>
          </cell>
          <cell r="D75" t="str">
            <v>KG</v>
          </cell>
          <cell r="E75">
            <v>0.01</v>
          </cell>
          <cell r="G75">
            <v>100</v>
          </cell>
          <cell r="H75" t="str">
            <v>SC Syngenta</v>
          </cell>
          <cell r="J75" t="str">
            <v>BA090</v>
          </cell>
          <cell r="K75">
            <v>1</v>
          </cell>
          <cell r="P75" t="str">
            <v>NP2241</v>
          </cell>
          <cell r="Q75" t="str">
            <v>01Z01ZZ01BQ</v>
          </cell>
          <cell r="R75" t="str">
            <v>CA01</v>
          </cell>
          <cell r="S75">
            <v>0.01</v>
          </cell>
        </row>
        <row r="76">
          <cell r="A76">
            <v>2139</v>
          </cell>
          <cell r="B76" t="str">
            <v>CRBS NP2241 STANDARD KG</v>
          </cell>
          <cell r="C76">
            <v>75</v>
          </cell>
          <cell r="D76" t="str">
            <v>KG</v>
          </cell>
          <cell r="E76">
            <v>0.01</v>
          </cell>
          <cell r="G76">
            <v>100</v>
          </cell>
          <cell r="H76" t="str">
            <v>SC Syngenta</v>
          </cell>
          <cell r="J76" t="str">
            <v>BA090</v>
          </cell>
          <cell r="K76">
            <v>1</v>
          </cell>
          <cell r="P76" t="str">
            <v>NP2241</v>
          </cell>
          <cell r="Q76" t="str">
            <v>01Z01ZZ01BQ</v>
          </cell>
          <cell r="R76" t="str">
            <v>CA01</v>
          </cell>
          <cell r="S76">
            <v>0.01</v>
          </cell>
        </row>
        <row r="77">
          <cell r="A77">
            <v>2139</v>
          </cell>
          <cell r="B77" t="str">
            <v>CRBS NP2241 STANDARD KG</v>
          </cell>
          <cell r="C77">
            <v>75</v>
          </cell>
          <cell r="D77" t="str">
            <v>KG</v>
          </cell>
          <cell r="E77">
            <v>0.01</v>
          </cell>
          <cell r="G77">
            <v>100</v>
          </cell>
          <cell r="H77" t="str">
            <v>SC Syngenta</v>
          </cell>
          <cell r="J77" t="str">
            <v>BA090</v>
          </cell>
          <cell r="K77">
            <v>1</v>
          </cell>
          <cell r="P77" t="str">
            <v>NP2241</v>
          </cell>
          <cell r="Q77" t="str">
            <v>01Z01ZZ01BQ</v>
          </cell>
          <cell r="R77" t="str">
            <v>CA01</v>
          </cell>
          <cell r="S77">
            <v>0.01</v>
          </cell>
        </row>
        <row r="78">
          <cell r="A78">
            <v>2139</v>
          </cell>
          <cell r="B78" t="str">
            <v>CRBS NP2241 STANDARD KG</v>
          </cell>
          <cell r="C78">
            <v>75</v>
          </cell>
          <cell r="D78" t="str">
            <v>KG</v>
          </cell>
          <cell r="E78">
            <v>0.01</v>
          </cell>
          <cell r="G78">
            <v>100</v>
          </cell>
          <cell r="H78" t="str">
            <v>SC Syngenta</v>
          </cell>
          <cell r="J78" t="str">
            <v>BA090</v>
          </cell>
          <cell r="K78">
            <v>1</v>
          </cell>
          <cell r="P78" t="str">
            <v>NP2241</v>
          </cell>
          <cell r="Q78" t="str">
            <v>01Z01ZZ01BQ</v>
          </cell>
          <cell r="R78" t="str">
            <v>CA01</v>
          </cell>
          <cell r="S78">
            <v>0.01</v>
          </cell>
        </row>
        <row r="79">
          <cell r="A79">
            <v>2139</v>
          </cell>
          <cell r="B79" t="str">
            <v>CRBS NP2241 STANDARD KG</v>
          </cell>
          <cell r="C79">
            <v>75</v>
          </cell>
          <cell r="D79" t="str">
            <v>KG</v>
          </cell>
          <cell r="E79">
            <v>0.01</v>
          </cell>
          <cell r="G79">
            <v>100</v>
          </cell>
          <cell r="H79" t="str">
            <v>SC Syngenta</v>
          </cell>
          <cell r="J79" t="str">
            <v>BA090</v>
          </cell>
          <cell r="K79">
            <v>1</v>
          </cell>
          <cell r="P79" t="str">
            <v>NP2241</v>
          </cell>
          <cell r="Q79" t="str">
            <v>01Z01ZZ01BQ</v>
          </cell>
          <cell r="R79" t="str">
            <v>CA01</v>
          </cell>
          <cell r="S79">
            <v>0.01</v>
          </cell>
        </row>
        <row r="80">
          <cell r="A80">
            <v>2139</v>
          </cell>
          <cell r="B80" t="str">
            <v>CRBS NP2241            STANDARD KG</v>
          </cell>
          <cell r="C80">
            <v>75</v>
          </cell>
          <cell r="D80" t="str">
            <v>KG</v>
          </cell>
          <cell r="E80">
            <v>0.01</v>
          </cell>
          <cell r="G80">
            <v>100</v>
          </cell>
          <cell r="H80" t="str">
            <v>SC Syngenta</v>
          </cell>
          <cell r="J80" t="str">
            <v>BA090</v>
          </cell>
          <cell r="K80">
            <v>1</v>
          </cell>
          <cell r="P80" t="str">
            <v>NP2241</v>
          </cell>
          <cell r="Q80" t="str">
            <v>01Z01ZZ01BQ</v>
          </cell>
          <cell r="R80" t="str">
            <v>CA01</v>
          </cell>
          <cell r="S80">
            <v>0.01</v>
          </cell>
        </row>
        <row r="81">
          <cell r="A81">
            <v>2139</v>
          </cell>
          <cell r="B81" t="str">
            <v>CRBS NP2241            STANDARD KG</v>
          </cell>
          <cell r="C81">
            <v>75</v>
          </cell>
          <cell r="D81" t="str">
            <v>KG</v>
          </cell>
          <cell r="E81">
            <v>0.01</v>
          </cell>
          <cell r="G81">
            <v>100</v>
          </cell>
          <cell r="H81" t="str">
            <v>SC Syngenta</v>
          </cell>
          <cell r="J81" t="str">
            <v>BA090</v>
          </cell>
          <cell r="K81">
            <v>1</v>
          </cell>
          <cell r="P81" t="str">
            <v>NP2241</v>
          </cell>
          <cell r="Q81" t="str">
            <v>01Z01ZZ01BQ</v>
          </cell>
          <cell r="R81" t="str">
            <v>CA01</v>
          </cell>
          <cell r="S81">
            <v>0.01</v>
          </cell>
        </row>
        <row r="82">
          <cell r="A82">
            <v>2139</v>
          </cell>
          <cell r="B82" t="str">
            <v>CRBS NP2241            STANDARD KG</v>
          </cell>
          <cell r="C82">
            <v>75</v>
          </cell>
          <cell r="D82" t="str">
            <v>KG</v>
          </cell>
          <cell r="E82">
            <v>0.01</v>
          </cell>
          <cell r="G82">
            <v>100</v>
          </cell>
          <cell r="H82" t="str">
            <v>SC Syngenta</v>
          </cell>
          <cell r="J82" t="str">
            <v>BA090</v>
          </cell>
          <cell r="K82">
            <v>1</v>
          </cell>
          <cell r="P82" t="str">
            <v>NP2241</v>
          </cell>
          <cell r="Q82" t="str">
            <v>01Z01ZZ01BQ</v>
          </cell>
          <cell r="R82" t="str">
            <v>CA01</v>
          </cell>
          <cell r="S82">
            <v>0.01</v>
          </cell>
        </row>
        <row r="83">
          <cell r="A83">
            <v>2139</v>
          </cell>
          <cell r="B83" t="str">
            <v>CRBS NP2241            STANDARD KG</v>
          </cell>
          <cell r="C83">
            <v>75</v>
          </cell>
          <cell r="D83" t="str">
            <v>KG</v>
          </cell>
          <cell r="E83">
            <v>0.01</v>
          </cell>
          <cell r="G83">
            <v>100</v>
          </cell>
          <cell r="H83" t="str">
            <v>SC Syngenta</v>
          </cell>
          <cell r="J83" t="str">
            <v>BA090</v>
          </cell>
          <cell r="K83">
            <v>1</v>
          </cell>
          <cell r="P83" t="str">
            <v>NP2241</v>
          </cell>
          <cell r="Q83" t="str">
            <v>01Z01ZZ01BQ</v>
          </cell>
          <cell r="R83" t="str">
            <v>CA01</v>
          </cell>
          <cell r="S83">
            <v>0.01</v>
          </cell>
        </row>
        <row r="84">
          <cell r="A84">
            <v>2139</v>
          </cell>
          <cell r="B84" t="str">
            <v>CRBS NP2241            STANDARD KG</v>
          </cell>
          <cell r="C84">
            <v>75</v>
          </cell>
          <cell r="D84" t="str">
            <v>KG</v>
          </cell>
          <cell r="E84">
            <v>0.01</v>
          </cell>
          <cell r="G84">
            <v>100</v>
          </cell>
          <cell r="H84" t="str">
            <v>SC Syngenta</v>
          </cell>
          <cell r="J84" t="str">
            <v>BA090</v>
          </cell>
          <cell r="K84">
            <v>1</v>
          </cell>
          <cell r="P84" t="str">
            <v>NP2241</v>
          </cell>
          <cell r="Q84" t="str">
            <v>01Z01ZZ01BQ</v>
          </cell>
          <cell r="R84" t="str">
            <v>CA01</v>
          </cell>
          <cell r="S84">
            <v>0.01</v>
          </cell>
        </row>
        <row r="85">
          <cell r="A85">
            <v>2139</v>
          </cell>
          <cell r="B85" t="str">
            <v>CRBS NP2241            STANDARD KG</v>
          </cell>
          <cell r="C85">
            <v>75</v>
          </cell>
          <cell r="D85" t="str">
            <v>KG</v>
          </cell>
          <cell r="E85">
            <v>0.01</v>
          </cell>
          <cell r="G85">
            <v>100</v>
          </cell>
          <cell r="H85" t="str">
            <v>SC Syngenta</v>
          </cell>
          <cell r="J85" t="str">
            <v>BA090</v>
          </cell>
          <cell r="K85">
            <v>1</v>
          </cell>
          <cell r="P85" t="str">
            <v>NP2241</v>
          </cell>
          <cell r="Q85" t="str">
            <v>01Z01ZZ01BQ</v>
          </cell>
          <cell r="R85" t="str">
            <v>CA01</v>
          </cell>
          <cell r="S85">
            <v>0.01</v>
          </cell>
        </row>
        <row r="86">
          <cell r="A86">
            <v>2139</v>
          </cell>
          <cell r="B86" t="str">
            <v>CRBS NP2241            STANDARD KG</v>
          </cell>
          <cell r="C86">
            <v>75</v>
          </cell>
          <cell r="D86" t="str">
            <v>KG</v>
          </cell>
          <cell r="E86">
            <v>0.01</v>
          </cell>
          <cell r="G86">
            <v>100</v>
          </cell>
          <cell r="H86" t="str">
            <v>SC Syngenta</v>
          </cell>
          <cell r="J86" t="str">
            <v>BA090</v>
          </cell>
          <cell r="K86">
            <v>1</v>
          </cell>
          <cell r="P86" t="str">
            <v>NP2241</v>
          </cell>
          <cell r="Q86" t="str">
            <v>01Z01ZZ01BQ</v>
          </cell>
          <cell r="R86" t="str">
            <v>CA01</v>
          </cell>
          <cell r="S86">
            <v>0.01</v>
          </cell>
        </row>
        <row r="87">
          <cell r="A87">
            <v>2139</v>
          </cell>
          <cell r="B87" t="str">
            <v>CRBS NP2241            STANDARD KG</v>
          </cell>
          <cell r="C87">
            <v>75</v>
          </cell>
          <cell r="D87" t="str">
            <v>KG</v>
          </cell>
          <cell r="E87">
            <v>0.01</v>
          </cell>
          <cell r="G87">
            <v>100</v>
          </cell>
          <cell r="H87" t="str">
            <v>SC Syngenta</v>
          </cell>
          <cell r="J87" t="str">
            <v>BA090</v>
          </cell>
          <cell r="K87">
            <v>1</v>
          </cell>
          <cell r="P87" t="str">
            <v>NP2241</v>
          </cell>
          <cell r="Q87" t="str">
            <v>01Z01ZZ01BQ</v>
          </cell>
          <cell r="R87" t="str">
            <v>CA01</v>
          </cell>
          <cell r="S87">
            <v>0.01</v>
          </cell>
        </row>
        <row r="88">
          <cell r="A88">
            <v>2139</v>
          </cell>
          <cell r="B88" t="str">
            <v>CRBS NP2241            STANDARD KG</v>
          </cell>
          <cell r="C88">
            <v>75</v>
          </cell>
          <cell r="D88" t="str">
            <v>KG</v>
          </cell>
          <cell r="E88">
            <v>0.01</v>
          </cell>
          <cell r="G88">
            <v>100</v>
          </cell>
          <cell r="H88" t="str">
            <v>SC Syngenta</v>
          </cell>
          <cell r="J88" t="str">
            <v>BA090</v>
          </cell>
          <cell r="K88">
            <v>1</v>
          </cell>
          <cell r="P88" t="str">
            <v>NP2241</v>
          </cell>
          <cell r="Q88" t="str">
            <v>01Z01ZZ01BQ</v>
          </cell>
          <cell r="R88" t="str">
            <v>CA01</v>
          </cell>
          <cell r="S88">
            <v>0.01</v>
          </cell>
        </row>
        <row r="89">
          <cell r="A89">
            <v>2139</v>
          </cell>
          <cell r="B89" t="str">
            <v>CRBS NP2241            STANDARD KG</v>
          </cell>
          <cell r="C89">
            <v>75</v>
          </cell>
          <cell r="D89" t="str">
            <v>KG</v>
          </cell>
          <cell r="E89">
            <v>0.01</v>
          </cell>
          <cell r="G89">
            <v>100</v>
          </cell>
          <cell r="H89" t="str">
            <v>SC Syngenta</v>
          </cell>
          <cell r="J89" t="str">
            <v>BA090</v>
          </cell>
          <cell r="K89">
            <v>1</v>
          </cell>
          <cell r="P89" t="str">
            <v>NP2241</v>
          </cell>
          <cell r="Q89" t="str">
            <v>01Z01ZZ01BQ</v>
          </cell>
          <cell r="R89" t="str">
            <v>CA01</v>
          </cell>
          <cell r="S89">
            <v>0.01</v>
          </cell>
        </row>
        <row r="90">
          <cell r="A90">
            <v>2139</v>
          </cell>
          <cell r="B90" t="str">
            <v>CRBS NP2241            STANDARD KG</v>
          </cell>
          <cell r="C90">
            <v>75</v>
          </cell>
          <cell r="D90" t="str">
            <v>KG</v>
          </cell>
          <cell r="E90">
            <v>0.01</v>
          </cell>
          <cell r="G90">
            <v>100</v>
          </cell>
          <cell r="H90" t="str">
            <v>SC Syngenta</v>
          </cell>
          <cell r="J90" t="str">
            <v>BA090</v>
          </cell>
          <cell r="K90">
            <v>1</v>
          </cell>
          <cell r="P90" t="str">
            <v>NP2241</v>
          </cell>
          <cell r="Q90" t="str">
            <v>01Z01ZZ01BQ</v>
          </cell>
          <cell r="R90" t="str">
            <v>CA01</v>
          </cell>
          <cell r="S90">
            <v>0.01</v>
          </cell>
        </row>
        <row r="91">
          <cell r="A91">
            <v>2139</v>
          </cell>
          <cell r="B91" t="str">
            <v>CRBS NP2241            STANDARD KG</v>
          </cell>
          <cell r="C91">
            <v>75</v>
          </cell>
          <cell r="D91" t="str">
            <v>KG</v>
          </cell>
          <cell r="E91">
            <v>0.01</v>
          </cell>
          <cell r="G91">
            <v>100</v>
          </cell>
          <cell r="H91" t="str">
            <v>SC Syngenta</v>
          </cell>
          <cell r="J91" t="str">
            <v>BA090</v>
          </cell>
          <cell r="K91">
            <v>1</v>
          </cell>
          <cell r="P91" t="str">
            <v>NP2241</v>
          </cell>
          <cell r="Q91" t="str">
            <v>01Z01ZZ01BQ</v>
          </cell>
          <cell r="R91" t="str">
            <v>CA01</v>
          </cell>
          <cell r="S91">
            <v>0.01</v>
          </cell>
        </row>
        <row r="92">
          <cell r="A92">
            <v>2139</v>
          </cell>
          <cell r="B92" t="str">
            <v>CRBS NP2241            STANDARD KG</v>
          </cell>
          <cell r="C92">
            <v>75</v>
          </cell>
          <cell r="D92" t="str">
            <v>KG</v>
          </cell>
          <cell r="E92">
            <v>0.01</v>
          </cell>
          <cell r="G92">
            <v>100</v>
          </cell>
          <cell r="H92" t="str">
            <v>SC Syngenta</v>
          </cell>
          <cell r="J92" t="str">
            <v>BA090</v>
          </cell>
          <cell r="K92">
            <v>1</v>
          </cell>
          <cell r="P92" t="str">
            <v>NP2241</v>
          </cell>
          <cell r="Q92" t="str">
            <v>01Z01ZZ01BQ</v>
          </cell>
          <cell r="R92" t="str">
            <v>CA01</v>
          </cell>
          <cell r="S92">
            <v>0.01</v>
          </cell>
        </row>
        <row r="93">
          <cell r="A93">
            <v>2139</v>
          </cell>
          <cell r="B93" t="str">
            <v>CRBS NP2241            STANDARD KG</v>
          </cell>
          <cell r="C93">
            <v>75</v>
          </cell>
          <cell r="D93" t="str">
            <v>KG</v>
          </cell>
          <cell r="E93">
            <v>0.01</v>
          </cell>
          <cell r="G93">
            <v>100</v>
          </cell>
          <cell r="H93" t="str">
            <v>SC Syngenta</v>
          </cell>
          <cell r="J93" t="str">
            <v>BA090</v>
          </cell>
          <cell r="K93">
            <v>1</v>
          </cell>
          <cell r="P93" t="str">
            <v>NP2241</v>
          </cell>
          <cell r="Q93" t="str">
            <v>01Z01ZZ01BQ</v>
          </cell>
          <cell r="R93" t="str">
            <v>CA01</v>
          </cell>
          <cell r="S93">
            <v>0.01</v>
          </cell>
        </row>
        <row r="94">
          <cell r="A94">
            <v>2139</v>
          </cell>
          <cell r="B94" t="str">
            <v>CRBS NP2241            STANDARD KG</v>
          </cell>
          <cell r="C94">
            <v>75</v>
          </cell>
          <cell r="D94" t="str">
            <v>KG</v>
          </cell>
          <cell r="E94">
            <v>0.01</v>
          </cell>
          <cell r="G94">
            <v>100</v>
          </cell>
          <cell r="H94" t="str">
            <v>SC Syngenta</v>
          </cell>
          <cell r="J94" t="str">
            <v>BA090</v>
          </cell>
          <cell r="K94">
            <v>1</v>
          </cell>
          <cell r="P94" t="str">
            <v>NP2241</v>
          </cell>
          <cell r="Q94" t="str">
            <v>01Z01ZZ01BQ</v>
          </cell>
          <cell r="R94" t="str">
            <v>CA01</v>
          </cell>
          <cell r="S94">
            <v>0.01</v>
          </cell>
        </row>
        <row r="95">
          <cell r="A95">
            <v>2139</v>
          </cell>
          <cell r="B95" t="str">
            <v>CRBS NP2241            STANDARD KG</v>
          </cell>
          <cell r="C95">
            <v>75</v>
          </cell>
          <cell r="D95" t="str">
            <v>KG</v>
          </cell>
          <cell r="E95">
            <v>0.01</v>
          </cell>
          <cell r="G95">
            <v>100</v>
          </cell>
          <cell r="H95" t="str">
            <v>SC Syngenta</v>
          </cell>
          <cell r="J95" t="str">
            <v>BA090</v>
          </cell>
          <cell r="K95">
            <v>1</v>
          </cell>
          <cell r="P95" t="str">
            <v>NP2241</v>
          </cell>
          <cell r="Q95" t="str">
            <v>01Z01ZZ01BQ</v>
          </cell>
          <cell r="R95" t="str">
            <v>CA01</v>
          </cell>
          <cell r="S95">
            <v>0.01</v>
          </cell>
        </row>
        <row r="96">
          <cell r="A96">
            <v>2139</v>
          </cell>
          <cell r="B96" t="str">
            <v>CRBS NP2241            STANDARD KG</v>
          </cell>
          <cell r="C96">
            <v>75</v>
          </cell>
          <cell r="D96" t="str">
            <v>KG</v>
          </cell>
          <cell r="E96">
            <v>0.01</v>
          </cell>
          <cell r="G96">
            <v>100</v>
          </cell>
          <cell r="H96" t="str">
            <v>SC Syngenta</v>
          </cell>
          <cell r="J96" t="str">
            <v>BA090</v>
          </cell>
          <cell r="K96">
            <v>1</v>
          </cell>
          <cell r="P96" t="str">
            <v>NP2241</v>
          </cell>
          <cell r="Q96" t="str">
            <v>01Z01ZZ01BQ</v>
          </cell>
          <cell r="R96" t="str">
            <v>CA01</v>
          </cell>
          <cell r="S96">
            <v>0.01</v>
          </cell>
        </row>
        <row r="97">
          <cell r="A97">
            <v>2139</v>
          </cell>
          <cell r="B97" t="str">
            <v>CRBS NP2241            STANDARD KG</v>
          </cell>
          <cell r="C97">
            <v>75</v>
          </cell>
          <cell r="D97" t="str">
            <v>KG</v>
          </cell>
          <cell r="E97">
            <v>0.01</v>
          </cell>
          <cell r="G97">
            <v>100</v>
          </cell>
          <cell r="H97" t="str">
            <v>SC Syngenta</v>
          </cell>
          <cell r="J97" t="str">
            <v>BA090</v>
          </cell>
          <cell r="K97">
            <v>1</v>
          </cell>
          <cell r="P97" t="str">
            <v>NP2241</v>
          </cell>
          <cell r="Q97" t="str">
            <v>01Z01ZZ01BQ</v>
          </cell>
          <cell r="R97" t="str">
            <v>CA01</v>
          </cell>
          <cell r="S97">
            <v>0.01</v>
          </cell>
        </row>
        <row r="98">
          <cell r="A98">
            <v>2139</v>
          </cell>
          <cell r="B98" t="str">
            <v>CRBS NP2241            STANDARD KG</v>
          </cell>
          <cell r="C98">
            <v>75</v>
          </cell>
          <cell r="D98" t="str">
            <v>KG</v>
          </cell>
          <cell r="E98">
            <v>0.01</v>
          </cell>
          <cell r="G98">
            <v>100</v>
          </cell>
          <cell r="H98" t="str">
            <v>SC Syngenta</v>
          </cell>
          <cell r="J98" t="str">
            <v>BA090</v>
          </cell>
          <cell r="K98">
            <v>1</v>
          </cell>
          <cell r="P98" t="str">
            <v>NP2241</v>
          </cell>
          <cell r="Q98" t="str">
            <v>01Z01ZZ01BQ</v>
          </cell>
          <cell r="R98" t="str">
            <v>CA01</v>
          </cell>
          <cell r="S98">
            <v>0.01</v>
          </cell>
        </row>
        <row r="99">
          <cell r="A99">
            <v>2139</v>
          </cell>
          <cell r="B99" t="str">
            <v>CRBS NP2241            STANDARD KG</v>
          </cell>
          <cell r="C99">
            <v>75</v>
          </cell>
          <cell r="D99" t="str">
            <v>KG</v>
          </cell>
          <cell r="E99">
            <v>0.01</v>
          </cell>
          <cell r="G99">
            <v>100</v>
          </cell>
          <cell r="H99" t="str">
            <v>SC Syngenta</v>
          </cell>
          <cell r="J99" t="str">
            <v>BA090</v>
          </cell>
          <cell r="K99">
            <v>1</v>
          </cell>
          <cell r="P99" t="str">
            <v>NP2241</v>
          </cell>
          <cell r="Q99" t="str">
            <v>01Z01ZZ01BQ</v>
          </cell>
          <cell r="R99" t="str">
            <v>CA01</v>
          </cell>
          <cell r="S99">
            <v>0.01</v>
          </cell>
        </row>
        <row r="100">
          <cell r="A100">
            <v>2139</v>
          </cell>
          <cell r="B100" t="str">
            <v>CRBS NP2241            STANDARD KG</v>
          </cell>
          <cell r="C100">
            <v>75</v>
          </cell>
          <cell r="D100" t="str">
            <v>KG</v>
          </cell>
          <cell r="E100">
            <v>0.01</v>
          </cell>
          <cell r="G100">
            <v>100</v>
          </cell>
          <cell r="H100" t="str">
            <v>SC Syngenta</v>
          </cell>
          <cell r="J100" t="str">
            <v>BA090</v>
          </cell>
          <cell r="K100">
            <v>1</v>
          </cell>
          <cell r="P100" t="str">
            <v>NP2241</v>
          </cell>
          <cell r="Q100" t="str">
            <v>01Z01ZZ01BQ</v>
          </cell>
          <cell r="R100" t="str">
            <v>CA01</v>
          </cell>
          <cell r="S100">
            <v>0.01</v>
          </cell>
        </row>
        <row r="101">
          <cell r="A101">
            <v>2139</v>
          </cell>
          <cell r="B101" t="str">
            <v>CRBS NP2241            STANDARD KG</v>
          </cell>
          <cell r="C101">
            <v>75</v>
          </cell>
          <cell r="D101" t="str">
            <v>KG</v>
          </cell>
          <cell r="E101">
            <v>0.01</v>
          </cell>
          <cell r="G101">
            <v>100</v>
          </cell>
          <cell r="H101" t="str">
            <v>SC Syngenta</v>
          </cell>
          <cell r="J101" t="str">
            <v>BA090</v>
          </cell>
          <cell r="K101">
            <v>1</v>
          </cell>
          <cell r="P101" t="str">
            <v>NP2241</v>
          </cell>
          <cell r="Q101" t="str">
            <v>01Z01ZZ01BQ</v>
          </cell>
          <cell r="R101" t="str">
            <v>CA01</v>
          </cell>
          <cell r="S101">
            <v>0.01</v>
          </cell>
        </row>
        <row r="102">
          <cell r="A102">
            <v>2139</v>
          </cell>
          <cell r="B102" t="str">
            <v>CRBS NP2241            STANDARD KG</v>
          </cell>
          <cell r="C102">
            <v>75</v>
          </cell>
          <cell r="D102" t="str">
            <v>KG</v>
          </cell>
          <cell r="E102">
            <v>0.01</v>
          </cell>
          <cell r="G102">
            <v>100</v>
          </cell>
          <cell r="H102" t="str">
            <v>SC Syngenta</v>
          </cell>
          <cell r="J102" t="str">
            <v>BA090</v>
          </cell>
          <cell r="K102">
            <v>1</v>
          </cell>
          <cell r="P102" t="str">
            <v>NP2241</v>
          </cell>
          <cell r="Q102" t="str">
            <v>01Z01ZZ01BQ</v>
          </cell>
          <cell r="R102" t="str">
            <v>CA01</v>
          </cell>
          <cell r="S102">
            <v>0.01</v>
          </cell>
        </row>
        <row r="103">
          <cell r="A103">
            <v>2139</v>
          </cell>
          <cell r="B103" t="str">
            <v>CRBS NP2241            STANDARD KG</v>
          </cell>
          <cell r="C103">
            <v>75</v>
          </cell>
          <cell r="D103" t="str">
            <v>KG</v>
          </cell>
          <cell r="E103">
            <v>0.01</v>
          </cell>
          <cell r="G103">
            <v>100</v>
          </cell>
          <cell r="H103" t="str">
            <v>SC Syngenta</v>
          </cell>
          <cell r="J103" t="str">
            <v>BA090</v>
          </cell>
          <cell r="K103">
            <v>1</v>
          </cell>
          <cell r="P103" t="str">
            <v>NP2241</v>
          </cell>
          <cell r="Q103" t="str">
            <v>01Z01ZZ01BQ</v>
          </cell>
          <cell r="R103" t="str">
            <v>CA01</v>
          </cell>
          <cell r="S103">
            <v>0.01</v>
          </cell>
        </row>
        <row r="104">
          <cell r="A104">
            <v>2139</v>
          </cell>
          <cell r="B104" t="str">
            <v>CRBS NP2241 STANDARD KG</v>
          </cell>
          <cell r="C104">
            <v>75</v>
          </cell>
          <cell r="D104" t="str">
            <v>KG</v>
          </cell>
          <cell r="E104">
            <v>0.01</v>
          </cell>
          <cell r="G104">
            <v>100</v>
          </cell>
          <cell r="H104" t="str">
            <v>SC Syngenta</v>
          </cell>
          <cell r="J104" t="str">
            <v>BA090</v>
          </cell>
          <cell r="K104">
            <v>1</v>
          </cell>
          <cell r="P104" t="str">
            <v>NP2241</v>
          </cell>
          <cell r="Q104" t="str">
            <v>01Z01ZZ01BQ</v>
          </cell>
          <cell r="R104" t="str">
            <v>CA01</v>
          </cell>
          <cell r="S104">
            <v>0.01</v>
          </cell>
        </row>
        <row r="105">
          <cell r="A105">
            <v>2139</v>
          </cell>
          <cell r="B105" t="str">
            <v>CRBS NP2241 STANDARD KG</v>
          </cell>
          <cell r="C105">
            <v>75</v>
          </cell>
          <cell r="D105" t="str">
            <v>KG</v>
          </cell>
          <cell r="E105">
            <v>0.01</v>
          </cell>
          <cell r="G105">
            <v>100</v>
          </cell>
          <cell r="H105" t="str">
            <v>SC Syngenta</v>
          </cell>
          <cell r="J105" t="str">
            <v>BA090</v>
          </cell>
          <cell r="K105">
            <v>1</v>
          </cell>
          <cell r="P105" t="str">
            <v>NP2241</v>
          </cell>
          <cell r="Q105" t="str">
            <v>01Z01ZZ01BQ</v>
          </cell>
          <cell r="R105" t="str">
            <v>CA01</v>
          </cell>
          <cell r="S105">
            <v>0.01</v>
          </cell>
        </row>
        <row r="106">
          <cell r="A106">
            <v>2139</v>
          </cell>
          <cell r="B106" t="str">
            <v>CRBS NP2241 STANDARD KG</v>
          </cell>
          <cell r="C106">
            <v>75</v>
          </cell>
          <cell r="D106" t="str">
            <v>KG</v>
          </cell>
          <cell r="E106">
            <v>0.01</v>
          </cell>
          <cell r="G106">
            <v>100</v>
          </cell>
          <cell r="H106" t="str">
            <v>SC Syngenta</v>
          </cell>
          <cell r="J106" t="str">
            <v>BA090</v>
          </cell>
          <cell r="K106">
            <v>1</v>
          </cell>
          <cell r="P106" t="str">
            <v>NP2241</v>
          </cell>
          <cell r="Q106" t="str">
            <v>01Z01ZZ01BQ</v>
          </cell>
          <cell r="R106" t="str">
            <v>CA01</v>
          </cell>
          <cell r="S106">
            <v>0.01</v>
          </cell>
        </row>
        <row r="107">
          <cell r="A107">
            <v>2139</v>
          </cell>
          <cell r="B107" t="str">
            <v>CRBS NP2241 STANDARD KG</v>
          </cell>
          <cell r="C107">
            <v>75</v>
          </cell>
          <cell r="D107" t="str">
            <v>KG</v>
          </cell>
          <cell r="E107">
            <v>0.01</v>
          </cell>
          <cell r="G107">
            <v>100</v>
          </cell>
          <cell r="H107" t="str">
            <v>SC Syngenta</v>
          </cell>
          <cell r="J107" t="str">
            <v>BA090</v>
          </cell>
          <cell r="K107">
            <v>1</v>
          </cell>
          <cell r="P107" t="str">
            <v>NP2241</v>
          </cell>
          <cell r="Q107" t="str">
            <v>01Z01ZZ01BQ</v>
          </cell>
          <cell r="R107" t="str">
            <v>CA01</v>
          </cell>
          <cell r="S107">
            <v>0.01</v>
          </cell>
        </row>
        <row r="108">
          <cell r="A108">
            <v>2139</v>
          </cell>
          <cell r="B108" t="str">
            <v>CRBS NP2241 STANDARD KG</v>
          </cell>
          <cell r="C108">
            <v>75</v>
          </cell>
          <cell r="D108" t="str">
            <v>KG</v>
          </cell>
          <cell r="E108">
            <v>0.01</v>
          </cell>
          <cell r="G108">
            <v>100</v>
          </cell>
          <cell r="H108" t="str">
            <v>SC Syngenta</v>
          </cell>
          <cell r="J108" t="str">
            <v>BA090</v>
          </cell>
          <cell r="K108">
            <v>1</v>
          </cell>
          <cell r="P108" t="str">
            <v>NP2241</v>
          </cell>
          <cell r="Q108" t="str">
            <v>01Z01ZZ01BQ</v>
          </cell>
          <cell r="R108" t="str">
            <v>CA01</v>
          </cell>
          <cell r="S108">
            <v>0.01</v>
          </cell>
        </row>
        <row r="109">
          <cell r="A109">
            <v>2139</v>
          </cell>
          <cell r="B109" t="str">
            <v>CRBS NP2241 STANDARD KG</v>
          </cell>
          <cell r="C109">
            <v>75</v>
          </cell>
          <cell r="D109" t="str">
            <v>KG</v>
          </cell>
          <cell r="E109">
            <v>0.01</v>
          </cell>
          <cell r="G109">
            <v>100</v>
          </cell>
          <cell r="H109" t="str">
            <v>SC Syngenta</v>
          </cell>
          <cell r="J109" t="str">
            <v>BA090</v>
          </cell>
          <cell r="K109">
            <v>1</v>
          </cell>
          <cell r="P109" t="str">
            <v>NP2241</v>
          </cell>
          <cell r="Q109" t="str">
            <v>01Z01ZZ01BQ</v>
          </cell>
          <cell r="R109" t="str">
            <v>CA01</v>
          </cell>
          <cell r="S109">
            <v>0.01</v>
          </cell>
        </row>
        <row r="110">
          <cell r="A110">
            <v>2139</v>
          </cell>
          <cell r="B110" t="str">
            <v>CRBS NP2241 STANDARD KG</v>
          </cell>
          <cell r="C110">
            <v>75</v>
          </cell>
          <cell r="D110" t="str">
            <v>KG</v>
          </cell>
          <cell r="E110">
            <v>0.01</v>
          </cell>
          <cell r="G110">
            <v>100</v>
          </cell>
          <cell r="H110" t="str">
            <v>SC Syngenta</v>
          </cell>
          <cell r="J110" t="str">
            <v>BA090</v>
          </cell>
          <cell r="K110">
            <v>1</v>
          </cell>
          <cell r="P110" t="str">
            <v>NP2241</v>
          </cell>
          <cell r="Q110" t="str">
            <v>01Z01ZZ01BQ</v>
          </cell>
          <cell r="R110" t="str">
            <v>CA01</v>
          </cell>
          <cell r="S110">
            <v>0.01</v>
          </cell>
        </row>
        <row r="111">
          <cell r="A111">
            <v>2139</v>
          </cell>
          <cell r="B111" t="str">
            <v>CRBS NP2241 STANDARD KG</v>
          </cell>
          <cell r="C111">
            <v>75</v>
          </cell>
          <cell r="D111" t="str">
            <v>KG</v>
          </cell>
          <cell r="E111">
            <v>0.01</v>
          </cell>
          <cell r="G111">
            <v>100</v>
          </cell>
          <cell r="H111" t="str">
            <v>SC Syngenta</v>
          </cell>
          <cell r="J111" t="str">
            <v>BA090</v>
          </cell>
          <cell r="K111">
            <v>1</v>
          </cell>
          <cell r="P111" t="str">
            <v>NP2241</v>
          </cell>
          <cell r="Q111" t="str">
            <v>01Z01ZZ01BQ</v>
          </cell>
          <cell r="R111" t="str">
            <v>CA01</v>
          </cell>
          <cell r="S111">
            <v>0.01</v>
          </cell>
        </row>
        <row r="112">
          <cell r="A112">
            <v>2139</v>
          </cell>
          <cell r="B112" t="str">
            <v>CRBS NP2241 STANDARD KG</v>
          </cell>
          <cell r="C112">
            <v>75</v>
          </cell>
          <cell r="D112" t="str">
            <v>KG</v>
          </cell>
          <cell r="E112">
            <v>0.01</v>
          </cell>
          <cell r="G112">
            <v>100</v>
          </cell>
          <cell r="H112" t="str">
            <v>SC Syngenta</v>
          </cell>
          <cell r="J112" t="str">
            <v>BA090</v>
          </cell>
          <cell r="K112">
            <v>1</v>
          </cell>
          <cell r="P112" t="str">
            <v>NP2241</v>
          </cell>
          <cell r="Q112" t="str">
            <v>01Z01ZZ01BQ</v>
          </cell>
          <cell r="R112" t="str">
            <v>CA01</v>
          </cell>
          <cell r="S112">
            <v>0.01</v>
          </cell>
        </row>
        <row r="113">
          <cell r="A113">
            <v>2139</v>
          </cell>
          <cell r="B113" t="str">
            <v>CRBS NP2241 STANDARD KG</v>
          </cell>
          <cell r="C113">
            <v>75</v>
          </cell>
          <cell r="D113" t="str">
            <v>KG</v>
          </cell>
          <cell r="E113">
            <v>0.01</v>
          </cell>
          <cell r="G113">
            <v>100</v>
          </cell>
          <cell r="H113" t="str">
            <v>SC Syngenta</v>
          </cell>
          <cell r="J113" t="str">
            <v>BA090</v>
          </cell>
          <cell r="K113">
            <v>1</v>
          </cell>
          <cell r="P113" t="str">
            <v>NP2241</v>
          </cell>
          <cell r="Q113" t="str">
            <v>01Z01ZZ01BQ</v>
          </cell>
          <cell r="R113" t="str">
            <v>CA01</v>
          </cell>
          <cell r="S113">
            <v>0.01</v>
          </cell>
        </row>
        <row r="114">
          <cell r="A114">
            <v>2139</v>
          </cell>
          <cell r="B114" t="str">
            <v>CRBS NP2241 STANDARD KG</v>
          </cell>
          <cell r="C114">
            <v>75</v>
          </cell>
          <cell r="D114" t="str">
            <v>KG</v>
          </cell>
          <cell r="E114">
            <v>0.01</v>
          </cell>
          <cell r="G114">
            <v>100</v>
          </cell>
          <cell r="H114" t="str">
            <v>SC Syngenta</v>
          </cell>
          <cell r="J114" t="str">
            <v>BA090</v>
          </cell>
          <cell r="K114">
            <v>1</v>
          </cell>
          <cell r="P114" t="str">
            <v>NP2241</v>
          </cell>
          <cell r="Q114" t="str">
            <v>01Z01ZZ01BQ</v>
          </cell>
          <cell r="R114" t="str">
            <v>CA01</v>
          </cell>
          <cell r="S114">
            <v>0.01</v>
          </cell>
        </row>
        <row r="115">
          <cell r="A115">
            <v>2139</v>
          </cell>
          <cell r="B115" t="str">
            <v>CRBS NP2241 STANDARD KG</v>
          </cell>
          <cell r="C115">
            <v>75</v>
          </cell>
          <cell r="D115" t="str">
            <v>KG</v>
          </cell>
          <cell r="E115">
            <v>0.01</v>
          </cell>
          <cell r="G115">
            <v>100</v>
          </cell>
          <cell r="H115" t="str">
            <v>SC Syngenta</v>
          </cell>
          <cell r="J115" t="str">
            <v>BA090</v>
          </cell>
          <cell r="K115">
            <v>1</v>
          </cell>
          <cell r="P115" t="str">
            <v>NP2241</v>
          </cell>
          <cell r="Q115" t="str">
            <v>01Z01ZZ01BQ</v>
          </cell>
          <cell r="R115" t="str">
            <v>CA01</v>
          </cell>
          <cell r="S115">
            <v>0.01</v>
          </cell>
        </row>
        <row r="116">
          <cell r="A116">
            <v>2139</v>
          </cell>
          <cell r="B116" t="str">
            <v>CRBS NP2241            STANDARD KG</v>
          </cell>
          <cell r="C116">
            <v>75</v>
          </cell>
          <cell r="D116" t="str">
            <v>KG</v>
          </cell>
          <cell r="E116">
            <v>0.01</v>
          </cell>
          <cell r="G116">
            <v>100</v>
          </cell>
          <cell r="H116" t="str">
            <v>SC Syngenta</v>
          </cell>
          <cell r="J116" t="str">
            <v>BA090</v>
          </cell>
          <cell r="K116">
            <v>1</v>
          </cell>
          <cell r="P116" t="str">
            <v>NP2241</v>
          </cell>
          <cell r="Q116" t="str">
            <v>01Z01ZZ01BQ</v>
          </cell>
          <cell r="R116" t="str">
            <v>CA01</v>
          </cell>
          <cell r="S116">
            <v>0.01</v>
          </cell>
        </row>
        <row r="117">
          <cell r="A117">
            <v>2139</v>
          </cell>
          <cell r="B117" t="str">
            <v>CRBS NP2241            STANDARD KG</v>
          </cell>
          <cell r="C117">
            <v>75</v>
          </cell>
          <cell r="D117" t="str">
            <v>KG</v>
          </cell>
          <cell r="E117">
            <v>0.01</v>
          </cell>
          <cell r="G117">
            <v>100</v>
          </cell>
          <cell r="H117" t="str">
            <v>SC Syngenta</v>
          </cell>
          <cell r="J117" t="str">
            <v>BA090</v>
          </cell>
          <cell r="K117">
            <v>1</v>
          </cell>
          <cell r="P117" t="str">
            <v>NP2241</v>
          </cell>
          <cell r="Q117" t="str">
            <v>01Z01ZZ01BQ</v>
          </cell>
          <cell r="R117" t="str">
            <v>CA01</v>
          </cell>
          <cell r="S117">
            <v>0.01</v>
          </cell>
        </row>
        <row r="118">
          <cell r="A118">
            <v>2139</v>
          </cell>
          <cell r="B118" t="str">
            <v>CRBS NP2241            STANDARD KG</v>
          </cell>
          <cell r="C118">
            <v>75</v>
          </cell>
          <cell r="D118" t="str">
            <v>KG</v>
          </cell>
          <cell r="E118">
            <v>0.01</v>
          </cell>
          <cell r="G118">
            <v>100</v>
          </cell>
          <cell r="H118" t="str">
            <v>SC Syngenta</v>
          </cell>
          <cell r="J118" t="str">
            <v>BA090</v>
          </cell>
          <cell r="K118">
            <v>1</v>
          </cell>
          <cell r="P118" t="str">
            <v>NP2241</v>
          </cell>
          <cell r="Q118" t="str">
            <v>01Z01ZZ01BQ</v>
          </cell>
          <cell r="R118" t="str">
            <v>CA01</v>
          </cell>
          <cell r="S118">
            <v>0.01</v>
          </cell>
        </row>
        <row r="119">
          <cell r="A119">
            <v>2139</v>
          </cell>
          <cell r="B119" t="str">
            <v>CRBS NP2241            STANDARD KG</v>
          </cell>
          <cell r="C119">
            <v>75</v>
          </cell>
          <cell r="D119" t="str">
            <v>KG</v>
          </cell>
          <cell r="E119">
            <v>0.01</v>
          </cell>
          <cell r="G119">
            <v>100</v>
          </cell>
          <cell r="H119" t="str">
            <v>SC Syngenta</v>
          </cell>
          <cell r="J119" t="str">
            <v>BA090</v>
          </cell>
          <cell r="K119">
            <v>1</v>
          </cell>
          <cell r="P119" t="str">
            <v>NP2241</v>
          </cell>
          <cell r="Q119" t="str">
            <v>01Z01ZZ01BQ</v>
          </cell>
          <cell r="R119" t="str">
            <v>CA01</v>
          </cell>
          <cell r="S119">
            <v>0.01</v>
          </cell>
        </row>
        <row r="120">
          <cell r="A120">
            <v>2139</v>
          </cell>
          <cell r="B120" t="str">
            <v>CRBS NP2241            STANDARD KG</v>
          </cell>
          <cell r="C120">
            <v>75</v>
          </cell>
          <cell r="D120" t="str">
            <v>KG</v>
          </cell>
          <cell r="E120">
            <v>0.01</v>
          </cell>
          <cell r="G120">
            <v>100</v>
          </cell>
          <cell r="H120" t="str">
            <v>SC Syngenta</v>
          </cell>
          <cell r="J120" t="str">
            <v>BA090</v>
          </cell>
          <cell r="K120">
            <v>1</v>
          </cell>
          <cell r="P120" t="str">
            <v>NP2241</v>
          </cell>
          <cell r="Q120" t="str">
            <v>01Z01ZZ01BQ</v>
          </cell>
          <cell r="R120" t="str">
            <v>CA01</v>
          </cell>
          <cell r="S120">
            <v>0.01</v>
          </cell>
        </row>
        <row r="121">
          <cell r="A121">
            <v>2139</v>
          </cell>
          <cell r="B121" t="str">
            <v>CRBS NP2241            STANDARD KG</v>
          </cell>
          <cell r="C121">
            <v>75</v>
          </cell>
          <cell r="D121" t="str">
            <v>KG</v>
          </cell>
          <cell r="E121">
            <v>0.01</v>
          </cell>
          <cell r="G121">
            <v>100</v>
          </cell>
          <cell r="H121" t="str">
            <v>SC Syngenta</v>
          </cell>
          <cell r="J121" t="str">
            <v>BA090</v>
          </cell>
          <cell r="K121">
            <v>1</v>
          </cell>
          <cell r="P121" t="str">
            <v>NP2241</v>
          </cell>
          <cell r="Q121" t="str">
            <v>01Z01ZZ01BQ</v>
          </cell>
          <cell r="R121" t="str">
            <v>CA01</v>
          </cell>
          <cell r="S121">
            <v>0.01</v>
          </cell>
        </row>
        <row r="122">
          <cell r="A122">
            <v>2139</v>
          </cell>
          <cell r="B122" t="str">
            <v>CRBS NP2241            STANDARD KG</v>
          </cell>
          <cell r="C122">
            <v>75</v>
          </cell>
          <cell r="D122" t="str">
            <v>KG</v>
          </cell>
          <cell r="E122">
            <v>0.01</v>
          </cell>
          <cell r="G122">
            <v>100</v>
          </cell>
          <cell r="H122" t="str">
            <v>SC Syngenta</v>
          </cell>
          <cell r="J122" t="str">
            <v>BA090</v>
          </cell>
          <cell r="K122">
            <v>1</v>
          </cell>
          <cell r="P122" t="str">
            <v>NP2241</v>
          </cell>
          <cell r="Q122" t="str">
            <v>01Z01ZZ01BQ</v>
          </cell>
          <cell r="R122" t="str">
            <v>CA01</v>
          </cell>
          <cell r="S122">
            <v>0.01</v>
          </cell>
        </row>
        <row r="123">
          <cell r="A123">
            <v>2139</v>
          </cell>
          <cell r="B123" t="str">
            <v>CRBS NP2241            STANDARD KG</v>
          </cell>
          <cell r="C123">
            <v>75</v>
          </cell>
          <cell r="D123" t="str">
            <v>KG</v>
          </cell>
          <cell r="E123">
            <v>0.01</v>
          </cell>
          <cell r="G123">
            <v>100</v>
          </cell>
          <cell r="H123" t="str">
            <v>SC Syngenta</v>
          </cell>
          <cell r="J123" t="str">
            <v>BA090</v>
          </cell>
          <cell r="K123">
            <v>1</v>
          </cell>
          <cell r="P123" t="str">
            <v>NP2241</v>
          </cell>
          <cell r="Q123" t="str">
            <v>01Z01ZZ01BQ</v>
          </cell>
          <cell r="R123" t="str">
            <v>CA01</v>
          </cell>
          <cell r="S123">
            <v>0.01</v>
          </cell>
        </row>
        <row r="124">
          <cell r="A124">
            <v>2139</v>
          </cell>
          <cell r="B124" t="str">
            <v>CRBS NP2241            STANDARD KG</v>
          </cell>
          <cell r="C124">
            <v>75</v>
          </cell>
          <cell r="D124" t="str">
            <v>KG</v>
          </cell>
          <cell r="E124">
            <v>0.01</v>
          </cell>
          <cell r="G124">
            <v>100</v>
          </cell>
          <cell r="H124" t="str">
            <v>SC Syngenta</v>
          </cell>
          <cell r="J124" t="str">
            <v>BA090</v>
          </cell>
          <cell r="K124">
            <v>1</v>
          </cell>
          <cell r="P124" t="str">
            <v>NP2241</v>
          </cell>
          <cell r="Q124" t="str">
            <v>01Z01ZZ01BQ</v>
          </cell>
          <cell r="R124" t="str">
            <v>CA01</v>
          </cell>
          <cell r="S124">
            <v>0.01</v>
          </cell>
        </row>
        <row r="125">
          <cell r="A125">
            <v>2139</v>
          </cell>
          <cell r="B125" t="str">
            <v>CRBS NP2241            STANDARD KG</v>
          </cell>
          <cell r="C125">
            <v>75</v>
          </cell>
          <cell r="D125" t="str">
            <v>KG</v>
          </cell>
          <cell r="E125">
            <v>0.01</v>
          </cell>
          <cell r="G125">
            <v>100</v>
          </cell>
          <cell r="H125" t="str">
            <v>SC Syngenta</v>
          </cell>
          <cell r="J125" t="str">
            <v>BA090</v>
          </cell>
          <cell r="K125">
            <v>1</v>
          </cell>
          <cell r="P125" t="str">
            <v>NP2241</v>
          </cell>
          <cell r="Q125" t="str">
            <v>01Z01ZZ01BQ</v>
          </cell>
          <cell r="R125" t="str">
            <v>CA01</v>
          </cell>
          <cell r="S125">
            <v>0.01</v>
          </cell>
        </row>
        <row r="126">
          <cell r="A126">
            <v>2139</v>
          </cell>
          <cell r="B126" t="str">
            <v>CRBS NP2241            STANDARD KG</v>
          </cell>
          <cell r="C126">
            <v>75</v>
          </cell>
          <cell r="D126" t="str">
            <v>KG</v>
          </cell>
          <cell r="E126">
            <v>0.01</v>
          </cell>
          <cell r="G126">
            <v>100</v>
          </cell>
          <cell r="H126" t="str">
            <v>SC Syngenta</v>
          </cell>
          <cell r="J126" t="str">
            <v>BA090</v>
          </cell>
          <cell r="K126">
            <v>1</v>
          </cell>
          <cell r="P126" t="str">
            <v>NP2241</v>
          </cell>
          <cell r="Q126" t="str">
            <v>01Z01ZZ01BQ</v>
          </cell>
          <cell r="R126" t="str">
            <v>CA01</v>
          </cell>
          <cell r="S126">
            <v>0.01</v>
          </cell>
        </row>
        <row r="127">
          <cell r="A127">
            <v>2139</v>
          </cell>
          <cell r="B127" t="str">
            <v>CRBS NP2241            STANDARD KG</v>
          </cell>
          <cell r="C127">
            <v>75</v>
          </cell>
          <cell r="D127" t="str">
            <v>KG</v>
          </cell>
          <cell r="E127">
            <v>0.01</v>
          </cell>
          <cell r="G127">
            <v>100</v>
          </cell>
          <cell r="H127" t="str">
            <v>SC Syngenta</v>
          </cell>
          <cell r="J127" t="str">
            <v>BA090</v>
          </cell>
          <cell r="K127">
            <v>1</v>
          </cell>
          <cell r="P127" t="str">
            <v>NP2241</v>
          </cell>
          <cell r="Q127" t="str">
            <v>01Z01ZZ01BQ</v>
          </cell>
          <cell r="R127" t="str">
            <v>CA01</v>
          </cell>
          <cell r="S127">
            <v>0.01</v>
          </cell>
        </row>
        <row r="128">
          <cell r="A128">
            <v>2139</v>
          </cell>
          <cell r="B128" t="str">
            <v>CRBS NP2241            STANDARD KG</v>
          </cell>
          <cell r="C128">
            <v>75</v>
          </cell>
          <cell r="D128" t="str">
            <v>KG</v>
          </cell>
          <cell r="E128">
            <v>0.01</v>
          </cell>
          <cell r="G128">
            <v>100</v>
          </cell>
          <cell r="H128" t="str">
            <v>SC Syngenta</v>
          </cell>
          <cell r="J128" t="str">
            <v>BA090</v>
          </cell>
          <cell r="K128">
            <v>1</v>
          </cell>
          <cell r="P128" t="str">
            <v>NP2241</v>
          </cell>
          <cell r="Q128" t="str">
            <v>01Z01ZZ01BQ</v>
          </cell>
          <cell r="R128" t="str">
            <v>CA01</v>
          </cell>
          <cell r="S128">
            <v>0.01</v>
          </cell>
        </row>
        <row r="129">
          <cell r="A129">
            <v>2139</v>
          </cell>
          <cell r="B129" t="str">
            <v>CRBS NP2241            STANDARD KG</v>
          </cell>
          <cell r="C129">
            <v>75</v>
          </cell>
          <cell r="D129" t="str">
            <v>KG</v>
          </cell>
          <cell r="E129">
            <v>0.01</v>
          </cell>
          <cell r="G129">
            <v>100</v>
          </cell>
          <cell r="H129" t="str">
            <v>SC Syngenta</v>
          </cell>
          <cell r="J129" t="str">
            <v>BA090</v>
          </cell>
          <cell r="K129">
            <v>1</v>
          </cell>
          <cell r="P129" t="str">
            <v>NP2241</v>
          </cell>
          <cell r="Q129" t="str">
            <v>01Z01ZZ01BQ</v>
          </cell>
          <cell r="R129" t="str">
            <v>CA01</v>
          </cell>
          <cell r="S129">
            <v>0.01</v>
          </cell>
        </row>
        <row r="130">
          <cell r="A130">
            <v>2139</v>
          </cell>
          <cell r="B130" t="str">
            <v>CRBS NP2241            STANDARD KG</v>
          </cell>
          <cell r="C130">
            <v>75</v>
          </cell>
          <cell r="D130" t="str">
            <v>KG</v>
          </cell>
          <cell r="E130">
            <v>0.01</v>
          </cell>
          <cell r="G130">
            <v>100</v>
          </cell>
          <cell r="H130" t="str">
            <v>SC Syngenta</v>
          </cell>
          <cell r="J130" t="str">
            <v>BA090</v>
          </cell>
          <cell r="K130">
            <v>1</v>
          </cell>
          <cell r="P130" t="str">
            <v>NP2241</v>
          </cell>
          <cell r="Q130" t="str">
            <v>01Z01ZZ01BQ</v>
          </cell>
          <cell r="R130" t="str">
            <v>CA01</v>
          </cell>
          <cell r="S130">
            <v>0.01</v>
          </cell>
        </row>
        <row r="131">
          <cell r="A131">
            <v>2139</v>
          </cell>
          <cell r="B131" t="str">
            <v>CRBS NP2241            STANDARD KG</v>
          </cell>
          <cell r="C131">
            <v>75</v>
          </cell>
          <cell r="D131" t="str">
            <v>KG</v>
          </cell>
          <cell r="E131">
            <v>0.01</v>
          </cell>
          <cell r="G131">
            <v>100</v>
          </cell>
          <cell r="H131" t="str">
            <v>SC Syngenta</v>
          </cell>
          <cell r="J131" t="str">
            <v>BA090</v>
          </cell>
          <cell r="K131">
            <v>1</v>
          </cell>
          <cell r="P131" t="str">
            <v>NP2241</v>
          </cell>
          <cell r="Q131" t="str">
            <v>01Z01ZZ01BQ</v>
          </cell>
          <cell r="R131" t="str">
            <v>CA01</v>
          </cell>
          <cell r="S131">
            <v>0.01</v>
          </cell>
        </row>
        <row r="132">
          <cell r="A132">
            <v>2139</v>
          </cell>
          <cell r="B132" t="str">
            <v>CRBS NP2241            STANDARD KG</v>
          </cell>
          <cell r="C132">
            <v>75</v>
          </cell>
          <cell r="D132" t="str">
            <v>KG</v>
          </cell>
          <cell r="E132">
            <v>0.01</v>
          </cell>
          <cell r="G132">
            <v>100</v>
          </cell>
          <cell r="H132" t="str">
            <v>SC Syngenta</v>
          </cell>
          <cell r="J132" t="str">
            <v>BA090</v>
          </cell>
          <cell r="K132">
            <v>1</v>
          </cell>
          <cell r="P132" t="str">
            <v>NP2241</v>
          </cell>
          <cell r="Q132" t="str">
            <v>01Z01ZZ01BQ</v>
          </cell>
          <cell r="R132" t="str">
            <v>CA01</v>
          </cell>
          <cell r="S132">
            <v>0.01</v>
          </cell>
        </row>
        <row r="133">
          <cell r="A133">
            <v>2139</v>
          </cell>
          <cell r="B133" t="str">
            <v>CRBS NP2241            STANDARD KG</v>
          </cell>
          <cell r="C133">
            <v>75</v>
          </cell>
          <cell r="D133" t="str">
            <v>KG</v>
          </cell>
          <cell r="E133">
            <v>0.01</v>
          </cell>
          <cell r="G133">
            <v>100</v>
          </cell>
          <cell r="H133" t="str">
            <v>SC Syngenta</v>
          </cell>
          <cell r="J133" t="str">
            <v>BA090</v>
          </cell>
          <cell r="K133">
            <v>1</v>
          </cell>
          <cell r="P133" t="str">
            <v>NP2241</v>
          </cell>
          <cell r="Q133" t="str">
            <v>01Z01ZZ01BQ</v>
          </cell>
          <cell r="R133" t="str">
            <v>CA01</v>
          </cell>
          <cell r="S133">
            <v>0.01</v>
          </cell>
        </row>
        <row r="134">
          <cell r="A134">
            <v>2139</v>
          </cell>
          <cell r="B134" t="str">
            <v>CRBS NP2241            STANDARD KG</v>
          </cell>
          <cell r="C134">
            <v>75</v>
          </cell>
          <cell r="D134" t="str">
            <v>KG</v>
          </cell>
          <cell r="E134">
            <v>0.01</v>
          </cell>
          <cell r="G134">
            <v>100</v>
          </cell>
          <cell r="H134" t="str">
            <v>SC Syngenta</v>
          </cell>
          <cell r="J134" t="str">
            <v>BA090</v>
          </cell>
          <cell r="K134">
            <v>1</v>
          </cell>
          <cell r="P134" t="str">
            <v>NP2241</v>
          </cell>
          <cell r="Q134" t="str">
            <v>01Z01ZZ01BQ</v>
          </cell>
          <cell r="R134" t="str">
            <v>CA01</v>
          </cell>
          <cell r="S134">
            <v>0.01</v>
          </cell>
        </row>
        <row r="135">
          <cell r="A135">
            <v>2139</v>
          </cell>
          <cell r="B135" t="str">
            <v>CRBS NP2241            STANDARD KG</v>
          </cell>
          <cell r="C135">
            <v>75</v>
          </cell>
          <cell r="D135" t="str">
            <v>KG</v>
          </cell>
          <cell r="E135">
            <v>0.01</v>
          </cell>
          <cell r="G135">
            <v>100</v>
          </cell>
          <cell r="H135" t="str">
            <v>SC Syngenta</v>
          </cell>
          <cell r="J135" t="str">
            <v>BA090</v>
          </cell>
          <cell r="K135">
            <v>1</v>
          </cell>
          <cell r="P135" t="str">
            <v>NP2241</v>
          </cell>
          <cell r="Q135" t="str">
            <v>01Z01ZZ01BQ</v>
          </cell>
          <cell r="R135" t="str">
            <v>CA01</v>
          </cell>
          <cell r="S135">
            <v>0.01</v>
          </cell>
        </row>
        <row r="136">
          <cell r="A136">
            <v>2139</v>
          </cell>
          <cell r="B136" t="str">
            <v>CRBS NP2241            STANDARD KG</v>
          </cell>
          <cell r="C136">
            <v>75</v>
          </cell>
          <cell r="D136" t="str">
            <v>KG</v>
          </cell>
          <cell r="E136">
            <v>0.01</v>
          </cell>
          <cell r="G136">
            <v>100</v>
          </cell>
          <cell r="H136" t="str">
            <v>SC Syngenta</v>
          </cell>
          <cell r="J136" t="str">
            <v>BA090</v>
          </cell>
          <cell r="K136">
            <v>1</v>
          </cell>
          <cell r="P136" t="str">
            <v>NP2241</v>
          </cell>
          <cell r="Q136" t="str">
            <v>01Z01ZZ01BQ</v>
          </cell>
          <cell r="R136" t="str">
            <v>CA01</v>
          </cell>
          <cell r="S136">
            <v>0.01</v>
          </cell>
        </row>
        <row r="137">
          <cell r="A137">
            <v>2139</v>
          </cell>
          <cell r="B137" t="str">
            <v>CRBS NP2241            STANDARD KG</v>
          </cell>
          <cell r="C137">
            <v>75</v>
          </cell>
          <cell r="D137" t="str">
            <v>KG</v>
          </cell>
          <cell r="E137">
            <v>0.01</v>
          </cell>
          <cell r="G137">
            <v>100</v>
          </cell>
          <cell r="H137" t="str">
            <v>SC Syngenta</v>
          </cell>
          <cell r="J137" t="str">
            <v>BA090</v>
          </cell>
          <cell r="K137">
            <v>1</v>
          </cell>
          <cell r="P137" t="str">
            <v>NP2241</v>
          </cell>
          <cell r="Q137" t="str">
            <v>01Z01ZZ01BQ</v>
          </cell>
          <cell r="R137" t="str">
            <v>CA01</v>
          </cell>
          <cell r="S137">
            <v>0.01</v>
          </cell>
        </row>
        <row r="138">
          <cell r="A138">
            <v>2139</v>
          </cell>
          <cell r="B138" t="str">
            <v>CRBS NP2241            STANDARD KG</v>
          </cell>
          <cell r="C138">
            <v>75</v>
          </cell>
          <cell r="D138" t="str">
            <v>KG</v>
          </cell>
          <cell r="E138">
            <v>0.01</v>
          </cell>
          <cell r="G138">
            <v>100</v>
          </cell>
          <cell r="H138" t="str">
            <v>SC Syngenta</v>
          </cell>
          <cell r="J138" t="str">
            <v>BA090</v>
          </cell>
          <cell r="K138">
            <v>1</v>
          </cell>
          <cell r="P138" t="str">
            <v>NP2241</v>
          </cell>
          <cell r="Q138" t="str">
            <v>01Z01ZZ01BQ</v>
          </cell>
          <cell r="R138" t="str">
            <v>CA01</v>
          </cell>
          <cell r="S138">
            <v>0.01</v>
          </cell>
        </row>
        <row r="139">
          <cell r="A139">
            <v>2139</v>
          </cell>
          <cell r="B139" t="str">
            <v>CRBS NP2241            STANDARD KG</v>
          </cell>
          <cell r="C139">
            <v>75</v>
          </cell>
          <cell r="D139" t="str">
            <v>KG</v>
          </cell>
          <cell r="E139">
            <v>0.01</v>
          </cell>
          <cell r="G139">
            <v>100</v>
          </cell>
          <cell r="H139" t="str">
            <v>SC Syngenta</v>
          </cell>
          <cell r="J139" t="str">
            <v>BA090</v>
          </cell>
          <cell r="K139">
            <v>1</v>
          </cell>
          <cell r="P139" t="str">
            <v>NP2241</v>
          </cell>
          <cell r="Q139" t="str">
            <v>01Z01ZZ01BQ</v>
          </cell>
          <cell r="R139" t="str">
            <v>CA01</v>
          </cell>
          <cell r="S139">
            <v>0.01</v>
          </cell>
        </row>
        <row r="140">
          <cell r="A140">
            <v>2139</v>
          </cell>
          <cell r="B140" t="str">
            <v>CRBS NP2241            STANDARD KG</v>
          </cell>
          <cell r="C140">
            <v>75</v>
          </cell>
          <cell r="D140" t="str">
            <v>KG</v>
          </cell>
          <cell r="E140">
            <v>0.01</v>
          </cell>
          <cell r="G140">
            <v>100</v>
          </cell>
          <cell r="H140" t="str">
            <v>SC Syngenta</v>
          </cell>
          <cell r="J140" t="str">
            <v>BA090</v>
          </cell>
          <cell r="K140">
            <v>1</v>
          </cell>
          <cell r="P140" t="str">
            <v>NP2241</v>
          </cell>
          <cell r="Q140" t="str">
            <v>01Z01ZZ01BQ</v>
          </cell>
          <cell r="R140" t="str">
            <v>CA01</v>
          </cell>
          <cell r="S140">
            <v>0.01</v>
          </cell>
        </row>
        <row r="141">
          <cell r="A141">
            <v>2139</v>
          </cell>
          <cell r="B141" t="str">
            <v>CRBS NP2241            STANDARD KG</v>
          </cell>
          <cell r="C141">
            <v>75</v>
          </cell>
          <cell r="D141" t="str">
            <v>KG</v>
          </cell>
          <cell r="E141">
            <v>0.01</v>
          </cell>
          <cell r="G141">
            <v>100</v>
          </cell>
          <cell r="H141" t="str">
            <v>SC Syngenta</v>
          </cell>
          <cell r="J141" t="str">
            <v>BA090</v>
          </cell>
          <cell r="K141">
            <v>1</v>
          </cell>
          <cell r="P141" t="str">
            <v>NP2241</v>
          </cell>
          <cell r="Q141" t="str">
            <v>01Z01ZZ01BQ</v>
          </cell>
          <cell r="R141" t="str">
            <v>CA01</v>
          </cell>
          <cell r="S141">
            <v>0.01</v>
          </cell>
        </row>
        <row r="142">
          <cell r="A142">
            <v>2139</v>
          </cell>
          <cell r="B142" t="str">
            <v>CRBS NP2241            STANDARD KG</v>
          </cell>
          <cell r="C142">
            <v>75</v>
          </cell>
          <cell r="D142" t="str">
            <v>KG</v>
          </cell>
          <cell r="E142">
            <v>0.01</v>
          </cell>
          <cell r="G142">
            <v>100</v>
          </cell>
          <cell r="H142" t="str">
            <v>SC Syngenta</v>
          </cell>
          <cell r="J142" t="str">
            <v>BA090</v>
          </cell>
          <cell r="K142">
            <v>1</v>
          </cell>
          <cell r="P142" t="str">
            <v>NP2241</v>
          </cell>
          <cell r="Q142" t="str">
            <v>01Z01ZZ01BQ</v>
          </cell>
          <cell r="R142" t="str">
            <v>CA01</v>
          </cell>
          <cell r="S142">
            <v>0.01</v>
          </cell>
        </row>
        <row r="143">
          <cell r="A143">
            <v>2139</v>
          </cell>
          <cell r="B143" t="str">
            <v>CRBS NP2241            STANDARD KG</v>
          </cell>
          <cell r="C143">
            <v>75</v>
          </cell>
          <cell r="D143" t="str">
            <v>KG</v>
          </cell>
          <cell r="E143">
            <v>0.01</v>
          </cell>
          <cell r="G143">
            <v>100</v>
          </cell>
          <cell r="H143" t="str">
            <v>SC Syngenta</v>
          </cell>
          <cell r="J143" t="str">
            <v>BA090</v>
          </cell>
          <cell r="K143">
            <v>1</v>
          </cell>
          <cell r="P143" t="str">
            <v>NP2241</v>
          </cell>
          <cell r="Q143" t="str">
            <v>01Z01ZZ01BQ</v>
          </cell>
          <cell r="R143" t="str">
            <v>CA01</v>
          </cell>
          <cell r="S143">
            <v>0.01</v>
          </cell>
        </row>
        <row r="144">
          <cell r="A144">
            <v>2139</v>
          </cell>
          <cell r="B144" t="str">
            <v>CRBS NP2241            STANDARD KG</v>
          </cell>
          <cell r="C144">
            <v>75</v>
          </cell>
          <cell r="D144" t="str">
            <v>KG</v>
          </cell>
          <cell r="E144">
            <v>0.01</v>
          </cell>
          <cell r="G144">
            <v>100</v>
          </cell>
          <cell r="H144" t="str">
            <v>SC Syngenta</v>
          </cell>
          <cell r="J144" t="str">
            <v>BA090</v>
          </cell>
          <cell r="K144">
            <v>1</v>
          </cell>
          <cell r="P144" t="str">
            <v>NP2241</v>
          </cell>
          <cell r="Q144" t="str">
            <v>01Z01ZZ01BQ</v>
          </cell>
          <cell r="R144" t="str">
            <v>CA01</v>
          </cell>
          <cell r="S144">
            <v>0.01</v>
          </cell>
        </row>
        <row r="145">
          <cell r="A145">
            <v>2139</v>
          </cell>
          <cell r="B145" t="str">
            <v>CRBS NP2241            STANDARD KG</v>
          </cell>
          <cell r="C145">
            <v>75</v>
          </cell>
          <cell r="D145" t="str">
            <v>KG</v>
          </cell>
          <cell r="E145">
            <v>0.01</v>
          </cell>
          <cell r="G145">
            <v>100</v>
          </cell>
          <cell r="H145" t="str">
            <v>SC Syngenta</v>
          </cell>
          <cell r="J145" t="str">
            <v>BA090</v>
          </cell>
          <cell r="K145">
            <v>1</v>
          </cell>
          <cell r="P145" t="str">
            <v>NP2241</v>
          </cell>
          <cell r="Q145" t="str">
            <v>01Z01ZZ01BQ</v>
          </cell>
          <cell r="R145" t="str">
            <v>CA01</v>
          </cell>
          <cell r="S145">
            <v>0.01</v>
          </cell>
        </row>
        <row r="146">
          <cell r="A146">
            <v>2139</v>
          </cell>
          <cell r="B146" t="str">
            <v>CRBS NP2241            STANDARD KG</v>
          </cell>
          <cell r="C146">
            <v>75</v>
          </cell>
          <cell r="D146" t="str">
            <v>KG</v>
          </cell>
          <cell r="E146">
            <v>0.01</v>
          </cell>
          <cell r="G146">
            <v>100</v>
          </cell>
          <cell r="H146" t="str">
            <v>SC Syngenta</v>
          </cell>
          <cell r="J146" t="str">
            <v>BA090</v>
          </cell>
          <cell r="K146">
            <v>1</v>
          </cell>
          <cell r="P146" t="str">
            <v>NP2241</v>
          </cell>
          <cell r="Q146" t="str">
            <v>01Z01ZZ01BQ</v>
          </cell>
          <cell r="R146" t="str">
            <v>CA01</v>
          </cell>
          <cell r="S146">
            <v>0.01</v>
          </cell>
        </row>
        <row r="147">
          <cell r="A147">
            <v>2139</v>
          </cell>
          <cell r="B147" t="str">
            <v>CRBS NP2241            STANDARD KG</v>
          </cell>
          <cell r="C147">
            <v>75</v>
          </cell>
          <cell r="D147" t="str">
            <v>KG</v>
          </cell>
          <cell r="E147">
            <v>0.01</v>
          </cell>
          <cell r="G147">
            <v>100</v>
          </cell>
          <cell r="H147" t="str">
            <v>SC Syngenta</v>
          </cell>
          <cell r="J147" t="str">
            <v>BA090</v>
          </cell>
          <cell r="K147">
            <v>1</v>
          </cell>
          <cell r="P147" t="str">
            <v>NP2241</v>
          </cell>
          <cell r="Q147" t="str">
            <v>01Z01ZZ01BQ</v>
          </cell>
          <cell r="R147" t="str">
            <v>CA01</v>
          </cell>
          <cell r="S147">
            <v>0.01</v>
          </cell>
        </row>
        <row r="148">
          <cell r="A148">
            <v>2139</v>
          </cell>
          <cell r="B148" t="str">
            <v>CRBS NP2241            STANDARD KG</v>
          </cell>
          <cell r="C148">
            <v>75</v>
          </cell>
          <cell r="D148" t="str">
            <v>KG</v>
          </cell>
          <cell r="E148">
            <v>0.01</v>
          </cell>
          <cell r="G148">
            <v>100</v>
          </cell>
          <cell r="H148" t="str">
            <v>SC Syngenta</v>
          </cell>
          <cell r="J148" t="str">
            <v>BA090</v>
          </cell>
          <cell r="K148">
            <v>1</v>
          </cell>
          <cell r="P148" t="str">
            <v>NP2241</v>
          </cell>
          <cell r="Q148" t="str">
            <v>01Z01ZZ01BQ</v>
          </cell>
          <cell r="R148" t="str">
            <v>CA01</v>
          </cell>
          <cell r="S148">
            <v>0.01</v>
          </cell>
        </row>
        <row r="149">
          <cell r="A149">
            <v>2139</v>
          </cell>
          <cell r="B149" t="str">
            <v>CRBS NP2241            STANDARD KG</v>
          </cell>
          <cell r="C149">
            <v>75</v>
          </cell>
          <cell r="D149" t="str">
            <v>KG</v>
          </cell>
          <cell r="E149">
            <v>0.01</v>
          </cell>
          <cell r="G149">
            <v>100</v>
          </cell>
          <cell r="H149" t="str">
            <v>SC Syngenta</v>
          </cell>
          <cell r="J149" t="str">
            <v>BA090</v>
          </cell>
          <cell r="K149">
            <v>1</v>
          </cell>
          <cell r="P149" t="str">
            <v>NP2241</v>
          </cell>
          <cell r="Q149" t="str">
            <v>01Z01ZZ01BQ</v>
          </cell>
          <cell r="R149" t="str">
            <v>CA01</v>
          </cell>
          <cell r="S149">
            <v>0.01</v>
          </cell>
        </row>
        <row r="150">
          <cell r="A150">
            <v>2139</v>
          </cell>
          <cell r="B150" t="str">
            <v>CRBS NP2241            STANDARD KG</v>
          </cell>
          <cell r="C150">
            <v>75</v>
          </cell>
          <cell r="D150" t="str">
            <v>KG</v>
          </cell>
          <cell r="E150">
            <v>0.01</v>
          </cell>
          <cell r="G150">
            <v>100</v>
          </cell>
          <cell r="H150" t="str">
            <v>SC Syngenta</v>
          </cell>
          <cell r="J150" t="str">
            <v>BA090</v>
          </cell>
          <cell r="K150">
            <v>1</v>
          </cell>
          <cell r="P150" t="str">
            <v>NP2241</v>
          </cell>
          <cell r="Q150" t="str">
            <v>01Z01ZZ01BQ</v>
          </cell>
          <cell r="R150" t="str">
            <v>CA01</v>
          </cell>
          <cell r="S150">
            <v>0.01</v>
          </cell>
        </row>
        <row r="151">
          <cell r="A151">
            <v>2139</v>
          </cell>
          <cell r="B151" t="str">
            <v>CRBS NP2241            STANDARD KG</v>
          </cell>
          <cell r="C151">
            <v>75</v>
          </cell>
          <cell r="D151" t="str">
            <v>KG</v>
          </cell>
          <cell r="E151">
            <v>0.01</v>
          </cell>
          <cell r="G151">
            <v>100</v>
          </cell>
          <cell r="H151" t="str">
            <v>SC Syngenta</v>
          </cell>
          <cell r="J151" t="str">
            <v>BA090</v>
          </cell>
          <cell r="K151">
            <v>1</v>
          </cell>
          <cell r="P151" t="str">
            <v>NP2241</v>
          </cell>
          <cell r="Q151" t="str">
            <v>01Z01ZZ01BQ</v>
          </cell>
          <cell r="R151" t="str">
            <v>CA01</v>
          </cell>
          <cell r="S151">
            <v>0.01</v>
          </cell>
        </row>
        <row r="152">
          <cell r="A152">
            <v>2139</v>
          </cell>
          <cell r="B152" t="str">
            <v>CRBS NP2241            STANDARD KG</v>
          </cell>
          <cell r="C152">
            <v>75</v>
          </cell>
          <cell r="D152" t="str">
            <v>KG</v>
          </cell>
          <cell r="E152">
            <v>0.01</v>
          </cell>
          <cell r="G152">
            <v>100</v>
          </cell>
          <cell r="H152" t="str">
            <v>SC Syngenta</v>
          </cell>
          <cell r="J152" t="str">
            <v>BA090</v>
          </cell>
          <cell r="K152">
            <v>1</v>
          </cell>
          <cell r="P152" t="str">
            <v>NP2241</v>
          </cell>
          <cell r="Q152" t="str">
            <v>01Z01ZZ01BQ</v>
          </cell>
          <cell r="R152" t="str">
            <v>CA01</v>
          </cell>
          <cell r="S152">
            <v>0.01</v>
          </cell>
        </row>
        <row r="153">
          <cell r="A153">
            <v>2139</v>
          </cell>
          <cell r="B153" t="str">
            <v>CRBS NP2241            STANDARD KG</v>
          </cell>
          <cell r="C153">
            <v>75</v>
          </cell>
          <cell r="D153" t="str">
            <v>KG</v>
          </cell>
          <cell r="E153">
            <v>0.01</v>
          </cell>
          <cell r="G153">
            <v>100</v>
          </cell>
          <cell r="H153" t="str">
            <v>SC Syngenta</v>
          </cell>
          <cell r="J153" t="str">
            <v>BA090</v>
          </cell>
          <cell r="K153">
            <v>1</v>
          </cell>
          <cell r="P153" t="str">
            <v>NP2241</v>
          </cell>
          <cell r="Q153" t="str">
            <v>01Z01ZZ01BQ</v>
          </cell>
          <cell r="R153" t="str">
            <v>CA01</v>
          </cell>
          <cell r="S153">
            <v>0.01</v>
          </cell>
        </row>
        <row r="154">
          <cell r="A154">
            <v>2139</v>
          </cell>
          <cell r="B154" t="str">
            <v>CRBS NP2241            STANDARD KG</v>
          </cell>
          <cell r="C154">
            <v>75</v>
          </cell>
          <cell r="D154" t="str">
            <v>KG</v>
          </cell>
          <cell r="E154">
            <v>0.01</v>
          </cell>
          <cell r="G154">
            <v>100</v>
          </cell>
          <cell r="H154" t="str">
            <v>SC Syngenta</v>
          </cell>
          <cell r="J154" t="str">
            <v>BA090</v>
          </cell>
          <cell r="K154">
            <v>1</v>
          </cell>
          <cell r="P154" t="str">
            <v>NP2241</v>
          </cell>
          <cell r="Q154" t="str">
            <v>01Z01ZZ01BQ</v>
          </cell>
          <cell r="R154" t="str">
            <v>CA01</v>
          </cell>
          <cell r="S154">
            <v>0.01</v>
          </cell>
        </row>
        <row r="155">
          <cell r="A155">
            <v>2139</v>
          </cell>
          <cell r="B155" t="str">
            <v>CRBS NP2241            STANDARD KG</v>
          </cell>
          <cell r="C155">
            <v>75</v>
          </cell>
          <cell r="D155" t="str">
            <v>KG</v>
          </cell>
          <cell r="E155">
            <v>0.01</v>
          </cell>
          <cell r="G155">
            <v>100</v>
          </cell>
          <cell r="H155" t="str">
            <v>SC Syngenta</v>
          </cell>
          <cell r="J155" t="str">
            <v>BA090</v>
          </cell>
          <cell r="K155">
            <v>1</v>
          </cell>
          <cell r="P155" t="str">
            <v>NP2241</v>
          </cell>
          <cell r="Q155" t="str">
            <v>01Z01ZZ01BQ</v>
          </cell>
          <cell r="R155" t="str">
            <v>CA01</v>
          </cell>
          <cell r="S155">
            <v>0.01</v>
          </cell>
        </row>
        <row r="156">
          <cell r="A156">
            <v>2139</v>
          </cell>
          <cell r="B156" t="str">
            <v>CRBS NP2241            STANDARD KG</v>
          </cell>
          <cell r="C156">
            <v>75</v>
          </cell>
          <cell r="D156" t="str">
            <v>KG</v>
          </cell>
          <cell r="E156">
            <v>0.01</v>
          </cell>
          <cell r="G156">
            <v>100</v>
          </cell>
          <cell r="H156" t="str">
            <v>SC Syngenta</v>
          </cell>
          <cell r="J156" t="str">
            <v>BA090</v>
          </cell>
          <cell r="K156">
            <v>1</v>
          </cell>
          <cell r="P156" t="str">
            <v>NP2241</v>
          </cell>
          <cell r="Q156" t="str">
            <v>01Z01ZZ01BQ</v>
          </cell>
          <cell r="R156" t="str">
            <v>CA01</v>
          </cell>
          <cell r="S156">
            <v>0.01</v>
          </cell>
        </row>
        <row r="157">
          <cell r="A157">
            <v>2139</v>
          </cell>
          <cell r="B157" t="str">
            <v>CRBS NP2241            STANDARD KG</v>
          </cell>
          <cell r="C157">
            <v>75</v>
          </cell>
          <cell r="D157" t="str">
            <v>KG</v>
          </cell>
          <cell r="E157">
            <v>0.01</v>
          </cell>
          <cell r="G157">
            <v>100</v>
          </cell>
          <cell r="H157" t="str">
            <v>SC Syngenta</v>
          </cell>
          <cell r="J157" t="str">
            <v>BA090</v>
          </cell>
          <cell r="K157">
            <v>1</v>
          </cell>
          <cell r="P157" t="str">
            <v>NP2241</v>
          </cell>
          <cell r="Q157" t="str">
            <v>01Z01ZZ01BQ</v>
          </cell>
          <cell r="R157" t="str">
            <v>CA01</v>
          </cell>
          <cell r="S157">
            <v>0.01</v>
          </cell>
        </row>
        <row r="158">
          <cell r="A158">
            <v>2139</v>
          </cell>
          <cell r="B158" t="str">
            <v>CRBS NP2241            STANDARD KG</v>
          </cell>
          <cell r="C158">
            <v>75</v>
          </cell>
          <cell r="D158" t="str">
            <v>KG</v>
          </cell>
          <cell r="E158">
            <v>0.01</v>
          </cell>
          <cell r="G158">
            <v>100</v>
          </cell>
          <cell r="H158" t="str">
            <v>SC Syngenta</v>
          </cell>
          <cell r="J158" t="str">
            <v>BA090</v>
          </cell>
          <cell r="K158">
            <v>1</v>
          </cell>
          <cell r="P158" t="str">
            <v>NP2241</v>
          </cell>
          <cell r="Q158" t="str">
            <v>01Z01ZZ01BQ</v>
          </cell>
          <cell r="R158" t="str">
            <v>CA01</v>
          </cell>
          <cell r="S158">
            <v>0.01</v>
          </cell>
        </row>
        <row r="159">
          <cell r="A159">
            <v>2139</v>
          </cell>
          <cell r="B159" t="str">
            <v>CRBS NP2241            STANDARD KG</v>
          </cell>
          <cell r="C159">
            <v>75</v>
          </cell>
          <cell r="D159" t="str">
            <v>KG</v>
          </cell>
          <cell r="E159">
            <v>0.01</v>
          </cell>
          <cell r="G159">
            <v>100</v>
          </cell>
          <cell r="H159" t="str">
            <v>SC Syngenta</v>
          </cell>
          <cell r="J159" t="str">
            <v>BA090</v>
          </cell>
          <cell r="K159">
            <v>1</v>
          </cell>
          <cell r="P159" t="str">
            <v>NP2241</v>
          </cell>
          <cell r="Q159" t="str">
            <v>01Z01ZZ01BQ</v>
          </cell>
          <cell r="R159" t="str">
            <v>CA01</v>
          </cell>
          <cell r="S159">
            <v>0.01</v>
          </cell>
        </row>
        <row r="160">
          <cell r="A160">
            <v>2139</v>
          </cell>
          <cell r="B160" t="str">
            <v>CRBS NP2241            STANDARD KG</v>
          </cell>
          <cell r="C160">
            <v>75</v>
          </cell>
          <cell r="D160" t="str">
            <v>KG</v>
          </cell>
          <cell r="E160">
            <v>0.01</v>
          </cell>
          <cell r="G160">
            <v>100</v>
          </cell>
          <cell r="H160" t="str">
            <v>SC Syngenta</v>
          </cell>
          <cell r="J160" t="str">
            <v>BA090</v>
          </cell>
          <cell r="K160">
            <v>1</v>
          </cell>
          <cell r="P160" t="str">
            <v>NP2241</v>
          </cell>
          <cell r="Q160" t="str">
            <v>01Z01ZZ01BQ</v>
          </cell>
          <cell r="R160" t="str">
            <v>CA01</v>
          </cell>
          <cell r="S160">
            <v>0.01</v>
          </cell>
        </row>
        <row r="161">
          <cell r="A161">
            <v>2139</v>
          </cell>
          <cell r="B161" t="str">
            <v>CRBS NP2241            STANDARD KG</v>
          </cell>
          <cell r="C161">
            <v>75</v>
          </cell>
          <cell r="D161" t="str">
            <v>KG</v>
          </cell>
          <cell r="E161">
            <v>0.01</v>
          </cell>
          <cell r="G161">
            <v>100</v>
          </cell>
          <cell r="H161" t="str">
            <v>SC Syngenta</v>
          </cell>
          <cell r="J161" t="str">
            <v>BA090</v>
          </cell>
          <cell r="K161">
            <v>1</v>
          </cell>
          <cell r="P161" t="str">
            <v>NP2241</v>
          </cell>
          <cell r="Q161" t="str">
            <v>01Z01ZZ01BQ</v>
          </cell>
          <cell r="R161" t="str">
            <v>CA01</v>
          </cell>
          <cell r="S161">
            <v>0.01</v>
          </cell>
        </row>
        <row r="162">
          <cell r="A162">
            <v>2139</v>
          </cell>
          <cell r="B162" t="str">
            <v>CRBS NP2241            STANDARD KG</v>
          </cell>
          <cell r="C162">
            <v>75</v>
          </cell>
          <cell r="D162" t="str">
            <v>KG</v>
          </cell>
          <cell r="E162">
            <v>0.01</v>
          </cell>
          <cell r="G162">
            <v>100</v>
          </cell>
          <cell r="H162" t="str">
            <v>SC Syngenta</v>
          </cell>
          <cell r="J162" t="str">
            <v>BA090</v>
          </cell>
          <cell r="K162">
            <v>1</v>
          </cell>
          <cell r="P162" t="str">
            <v>NP2241</v>
          </cell>
          <cell r="Q162" t="str">
            <v>01Z01ZZ01BQ</v>
          </cell>
          <cell r="R162" t="str">
            <v>CA01</v>
          </cell>
          <cell r="S162">
            <v>0.01</v>
          </cell>
        </row>
        <row r="163">
          <cell r="A163">
            <v>2139</v>
          </cell>
          <cell r="B163" t="str">
            <v>CRBS NP2241            STANDARD KG</v>
          </cell>
          <cell r="C163">
            <v>75</v>
          </cell>
          <cell r="D163" t="str">
            <v>KG</v>
          </cell>
          <cell r="E163">
            <v>0.01</v>
          </cell>
          <cell r="G163">
            <v>100</v>
          </cell>
          <cell r="H163" t="str">
            <v>SC Syngenta</v>
          </cell>
          <cell r="J163" t="str">
            <v>BA090</v>
          </cell>
          <cell r="K163">
            <v>1</v>
          </cell>
          <cell r="P163" t="str">
            <v>NP2241</v>
          </cell>
          <cell r="Q163" t="str">
            <v>01Z01ZZ01BQ</v>
          </cell>
          <cell r="R163" t="str">
            <v>CA01</v>
          </cell>
          <cell r="S163">
            <v>0.01</v>
          </cell>
        </row>
        <row r="164">
          <cell r="A164">
            <v>2603</v>
          </cell>
          <cell r="B164" t="str">
            <v>Áàòüê³âñüêà ôîðìà êóêóðóäçè NP 2143     </v>
          </cell>
          <cell r="C164">
            <v>0</v>
          </cell>
          <cell r="D164" t="str">
            <v>KG</v>
          </cell>
          <cell r="E164">
            <v>409.44</v>
          </cell>
          <cell r="G164">
            <v>100</v>
          </cell>
          <cell r="H164" t="str">
            <v>SC Syngenta</v>
          </cell>
          <cell r="J164" t="str">
            <v>BA090</v>
          </cell>
          <cell r="K164">
            <v>1</v>
          </cell>
          <cell r="N164">
            <v>409.13</v>
          </cell>
          <cell r="P164" t="str">
            <v>NP2143</v>
          </cell>
          <cell r="Q164" t="str">
            <v>01Z01ZZ01AH</v>
          </cell>
          <cell r="R164" t="str">
            <v>CA01</v>
          </cell>
          <cell r="S164">
            <v>0.01</v>
          </cell>
        </row>
        <row r="165">
          <cell r="A165">
            <v>2603</v>
          </cell>
          <cell r="B165" t="str">
            <v>Áàòüê³âñüêà ôîðìà êóêóðóäçè NP 2143     </v>
          </cell>
          <cell r="C165">
            <v>0</v>
          </cell>
          <cell r="D165" t="str">
            <v>KG</v>
          </cell>
          <cell r="E165">
            <v>409.44</v>
          </cell>
          <cell r="G165">
            <v>100</v>
          </cell>
          <cell r="H165" t="str">
            <v>SC Syngenta</v>
          </cell>
          <cell r="J165" t="str">
            <v>BA090</v>
          </cell>
          <cell r="K165">
            <v>1</v>
          </cell>
          <cell r="N165">
            <v>409.13</v>
          </cell>
          <cell r="P165" t="str">
            <v>NP2143</v>
          </cell>
          <cell r="Q165" t="str">
            <v>01Z01ZZ01AH</v>
          </cell>
          <cell r="R165" t="str">
            <v>CA01</v>
          </cell>
          <cell r="S165">
            <v>0.01</v>
          </cell>
        </row>
        <row r="166">
          <cell r="A166">
            <v>2603</v>
          </cell>
          <cell r="B166" t="str">
            <v>Áàòüê³âñüêà ôîðìà êóêóðóäçè NP 2143     </v>
          </cell>
          <cell r="C166">
            <v>0</v>
          </cell>
          <cell r="D166" t="str">
            <v>KG</v>
          </cell>
          <cell r="E166">
            <v>409.44</v>
          </cell>
          <cell r="G166">
            <v>100</v>
          </cell>
          <cell r="H166" t="str">
            <v>SC Syngenta</v>
          </cell>
          <cell r="J166" t="str">
            <v>BA090</v>
          </cell>
          <cell r="K166">
            <v>1</v>
          </cell>
          <cell r="N166">
            <v>409.13</v>
          </cell>
          <cell r="P166" t="str">
            <v>NP2143</v>
          </cell>
          <cell r="Q166" t="str">
            <v>01Z01ZZ01AH</v>
          </cell>
          <cell r="R166" t="str">
            <v>CA01</v>
          </cell>
          <cell r="S166">
            <v>0.01</v>
          </cell>
        </row>
        <row r="167">
          <cell r="A167">
            <v>2603</v>
          </cell>
          <cell r="B167" t="str">
            <v>Áàòüê³âñüêà ôîðìà êóêóðóäçè NP 2143     </v>
          </cell>
          <cell r="C167">
            <v>0</v>
          </cell>
          <cell r="D167" t="str">
            <v>KG</v>
          </cell>
          <cell r="E167">
            <v>409.44</v>
          </cell>
          <cell r="G167">
            <v>100</v>
          </cell>
          <cell r="H167" t="str">
            <v>SC Syngenta</v>
          </cell>
          <cell r="J167" t="str">
            <v>BA090</v>
          </cell>
          <cell r="K167">
            <v>1</v>
          </cell>
          <cell r="N167">
            <v>409.13</v>
          </cell>
          <cell r="P167" t="str">
            <v>NP2143</v>
          </cell>
          <cell r="Q167" t="str">
            <v>01Z01ZZ01AH</v>
          </cell>
          <cell r="R167" t="str">
            <v>CA01</v>
          </cell>
          <cell r="S167">
            <v>0.01</v>
          </cell>
        </row>
        <row r="168">
          <cell r="A168">
            <v>2603</v>
          </cell>
          <cell r="B168" t="str">
            <v>Áàòüê³âñüêà ôîðìà êóêóðóäçè NP 2143     </v>
          </cell>
          <cell r="C168">
            <v>0</v>
          </cell>
          <cell r="D168" t="str">
            <v>KG</v>
          </cell>
          <cell r="E168">
            <v>409.44</v>
          </cell>
          <cell r="G168">
            <v>100</v>
          </cell>
          <cell r="H168" t="str">
            <v>SC Syngenta</v>
          </cell>
          <cell r="J168" t="str">
            <v>BA090</v>
          </cell>
          <cell r="K168">
            <v>1</v>
          </cell>
          <cell r="N168">
            <v>409.13</v>
          </cell>
          <cell r="P168" t="str">
            <v>NP2143</v>
          </cell>
          <cell r="Q168" t="str">
            <v>01Z01ZZ01AH</v>
          </cell>
          <cell r="R168" t="str">
            <v>CA01</v>
          </cell>
          <cell r="S168">
            <v>0.01</v>
          </cell>
        </row>
        <row r="169">
          <cell r="A169">
            <v>2603</v>
          </cell>
          <cell r="B169" t="str">
            <v>Áàòüê³âñüêà ôîðìà êóêóðóäçè NP 2143     </v>
          </cell>
          <cell r="C169">
            <v>0</v>
          </cell>
          <cell r="D169" t="str">
            <v>KG</v>
          </cell>
          <cell r="E169">
            <v>409.44</v>
          </cell>
          <cell r="G169">
            <v>100</v>
          </cell>
          <cell r="H169" t="str">
            <v>SC Syngenta</v>
          </cell>
          <cell r="J169" t="str">
            <v>BA090</v>
          </cell>
          <cell r="K169">
            <v>1</v>
          </cell>
          <cell r="N169">
            <v>409.13</v>
          </cell>
          <cell r="P169" t="str">
            <v>NP2143</v>
          </cell>
          <cell r="Q169" t="str">
            <v>01Z01ZZ01AH</v>
          </cell>
          <cell r="R169" t="str">
            <v>CA01</v>
          </cell>
          <cell r="S169">
            <v>0.01</v>
          </cell>
        </row>
        <row r="170">
          <cell r="A170">
            <v>2603</v>
          </cell>
          <cell r="B170" t="str">
            <v>Áàòüê³âñüêà ôîðìà êóêóðóäçè NP 2143     </v>
          </cell>
          <cell r="C170">
            <v>0</v>
          </cell>
          <cell r="D170" t="str">
            <v>KG</v>
          </cell>
          <cell r="E170">
            <v>409.44</v>
          </cell>
          <cell r="G170">
            <v>100</v>
          </cell>
          <cell r="H170" t="str">
            <v>SC Syngenta</v>
          </cell>
          <cell r="J170" t="str">
            <v>BA090</v>
          </cell>
          <cell r="K170">
            <v>1</v>
          </cell>
          <cell r="N170">
            <v>409.13</v>
          </cell>
          <cell r="P170" t="str">
            <v>NP2143</v>
          </cell>
          <cell r="Q170" t="str">
            <v>01Z01ZZ01AH</v>
          </cell>
          <cell r="R170" t="str">
            <v>CA01</v>
          </cell>
          <cell r="S170">
            <v>0.01</v>
          </cell>
        </row>
        <row r="171">
          <cell r="A171">
            <v>2603</v>
          </cell>
          <cell r="B171" t="str">
            <v>Áàòüê³âñüêà ôîðìà êóêóðóäçè NP 2143     </v>
          </cell>
          <cell r="C171">
            <v>0</v>
          </cell>
          <cell r="D171" t="str">
            <v>KG</v>
          </cell>
          <cell r="E171">
            <v>409.44</v>
          </cell>
          <cell r="G171">
            <v>100</v>
          </cell>
          <cell r="H171" t="str">
            <v>SC Syngenta</v>
          </cell>
          <cell r="J171" t="str">
            <v>BA090</v>
          </cell>
          <cell r="K171">
            <v>1</v>
          </cell>
          <cell r="N171">
            <v>409.13</v>
          </cell>
          <cell r="P171" t="str">
            <v>NP2143</v>
          </cell>
          <cell r="Q171" t="str">
            <v>01Z01ZZ01AH</v>
          </cell>
          <cell r="R171" t="str">
            <v>CA01</v>
          </cell>
          <cell r="S171">
            <v>0.01</v>
          </cell>
        </row>
        <row r="172">
          <cell r="A172">
            <v>2603</v>
          </cell>
          <cell r="B172" t="str">
            <v>Áàòüê³âñüêà ôîðìà êóêóðóäçè NP 2143     </v>
          </cell>
          <cell r="C172">
            <v>0</v>
          </cell>
          <cell r="D172" t="str">
            <v>KG</v>
          </cell>
          <cell r="E172">
            <v>409.44</v>
          </cell>
          <cell r="G172">
            <v>100</v>
          </cell>
          <cell r="H172" t="str">
            <v>SC Syngenta</v>
          </cell>
          <cell r="J172" t="str">
            <v>BA090</v>
          </cell>
          <cell r="K172">
            <v>1</v>
          </cell>
          <cell r="N172">
            <v>409.13</v>
          </cell>
          <cell r="P172" t="str">
            <v>NP2143</v>
          </cell>
          <cell r="Q172" t="str">
            <v>01Z01ZZ01AH</v>
          </cell>
          <cell r="R172" t="str">
            <v>CA01</v>
          </cell>
          <cell r="S172">
            <v>0.01</v>
          </cell>
        </row>
        <row r="173">
          <cell r="A173">
            <v>2603</v>
          </cell>
          <cell r="B173" t="str">
            <v>Áàòüê³âñüêà ôîðìà êóêóðóäçè NP 2143     </v>
          </cell>
          <cell r="C173">
            <v>0</v>
          </cell>
          <cell r="D173" t="str">
            <v>KG</v>
          </cell>
          <cell r="E173">
            <v>409.44</v>
          </cell>
          <cell r="G173">
            <v>100</v>
          </cell>
          <cell r="H173" t="str">
            <v>SC Syngenta</v>
          </cell>
          <cell r="J173" t="str">
            <v>BA090</v>
          </cell>
          <cell r="K173">
            <v>1</v>
          </cell>
          <cell r="N173">
            <v>409.13</v>
          </cell>
          <cell r="P173" t="str">
            <v>NP2143</v>
          </cell>
          <cell r="Q173" t="str">
            <v>01Z01ZZ01AH</v>
          </cell>
          <cell r="R173" t="str">
            <v>CA01</v>
          </cell>
          <cell r="S173">
            <v>0.01</v>
          </cell>
        </row>
        <row r="174">
          <cell r="A174">
            <v>2603</v>
          </cell>
          <cell r="B174" t="str">
            <v>Áàòüê³âñüêà ôîðìà êóêóðóäçè NP 2143     </v>
          </cell>
          <cell r="C174">
            <v>0</v>
          </cell>
          <cell r="D174" t="str">
            <v>KG</v>
          </cell>
          <cell r="E174">
            <v>409.44</v>
          </cell>
          <cell r="G174">
            <v>100</v>
          </cell>
          <cell r="H174" t="str">
            <v>SC Syngenta</v>
          </cell>
          <cell r="J174" t="str">
            <v>BA090</v>
          </cell>
          <cell r="K174">
            <v>1</v>
          </cell>
          <cell r="N174">
            <v>409.13</v>
          </cell>
          <cell r="P174" t="str">
            <v>NP2143</v>
          </cell>
          <cell r="Q174" t="str">
            <v>01Z01ZZ01AH</v>
          </cell>
          <cell r="R174" t="str">
            <v>CA01</v>
          </cell>
          <cell r="S174">
            <v>0.01</v>
          </cell>
        </row>
        <row r="175">
          <cell r="A175">
            <v>2603</v>
          </cell>
          <cell r="B175" t="str">
            <v>Áàòüê³âñüêà ôîðìà êóêóðóäçè NP 2143     </v>
          </cell>
          <cell r="C175">
            <v>0</v>
          </cell>
          <cell r="D175" t="str">
            <v>KG</v>
          </cell>
          <cell r="E175">
            <v>409.44</v>
          </cell>
          <cell r="G175">
            <v>100</v>
          </cell>
          <cell r="H175" t="str">
            <v>SC Syngenta</v>
          </cell>
          <cell r="J175" t="str">
            <v>BA090</v>
          </cell>
          <cell r="K175">
            <v>1</v>
          </cell>
          <cell r="N175">
            <v>409.13</v>
          </cell>
          <cell r="P175" t="str">
            <v>NP2143</v>
          </cell>
          <cell r="Q175" t="str">
            <v>01Z01ZZ01AH</v>
          </cell>
          <cell r="R175" t="str">
            <v>CA01</v>
          </cell>
          <cell r="S175">
            <v>0.01</v>
          </cell>
        </row>
        <row r="176">
          <cell r="A176">
            <v>2603</v>
          </cell>
          <cell r="B176" t="str">
            <v>Áàòüê³âñüêà ôîðìà êóêóðóäçè NP 2143     </v>
          </cell>
          <cell r="C176">
            <v>0</v>
          </cell>
          <cell r="D176" t="str">
            <v>KG</v>
          </cell>
          <cell r="E176">
            <v>409.44</v>
          </cell>
          <cell r="G176">
            <v>100</v>
          </cell>
          <cell r="H176" t="str">
            <v>SC Syngenta</v>
          </cell>
          <cell r="J176" t="str">
            <v>BA090</v>
          </cell>
          <cell r="K176">
            <v>1</v>
          </cell>
          <cell r="N176">
            <v>409.13</v>
          </cell>
          <cell r="P176" t="str">
            <v>NP2143</v>
          </cell>
          <cell r="Q176" t="str">
            <v>01Z01ZZ01AH</v>
          </cell>
          <cell r="R176" t="str">
            <v>CA01</v>
          </cell>
          <cell r="S176">
            <v>0.01</v>
          </cell>
        </row>
        <row r="177">
          <cell r="A177">
            <v>2603</v>
          </cell>
          <cell r="B177" t="str">
            <v>CRBS NP2143 STANDARD KG</v>
          </cell>
          <cell r="C177">
            <v>0</v>
          </cell>
          <cell r="D177" t="str">
            <v>KG</v>
          </cell>
          <cell r="E177">
            <v>409.44</v>
          </cell>
          <cell r="G177">
            <v>100</v>
          </cell>
          <cell r="H177" t="str">
            <v>SC Syngenta</v>
          </cell>
          <cell r="J177" t="str">
            <v>BA090</v>
          </cell>
          <cell r="K177">
            <v>1</v>
          </cell>
          <cell r="N177">
            <v>409.13</v>
          </cell>
          <cell r="P177" t="str">
            <v>NP2143</v>
          </cell>
          <cell r="Q177" t="str">
            <v>01Z01ZZ01AH</v>
          </cell>
          <cell r="R177" t="str">
            <v>CA01</v>
          </cell>
          <cell r="S177">
            <v>0.01</v>
          </cell>
        </row>
        <row r="178">
          <cell r="A178">
            <v>2603</v>
          </cell>
          <cell r="B178" t="str">
            <v>CRBS NP2143 STANDARD KG</v>
          </cell>
          <cell r="C178">
            <v>0</v>
          </cell>
          <cell r="D178" t="str">
            <v>KG</v>
          </cell>
          <cell r="E178">
            <v>409.44</v>
          </cell>
          <cell r="G178">
            <v>100</v>
          </cell>
          <cell r="H178" t="str">
            <v>SC Syngenta</v>
          </cell>
          <cell r="J178" t="str">
            <v>BA090</v>
          </cell>
          <cell r="K178">
            <v>1</v>
          </cell>
          <cell r="N178">
            <v>409.13</v>
          </cell>
          <cell r="P178" t="str">
            <v>NP2143</v>
          </cell>
          <cell r="Q178" t="str">
            <v>01Z01ZZ01AH</v>
          </cell>
          <cell r="R178" t="str">
            <v>CA01</v>
          </cell>
          <cell r="S178">
            <v>0.01</v>
          </cell>
        </row>
        <row r="179">
          <cell r="A179">
            <v>2603</v>
          </cell>
          <cell r="B179" t="str">
            <v>CRBS NP2143 STANDARD KG</v>
          </cell>
          <cell r="C179">
            <v>0</v>
          </cell>
          <cell r="D179" t="str">
            <v>KG</v>
          </cell>
          <cell r="E179">
            <v>409.44</v>
          </cell>
          <cell r="G179">
            <v>100</v>
          </cell>
          <cell r="H179" t="str">
            <v>SC Syngenta</v>
          </cell>
          <cell r="J179" t="str">
            <v>BA090</v>
          </cell>
          <cell r="K179">
            <v>1</v>
          </cell>
          <cell r="N179">
            <v>409.13</v>
          </cell>
          <cell r="P179" t="str">
            <v>NP2143</v>
          </cell>
          <cell r="Q179" t="str">
            <v>01Z01ZZ01AH</v>
          </cell>
          <cell r="R179" t="str">
            <v>CA01</v>
          </cell>
          <cell r="S179">
            <v>0.01</v>
          </cell>
        </row>
        <row r="180">
          <cell r="A180">
            <v>2603</v>
          </cell>
          <cell r="B180" t="str">
            <v>CRBS NP2143 STANDARD KG</v>
          </cell>
          <cell r="C180">
            <v>0</v>
          </cell>
          <cell r="D180" t="str">
            <v>KG</v>
          </cell>
          <cell r="E180">
            <v>409.44</v>
          </cell>
          <cell r="G180">
            <v>100</v>
          </cell>
          <cell r="H180" t="str">
            <v>SC Syngenta</v>
          </cell>
          <cell r="J180" t="str">
            <v>BA090</v>
          </cell>
          <cell r="K180">
            <v>1</v>
          </cell>
          <cell r="N180">
            <v>409.13</v>
          </cell>
          <cell r="P180" t="str">
            <v>NP2143</v>
          </cell>
          <cell r="Q180" t="str">
            <v>01Z01ZZ01AH</v>
          </cell>
          <cell r="R180" t="str">
            <v>CA01</v>
          </cell>
          <cell r="S180">
            <v>0.01</v>
          </cell>
        </row>
        <row r="181">
          <cell r="A181">
            <v>2603</v>
          </cell>
          <cell r="B181" t="str">
            <v>CRBS NP2143 STANDARD KG</v>
          </cell>
          <cell r="C181">
            <v>0</v>
          </cell>
          <cell r="D181" t="str">
            <v>KG</v>
          </cell>
          <cell r="E181">
            <v>409.44</v>
          </cell>
          <cell r="G181">
            <v>100</v>
          </cell>
          <cell r="H181" t="str">
            <v>SC Syngenta</v>
          </cell>
          <cell r="J181" t="str">
            <v>BA090</v>
          </cell>
          <cell r="K181">
            <v>1</v>
          </cell>
          <cell r="N181">
            <v>409.13</v>
          </cell>
          <cell r="P181" t="str">
            <v>NP2143</v>
          </cell>
          <cell r="Q181" t="str">
            <v>01Z01ZZ01AH</v>
          </cell>
          <cell r="R181" t="str">
            <v>CA01</v>
          </cell>
          <cell r="S181">
            <v>0.01</v>
          </cell>
        </row>
        <row r="182">
          <cell r="A182">
            <v>2603</v>
          </cell>
          <cell r="B182" t="str">
            <v>CRBS NP2143 STANDARD KG</v>
          </cell>
          <cell r="C182">
            <v>0</v>
          </cell>
          <cell r="D182" t="str">
            <v>KG</v>
          </cell>
          <cell r="E182">
            <v>409.44</v>
          </cell>
          <cell r="G182">
            <v>100</v>
          </cell>
          <cell r="H182" t="str">
            <v>SC Syngenta</v>
          </cell>
          <cell r="J182" t="str">
            <v>BA090</v>
          </cell>
          <cell r="K182">
            <v>1</v>
          </cell>
          <cell r="N182">
            <v>409.13</v>
          </cell>
          <cell r="P182" t="str">
            <v>NP2143</v>
          </cell>
          <cell r="Q182" t="str">
            <v>01Z01ZZ01AH</v>
          </cell>
          <cell r="R182" t="str">
            <v>CA01</v>
          </cell>
          <cell r="S182">
            <v>0.01</v>
          </cell>
        </row>
        <row r="183">
          <cell r="A183">
            <v>2603</v>
          </cell>
          <cell r="B183" t="str">
            <v>CRBS NP2143 STANDARD KG</v>
          </cell>
          <cell r="C183">
            <v>0</v>
          </cell>
          <cell r="D183" t="str">
            <v>KG</v>
          </cell>
          <cell r="E183">
            <v>409.44</v>
          </cell>
          <cell r="G183">
            <v>100</v>
          </cell>
          <cell r="H183" t="str">
            <v>SC Syngenta</v>
          </cell>
          <cell r="J183" t="str">
            <v>BA090</v>
          </cell>
          <cell r="K183">
            <v>1</v>
          </cell>
          <cell r="N183">
            <v>409.13</v>
          </cell>
          <cell r="P183" t="str">
            <v>NP2143</v>
          </cell>
          <cell r="Q183" t="str">
            <v>01Z01ZZ01AH</v>
          </cell>
          <cell r="R183" t="str">
            <v>CA01</v>
          </cell>
          <cell r="S183">
            <v>0.01</v>
          </cell>
        </row>
        <row r="184">
          <cell r="A184">
            <v>2603</v>
          </cell>
          <cell r="B184" t="str">
            <v>CRBS NP2143 STANDARD KG</v>
          </cell>
          <cell r="C184">
            <v>0</v>
          </cell>
          <cell r="D184" t="str">
            <v>KG</v>
          </cell>
          <cell r="E184">
            <v>409.44</v>
          </cell>
          <cell r="G184">
            <v>100</v>
          </cell>
          <cell r="H184" t="str">
            <v>SC Syngenta</v>
          </cell>
          <cell r="J184" t="str">
            <v>BA090</v>
          </cell>
          <cell r="K184">
            <v>1</v>
          </cell>
          <cell r="N184">
            <v>409.13</v>
          </cell>
          <cell r="P184" t="str">
            <v>NP2143</v>
          </cell>
          <cell r="Q184" t="str">
            <v>01Z01ZZ01AH</v>
          </cell>
          <cell r="R184" t="str">
            <v>CA01</v>
          </cell>
          <cell r="S184">
            <v>0.01</v>
          </cell>
        </row>
        <row r="185">
          <cell r="A185">
            <v>2603</v>
          </cell>
          <cell r="B185" t="str">
            <v>CRBS NP2143 STANDARD KG</v>
          </cell>
          <cell r="C185">
            <v>0</v>
          </cell>
          <cell r="D185" t="str">
            <v>KG</v>
          </cell>
          <cell r="E185">
            <v>409.44</v>
          </cell>
          <cell r="G185">
            <v>100</v>
          </cell>
          <cell r="H185" t="str">
            <v>SC Syngenta</v>
          </cell>
          <cell r="J185" t="str">
            <v>BA090</v>
          </cell>
          <cell r="K185">
            <v>1</v>
          </cell>
          <cell r="N185">
            <v>409.13</v>
          </cell>
          <cell r="P185" t="str">
            <v>NP2143</v>
          </cell>
          <cell r="Q185" t="str">
            <v>01Z01ZZ01AH</v>
          </cell>
          <cell r="R185" t="str">
            <v>CA01</v>
          </cell>
          <cell r="S185">
            <v>0.01</v>
          </cell>
        </row>
        <row r="186">
          <cell r="A186">
            <v>2603</v>
          </cell>
          <cell r="B186" t="str">
            <v>CRBS NP2143 STANDARD KG</v>
          </cell>
          <cell r="C186">
            <v>0</v>
          </cell>
          <cell r="D186" t="str">
            <v>KG</v>
          </cell>
          <cell r="E186">
            <v>409.44</v>
          </cell>
          <cell r="G186">
            <v>100</v>
          </cell>
          <cell r="H186" t="str">
            <v>SC Syngenta</v>
          </cell>
          <cell r="J186" t="str">
            <v>BA090</v>
          </cell>
          <cell r="K186">
            <v>1</v>
          </cell>
          <cell r="N186">
            <v>409.13</v>
          </cell>
          <cell r="P186" t="str">
            <v>NP2143</v>
          </cell>
          <cell r="Q186" t="str">
            <v>01Z01ZZ01AH</v>
          </cell>
          <cell r="R186" t="str">
            <v>CA01</v>
          </cell>
          <cell r="S186">
            <v>0.01</v>
          </cell>
        </row>
        <row r="187">
          <cell r="A187">
            <v>2603</v>
          </cell>
          <cell r="B187" t="str">
            <v>CRBS NP2143 STANDARD KG</v>
          </cell>
          <cell r="C187">
            <v>0</v>
          </cell>
          <cell r="D187" t="str">
            <v>KG</v>
          </cell>
          <cell r="E187">
            <v>409.44</v>
          </cell>
          <cell r="G187">
            <v>100</v>
          </cell>
          <cell r="H187" t="str">
            <v>SC Syngenta</v>
          </cell>
          <cell r="J187" t="str">
            <v>BA090</v>
          </cell>
          <cell r="K187">
            <v>1</v>
          </cell>
          <cell r="N187">
            <v>409.13</v>
          </cell>
          <cell r="P187" t="str">
            <v>NP2143</v>
          </cell>
          <cell r="Q187" t="str">
            <v>01Z01ZZ01AH</v>
          </cell>
          <cell r="R187" t="str">
            <v>CA01</v>
          </cell>
          <cell r="S187">
            <v>0.01</v>
          </cell>
        </row>
        <row r="188">
          <cell r="A188">
            <v>2603</v>
          </cell>
          <cell r="B188" t="str">
            <v>CRBS NP2143 STANDARD KG</v>
          </cell>
          <cell r="C188">
            <v>0</v>
          </cell>
          <cell r="D188" t="str">
            <v>KG</v>
          </cell>
          <cell r="E188">
            <v>409.44</v>
          </cell>
          <cell r="G188">
            <v>100</v>
          </cell>
          <cell r="H188" t="str">
            <v>SC Syngenta</v>
          </cell>
          <cell r="J188" t="str">
            <v>BA090</v>
          </cell>
          <cell r="K188">
            <v>1</v>
          </cell>
          <cell r="N188">
            <v>409.13</v>
          </cell>
          <cell r="P188" t="str">
            <v>NP2143</v>
          </cell>
          <cell r="Q188" t="str">
            <v>01Z01ZZ01AH</v>
          </cell>
          <cell r="R188" t="str">
            <v>CA01</v>
          </cell>
          <cell r="S188">
            <v>0.01</v>
          </cell>
        </row>
        <row r="189">
          <cell r="A189">
            <v>2603</v>
          </cell>
          <cell r="B189" t="str">
            <v>CRBS NP2143 STANDARD KG</v>
          </cell>
          <cell r="C189">
            <v>0</v>
          </cell>
          <cell r="D189" t="str">
            <v>KG</v>
          </cell>
          <cell r="E189">
            <v>409.44</v>
          </cell>
          <cell r="G189">
            <v>100</v>
          </cell>
          <cell r="H189" t="str">
            <v>SC Syngenta</v>
          </cell>
          <cell r="J189" t="str">
            <v>BA090</v>
          </cell>
          <cell r="K189">
            <v>1</v>
          </cell>
          <cell r="N189">
            <v>409.13</v>
          </cell>
          <cell r="P189" t="str">
            <v>NP2143</v>
          </cell>
          <cell r="Q189" t="str">
            <v>01Z01ZZ01AH</v>
          </cell>
          <cell r="R189" t="str">
            <v>CA01</v>
          </cell>
          <cell r="S189">
            <v>0.01</v>
          </cell>
        </row>
        <row r="190">
          <cell r="A190">
            <v>2603</v>
          </cell>
          <cell r="B190" t="str">
            <v>CRBS NP2143            STANDARD KG</v>
          </cell>
          <cell r="C190">
            <v>0</v>
          </cell>
          <cell r="D190" t="str">
            <v>KG</v>
          </cell>
          <cell r="E190">
            <v>409.44</v>
          </cell>
          <cell r="G190">
            <v>100</v>
          </cell>
          <cell r="H190" t="str">
            <v>SC Syngenta</v>
          </cell>
          <cell r="J190" t="str">
            <v>BA090</v>
          </cell>
          <cell r="K190">
            <v>1</v>
          </cell>
          <cell r="N190">
            <v>409.13</v>
          </cell>
          <cell r="P190" t="str">
            <v>NP2143</v>
          </cell>
          <cell r="Q190" t="str">
            <v>01Z01ZZ01AH</v>
          </cell>
          <cell r="R190" t="str">
            <v>CA01</v>
          </cell>
          <cell r="S190">
            <v>0.01</v>
          </cell>
        </row>
        <row r="191">
          <cell r="A191">
            <v>2603</v>
          </cell>
          <cell r="B191" t="str">
            <v>CRBS NP2143            STANDARD KG</v>
          </cell>
          <cell r="C191">
            <v>0</v>
          </cell>
          <cell r="D191" t="str">
            <v>KG</v>
          </cell>
          <cell r="E191">
            <v>409.44</v>
          </cell>
          <cell r="G191">
            <v>100</v>
          </cell>
          <cell r="H191" t="str">
            <v>SC Syngenta</v>
          </cell>
          <cell r="J191" t="str">
            <v>BA090</v>
          </cell>
          <cell r="K191">
            <v>1</v>
          </cell>
          <cell r="N191">
            <v>409.13</v>
          </cell>
          <cell r="P191" t="str">
            <v>NP2143</v>
          </cell>
          <cell r="Q191" t="str">
            <v>01Z01ZZ01AH</v>
          </cell>
          <cell r="R191" t="str">
            <v>CA01</v>
          </cell>
          <cell r="S191">
            <v>0.01</v>
          </cell>
        </row>
        <row r="192">
          <cell r="A192">
            <v>2603</v>
          </cell>
          <cell r="B192" t="str">
            <v>CRBS NP2143            STANDARD KG</v>
          </cell>
          <cell r="C192">
            <v>0</v>
          </cell>
          <cell r="D192" t="str">
            <v>KG</v>
          </cell>
          <cell r="E192">
            <v>409.44</v>
          </cell>
          <cell r="G192">
            <v>100</v>
          </cell>
          <cell r="H192" t="str">
            <v>SC Syngenta</v>
          </cell>
          <cell r="J192" t="str">
            <v>BA090</v>
          </cell>
          <cell r="K192">
            <v>1</v>
          </cell>
          <cell r="N192">
            <v>409.13</v>
          </cell>
          <cell r="P192" t="str">
            <v>NP2143</v>
          </cell>
          <cell r="Q192" t="str">
            <v>01Z01ZZ01AH</v>
          </cell>
          <cell r="R192" t="str">
            <v>CA01</v>
          </cell>
          <cell r="S192">
            <v>0.01</v>
          </cell>
        </row>
        <row r="193">
          <cell r="A193">
            <v>2603</v>
          </cell>
          <cell r="B193" t="str">
            <v>CRBS NP2143            STANDARD KG</v>
          </cell>
          <cell r="C193">
            <v>0</v>
          </cell>
          <cell r="D193" t="str">
            <v>KG</v>
          </cell>
          <cell r="E193">
            <v>409.44</v>
          </cell>
          <cell r="G193">
            <v>100</v>
          </cell>
          <cell r="H193" t="str">
            <v>SC Syngenta</v>
          </cell>
          <cell r="J193" t="str">
            <v>BA090</v>
          </cell>
          <cell r="K193">
            <v>1</v>
          </cell>
          <cell r="N193">
            <v>409.13</v>
          </cell>
          <cell r="P193" t="str">
            <v>NP2143</v>
          </cell>
          <cell r="Q193" t="str">
            <v>01Z01ZZ01AH</v>
          </cell>
          <cell r="R193" t="str">
            <v>CA01</v>
          </cell>
          <cell r="S193">
            <v>0.01</v>
          </cell>
        </row>
        <row r="194">
          <cell r="A194">
            <v>2603</v>
          </cell>
          <cell r="B194" t="str">
            <v>CRBS NP2143            STANDARD KG</v>
          </cell>
          <cell r="C194">
            <v>0</v>
          </cell>
          <cell r="D194" t="str">
            <v>KG</v>
          </cell>
          <cell r="E194">
            <v>409.44</v>
          </cell>
          <cell r="G194">
            <v>100</v>
          </cell>
          <cell r="H194" t="str">
            <v>SC Syngenta</v>
          </cell>
          <cell r="J194" t="str">
            <v>BA090</v>
          </cell>
          <cell r="K194">
            <v>1</v>
          </cell>
          <cell r="N194">
            <v>409.13</v>
          </cell>
          <cell r="P194" t="str">
            <v>NP2143</v>
          </cell>
          <cell r="Q194" t="str">
            <v>01Z01ZZ01AH</v>
          </cell>
          <cell r="R194" t="str">
            <v>CA01</v>
          </cell>
          <cell r="S194">
            <v>0.01</v>
          </cell>
        </row>
        <row r="195">
          <cell r="A195">
            <v>2603</v>
          </cell>
          <cell r="B195" t="str">
            <v>CRBS NP2143            STANDARD KG</v>
          </cell>
          <cell r="C195">
            <v>0</v>
          </cell>
          <cell r="D195" t="str">
            <v>KG</v>
          </cell>
          <cell r="E195">
            <v>409.44</v>
          </cell>
          <cell r="G195">
            <v>100</v>
          </cell>
          <cell r="H195" t="str">
            <v>SC Syngenta</v>
          </cell>
          <cell r="J195" t="str">
            <v>BA090</v>
          </cell>
          <cell r="K195">
            <v>1</v>
          </cell>
          <cell r="N195">
            <v>409.13</v>
          </cell>
          <cell r="P195" t="str">
            <v>NP2143</v>
          </cell>
          <cell r="Q195" t="str">
            <v>01Z01ZZ01AH</v>
          </cell>
          <cell r="R195" t="str">
            <v>CA01</v>
          </cell>
          <cell r="S195">
            <v>0.01</v>
          </cell>
        </row>
        <row r="196">
          <cell r="A196">
            <v>2603</v>
          </cell>
          <cell r="B196" t="str">
            <v>CRBS NP2143            STANDARD KG</v>
          </cell>
          <cell r="C196">
            <v>0</v>
          </cell>
          <cell r="D196" t="str">
            <v>KG</v>
          </cell>
          <cell r="E196">
            <v>409.44</v>
          </cell>
          <cell r="G196">
            <v>100</v>
          </cell>
          <cell r="H196" t="str">
            <v>SC Syngenta</v>
          </cell>
          <cell r="J196" t="str">
            <v>BA090</v>
          </cell>
          <cell r="K196">
            <v>1</v>
          </cell>
          <cell r="N196">
            <v>409.13</v>
          </cell>
          <cell r="P196" t="str">
            <v>NP2143</v>
          </cell>
          <cell r="Q196" t="str">
            <v>01Z01ZZ01AH</v>
          </cell>
          <cell r="R196" t="str">
            <v>CA01</v>
          </cell>
          <cell r="S196">
            <v>0.01</v>
          </cell>
        </row>
        <row r="197">
          <cell r="A197">
            <v>2603</v>
          </cell>
          <cell r="B197" t="str">
            <v>CRBS NP2143            STANDARD KG</v>
          </cell>
          <cell r="C197">
            <v>0</v>
          </cell>
          <cell r="D197" t="str">
            <v>KG</v>
          </cell>
          <cell r="E197">
            <v>409.44</v>
          </cell>
          <cell r="G197">
            <v>100</v>
          </cell>
          <cell r="H197" t="str">
            <v>SC Syngenta</v>
          </cell>
          <cell r="J197" t="str">
            <v>BA090</v>
          </cell>
          <cell r="K197">
            <v>1</v>
          </cell>
          <cell r="N197">
            <v>409.13</v>
          </cell>
          <cell r="P197" t="str">
            <v>NP2143</v>
          </cell>
          <cell r="Q197" t="str">
            <v>01Z01ZZ01AH</v>
          </cell>
          <cell r="R197" t="str">
            <v>CA01</v>
          </cell>
          <cell r="S197">
            <v>0.01</v>
          </cell>
        </row>
        <row r="198">
          <cell r="A198">
            <v>2603</v>
          </cell>
          <cell r="B198" t="str">
            <v>CRBS NP2143            STANDARD KG</v>
          </cell>
          <cell r="C198">
            <v>0</v>
          </cell>
          <cell r="D198" t="str">
            <v>KG</v>
          </cell>
          <cell r="E198">
            <v>409.44</v>
          </cell>
          <cell r="G198">
            <v>100</v>
          </cell>
          <cell r="H198" t="str">
            <v>SC Syngenta</v>
          </cell>
          <cell r="J198" t="str">
            <v>BA090</v>
          </cell>
          <cell r="K198">
            <v>1</v>
          </cell>
          <cell r="N198">
            <v>409.13</v>
          </cell>
          <cell r="P198" t="str">
            <v>NP2143</v>
          </cell>
          <cell r="Q198" t="str">
            <v>01Z01ZZ01AH</v>
          </cell>
          <cell r="R198" t="str">
            <v>CA01</v>
          </cell>
          <cell r="S198">
            <v>0.01</v>
          </cell>
        </row>
        <row r="199">
          <cell r="A199">
            <v>2603</v>
          </cell>
          <cell r="B199" t="str">
            <v>CRBS NP2143            STANDARD KG</v>
          </cell>
          <cell r="C199">
            <v>0</v>
          </cell>
          <cell r="D199" t="str">
            <v>KG</v>
          </cell>
          <cell r="E199">
            <v>409.44</v>
          </cell>
          <cell r="G199">
            <v>100</v>
          </cell>
          <cell r="H199" t="str">
            <v>SC Syngenta</v>
          </cell>
          <cell r="J199" t="str">
            <v>BA090</v>
          </cell>
          <cell r="K199">
            <v>1</v>
          </cell>
          <cell r="N199">
            <v>409.13</v>
          </cell>
          <cell r="P199" t="str">
            <v>NP2143</v>
          </cell>
          <cell r="Q199" t="str">
            <v>01Z01ZZ01AH</v>
          </cell>
          <cell r="R199" t="str">
            <v>CA01</v>
          </cell>
          <cell r="S199">
            <v>0.01</v>
          </cell>
        </row>
        <row r="200">
          <cell r="A200">
            <v>2603</v>
          </cell>
          <cell r="B200" t="str">
            <v>CRBS NP2143            STANDARD KG</v>
          </cell>
          <cell r="C200">
            <v>0</v>
          </cell>
          <cell r="D200" t="str">
            <v>KG</v>
          </cell>
          <cell r="E200">
            <v>409.44</v>
          </cell>
          <cell r="G200">
            <v>100</v>
          </cell>
          <cell r="H200" t="str">
            <v>SC Syngenta</v>
          </cell>
          <cell r="J200" t="str">
            <v>BA090</v>
          </cell>
          <cell r="K200">
            <v>1</v>
          </cell>
          <cell r="N200">
            <v>409.13</v>
          </cell>
          <cell r="P200" t="str">
            <v>NP2143</v>
          </cell>
          <cell r="Q200" t="str">
            <v>01Z01ZZ01AH</v>
          </cell>
          <cell r="R200" t="str">
            <v>CA01</v>
          </cell>
          <cell r="S200">
            <v>0.01</v>
          </cell>
        </row>
        <row r="201">
          <cell r="A201">
            <v>2603</v>
          </cell>
          <cell r="B201" t="str">
            <v>CRBS NP2143            STANDARD KG</v>
          </cell>
          <cell r="C201">
            <v>0</v>
          </cell>
          <cell r="D201" t="str">
            <v>KG</v>
          </cell>
          <cell r="E201">
            <v>409.44</v>
          </cell>
          <cell r="G201">
            <v>100</v>
          </cell>
          <cell r="H201" t="str">
            <v>SC Syngenta</v>
          </cell>
          <cell r="J201" t="str">
            <v>BA090</v>
          </cell>
          <cell r="K201">
            <v>1</v>
          </cell>
          <cell r="N201">
            <v>409.13</v>
          </cell>
          <cell r="P201" t="str">
            <v>NP2143</v>
          </cell>
          <cell r="Q201" t="str">
            <v>01Z01ZZ01AH</v>
          </cell>
          <cell r="R201" t="str">
            <v>CA01</v>
          </cell>
          <cell r="S201">
            <v>0.01</v>
          </cell>
        </row>
        <row r="202">
          <cell r="A202">
            <v>2603</v>
          </cell>
          <cell r="B202" t="str">
            <v>CRBS NP2143            STANDARD KG</v>
          </cell>
          <cell r="C202">
            <v>0</v>
          </cell>
          <cell r="D202" t="str">
            <v>KG</v>
          </cell>
          <cell r="E202">
            <v>409.44</v>
          </cell>
          <cell r="G202">
            <v>100</v>
          </cell>
          <cell r="H202" t="str">
            <v>SC Syngenta</v>
          </cell>
          <cell r="J202" t="str">
            <v>BA090</v>
          </cell>
          <cell r="K202">
            <v>1</v>
          </cell>
          <cell r="N202">
            <v>409.13</v>
          </cell>
          <cell r="P202" t="str">
            <v>NP2143</v>
          </cell>
          <cell r="Q202" t="str">
            <v>01Z01ZZ01AH</v>
          </cell>
          <cell r="R202" t="str">
            <v>CA01</v>
          </cell>
          <cell r="S202">
            <v>0.01</v>
          </cell>
        </row>
        <row r="203">
          <cell r="A203">
            <v>2603</v>
          </cell>
          <cell r="B203" t="str">
            <v>CRBS NP2143            STANDARD KG</v>
          </cell>
          <cell r="C203">
            <v>0</v>
          </cell>
          <cell r="D203" t="str">
            <v>KG</v>
          </cell>
          <cell r="E203">
            <v>409.44</v>
          </cell>
          <cell r="G203">
            <v>100</v>
          </cell>
          <cell r="H203" t="str">
            <v>SC Syngenta</v>
          </cell>
          <cell r="J203" t="str">
            <v>BA090</v>
          </cell>
          <cell r="K203">
            <v>1</v>
          </cell>
          <cell r="N203">
            <v>409.13</v>
          </cell>
          <cell r="P203" t="str">
            <v>NP2143</v>
          </cell>
          <cell r="Q203" t="str">
            <v>01Z01ZZ01AH</v>
          </cell>
          <cell r="R203" t="str">
            <v>CA01</v>
          </cell>
          <cell r="S203">
            <v>0.01</v>
          </cell>
        </row>
        <row r="204">
          <cell r="A204">
            <v>2603</v>
          </cell>
          <cell r="B204" t="str">
            <v>CRBS NP2143            STANDARD KG</v>
          </cell>
          <cell r="C204">
            <v>0</v>
          </cell>
          <cell r="D204" t="str">
            <v>KG</v>
          </cell>
          <cell r="E204">
            <v>409.44</v>
          </cell>
          <cell r="G204">
            <v>100</v>
          </cell>
          <cell r="H204" t="str">
            <v>SC Syngenta</v>
          </cell>
          <cell r="J204" t="str">
            <v>BA090</v>
          </cell>
          <cell r="K204">
            <v>1</v>
          </cell>
          <cell r="N204">
            <v>409.13</v>
          </cell>
          <cell r="P204" t="str">
            <v>NP2143</v>
          </cell>
          <cell r="Q204" t="str">
            <v>01Z01ZZ01AH</v>
          </cell>
          <cell r="R204" t="str">
            <v>CA01</v>
          </cell>
          <cell r="S204">
            <v>0.01</v>
          </cell>
        </row>
        <row r="205">
          <cell r="A205">
            <v>2603</v>
          </cell>
          <cell r="B205" t="str">
            <v>CRBS NP2143            STANDARD KG</v>
          </cell>
          <cell r="C205">
            <v>0</v>
          </cell>
          <cell r="D205" t="str">
            <v>KG</v>
          </cell>
          <cell r="E205">
            <v>409.44</v>
          </cell>
          <cell r="G205">
            <v>100</v>
          </cell>
          <cell r="H205" t="str">
            <v>SC Syngenta</v>
          </cell>
          <cell r="J205" t="str">
            <v>BA090</v>
          </cell>
          <cell r="K205">
            <v>1</v>
          </cell>
          <cell r="N205">
            <v>409.13</v>
          </cell>
          <cell r="P205" t="str">
            <v>NP2143</v>
          </cell>
          <cell r="Q205" t="str">
            <v>01Z01ZZ01AH</v>
          </cell>
          <cell r="R205" t="str">
            <v>CA01</v>
          </cell>
          <cell r="S205">
            <v>0.01</v>
          </cell>
        </row>
        <row r="206">
          <cell r="A206">
            <v>2603</v>
          </cell>
          <cell r="B206" t="str">
            <v>CRBS NP2143            STANDARD KG</v>
          </cell>
          <cell r="C206">
            <v>0</v>
          </cell>
          <cell r="D206" t="str">
            <v>KG</v>
          </cell>
          <cell r="E206">
            <v>409.44</v>
          </cell>
          <cell r="G206">
            <v>100</v>
          </cell>
          <cell r="H206" t="str">
            <v>SC Syngenta</v>
          </cell>
          <cell r="J206" t="str">
            <v>BA090</v>
          </cell>
          <cell r="K206">
            <v>1</v>
          </cell>
          <cell r="N206">
            <v>409.13</v>
          </cell>
          <cell r="P206" t="str">
            <v>NP2143</v>
          </cell>
          <cell r="Q206" t="str">
            <v>01Z01ZZ01AH</v>
          </cell>
          <cell r="R206" t="str">
            <v>CA01</v>
          </cell>
          <cell r="S206">
            <v>0.01</v>
          </cell>
        </row>
        <row r="207">
          <cell r="A207">
            <v>2603</v>
          </cell>
          <cell r="B207" t="str">
            <v>CRBS NP2143            STANDARD KG</v>
          </cell>
          <cell r="C207">
            <v>0</v>
          </cell>
          <cell r="D207" t="str">
            <v>KG</v>
          </cell>
          <cell r="E207">
            <v>409.44</v>
          </cell>
          <cell r="G207">
            <v>100</v>
          </cell>
          <cell r="H207" t="str">
            <v>SC Syngenta</v>
          </cell>
          <cell r="J207" t="str">
            <v>BA090</v>
          </cell>
          <cell r="K207">
            <v>1</v>
          </cell>
          <cell r="N207">
            <v>409.13</v>
          </cell>
          <cell r="P207" t="str">
            <v>NP2143</v>
          </cell>
          <cell r="Q207" t="str">
            <v>01Z01ZZ01AH</v>
          </cell>
          <cell r="R207" t="str">
            <v>CA01</v>
          </cell>
          <cell r="S207">
            <v>0.01</v>
          </cell>
        </row>
        <row r="208">
          <cell r="A208">
            <v>2603</v>
          </cell>
          <cell r="B208" t="str">
            <v>CRBS NP2143            STANDARD KG</v>
          </cell>
          <cell r="C208">
            <v>0</v>
          </cell>
          <cell r="D208" t="str">
            <v>KG</v>
          </cell>
          <cell r="E208">
            <v>409.44</v>
          </cell>
          <cell r="G208">
            <v>100</v>
          </cell>
          <cell r="H208" t="str">
            <v>SC Syngenta</v>
          </cell>
          <cell r="J208" t="str">
            <v>BA090</v>
          </cell>
          <cell r="K208">
            <v>1</v>
          </cell>
          <cell r="N208">
            <v>409.13</v>
          </cell>
          <cell r="P208" t="str">
            <v>NP2143</v>
          </cell>
          <cell r="Q208" t="str">
            <v>01Z01ZZ01AH</v>
          </cell>
          <cell r="R208" t="str">
            <v>CA01</v>
          </cell>
          <cell r="S208">
            <v>0.01</v>
          </cell>
        </row>
        <row r="209">
          <cell r="A209">
            <v>2603</v>
          </cell>
          <cell r="B209" t="str">
            <v>CRBS NP2143            STANDARD KG</v>
          </cell>
          <cell r="C209">
            <v>0</v>
          </cell>
          <cell r="D209" t="str">
            <v>KG</v>
          </cell>
          <cell r="E209">
            <v>409.44</v>
          </cell>
          <cell r="G209">
            <v>100</v>
          </cell>
          <cell r="H209" t="str">
            <v>SC Syngenta</v>
          </cell>
          <cell r="J209" t="str">
            <v>BA090</v>
          </cell>
          <cell r="K209">
            <v>1</v>
          </cell>
          <cell r="N209">
            <v>409.13</v>
          </cell>
          <cell r="P209" t="str">
            <v>NP2143</v>
          </cell>
          <cell r="Q209" t="str">
            <v>01Z01ZZ01AH</v>
          </cell>
          <cell r="R209" t="str">
            <v>CA01</v>
          </cell>
          <cell r="S209">
            <v>0.01</v>
          </cell>
        </row>
        <row r="210">
          <cell r="A210">
            <v>2603</v>
          </cell>
          <cell r="B210" t="str">
            <v>CRBS NP2143            STANDARD KG</v>
          </cell>
          <cell r="C210">
            <v>0</v>
          </cell>
          <cell r="D210" t="str">
            <v>KG</v>
          </cell>
          <cell r="E210">
            <v>409.44</v>
          </cell>
          <cell r="G210">
            <v>100</v>
          </cell>
          <cell r="H210" t="str">
            <v>SC Syngenta</v>
          </cell>
          <cell r="J210" t="str">
            <v>BA090</v>
          </cell>
          <cell r="K210">
            <v>1</v>
          </cell>
          <cell r="N210">
            <v>409.13</v>
          </cell>
          <cell r="P210" t="str">
            <v>NP2143</v>
          </cell>
          <cell r="Q210" t="str">
            <v>01Z01ZZ01AH</v>
          </cell>
          <cell r="R210" t="str">
            <v>CA01</v>
          </cell>
          <cell r="S210">
            <v>0.01</v>
          </cell>
        </row>
        <row r="211">
          <cell r="A211">
            <v>2603</v>
          </cell>
          <cell r="B211" t="str">
            <v>CRBS NP2143            STANDARD KG</v>
          </cell>
          <cell r="C211">
            <v>0</v>
          </cell>
          <cell r="D211" t="str">
            <v>KG</v>
          </cell>
          <cell r="E211">
            <v>409.44</v>
          </cell>
          <cell r="G211">
            <v>100</v>
          </cell>
          <cell r="H211" t="str">
            <v>SC Syngenta</v>
          </cell>
          <cell r="J211" t="str">
            <v>BA090</v>
          </cell>
          <cell r="K211">
            <v>1</v>
          </cell>
          <cell r="N211">
            <v>409.13</v>
          </cell>
          <cell r="P211" t="str">
            <v>NP2143</v>
          </cell>
          <cell r="Q211" t="str">
            <v>01Z01ZZ01AH</v>
          </cell>
          <cell r="R211" t="str">
            <v>CA01</v>
          </cell>
          <cell r="S211">
            <v>0.01</v>
          </cell>
        </row>
        <row r="212">
          <cell r="A212">
            <v>2603</v>
          </cell>
          <cell r="B212" t="str">
            <v>CRBS NP2143            STANDARD KG</v>
          </cell>
          <cell r="C212">
            <v>0</v>
          </cell>
          <cell r="D212" t="str">
            <v>KG</v>
          </cell>
          <cell r="E212">
            <v>409.44</v>
          </cell>
          <cell r="G212">
            <v>100</v>
          </cell>
          <cell r="H212" t="str">
            <v>SC Syngenta</v>
          </cell>
          <cell r="J212" t="str">
            <v>BA090</v>
          </cell>
          <cell r="K212">
            <v>1</v>
          </cell>
          <cell r="N212">
            <v>409.13</v>
          </cell>
          <cell r="P212" t="str">
            <v>NP2143</v>
          </cell>
          <cell r="Q212" t="str">
            <v>01Z01ZZ01AH</v>
          </cell>
          <cell r="R212" t="str">
            <v>CA01</v>
          </cell>
          <cell r="S212">
            <v>0.01</v>
          </cell>
        </row>
        <row r="213">
          <cell r="A213">
            <v>2603</v>
          </cell>
          <cell r="B213" t="str">
            <v>CRBS NP2143            STANDARD KG</v>
          </cell>
          <cell r="C213">
            <v>0</v>
          </cell>
          <cell r="D213" t="str">
            <v>KG</v>
          </cell>
          <cell r="E213">
            <v>409.44</v>
          </cell>
          <cell r="G213">
            <v>100</v>
          </cell>
          <cell r="H213" t="str">
            <v>SC Syngenta</v>
          </cell>
          <cell r="J213" t="str">
            <v>BA090</v>
          </cell>
          <cell r="K213">
            <v>1</v>
          </cell>
          <cell r="N213">
            <v>409.13</v>
          </cell>
          <cell r="P213" t="str">
            <v>NP2143</v>
          </cell>
          <cell r="Q213" t="str">
            <v>01Z01ZZ01AH</v>
          </cell>
          <cell r="R213" t="str">
            <v>CA01</v>
          </cell>
          <cell r="S213">
            <v>0.01</v>
          </cell>
        </row>
        <row r="214">
          <cell r="A214">
            <v>2603</v>
          </cell>
          <cell r="B214" t="str">
            <v>CRBS NP2143            STANDARD KG</v>
          </cell>
          <cell r="C214">
            <v>0</v>
          </cell>
          <cell r="D214" t="str">
            <v>KG</v>
          </cell>
          <cell r="E214">
            <v>409.44</v>
          </cell>
          <cell r="G214">
            <v>100</v>
          </cell>
          <cell r="H214" t="str">
            <v>SC Syngenta</v>
          </cell>
          <cell r="J214" t="str">
            <v>BA090</v>
          </cell>
          <cell r="K214">
            <v>1</v>
          </cell>
          <cell r="N214">
            <v>409.13</v>
          </cell>
          <cell r="P214" t="str">
            <v>NP2143</v>
          </cell>
          <cell r="Q214" t="str">
            <v>01Z01ZZ01AH</v>
          </cell>
          <cell r="R214" t="str">
            <v>CA01</v>
          </cell>
          <cell r="S214">
            <v>0.01</v>
          </cell>
        </row>
        <row r="215">
          <cell r="A215">
            <v>2603</v>
          </cell>
          <cell r="B215" t="str">
            <v>CRBS NP2143            STANDARD KG</v>
          </cell>
          <cell r="C215">
            <v>0</v>
          </cell>
          <cell r="D215" t="str">
            <v>KG</v>
          </cell>
          <cell r="E215">
            <v>409.44</v>
          </cell>
          <cell r="G215">
            <v>100</v>
          </cell>
          <cell r="H215" t="str">
            <v>SC Syngenta</v>
          </cell>
          <cell r="J215" t="str">
            <v>BA090</v>
          </cell>
          <cell r="K215">
            <v>1</v>
          </cell>
          <cell r="N215">
            <v>409.13</v>
          </cell>
          <cell r="P215" t="str">
            <v>NP2143</v>
          </cell>
          <cell r="Q215" t="str">
            <v>01Z01ZZ01AH</v>
          </cell>
          <cell r="R215" t="str">
            <v>CA01</v>
          </cell>
          <cell r="S215">
            <v>0.01</v>
          </cell>
        </row>
        <row r="216">
          <cell r="A216">
            <v>2603</v>
          </cell>
          <cell r="B216" t="str">
            <v>CRBS NP2143 STANDARD KG</v>
          </cell>
          <cell r="C216">
            <v>0</v>
          </cell>
          <cell r="D216" t="str">
            <v>KG</v>
          </cell>
          <cell r="E216">
            <v>409.44</v>
          </cell>
          <cell r="G216">
            <v>100</v>
          </cell>
          <cell r="H216" t="str">
            <v>SC Syngenta</v>
          </cell>
          <cell r="J216" t="str">
            <v>BA090</v>
          </cell>
          <cell r="K216">
            <v>1</v>
          </cell>
          <cell r="N216">
            <v>409.13</v>
          </cell>
          <cell r="P216" t="str">
            <v>NP2143</v>
          </cell>
          <cell r="Q216" t="str">
            <v>01Z01ZZ01AH</v>
          </cell>
          <cell r="R216" t="str">
            <v>CA01</v>
          </cell>
          <cell r="S216">
            <v>0.01</v>
          </cell>
        </row>
        <row r="217">
          <cell r="A217">
            <v>2603</v>
          </cell>
          <cell r="B217" t="str">
            <v>CRBS NP2143 STANDARD KG</v>
          </cell>
          <cell r="C217">
            <v>0</v>
          </cell>
          <cell r="D217" t="str">
            <v>KG</v>
          </cell>
          <cell r="E217">
            <v>409.44</v>
          </cell>
          <cell r="G217">
            <v>100</v>
          </cell>
          <cell r="H217" t="str">
            <v>SC Syngenta</v>
          </cell>
          <cell r="J217" t="str">
            <v>BA090</v>
          </cell>
          <cell r="K217">
            <v>1</v>
          </cell>
          <cell r="N217">
            <v>409.13</v>
          </cell>
          <cell r="P217" t="str">
            <v>NP2143</v>
          </cell>
          <cell r="Q217" t="str">
            <v>01Z01ZZ01AH</v>
          </cell>
          <cell r="R217" t="str">
            <v>CA01</v>
          </cell>
          <cell r="S217">
            <v>0.01</v>
          </cell>
        </row>
        <row r="218">
          <cell r="A218">
            <v>2603</v>
          </cell>
          <cell r="B218" t="str">
            <v>CRBS NP2143 STANDARD KG</v>
          </cell>
          <cell r="C218">
            <v>0</v>
          </cell>
          <cell r="D218" t="str">
            <v>KG</v>
          </cell>
          <cell r="E218">
            <v>409.44</v>
          </cell>
          <cell r="G218">
            <v>100</v>
          </cell>
          <cell r="H218" t="str">
            <v>SC Syngenta</v>
          </cell>
          <cell r="J218" t="str">
            <v>BA090</v>
          </cell>
          <cell r="K218">
            <v>1</v>
          </cell>
          <cell r="N218">
            <v>409.13</v>
          </cell>
          <cell r="P218" t="str">
            <v>NP2143</v>
          </cell>
          <cell r="Q218" t="str">
            <v>01Z01ZZ01AH</v>
          </cell>
          <cell r="R218" t="str">
            <v>CA01</v>
          </cell>
          <cell r="S218">
            <v>0.01</v>
          </cell>
        </row>
        <row r="219">
          <cell r="A219">
            <v>2603</v>
          </cell>
          <cell r="B219" t="str">
            <v>CRBS NP2143 STANDARD KG</v>
          </cell>
          <cell r="C219">
            <v>0</v>
          </cell>
          <cell r="D219" t="str">
            <v>KG</v>
          </cell>
          <cell r="E219">
            <v>409.44</v>
          </cell>
          <cell r="G219">
            <v>100</v>
          </cell>
          <cell r="H219" t="str">
            <v>SC Syngenta</v>
          </cell>
          <cell r="J219" t="str">
            <v>BA090</v>
          </cell>
          <cell r="K219">
            <v>1</v>
          </cell>
          <cell r="N219">
            <v>409.13</v>
          </cell>
          <cell r="P219" t="str">
            <v>NP2143</v>
          </cell>
          <cell r="Q219" t="str">
            <v>01Z01ZZ01AH</v>
          </cell>
          <cell r="R219" t="str">
            <v>CA01</v>
          </cell>
          <cell r="S219">
            <v>0.01</v>
          </cell>
        </row>
        <row r="220">
          <cell r="A220">
            <v>2603</v>
          </cell>
          <cell r="B220" t="str">
            <v>CRBS NP2143 STANDARD KG</v>
          </cell>
          <cell r="C220">
            <v>0</v>
          </cell>
          <cell r="D220" t="str">
            <v>KG</v>
          </cell>
          <cell r="E220">
            <v>409.44</v>
          </cell>
          <cell r="G220">
            <v>100</v>
          </cell>
          <cell r="H220" t="str">
            <v>SC Syngenta</v>
          </cell>
          <cell r="J220" t="str">
            <v>BA090</v>
          </cell>
          <cell r="K220">
            <v>1</v>
          </cell>
          <cell r="N220">
            <v>409.13</v>
          </cell>
          <cell r="P220" t="str">
            <v>NP2143</v>
          </cell>
          <cell r="Q220" t="str">
            <v>01Z01ZZ01AH</v>
          </cell>
          <cell r="R220" t="str">
            <v>CA01</v>
          </cell>
          <cell r="S220">
            <v>0.01</v>
          </cell>
        </row>
        <row r="221">
          <cell r="A221">
            <v>2603</v>
          </cell>
          <cell r="B221" t="str">
            <v>CRBS NP2143 STANDARD KG</v>
          </cell>
          <cell r="C221">
            <v>0</v>
          </cell>
          <cell r="D221" t="str">
            <v>KG</v>
          </cell>
          <cell r="E221">
            <v>409.44</v>
          </cell>
          <cell r="G221">
            <v>100</v>
          </cell>
          <cell r="H221" t="str">
            <v>SC Syngenta</v>
          </cell>
          <cell r="J221" t="str">
            <v>BA090</v>
          </cell>
          <cell r="K221">
            <v>1</v>
          </cell>
          <cell r="N221">
            <v>409.13</v>
          </cell>
          <cell r="P221" t="str">
            <v>NP2143</v>
          </cell>
          <cell r="Q221" t="str">
            <v>01Z01ZZ01AH</v>
          </cell>
          <cell r="R221" t="str">
            <v>CA01</v>
          </cell>
          <cell r="S221">
            <v>0.01</v>
          </cell>
        </row>
        <row r="222">
          <cell r="A222">
            <v>2603</v>
          </cell>
          <cell r="B222" t="str">
            <v>CRBS NP2143 STANDARD KG</v>
          </cell>
          <cell r="C222">
            <v>0</v>
          </cell>
          <cell r="D222" t="str">
            <v>KG</v>
          </cell>
          <cell r="E222">
            <v>409.44</v>
          </cell>
          <cell r="G222">
            <v>100</v>
          </cell>
          <cell r="H222" t="str">
            <v>SC Syngenta</v>
          </cell>
          <cell r="J222" t="str">
            <v>BA090</v>
          </cell>
          <cell r="K222">
            <v>1</v>
          </cell>
          <cell r="N222">
            <v>409.13</v>
          </cell>
          <cell r="P222" t="str">
            <v>NP2143</v>
          </cell>
          <cell r="Q222" t="str">
            <v>01Z01ZZ01AH</v>
          </cell>
          <cell r="R222" t="str">
            <v>CA01</v>
          </cell>
          <cell r="S222">
            <v>0.01</v>
          </cell>
        </row>
        <row r="223">
          <cell r="A223">
            <v>2603</v>
          </cell>
          <cell r="B223" t="str">
            <v>CRBS NP2143 STANDARD KG</v>
          </cell>
          <cell r="C223">
            <v>0</v>
          </cell>
          <cell r="D223" t="str">
            <v>KG</v>
          </cell>
          <cell r="E223">
            <v>409.44</v>
          </cell>
          <cell r="G223">
            <v>100</v>
          </cell>
          <cell r="H223" t="str">
            <v>SC Syngenta</v>
          </cell>
          <cell r="J223" t="str">
            <v>BA090</v>
          </cell>
          <cell r="K223">
            <v>1</v>
          </cell>
          <cell r="N223">
            <v>409.13</v>
          </cell>
          <cell r="P223" t="str">
            <v>NP2143</v>
          </cell>
          <cell r="Q223" t="str">
            <v>01Z01ZZ01AH</v>
          </cell>
          <cell r="R223" t="str">
            <v>CA01</v>
          </cell>
          <cell r="S223">
            <v>0.01</v>
          </cell>
        </row>
        <row r="224">
          <cell r="A224">
            <v>2603</v>
          </cell>
          <cell r="B224" t="str">
            <v>CRBS NP2143 STANDARD KG</v>
          </cell>
          <cell r="C224">
            <v>0</v>
          </cell>
          <cell r="D224" t="str">
            <v>KG</v>
          </cell>
          <cell r="E224">
            <v>409.44</v>
          </cell>
          <cell r="G224">
            <v>100</v>
          </cell>
          <cell r="H224" t="str">
            <v>SC Syngenta</v>
          </cell>
          <cell r="J224" t="str">
            <v>BA090</v>
          </cell>
          <cell r="K224">
            <v>1</v>
          </cell>
          <cell r="N224">
            <v>409.13</v>
          </cell>
          <cell r="P224" t="str">
            <v>NP2143</v>
          </cell>
          <cell r="Q224" t="str">
            <v>01Z01ZZ01AH</v>
          </cell>
          <cell r="R224" t="str">
            <v>CA01</v>
          </cell>
          <cell r="S224">
            <v>0.01</v>
          </cell>
        </row>
        <row r="225">
          <cell r="A225">
            <v>2603</v>
          </cell>
          <cell r="B225" t="str">
            <v>CRBS NP2143 STANDARD KG</v>
          </cell>
          <cell r="C225">
            <v>0</v>
          </cell>
          <cell r="D225" t="str">
            <v>KG</v>
          </cell>
          <cell r="E225">
            <v>409.44</v>
          </cell>
          <cell r="G225">
            <v>100</v>
          </cell>
          <cell r="H225" t="str">
            <v>SC Syngenta</v>
          </cell>
          <cell r="J225" t="str">
            <v>BA090</v>
          </cell>
          <cell r="K225">
            <v>1</v>
          </cell>
          <cell r="N225">
            <v>409.13</v>
          </cell>
          <cell r="P225" t="str">
            <v>NP2143</v>
          </cell>
          <cell r="Q225" t="str">
            <v>01Z01ZZ01AH</v>
          </cell>
          <cell r="R225" t="str">
            <v>CA01</v>
          </cell>
          <cell r="S225">
            <v>0.01</v>
          </cell>
        </row>
        <row r="226">
          <cell r="A226">
            <v>2603</v>
          </cell>
          <cell r="B226" t="str">
            <v>CRBS NP2143 STANDARD KG</v>
          </cell>
          <cell r="C226">
            <v>0</v>
          </cell>
          <cell r="D226" t="str">
            <v>KG</v>
          </cell>
          <cell r="E226">
            <v>409.44</v>
          </cell>
          <cell r="G226">
            <v>100</v>
          </cell>
          <cell r="H226" t="str">
            <v>SC Syngenta</v>
          </cell>
          <cell r="J226" t="str">
            <v>BA090</v>
          </cell>
          <cell r="K226">
            <v>1</v>
          </cell>
          <cell r="N226">
            <v>409.13</v>
          </cell>
          <cell r="P226" t="str">
            <v>NP2143</v>
          </cell>
          <cell r="Q226" t="str">
            <v>01Z01ZZ01AH</v>
          </cell>
          <cell r="R226" t="str">
            <v>CA01</v>
          </cell>
          <cell r="S226">
            <v>0.01</v>
          </cell>
        </row>
        <row r="227">
          <cell r="A227">
            <v>2603</v>
          </cell>
          <cell r="B227" t="str">
            <v>CRBS NP2143 STANDARD KG</v>
          </cell>
          <cell r="C227">
            <v>0</v>
          </cell>
          <cell r="D227" t="str">
            <v>KG</v>
          </cell>
          <cell r="E227">
            <v>409.44</v>
          </cell>
          <cell r="G227">
            <v>100</v>
          </cell>
          <cell r="H227" t="str">
            <v>SC Syngenta</v>
          </cell>
          <cell r="J227" t="str">
            <v>BA090</v>
          </cell>
          <cell r="K227">
            <v>1</v>
          </cell>
          <cell r="N227">
            <v>409.13</v>
          </cell>
          <cell r="P227" t="str">
            <v>NP2143</v>
          </cell>
          <cell r="Q227" t="str">
            <v>01Z01ZZ01AH</v>
          </cell>
          <cell r="R227" t="str">
            <v>CA01</v>
          </cell>
          <cell r="S227">
            <v>0.01</v>
          </cell>
        </row>
        <row r="228">
          <cell r="A228">
            <v>2603</v>
          </cell>
          <cell r="B228" t="str">
            <v>CRBS NP2143 STANDARD KG</v>
          </cell>
          <cell r="C228">
            <v>0</v>
          </cell>
          <cell r="D228" t="str">
            <v>KG</v>
          </cell>
          <cell r="E228">
            <v>409.44</v>
          </cell>
          <cell r="G228">
            <v>100</v>
          </cell>
          <cell r="H228" t="str">
            <v>SC Syngenta</v>
          </cell>
          <cell r="J228" t="str">
            <v>BA090</v>
          </cell>
          <cell r="K228">
            <v>1</v>
          </cell>
          <cell r="N228">
            <v>409.13</v>
          </cell>
          <cell r="P228" t="str">
            <v>NP2143</v>
          </cell>
          <cell r="Q228" t="str">
            <v>01Z01ZZ01AH</v>
          </cell>
          <cell r="R228" t="str">
            <v>CA01</v>
          </cell>
          <cell r="S228">
            <v>0.01</v>
          </cell>
        </row>
        <row r="229">
          <cell r="A229">
            <v>2603</v>
          </cell>
          <cell r="B229" t="str">
            <v>CRBS NP2143            STANDARD KG</v>
          </cell>
          <cell r="C229">
            <v>0</v>
          </cell>
          <cell r="D229" t="str">
            <v>KG</v>
          </cell>
          <cell r="E229">
            <v>409.44</v>
          </cell>
          <cell r="G229">
            <v>100</v>
          </cell>
          <cell r="H229" t="str">
            <v>SC Syngenta</v>
          </cell>
          <cell r="J229" t="str">
            <v>BA090</v>
          </cell>
          <cell r="K229">
            <v>1</v>
          </cell>
          <cell r="N229">
            <v>409.13</v>
          </cell>
          <cell r="P229" t="str">
            <v>NP2143</v>
          </cell>
          <cell r="Q229" t="str">
            <v>01Z01ZZ01AH</v>
          </cell>
          <cell r="R229" t="str">
            <v>CA01</v>
          </cell>
          <cell r="S229">
            <v>0.01</v>
          </cell>
        </row>
        <row r="230">
          <cell r="A230">
            <v>2603</v>
          </cell>
          <cell r="B230" t="str">
            <v>CRBS NP2143            STANDARD KG</v>
          </cell>
          <cell r="C230">
            <v>0</v>
          </cell>
          <cell r="D230" t="str">
            <v>KG</v>
          </cell>
          <cell r="E230">
            <v>409.44</v>
          </cell>
          <cell r="G230">
            <v>100</v>
          </cell>
          <cell r="H230" t="str">
            <v>SC Syngenta</v>
          </cell>
          <cell r="J230" t="str">
            <v>BA090</v>
          </cell>
          <cell r="K230">
            <v>1</v>
          </cell>
          <cell r="N230">
            <v>409.13</v>
          </cell>
          <cell r="P230" t="str">
            <v>NP2143</v>
          </cell>
          <cell r="Q230" t="str">
            <v>01Z01ZZ01AH</v>
          </cell>
          <cell r="R230" t="str">
            <v>CA01</v>
          </cell>
          <cell r="S230">
            <v>0.01</v>
          </cell>
        </row>
        <row r="231">
          <cell r="A231">
            <v>2603</v>
          </cell>
          <cell r="B231" t="str">
            <v>CRBS NP2143            STANDARD KG</v>
          </cell>
          <cell r="C231">
            <v>0</v>
          </cell>
          <cell r="D231" t="str">
            <v>KG</v>
          </cell>
          <cell r="E231">
            <v>409.44</v>
          </cell>
          <cell r="G231">
            <v>100</v>
          </cell>
          <cell r="H231" t="str">
            <v>SC Syngenta</v>
          </cell>
          <cell r="J231" t="str">
            <v>BA090</v>
          </cell>
          <cell r="K231">
            <v>1</v>
          </cell>
          <cell r="N231">
            <v>409.13</v>
          </cell>
          <cell r="P231" t="str">
            <v>NP2143</v>
          </cell>
          <cell r="Q231" t="str">
            <v>01Z01ZZ01AH</v>
          </cell>
          <cell r="R231" t="str">
            <v>CA01</v>
          </cell>
          <cell r="S231">
            <v>0.01</v>
          </cell>
        </row>
        <row r="232">
          <cell r="A232">
            <v>2603</v>
          </cell>
          <cell r="B232" t="str">
            <v>CRBS NP2143            STANDARD KG</v>
          </cell>
          <cell r="C232">
            <v>0</v>
          </cell>
          <cell r="D232" t="str">
            <v>KG</v>
          </cell>
          <cell r="E232">
            <v>409.44</v>
          </cell>
          <cell r="G232">
            <v>100</v>
          </cell>
          <cell r="H232" t="str">
            <v>SC Syngenta</v>
          </cell>
          <cell r="J232" t="str">
            <v>BA090</v>
          </cell>
          <cell r="K232">
            <v>1</v>
          </cell>
          <cell r="N232">
            <v>409.13</v>
          </cell>
          <cell r="P232" t="str">
            <v>NP2143</v>
          </cell>
          <cell r="Q232" t="str">
            <v>01Z01ZZ01AH</v>
          </cell>
          <cell r="R232" t="str">
            <v>CA01</v>
          </cell>
          <cell r="S232">
            <v>0.01</v>
          </cell>
        </row>
        <row r="233">
          <cell r="A233">
            <v>2603</v>
          </cell>
          <cell r="B233" t="str">
            <v>CRBS NP2143            STANDARD KG</v>
          </cell>
          <cell r="C233">
            <v>0</v>
          </cell>
          <cell r="D233" t="str">
            <v>KG</v>
          </cell>
          <cell r="E233">
            <v>409.44</v>
          </cell>
          <cell r="G233">
            <v>100</v>
          </cell>
          <cell r="H233" t="str">
            <v>SC Syngenta</v>
          </cell>
          <cell r="J233" t="str">
            <v>BA090</v>
          </cell>
          <cell r="K233">
            <v>1</v>
          </cell>
          <cell r="N233">
            <v>409.13</v>
          </cell>
          <cell r="P233" t="str">
            <v>NP2143</v>
          </cell>
          <cell r="Q233" t="str">
            <v>01Z01ZZ01AH</v>
          </cell>
          <cell r="R233" t="str">
            <v>CA01</v>
          </cell>
          <cell r="S233">
            <v>0.01</v>
          </cell>
        </row>
        <row r="234">
          <cell r="A234">
            <v>2603</v>
          </cell>
          <cell r="B234" t="str">
            <v>CRBS NP2143            STANDARD KG</v>
          </cell>
          <cell r="C234">
            <v>0</v>
          </cell>
          <cell r="D234" t="str">
            <v>KG</v>
          </cell>
          <cell r="E234">
            <v>409.44</v>
          </cell>
          <cell r="G234">
            <v>100</v>
          </cell>
          <cell r="H234" t="str">
            <v>SC Syngenta</v>
          </cell>
          <cell r="J234" t="str">
            <v>BA090</v>
          </cell>
          <cell r="K234">
            <v>1</v>
          </cell>
          <cell r="N234">
            <v>409.13</v>
          </cell>
          <cell r="P234" t="str">
            <v>NP2143</v>
          </cell>
          <cell r="Q234" t="str">
            <v>01Z01ZZ01AH</v>
          </cell>
          <cell r="R234" t="str">
            <v>CA01</v>
          </cell>
          <cell r="S234">
            <v>0.01</v>
          </cell>
        </row>
        <row r="235">
          <cell r="A235">
            <v>2603</v>
          </cell>
          <cell r="B235" t="str">
            <v>CRBS NP2143            STANDARD KG</v>
          </cell>
          <cell r="C235">
            <v>0</v>
          </cell>
          <cell r="D235" t="str">
            <v>KG</v>
          </cell>
          <cell r="E235">
            <v>409.44</v>
          </cell>
          <cell r="G235">
            <v>100</v>
          </cell>
          <cell r="H235" t="str">
            <v>SC Syngenta</v>
          </cell>
          <cell r="J235" t="str">
            <v>BA090</v>
          </cell>
          <cell r="K235">
            <v>1</v>
          </cell>
          <cell r="N235">
            <v>409.13</v>
          </cell>
          <cell r="P235" t="str">
            <v>NP2143</v>
          </cell>
          <cell r="Q235" t="str">
            <v>01Z01ZZ01AH</v>
          </cell>
          <cell r="R235" t="str">
            <v>CA01</v>
          </cell>
          <cell r="S235">
            <v>0.01</v>
          </cell>
        </row>
        <row r="236">
          <cell r="A236">
            <v>2603</v>
          </cell>
          <cell r="B236" t="str">
            <v>CRBS NP2143            STANDARD KG</v>
          </cell>
          <cell r="C236">
            <v>0</v>
          </cell>
          <cell r="D236" t="str">
            <v>KG</v>
          </cell>
          <cell r="E236">
            <v>409.44</v>
          </cell>
          <cell r="G236">
            <v>100</v>
          </cell>
          <cell r="H236" t="str">
            <v>SC Syngenta</v>
          </cell>
          <cell r="J236" t="str">
            <v>BA090</v>
          </cell>
          <cell r="K236">
            <v>1</v>
          </cell>
          <cell r="N236">
            <v>409.13</v>
          </cell>
          <cell r="P236" t="str">
            <v>NP2143</v>
          </cell>
          <cell r="Q236" t="str">
            <v>01Z01ZZ01AH</v>
          </cell>
          <cell r="R236" t="str">
            <v>CA01</v>
          </cell>
          <cell r="S236">
            <v>0.01</v>
          </cell>
        </row>
        <row r="237">
          <cell r="A237">
            <v>2603</v>
          </cell>
          <cell r="B237" t="str">
            <v>CRBS NP2143            STANDARD KG</v>
          </cell>
          <cell r="C237">
            <v>0</v>
          </cell>
          <cell r="D237" t="str">
            <v>KG</v>
          </cell>
          <cell r="E237">
            <v>409.44</v>
          </cell>
          <cell r="G237">
            <v>100</v>
          </cell>
          <cell r="H237" t="str">
            <v>SC Syngenta</v>
          </cell>
          <cell r="J237" t="str">
            <v>BA090</v>
          </cell>
          <cell r="K237">
            <v>1</v>
          </cell>
          <cell r="N237">
            <v>409.13</v>
          </cell>
          <cell r="P237" t="str">
            <v>NP2143</v>
          </cell>
          <cell r="Q237" t="str">
            <v>01Z01ZZ01AH</v>
          </cell>
          <cell r="R237" t="str">
            <v>CA01</v>
          </cell>
          <cell r="S237">
            <v>0.01</v>
          </cell>
        </row>
        <row r="238">
          <cell r="A238">
            <v>2603</v>
          </cell>
          <cell r="B238" t="str">
            <v>CRBS NP2143            STANDARD KG</v>
          </cell>
          <cell r="C238">
            <v>0</v>
          </cell>
          <cell r="D238" t="str">
            <v>KG</v>
          </cell>
          <cell r="E238">
            <v>409.44</v>
          </cell>
          <cell r="G238">
            <v>100</v>
          </cell>
          <cell r="H238" t="str">
            <v>SC Syngenta</v>
          </cell>
          <cell r="J238" t="str">
            <v>BA090</v>
          </cell>
          <cell r="K238">
            <v>1</v>
          </cell>
          <cell r="N238">
            <v>409.13</v>
          </cell>
          <cell r="P238" t="str">
            <v>NP2143</v>
          </cell>
          <cell r="Q238" t="str">
            <v>01Z01ZZ01AH</v>
          </cell>
          <cell r="R238" t="str">
            <v>CA01</v>
          </cell>
          <cell r="S238">
            <v>0.01</v>
          </cell>
        </row>
        <row r="239">
          <cell r="A239">
            <v>2603</v>
          </cell>
          <cell r="B239" t="str">
            <v>CRBS NP2143            STANDARD KG</v>
          </cell>
          <cell r="C239">
            <v>0</v>
          </cell>
          <cell r="D239" t="str">
            <v>KG</v>
          </cell>
          <cell r="E239">
            <v>409.44</v>
          </cell>
          <cell r="G239">
            <v>100</v>
          </cell>
          <cell r="H239" t="str">
            <v>SC Syngenta</v>
          </cell>
          <cell r="J239" t="str">
            <v>BA090</v>
          </cell>
          <cell r="K239">
            <v>1</v>
          </cell>
          <cell r="N239">
            <v>409.13</v>
          </cell>
          <cell r="P239" t="str">
            <v>NP2143</v>
          </cell>
          <cell r="Q239" t="str">
            <v>01Z01ZZ01AH</v>
          </cell>
          <cell r="R239" t="str">
            <v>CA01</v>
          </cell>
          <cell r="S239">
            <v>0.01</v>
          </cell>
        </row>
        <row r="240">
          <cell r="A240">
            <v>2603</v>
          </cell>
          <cell r="B240" t="str">
            <v>CRBS NP2143            STANDARD KG</v>
          </cell>
          <cell r="C240">
            <v>0</v>
          </cell>
          <cell r="D240" t="str">
            <v>KG</v>
          </cell>
          <cell r="E240">
            <v>409.44</v>
          </cell>
          <cell r="G240">
            <v>100</v>
          </cell>
          <cell r="H240" t="str">
            <v>SC Syngenta</v>
          </cell>
          <cell r="J240" t="str">
            <v>BA090</v>
          </cell>
          <cell r="K240">
            <v>1</v>
          </cell>
          <cell r="N240">
            <v>409.13</v>
          </cell>
          <cell r="P240" t="str">
            <v>NP2143</v>
          </cell>
          <cell r="Q240" t="str">
            <v>01Z01ZZ01AH</v>
          </cell>
          <cell r="R240" t="str">
            <v>CA01</v>
          </cell>
          <cell r="S240">
            <v>0.01</v>
          </cell>
        </row>
        <row r="241">
          <cell r="A241">
            <v>2603</v>
          </cell>
          <cell r="B241" t="str">
            <v>CRBS NP2143            STANDARD KG</v>
          </cell>
          <cell r="C241">
            <v>0</v>
          </cell>
          <cell r="D241" t="str">
            <v>KG</v>
          </cell>
          <cell r="E241">
            <v>409.44</v>
          </cell>
          <cell r="G241">
            <v>100</v>
          </cell>
          <cell r="H241" t="str">
            <v>SC Syngenta</v>
          </cell>
          <cell r="J241" t="str">
            <v>BA090</v>
          </cell>
          <cell r="K241">
            <v>1</v>
          </cell>
          <cell r="N241">
            <v>409.13</v>
          </cell>
          <cell r="P241" t="str">
            <v>NP2143</v>
          </cell>
          <cell r="Q241" t="str">
            <v>01Z01ZZ01AH</v>
          </cell>
          <cell r="R241" t="str">
            <v>CA01</v>
          </cell>
          <cell r="S241">
            <v>0.01</v>
          </cell>
        </row>
        <row r="242">
          <cell r="A242">
            <v>2603</v>
          </cell>
          <cell r="B242" t="str">
            <v>ÐÎÄ.ÔÎÐÌ.ÊÓÊÓÐ. NP2143</v>
          </cell>
          <cell r="C242">
            <v>0</v>
          </cell>
          <cell r="D242" t="str">
            <v>KG</v>
          </cell>
          <cell r="E242">
            <v>409.44</v>
          </cell>
          <cell r="G242">
            <v>100</v>
          </cell>
          <cell r="H242" t="str">
            <v>SC Syngenta</v>
          </cell>
          <cell r="J242" t="str">
            <v>BA090</v>
          </cell>
          <cell r="K242">
            <v>1</v>
          </cell>
          <cell r="N242">
            <v>409.13</v>
          </cell>
          <cell r="P242" t="str">
            <v>NP2143</v>
          </cell>
          <cell r="Q242" t="str">
            <v>01Z01ZZ01AH</v>
          </cell>
          <cell r="R242" t="str">
            <v>CA01</v>
          </cell>
          <cell r="S242">
            <v>0.01</v>
          </cell>
        </row>
        <row r="243">
          <cell r="A243">
            <v>2603</v>
          </cell>
          <cell r="B243" t="str">
            <v>ÐÎÄ.ÔÎÐÌ.ÊÓÊÓÐ. NP2143</v>
          </cell>
          <cell r="C243">
            <v>0</v>
          </cell>
          <cell r="D243" t="str">
            <v>KG</v>
          </cell>
          <cell r="E243">
            <v>409.44</v>
          </cell>
          <cell r="G243">
            <v>100</v>
          </cell>
          <cell r="H243" t="str">
            <v>SC Syngenta</v>
          </cell>
          <cell r="J243" t="str">
            <v>BA090</v>
          </cell>
          <cell r="K243">
            <v>1</v>
          </cell>
          <cell r="N243">
            <v>409.13</v>
          </cell>
          <cell r="P243" t="str">
            <v>NP2143</v>
          </cell>
          <cell r="Q243" t="str">
            <v>01Z01ZZ01AH</v>
          </cell>
          <cell r="R243" t="str">
            <v>CA01</v>
          </cell>
          <cell r="S243">
            <v>0.01</v>
          </cell>
        </row>
        <row r="244">
          <cell r="A244">
            <v>2603</v>
          </cell>
          <cell r="B244" t="str">
            <v>ÐÎÄ.ÔÎÐÌ.ÊÓÊÓÐ. NP2143</v>
          </cell>
          <cell r="C244">
            <v>0</v>
          </cell>
          <cell r="D244" t="str">
            <v>KG</v>
          </cell>
          <cell r="E244">
            <v>409.44</v>
          </cell>
          <cell r="G244">
            <v>100</v>
          </cell>
          <cell r="H244" t="str">
            <v>SC Syngenta</v>
          </cell>
          <cell r="J244" t="str">
            <v>BA090</v>
          </cell>
          <cell r="K244">
            <v>1</v>
          </cell>
          <cell r="N244">
            <v>409.13</v>
          </cell>
          <cell r="P244" t="str">
            <v>NP2143</v>
          </cell>
          <cell r="Q244" t="str">
            <v>01Z01ZZ01AH</v>
          </cell>
          <cell r="R244" t="str">
            <v>CA01</v>
          </cell>
          <cell r="S244">
            <v>0.01</v>
          </cell>
        </row>
        <row r="245">
          <cell r="A245">
            <v>2603</v>
          </cell>
          <cell r="B245" t="str">
            <v>ÐÎÄ.ÔÎÐÌ.ÊÓÊÓÐ. NP2143</v>
          </cell>
          <cell r="C245">
            <v>0</v>
          </cell>
          <cell r="D245" t="str">
            <v>KG</v>
          </cell>
          <cell r="E245">
            <v>409.44</v>
          </cell>
          <cell r="G245">
            <v>100</v>
          </cell>
          <cell r="H245" t="str">
            <v>SC Syngenta</v>
          </cell>
          <cell r="J245" t="str">
            <v>BA090</v>
          </cell>
          <cell r="K245">
            <v>1</v>
          </cell>
          <cell r="N245">
            <v>409.13</v>
          </cell>
          <cell r="P245" t="str">
            <v>NP2143</v>
          </cell>
          <cell r="Q245" t="str">
            <v>01Z01ZZ01AH</v>
          </cell>
          <cell r="R245" t="str">
            <v>CA01</v>
          </cell>
          <cell r="S245">
            <v>0.01</v>
          </cell>
        </row>
        <row r="246">
          <cell r="A246">
            <v>2603</v>
          </cell>
          <cell r="B246" t="str">
            <v>ÐÎÄ.ÔÎÐÌ.ÊÓÊÓÐ. NP2143</v>
          </cell>
          <cell r="C246">
            <v>0</v>
          </cell>
          <cell r="D246" t="str">
            <v>KG</v>
          </cell>
          <cell r="E246">
            <v>409.44</v>
          </cell>
          <cell r="G246">
            <v>100</v>
          </cell>
          <cell r="H246" t="str">
            <v>SC Syngenta</v>
          </cell>
          <cell r="J246" t="str">
            <v>BA090</v>
          </cell>
          <cell r="K246">
            <v>1</v>
          </cell>
          <cell r="N246">
            <v>409.13</v>
          </cell>
          <cell r="P246" t="str">
            <v>NP2143</v>
          </cell>
          <cell r="Q246" t="str">
            <v>01Z01ZZ01AH</v>
          </cell>
          <cell r="R246" t="str">
            <v>CA01</v>
          </cell>
          <cell r="S246">
            <v>0.01</v>
          </cell>
        </row>
        <row r="247">
          <cell r="A247">
            <v>2603</v>
          </cell>
          <cell r="B247" t="str">
            <v>ÐÎÄ.ÔÎÐÌ.ÊÓÊÓÐ. NP2143</v>
          </cell>
          <cell r="C247">
            <v>0</v>
          </cell>
          <cell r="D247" t="str">
            <v>KG</v>
          </cell>
          <cell r="E247">
            <v>409.44</v>
          </cell>
          <cell r="G247">
            <v>100</v>
          </cell>
          <cell r="H247" t="str">
            <v>SC Syngenta</v>
          </cell>
          <cell r="J247" t="str">
            <v>BA090</v>
          </cell>
          <cell r="K247">
            <v>1</v>
          </cell>
          <cell r="N247">
            <v>409.13</v>
          </cell>
          <cell r="P247" t="str">
            <v>NP2143</v>
          </cell>
          <cell r="Q247" t="str">
            <v>01Z01ZZ01AH</v>
          </cell>
          <cell r="R247" t="str">
            <v>CA01</v>
          </cell>
          <cell r="S247">
            <v>0.01</v>
          </cell>
        </row>
        <row r="248">
          <cell r="A248">
            <v>2603</v>
          </cell>
          <cell r="B248" t="str">
            <v>ÐÎÄ.ÔÎÐÌ.ÊÓÊÓÐ. NP2143</v>
          </cell>
          <cell r="C248">
            <v>0</v>
          </cell>
          <cell r="D248" t="str">
            <v>KG</v>
          </cell>
          <cell r="E248">
            <v>409.44</v>
          </cell>
          <cell r="G248">
            <v>100</v>
          </cell>
          <cell r="H248" t="str">
            <v>SC Syngenta</v>
          </cell>
          <cell r="J248" t="str">
            <v>BA090</v>
          </cell>
          <cell r="K248">
            <v>1</v>
          </cell>
          <cell r="N248">
            <v>409.13</v>
          </cell>
          <cell r="P248" t="str">
            <v>NP2143</v>
          </cell>
          <cell r="Q248" t="str">
            <v>01Z01ZZ01AH</v>
          </cell>
          <cell r="R248" t="str">
            <v>CA01</v>
          </cell>
          <cell r="S248">
            <v>0.01</v>
          </cell>
        </row>
        <row r="249">
          <cell r="A249">
            <v>2603</v>
          </cell>
          <cell r="B249" t="str">
            <v>ÐÎÄ.ÔÎÐÌ.ÊÓÊÓÐ. NP2143</v>
          </cell>
          <cell r="C249">
            <v>0</v>
          </cell>
          <cell r="D249" t="str">
            <v>KG</v>
          </cell>
          <cell r="E249">
            <v>409.44</v>
          </cell>
          <cell r="G249">
            <v>100</v>
          </cell>
          <cell r="H249" t="str">
            <v>SC Syngenta</v>
          </cell>
          <cell r="J249" t="str">
            <v>BA090</v>
          </cell>
          <cell r="K249">
            <v>1</v>
          </cell>
          <cell r="N249">
            <v>409.13</v>
          </cell>
          <cell r="P249" t="str">
            <v>NP2143</v>
          </cell>
          <cell r="Q249" t="str">
            <v>01Z01ZZ01AH</v>
          </cell>
          <cell r="R249" t="str">
            <v>CA01</v>
          </cell>
          <cell r="S249">
            <v>0.01</v>
          </cell>
        </row>
        <row r="250">
          <cell r="A250">
            <v>2603</v>
          </cell>
          <cell r="B250" t="str">
            <v>ÐÎÄ.ÔÎÐÌ.ÊÓÊÓÐ. NP2143</v>
          </cell>
          <cell r="C250">
            <v>0</v>
          </cell>
          <cell r="D250" t="str">
            <v>KG</v>
          </cell>
          <cell r="E250">
            <v>409.44</v>
          </cell>
          <cell r="G250">
            <v>100</v>
          </cell>
          <cell r="H250" t="str">
            <v>SC Syngenta</v>
          </cell>
          <cell r="J250" t="str">
            <v>BA090</v>
          </cell>
          <cell r="K250">
            <v>1</v>
          </cell>
          <cell r="N250">
            <v>409.13</v>
          </cell>
          <cell r="P250" t="str">
            <v>NP2143</v>
          </cell>
          <cell r="Q250" t="str">
            <v>01Z01ZZ01AH</v>
          </cell>
          <cell r="R250" t="str">
            <v>CA01</v>
          </cell>
          <cell r="S250">
            <v>0.01</v>
          </cell>
        </row>
        <row r="251">
          <cell r="A251">
            <v>2603</v>
          </cell>
          <cell r="B251" t="str">
            <v>ÐÎÄ.ÔÎÐÌ.ÊÓÊÓÐ. NP2143</v>
          </cell>
          <cell r="C251">
            <v>0</v>
          </cell>
          <cell r="D251" t="str">
            <v>KG</v>
          </cell>
          <cell r="E251">
            <v>409.44</v>
          </cell>
          <cell r="G251">
            <v>100</v>
          </cell>
          <cell r="H251" t="str">
            <v>SC Syngenta</v>
          </cell>
          <cell r="J251" t="str">
            <v>BA090</v>
          </cell>
          <cell r="K251">
            <v>1</v>
          </cell>
          <cell r="N251">
            <v>409.13</v>
          </cell>
          <cell r="P251" t="str">
            <v>NP2143</v>
          </cell>
          <cell r="Q251" t="str">
            <v>01Z01ZZ01AH</v>
          </cell>
          <cell r="R251" t="str">
            <v>CA01</v>
          </cell>
          <cell r="S251">
            <v>0.01</v>
          </cell>
        </row>
        <row r="252">
          <cell r="A252">
            <v>2603</v>
          </cell>
          <cell r="B252" t="str">
            <v>ÐÎÄ.ÔÎÐÌ.ÊÓÊÓÐ. NP2143</v>
          </cell>
          <cell r="C252">
            <v>0</v>
          </cell>
          <cell r="D252" t="str">
            <v>KG</v>
          </cell>
          <cell r="E252">
            <v>409.44</v>
          </cell>
          <cell r="G252">
            <v>100</v>
          </cell>
          <cell r="H252" t="str">
            <v>SC Syngenta</v>
          </cell>
          <cell r="J252" t="str">
            <v>BA090</v>
          </cell>
          <cell r="K252">
            <v>1</v>
          </cell>
          <cell r="N252">
            <v>409.13</v>
          </cell>
          <cell r="P252" t="str">
            <v>NP2143</v>
          </cell>
          <cell r="Q252" t="str">
            <v>01Z01ZZ01AH</v>
          </cell>
          <cell r="R252" t="str">
            <v>CA01</v>
          </cell>
          <cell r="S252">
            <v>0.01</v>
          </cell>
        </row>
        <row r="253">
          <cell r="A253">
            <v>2603</v>
          </cell>
          <cell r="B253" t="str">
            <v>ÐÎÄ.ÔÎÐÌ.ÊÓÊÓÐ. NP2143</v>
          </cell>
          <cell r="C253">
            <v>0</v>
          </cell>
          <cell r="D253" t="str">
            <v>KG</v>
          </cell>
          <cell r="E253">
            <v>409.44</v>
          </cell>
          <cell r="G253">
            <v>100</v>
          </cell>
          <cell r="H253" t="str">
            <v>SC Syngenta</v>
          </cell>
          <cell r="J253" t="str">
            <v>BA090</v>
          </cell>
          <cell r="K253">
            <v>1</v>
          </cell>
          <cell r="N253">
            <v>409.13</v>
          </cell>
          <cell r="P253" t="str">
            <v>NP2143</v>
          </cell>
          <cell r="Q253" t="str">
            <v>01Z01ZZ01AH</v>
          </cell>
          <cell r="R253" t="str">
            <v>CA01</v>
          </cell>
          <cell r="S253">
            <v>0.01</v>
          </cell>
        </row>
        <row r="254">
          <cell r="A254">
            <v>2603</v>
          </cell>
          <cell r="B254" t="str">
            <v>ÐÎÄ.ÔÎÐÌ.ÊÓÊÓÐ. NP2143</v>
          </cell>
          <cell r="C254">
            <v>0</v>
          </cell>
          <cell r="D254" t="str">
            <v>KG</v>
          </cell>
          <cell r="E254">
            <v>409.44</v>
          </cell>
          <cell r="G254">
            <v>100</v>
          </cell>
          <cell r="H254" t="str">
            <v>SC Syngenta</v>
          </cell>
          <cell r="J254" t="str">
            <v>BA090</v>
          </cell>
          <cell r="K254">
            <v>1</v>
          </cell>
          <cell r="N254">
            <v>409.13</v>
          </cell>
          <cell r="P254" t="str">
            <v>NP2143</v>
          </cell>
          <cell r="Q254" t="str">
            <v>01Z01ZZ01AH</v>
          </cell>
          <cell r="R254" t="str">
            <v>CA01</v>
          </cell>
          <cell r="S254">
            <v>0.01</v>
          </cell>
        </row>
        <row r="255">
          <cell r="A255">
            <v>2603</v>
          </cell>
          <cell r="B255" t="str">
            <v>CRBS NP2143            STANDARD KG</v>
          </cell>
          <cell r="C255">
            <v>0</v>
          </cell>
          <cell r="D255" t="str">
            <v>KG</v>
          </cell>
          <cell r="E255">
            <v>409.44</v>
          </cell>
          <cell r="G255">
            <v>100</v>
          </cell>
          <cell r="H255" t="str">
            <v>SC Syngenta</v>
          </cell>
          <cell r="J255" t="str">
            <v>BA090</v>
          </cell>
          <cell r="K255">
            <v>1</v>
          </cell>
          <cell r="N255">
            <v>409.13</v>
          </cell>
          <cell r="P255" t="str">
            <v>NP2143</v>
          </cell>
          <cell r="Q255" t="str">
            <v>01Z01ZZ01AH</v>
          </cell>
          <cell r="R255" t="str">
            <v>CA01</v>
          </cell>
          <cell r="S255">
            <v>0.01</v>
          </cell>
        </row>
        <row r="256">
          <cell r="A256">
            <v>2603</v>
          </cell>
          <cell r="B256" t="str">
            <v>CRBS NP2143            STANDARD KG</v>
          </cell>
          <cell r="C256">
            <v>0</v>
          </cell>
          <cell r="D256" t="str">
            <v>KG</v>
          </cell>
          <cell r="E256">
            <v>409.44</v>
          </cell>
          <cell r="G256">
            <v>100</v>
          </cell>
          <cell r="H256" t="str">
            <v>SC Syngenta</v>
          </cell>
          <cell r="J256" t="str">
            <v>BA090</v>
          </cell>
          <cell r="K256">
            <v>1</v>
          </cell>
          <cell r="N256">
            <v>409.13</v>
          </cell>
          <cell r="P256" t="str">
            <v>NP2143</v>
          </cell>
          <cell r="Q256" t="str">
            <v>01Z01ZZ01AH</v>
          </cell>
          <cell r="R256" t="str">
            <v>CA01</v>
          </cell>
          <cell r="S256">
            <v>0.01</v>
          </cell>
        </row>
        <row r="257">
          <cell r="A257">
            <v>2603</v>
          </cell>
          <cell r="B257" t="str">
            <v>CRBS NP2143            STANDARD KG</v>
          </cell>
          <cell r="C257">
            <v>0</v>
          </cell>
          <cell r="D257" t="str">
            <v>KG</v>
          </cell>
          <cell r="E257">
            <v>409.44</v>
          </cell>
          <cell r="G257">
            <v>100</v>
          </cell>
          <cell r="H257" t="str">
            <v>SC Syngenta</v>
          </cell>
          <cell r="J257" t="str">
            <v>BA090</v>
          </cell>
          <cell r="K257">
            <v>1</v>
          </cell>
          <cell r="N257">
            <v>409.13</v>
          </cell>
          <cell r="P257" t="str">
            <v>NP2143</v>
          </cell>
          <cell r="Q257" t="str">
            <v>01Z01ZZ01AH</v>
          </cell>
          <cell r="R257" t="str">
            <v>CA01</v>
          </cell>
          <cell r="S257">
            <v>0.01</v>
          </cell>
        </row>
        <row r="258">
          <cell r="A258">
            <v>2603</v>
          </cell>
          <cell r="B258" t="str">
            <v>CRBS NP2143            STANDARD KG</v>
          </cell>
          <cell r="C258">
            <v>0</v>
          </cell>
          <cell r="D258" t="str">
            <v>KG</v>
          </cell>
          <cell r="E258">
            <v>409.44</v>
          </cell>
          <cell r="G258">
            <v>100</v>
          </cell>
          <cell r="H258" t="str">
            <v>SC Syngenta</v>
          </cell>
          <cell r="J258" t="str">
            <v>BA090</v>
          </cell>
          <cell r="K258">
            <v>1</v>
          </cell>
          <cell r="N258">
            <v>409.13</v>
          </cell>
          <cell r="P258" t="str">
            <v>NP2143</v>
          </cell>
          <cell r="Q258" t="str">
            <v>01Z01ZZ01AH</v>
          </cell>
          <cell r="R258" t="str">
            <v>CA01</v>
          </cell>
          <cell r="S258">
            <v>0.01</v>
          </cell>
        </row>
        <row r="259">
          <cell r="A259">
            <v>2603</v>
          </cell>
          <cell r="B259" t="str">
            <v>CRBS NP2143            STANDARD KG</v>
          </cell>
          <cell r="C259">
            <v>0</v>
          </cell>
          <cell r="D259" t="str">
            <v>KG</v>
          </cell>
          <cell r="E259">
            <v>409.44</v>
          </cell>
          <cell r="G259">
            <v>100</v>
          </cell>
          <cell r="H259" t="str">
            <v>SC Syngenta</v>
          </cell>
          <cell r="J259" t="str">
            <v>BA090</v>
          </cell>
          <cell r="K259">
            <v>1</v>
          </cell>
          <cell r="N259">
            <v>409.13</v>
          </cell>
          <cell r="P259" t="str">
            <v>NP2143</v>
          </cell>
          <cell r="Q259" t="str">
            <v>01Z01ZZ01AH</v>
          </cell>
          <cell r="R259" t="str">
            <v>CA01</v>
          </cell>
          <cell r="S259">
            <v>0.01</v>
          </cell>
        </row>
        <row r="260">
          <cell r="A260">
            <v>2603</v>
          </cell>
          <cell r="B260" t="str">
            <v>CRBS NP2143            STANDARD KG</v>
          </cell>
          <cell r="C260">
            <v>0</v>
          </cell>
          <cell r="D260" t="str">
            <v>KG</v>
          </cell>
          <cell r="E260">
            <v>409.44</v>
          </cell>
          <cell r="G260">
            <v>100</v>
          </cell>
          <cell r="H260" t="str">
            <v>SC Syngenta</v>
          </cell>
          <cell r="J260" t="str">
            <v>BA090</v>
          </cell>
          <cell r="K260">
            <v>1</v>
          </cell>
          <cell r="N260">
            <v>409.13</v>
          </cell>
          <cell r="P260" t="str">
            <v>NP2143</v>
          </cell>
          <cell r="Q260" t="str">
            <v>01Z01ZZ01AH</v>
          </cell>
          <cell r="R260" t="str">
            <v>CA01</v>
          </cell>
          <cell r="S260">
            <v>0.01</v>
          </cell>
        </row>
        <row r="261">
          <cell r="A261">
            <v>2603</v>
          </cell>
          <cell r="B261" t="str">
            <v>CRBS NP2143            STANDARD KG</v>
          </cell>
          <cell r="C261">
            <v>0</v>
          </cell>
          <cell r="D261" t="str">
            <v>KG</v>
          </cell>
          <cell r="E261">
            <v>409.44</v>
          </cell>
          <cell r="G261">
            <v>100</v>
          </cell>
          <cell r="H261" t="str">
            <v>SC Syngenta</v>
          </cell>
          <cell r="J261" t="str">
            <v>BA090</v>
          </cell>
          <cell r="K261">
            <v>1</v>
          </cell>
          <cell r="N261">
            <v>409.13</v>
          </cell>
          <cell r="P261" t="str">
            <v>NP2143</v>
          </cell>
          <cell r="Q261" t="str">
            <v>01Z01ZZ01AH</v>
          </cell>
          <cell r="R261" t="str">
            <v>CA01</v>
          </cell>
          <cell r="S261">
            <v>0.01</v>
          </cell>
        </row>
        <row r="262">
          <cell r="A262">
            <v>2603</v>
          </cell>
          <cell r="B262" t="str">
            <v>CRBS NP2143            STANDARD KG</v>
          </cell>
          <cell r="C262">
            <v>0</v>
          </cell>
          <cell r="D262" t="str">
            <v>KG</v>
          </cell>
          <cell r="E262">
            <v>409.44</v>
          </cell>
          <cell r="G262">
            <v>100</v>
          </cell>
          <cell r="H262" t="str">
            <v>SC Syngenta</v>
          </cell>
          <cell r="J262" t="str">
            <v>BA090</v>
          </cell>
          <cell r="K262">
            <v>1</v>
          </cell>
          <cell r="N262">
            <v>409.13</v>
          </cell>
          <cell r="P262" t="str">
            <v>NP2143</v>
          </cell>
          <cell r="Q262" t="str">
            <v>01Z01ZZ01AH</v>
          </cell>
          <cell r="R262" t="str">
            <v>CA01</v>
          </cell>
          <cell r="S262">
            <v>0.01</v>
          </cell>
        </row>
        <row r="263">
          <cell r="A263">
            <v>2603</v>
          </cell>
          <cell r="B263" t="str">
            <v>CRBS NP2143            STANDARD KG</v>
          </cell>
          <cell r="C263">
            <v>0</v>
          </cell>
          <cell r="D263" t="str">
            <v>KG</v>
          </cell>
          <cell r="E263">
            <v>409.44</v>
          </cell>
          <cell r="G263">
            <v>100</v>
          </cell>
          <cell r="H263" t="str">
            <v>SC Syngenta</v>
          </cell>
          <cell r="J263" t="str">
            <v>BA090</v>
          </cell>
          <cell r="K263">
            <v>1</v>
          </cell>
          <cell r="N263">
            <v>409.13</v>
          </cell>
          <cell r="P263" t="str">
            <v>NP2143</v>
          </cell>
          <cell r="Q263" t="str">
            <v>01Z01ZZ01AH</v>
          </cell>
          <cell r="R263" t="str">
            <v>CA01</v>
          </cell>
          <cell r="S263">
            <v>0.01</v>
          </cell>
        </row>
        <row r="264">
          <cell r="A264">
            <v>2603</v>
          </cell>
          <cell r="B264" t="str">
            <v>CRBS NP2143            STANDARD KG</v>
          </cell>
          <cell r="C264">
            <v>0</v>
          </cell>
          <cell r="D264" t="str">
            <v>KG</v>
          </cell>
          <cell r="E264">
            <v>409.44</v>
          </cell>
          <cell r="G264">
            <v>100</v>
          </cell>
          <cell r="H264" t="str">
            <v>SC Syngenta</v>
          </cell>
          <cell r="J264" t="str">
            <v>BA090</v>
          </cell>
          <cell r="K264">
            <v>1</v>
          </cell>
          <cell r="N264">
            <v>409.13</v>
          </cell>
          <cell r="P264" t="str">
            <v>NP2143</v>
          </cell>
          <cell r="Q264" t="str">
            <v>01Z01ZZ01AH</v>
          </cell>
          <cell r="R264" t="str">
            <v>CA01</v>
          </cell>
          <cell r="S264">
            <v>0.01</v>
          </cell>
        </row>
        <row r="265">
          <cell r="A265">
            <v>2603</v>
          </cell>
          <cell r="B265" t="str">
            <v>CRBS NP2143            STANDARD KG</v>
          </cell>
          <cell r="C265">
            <v>0</v>
          </cell>
          <cell r="D265" t="str">
            <v>KG</v>
          </cell>
          <cell r="E265">
            <v>409.44</v>
          </cell>
          <cell r="G265">
            <v>100</v>
          </cell>
          <cell r="H265" t="str">
            <v>SC Syngenta</v>
          </cell>
          <cell r="J265" t="str">
            <v>BA090</v>
          </cell>
          <cell r="K265">
            <v>1</v>
          </cell>
          <cell r="N265">
            <v>409.13</v>
          </cell>
          <cell r="P265" t="str">
            <v>NP2143</v>
          </cell>
          <cell r="Q265" t="str">
            <v>01Z01ZZ01AH</v>
          </cell>
          <cell r="R265" t="str">
            <v>CA01</v>
          </cell>
          <cell r="S265">
            <v>0.01</v>
          </cell>
        </row>
        <row r="266">
          <cell r="A266">
            <v>2603</v>
          </cell>
          <cell r="B266" t="str">
            <v>CRBS NP2143            STANDARD KG</v>
          </cell>
          <cell r="C266">
            <v>0</v>
          </cell>
          <cell r="D266" t="str">
            <v>KG</v>
          </cell>
          <cell r="E266">
            <v>409.44</v>
          </cell>
          <cell r="G266">
            <v>100</v>
          </cell>
          <cell r="H266" t="str">
            <v>SC Syngenta</v>
          </cell>
          <cell r="J266" t="str">
            <v>BA090</v>
          </cell>
          <cell r="K266">
            <v>1</v>
          </cell>
          <cell r="N266">
            <v>409.13</v>
          </cell>
          <cell r="P266" t="str">
            <v>NP2143</v>
          </cell>
          <cell r="Q266" t="str">
            <v>01Z01ZZ01AH</v>
          </cell>
          <cell r="R266" t="str">
            <v>CA01</v>
          </cell>
          <cell r="S266">
            <v>0.01</v>
          </cell>
        </row>
        <row r="267">
          <cell r="A267">
            <v>2603</v>
          </cell>
          <cell r="B267" t="str">
            <v>CRBS NP2143            STANDARD KG</v>
          </cell>
          <cell r="C267">
            <v>0</v>
          </cell>
          <cell r="D267" t="str">
            <v>KG</v>
          </cell>
          <cell r="E267">
            <v>409.44</v>
          </cell>
          <cell r="G267">
            <v>100</v>
          </cell>
          <cell r="H267" t="str">
            <v>SC Syngenta</v>
          </cell>
          <cell r="J267" t="str">
            <v>BA090</v>
          </cell>
          <cell r="K267">
            <v>1</v>
          </cell>
          <cell r="N267">
            <v>409.13</v>
          </cell>
          <cell r="P267" t="str">
            <v>NP2143</v>
          </cell>
          <cell r="Q267" t="str">
            <v>01Z01ZZ01AH</v>
          </cell>
          <cell r="R267" t="str">
            <v>CA01</v>
          </cell>
          <cell r="S267">
            <v>0.01</v>
          </cell>
        </row>
        <row r="268">
          <cell r="A268">
            <v>2603</v>
          </cell>
          <cell r="B268" t="str">
            <v>CRBS NP2143            STANDARD KG</v>
          </cell>
          <cell r="C268">
            <v>0</v>
          </cell>
          <cell r="D268" t="str">
            <v>KG</v>
          </cell>
          <cell r="E268">
            <v>409.44</v>
          </cell>
          <cell r="G268">
            <v>100</v>
          </cell>
          <cell r="H268" t="str">
            <v>SC Syngenta</v>
          </cell>
          <cell r="J268" t="str">
            <v>BA090</v>
          </cell>
          <cell r="K268">
            <v>1</v>
          </cell>
          <cell r="N268">
            <v>409.13</v>
          </cell>
          <cell r="P268" t="str">
            <v>NP2143</v>
          </cell>
          <cell r="Q268" t="str">
            <v>01Z01ZZ01AH</v>
          </cell>
          <cell r="R268" t="str">
            <v>CA01</v>
          </cell>
          <cell r="S268">
            <v>0.01</v>
          </cell>
        </row>
        <row r="269">
          <cell r="A269">
            <v>2603</v>
          </cell>
          <cell r="B269" t="str">
            <v>CRBS NP2143            STANDARD KG</v>
          </cell>
          <cell r="C269">
            <v>0</v>
          </cell>
          <cell r="D269" t="str">
            <v>KG</v>
          </cell>
          <cell r="E269">
            <v>409.44</v>
          </cell>
          <cell r="G269">
            <v>100</v>
          </cell>
          <cell r="H269" t="str">
            <v>SC Syngenta</v>
          </cell>
          <cell r="J269" t="str">
            <v>BA090</v>
          </cell>
          <cell r="K269">
            <v>1</v>
          </cell>
          <cell r="N269">
            <v>409.13</v>
          </cell>
          <cell r="P269" t="str">
            <v>NP2143</v>
          </cell>
          <cell r="Q269" t="str">
            <v>01Z01ZZ01AH</v>
          </cell>
          <cell r="R269" t="str">
            <v>CA01</v>
          </cell>
          <cell r="S269">
            <v>0.01</v>
          </cell>
        </row>
        <row r="270">
          <cell r="A270">
            <v>2603</v>
          </cell>
          <cell r="B270" t="str">
            <v>CRBS NP2143            STANDARD KG</v>
          </cell>
          <cell r="C270">
            <v>0</v>
          </cell>
          <cell r="D270" t="str">
            <v>KG</v>
          </cell>
          <cell r="E270">
            <v>409.44</v>
          </cell>
          <cell r="G270">
            <v>100</v>
          </cell>
          <cell r="H270" t="str">
            <v>SC Syngenta</v>
          </cell>
          <cell r="J270" t="str">
            <v>BA090</v>
          </cell>
          <cell r="K270">
            <v>1</v>
          </cell>
          <cell r="N270">
            <v>409.13</v>
          </cell>
          <cell r="P270" t="str">
            <v>NP2143</v>
          </cell>
          <cell r="Q270" t="str">
            <v>01Z01ZZ01AH</v>
          </cell>
          <cell r="R270" t="str">
            <v>CA01</v>
          </cell>
          <cell r="S270">
            <v>0.01</v>
          </cell>
        </row>
        <row r="271">
          <cell r="A271">
            <v>2603</v>
          </cell>
          <cell r="B271" t="str">
            <v>CRBS NP2143            STANDARD KG</v>
          </cell>
          <cell r="C271">
            <v>0</v>
          </cell>
          <cell r="D271" t="str">
            <v>KG</v>
          </cell>
          <cell r="E271">
            <v>409.44</v>
          </cell>
          <cell r="G271">
            <v>100</v>
          </cell>
          <cell r="H271" t="str">
            <v>SC Syngenta</v>
          </cell>
          <cell r="J271" t="str">
            <v>BA090</v>
          </cell>
          <cell r="K271">
            <v>1</v>
          </cell>
          <cell r="N271">
            <v>409.13</v>
          </cell>
          <cell r="P271" t="str">
            <v>NP2143</v>
          </cell>
          <cell r="Q271" t="str">
            <v>01Z01ZZ01AH</v>
          </cell>
          <cell r="R271" t="str">
            <v>CA01</v>
          </cell>
          <cell r="S271">
            <v>0.01</v>
          </cell>
        </row>
        <row r="272">
          <cell r="A272">
            <v>2603</v>
          </cell>
          <cell r="B272" t="str">
            <v>CRBS NP2143            STANDARD KG</v>
          </cell>
          <cell r="C272">
            <v>0</v>
          </cell>
          <cell r="D272" t="str">
            <v>KG</v>
          </cell>
          <cell r="E272">
            <v>409.44</v>
          </cell>
          <cell r="G272">
            <v>100</v>
          </cell>
          <cell r="H272" t="str">
            <v>SC Syngenta</v>
          </cell>
          <cell r="J272" t="str">
            <v>BA090</v>
          </cell>
          <cell r="K272">
            <v>1</v>
          </cell>
          <cell r="N272">
            <v>409.13</v>
          </cell>
          <cell r="P272" t="str">
            <v>NP2143</v>
          </cell>
          <cell r="Q272" t="str">
            <v>01Z01ZZ01AH</v>
          </cell>
          <cell r="R272" t="str">
            <v>CA01</v>
          </cell>
          <cell r="S272">
            <v>0.01</v>
          </cell>
        </row>
        <row r="273">
          <cell r="A273">
            <v>2603</v>
          </cell>
          <cell r="B273" t="str">
            <v>CRBS NP2143            STANDARD KG</v>
          </cell>
          <cell r="C273">
            <v>0</v>
          </cell>
          <cell r="D273" t="str">
            <v>KG</v>
          </cell>
          <cell r="E273">
            <v>409.44</v>
          </cell>
          <cell r="G273">
            <v>100</v>
          </cell>
          <cell r="H273" t="str">
            <v>SC Syngenta</v>
          </cell>
          <cell r="J273" t="str">
            <v>BA090</v>
          </cell>
          <cell r="K273">
            <v>1</v>
          </cell>
          <cell r="N273">
            <v>409.13</v>
          </cell>
          <cell r="P273" t="str">
            <v>NP2143</v>
          </cell>
          <cell r="Q273" t="str">
            <v>01Z01ZZ01AH</v>
          </cell>
          <cell r="R273" t="str">
            <v>CA01</v>
          </cell>
          <cell r="S273">
            <v>0.01</v>
          </cell>
        </row>
        <row r="274">
          <cell r="A274">
            <v>2603</v>
          </cell>
          <cell r="B274" t="str">
            <v>CRBS NP2143            STANDARD KG</v>
          </cell>
          <cell r="C274">
            <v>0</v>
          </cell>
          <cell r="D274" t="str">
            <v>KG</v>
          </cell>
          <cell r="E274">
            <v>409.44</v>
          </cell>
          <cell r="G274">
            <v>100</v>
          </cell>
          <cell r="H274" t="str">
            <v>SC Syngenta</v>
          </cell>
          <cell r="J274" t="str">
            <v>BA090</v>
          </cell>
          <cell r="K274">
            <v>1</v>
          </cell>
          <cell r="N274">
            <v>409.13</v>
          </cell>
          <cell r="P274" t="str">
            <v>NP2143</v>
          </cell>
          <cell r="Q274" t="str">
            <v>01Z01ZZ01AH</v>
          </cell>
          <cell r="R274" t="str">
            <v>CA01</v>
          </cell>
          <cell r="S274">
            <v>0.01</v>
          </cell>
        </row>
        <row r="275">
          <cell r="A275">
            <v>2603</v>
          </cell>
          <cell r="B275" t="str">
            <v>CRBS NP2143            STANDARD KG</v>
          </cell>
          <cell r="C275">
            <v>0</v>
          </cell>
          <cell r="D275" t="str">
            <v>KG</v>
          </cell>
          <cell r="E275">
            <v>409.44</v>
          </cell>
          <cell r="G275">
            <v>100</v>
          </cell>
          <cell r="H275" t="str">
            <v>SC Syngenta</v>
          </cell>
          <cell r="J275" t="str">
            <v>BA090</v>
          </cell>
          <cell r="K275">
            <v>1</v>
          </cell>
          <cell r="N275">
            <v>409.13</v>
          </cell>
          <cell r="P275" t="str">
            <v>NP2143</v>
          </cell>
          <cell r="Q275" t="str">
            <v>01Z01ZZ01AH</v>
          </cell>
          <cell r="R275" t="str">
            <v>CA01</v>
          </cell>
          <cell r="S275">
            <v>0.01</v>
          </cell>
        </row>
        <row r="276">
          <cell r="A276">
            <v>2603</v>
          </cell>
          <cell r="B276" t="str">
            <v>CRBS NP2143            STANDARD KG</v>
          </cell>
          <cell r="C276">
            <v>0</v>
          </cell>
          <cell r="D276" t="str">
            <v>KG</v>
          </cell>
          <cell r="E276">
            <v>409.44</v>
          </cell>
          <cell r="G276">
            <v>100</v>
          </cell>
          <cell r="H276" t="str">
            <v>SC Syngenta</v>
          </cell>
          <cell r="J276" t="str">
            <v>BA090</v>
          </cell>
          <cell r="K276">
            <v>1</v>
          </cell>
          <cell r="N276">
            <v>409.13</v>
          </cell>
          <cell r="P276" t="str">
            <v>NP2143</v>
          </cell>
          <cell r="Q276" t="str">
            <v>01Z01ZZ01AH</v>
          </cell>
          <cell r="R276" t="str">
            <v>CA01</v>
          </cell>
          <cell r="S276">
            <v>0.01</v>
          </cell>
        </row>
        <row r="277">
          <cell r="A277">
            <v>2603</v>
          </cell>
          <cell r="B277" t="str">
            <v>CRBS NP2143            STANDARD KG</v>
          </cell>
          <cell r="C277">
            <v>0</v>
          </cell>
          <cell r="D277" t="str">
            <v>KG</v>
          </cell>
          <cell r="E277">
            <v>409.44</v>
          </cell>
          <cell r="G277">
            <v>100</v>
          </cell>
          <cell r="H277" t="str">
            <v>SC Syngenta</v>
          </cell>
          <cell r="J277" t="str">
            <v>BA090</v>
          </cell>
          <cell r="K277">
            <v>1</v>
          </cell>
          <cell r="N277">
            <v>409.13</v>
          </cell>
          <cell r="P277" t="str">
            <v>NP2143</v>
          </cell>
          <cell r="Q277" t="str">
            <v>01Z01ZZ01AH</v>
          </cell>
          <cell r="R277" t="str">
            <v>CA01</v>
          </cell>
          <cell r="S277">
            <v>0.01</v>
          </cell>
        </row>
        <row r="278">
          <cell r="A278">
            <v>2603</v>
          </cell>
          <cell r="B278" t="str">
            <v>CRBS NP2143            STANDARD KG</v>
          </cell>
          <cell r="C278">
            <v>0</v>
          </cell>
          <cell r="D278" t="str">
            <v>KG</v>
          </cell>
          <cell r="E278">
            <v>409.44</v>
          </cell>
          <cell r="G278">
            <v>100</v>
          </cell>
          <cell r="H278" t="str">
            <v>SC Syngenta</v>
          </cell>
          <cell r="J278" t="str">
            <v>BA090</v>
          </cell>
          <cell r="K278">
            <v>1</v>
          </cell>
          <cell r="N278">
            <v>409.13</v>
          </cell>
          <cell r="P278" t="str">
            <v>NP2143</v>
          </cell>
          <cell r="Q278" t="str">
            <v>01Z01ZZ01AH</v>
          </cell>
          <cell r="R278" t="str">
            <v>CA01</v>
          </cell>
          <cell r="S278">
            <v>0.01</v>
          </cell>
        </row>
        <row r="279">
          <cell r="A279">
            <v>2603</v>
          </cell>
          <cell r="B279" t="str">
            <v>CRBS NP2143            STANDARD KG</v>
          </cell>
          <cell r="C279">
            <v>0</v>
          </cell>
          <cell r="D279" t="str">
            <v>KG</v>
          </cell>
          <cell r="E279">
            <v>409.44</v>
          </cell>
          <cell r="G279">
            <v>100</v>
          </cell>
          <cell r="H279" t="str">
            <v>SC Syngenta</v>
          </cell>
          <cell r="J279" t="str">
            <v>BA090</v>
          </cell>
          <cell r="K279">
            <v>1</v>
          </cell>
          <cell r="N279">
            <v>409.13</v>
          </cell>
          <cell r="P279" t="str">
            <v>NP2143</v>
          </cell>
          <cell r="Q279" t="str">
            <v>01Z01ZZ01AH</v>
          </cell>
          <cell r="R279" t="str">
            <v>CA01</v>
          </cell>
          <cell r="S279">
            <v>0.01</v>
          </cell>
        </row>
        <row r="280">
          <cell r="A280">
            <v>2603</v>
          </cell>
          <cell r="B280" t="str">
            <v>CRBS NP2143            STANDARD KG</v>
          </cell>
          <cell r="C280">
            <v>0</v>
          </cell>
          <cell r="D280" t="str">
            <v>KG</v>
          </cell>
          <cell r="E280">
            <v>409.44</v>
          </cell>
          <cell r="G280">
            <v>100</v>
          </cell>
          <cell r="H280" t="str">
            <v>SC Syngenta</v>
          </cell>
          <cell r="J280" t="str">
            <v>BA090</v>
          </cell>
          <cell r="K280">
            <v>1</v>
          </cell>
          <cell r="N280">
            <v>409.13</v>
          </cell>
          <cell r="P280" t="str">
            <v>NP2143</v>
          </cell>
          <cell r="Q280" t="str">
            <v>01Z01ZZ01AH</v>
          </cell>
          <cell r="R280" t="str">
            <v>CA01</v>
          </cell>
          <cell r="S280">
            <v>0.01</v>
          </cell>
        </row>
        <row r="281">
          <cell r="A281">
            <v>4638</v>
          </cell>
          <cell r="B281" t="str">
            <v>CRPB NP2143            STANDARD KG</v>
          </cell>
          <cell r="C281">
            <v>0</v>
          </cell>
          <cell r="D281" t="str">
            <v>KG</v>
          </cell>
          <cell r="E281">
            <v>481.29</v>
          </cell>
          <cell r="G281">
            <v>100</v>
          </cell>
          <cell r="H281" t="str">
            <v>SC Syngenta</v>
          </cell>
          <cell r="J281" t="str">
            <v>PB090</v>
          </cell>
          <cell r="K281">
            <v>1</v>
          </cell>
          <cell r="N281">
            <v>636.69000000000005</v>
          </cell>
          <cell r="P281" t="str">
            <v>NP2143</v>
          </cell>
          <cell r="Q281" t="str">
            <v>01Z01ZZ01AH</v>
          </cell>
          <cell r="R281" t="str">
            <v>CA01</v>
          </cell>
        </row>
        <row r="282">
          <cell r="A282">
            <v>4638</v>
          </cell>
          <cell r="B282" t="str">
            <v>CRPB NP2143            STANDARD KG</v>
          </cell>
          <cell r="C282">
            <v>0</v>
          </cell>
          <cell r="D282" t="str">
            <v>KG</v>
          </cell>
          <cell r="E282">
            <v>481.29</v>
          </cell>
          <cell r="G282">
            <v>100</v>
          </cell>
          <cell r="H282" t="str">
            <v>SC Syngenta</v>
          </cell>
          <cell r="J282" t="str">
            <v>PB090</v>
          </cell>
          <cell r="K282">
            <v>1</v>
          </cell>
          <cell r="N282">
            <v>636.69000000000005</v>
          </cell>
          <cell r="P282" t="str">
            <v>NP2143</v>
          </cell>
          <cell r="Q282" t="str">
            <v>01Z01ZZ01AH</v>
          </cell>
          <cell r="R282" t="str">
            <v>CA01</v>
          </cell>
        </row>
        <row r="283">
          <cell r="A283">
            <v>4638</v>
          </cell>
          <cell r="B283" t="str">
            <v>CRPB NP2143            STANDARD KG</v>
          </cell>
          <cell r="C283">
            <v>0</v>
          </cell>
          <cell r="D283" t="str">
            <v>KG</v>
          </cell>
          <cell r="E283">
            <v>481.29</v>
          </cell>
          <cell r="G283">
            <v>100</v>
          </cell>
          <cell r="H283" t="str">
            <v>SC Syngenta</v>
          </cell>
          <cell r="J283" t="str">
            <v>PB090</v>
          </cell>
          <cell r="K283">
            <v>1</v>
          </cell>
          <cell r="N283">
            <v>636.69000000000005</v>
          </cell>
          <cell r="P283" t="str">
            <v>NP2143</v>
          </cell>
          <cell r="Q283" t="str">
            <v>01Z01ZZ01AH</v>
          </cell>
          <cell r="R283" t="str">
            <v>CA01</v>
          </cell>
        </row>
        <row r="284">
          <cell r="A284">
            <v>4638</v>
          </cell>
          <cell r="B284" t="str">
            <v>CRPB NP2143            STANDARD KG</v>
          </cell>
          <cell r="C284">
            <v>0</v>
          </cell>
          <cell r="D284" t="str">
            <v>KG</v>
          </cell>
          <cell r="E284">
            <v>481.29</v>
          </cell>
          <cell r="G284">
            <v>100</v>
          </cell>
          <cell r="H284" t="str">
            <v>SC Syngenta</v>
          </cell>
          <cell r="J284" t="str">
            <v>PB090</v>
          </cell>
          <cell r="K284">
            <v>1</v>
          </cell>
          <cell r="N284">
            <v>636.69000000000005</v>
          </cell>
          <cell r="P284" t="str">
            <v>NP2143</v>
          </cell>
          <cell r="Q284" t="str">
            <v>01Z01ZZ01AH</v>
          </cell>
          <cell r="R284" t="str">
            <v>CA01</v>
          </cell>
        </row>
        <row r="285">
          <cell r="A285">
            <v>4638</v>
          </cell>
          <cell r="B285" t="str">
            <v>CRPB NP2143            STANDARD KG</v>
          </cell>
          <cell r="C285">
            <v>0</v>
          </cell>
          <cell r="D285" t="str">
            <v>KG</v>
          </cell>
          <cell r="E285">
            <v>481.29</v>
          </cell>
          <cell r="G285">
            <v>100</v>
          </cell>
          <cell r="H285" t="str">
            <v>SC Syngenta</v>
          </cell>
          <cell r="J285" t="str">
            <v>PB090</v>
          </cell>
          <cell r="K285">
            <v>1</v>
          </cell>
          <cell r="N285">
            <v>636.69000000000005</v>
          </cell>
          <cell r="P285" t="str">
            <v>NP2143</v>
          </cell>
          <cell r="Q285" t="str">
            <v>01Z01ZZ01AH</v>
          </cell>
          <cell r="R285" t="str">
            <v>CA01</v>
          </cell>
        </row>
        <row r="286">
          <cell r="A286">
            <v>4638</v>
          </cell>
          <cell r="B286" t="str">
            <v>CRPB NP2143            STANDARD KG</v>
          </cell>
          <cell r="C286">
            <v>0</v>
          </cell>
          <cell r="D286" t="str">
            <v>KG</v>
          </cell>
          <cell r="E286">
            <v>481.29</v>
          </cell>
          <cell r="G286">
            <v>100</v>
          </cell>
          <cell r="H286" t="str">
            <v>SC Syngenta</v>
          </cell>
          <cell r="J286" t="str">
            <v>PB090</v>
          </cell>
          <cell r="K286">
            <v>1</v>
          </cell>
          <cell r="N286">
            <v>636.69000000000005</v>
          </cell>
          <cell r="P286" t="str">
            <v>NP2143</v>
          </cell>
          <cell r="Q286" t="str">
            <v>01Z01ZZ01AH</v>
          </cell>
          <cell r="R286" t="str">
            <v>CA01</v>
          </cell>
        </row>
        <row r="287">
          <cell r="A287">
            <v>4638</v>
          </cell>
          <cell r="B287" t="str">
            <v>CRPB NP2143            STANDARD KG</v>
          </cell>
          <cell r="C287">
            <v>0</v>
          </cell>
          <cell r="D287" t="str">
            <v>KG</v>
          </cell>
          <cell r="E287">
            <v>481.29</v>
          </cell>
          <cell r="G287">
            <v>100</v>
          </cell>
          <cell r="H287" t="str">
            <v>SC Syngenta</v>
          </cell>
          <cell r="J287" t="str">
            <v>PB090</v>
          </cell>
          <cell r="K287">
            <v>1</v>
          </cell>
          <cell r="N287">
            <v>636.69000000000005</v>
          </cell>
          <cell r="P287" t="str">
            <v>NP2143</v>
          </cell>
          <cell r="Q287" t="str">
            <v>01Z01ZZ01AH</v>
          </cell>
          <cell r="R287" t="str">
            <v>CA01</v>
          </cell>
        </row>
        <row r="288">
          <cell r="A288">
            <v>4638</v>
          </cell>
          <cell r="B288" t="str">
            <v>CRPB NP2143            STANDARD KG</v>
          </cell>
          <cell r="C288">
            <v>0</v>
          </cell>
          <cell r="D288" t="str">
            <v>KG</v>
          </cell>
          <cell r="E288">
            <v>481.29</v>
          </cell>
          <cell r="G288">
            <v>100</v>
          </cell>
          <cell r="H288" t="str">
            <v>SC Syngenta</v>
          </cell>
          <cell r="J288" t="str">
            <v>PB090</v>
          </cell>
          <cell r="K288">
            <v>1</v>
          </cell>
          <cell r="N288">
            <v>636.69000000000005</v>
          </cell>
          <cell r="P288" t="str">
            <v>NP2143</v>
          </cell>
          <cell r="Q288" t="str">
            <v>01Z01ZZ01AH</v>
          </cell>
          <cell r="R288" t="str">
            <v>CA01</v>
          </cell>
        </row>
        <row r="289">
          <cell r="A289">
            <v>4638</v>
          </cell>
          <cell r="B289" t="str">
            <v>CRPB NP2143            STANDARD KG</v>
          </cell>
          <cell r="C289">
            <v>0</v>
          </cell>
          <cell r="D289" t="str">
            <v>KG</v>
          </cell>
          <cell r="E289">
            <v>481.29</v>
          </cell>
          <cell r="G289">
            <v>100</v>
          </cell>
          <cell r="H289" t="str">
            <v>SC Syngenta</v>
          </cell>
          <cell r="J289" t="str">
            <v>PB090</v>
          </cell>
          <cell r="K289">
            <v>1</v>
          </cell>
          <cell r="N289">
            <v>636.69000000000005</v>
          </cell>
          <cell r="P289" t="str">
            <v>NP2143</v>
          </cell>
          <cell r="Q289" t="str">
            <v>01Z01ZZ01AH</v>
          </cell>
          <cell r="R289" t="str">
            <v>CA01</v>
          </cell>
        </row>
        <row r="290">
          <cell r="A290">
            <v>4638</v>
          </cell>
          <cell r="B290" t="str">
            <v>CRPB NP2143            STANDARD KG</v>
          </cell>
          <cell r="C290">
            <v>0</v>
          </cell>
          <cell r="D290" t="str">
            <v>KG</v>
          </cell>
          <cell r="E290">
            <v>481.29</v>
          </cell>
          <cell r="G290">
            <v>100</v>
          </cell>
          <cell r="H290" t="str">
            <v>SC Syngenta</v>
          </cell>
          <cell r="J290" t="str">
            <v>PB090</v>
          </cell>
          <cell r="K290">
            <v>1</v>
          </cell>
          <cell r="N290">
            <v>636.69000000000005</v>
          </cell>
          <cell r="P290" t="str">
            <v>NP2143</v>
          </cell>
          <cell r="Q290" t="str">
            <v>01Z01ZZ01AH</v>
          </cell>
          <cell r="R290" t="str">
            <v>CA01</v>
          </cell>
        </row>
        <row r="291">
          <cell r="A291">
            <v>4638</v>
          </cell>
          <cell r="B291" t="str">
            <v>CRPB NP2143            STANDARD KG</v>
          </cell>
          <cell r="C291">
            <v>0</v>
          </cell>
          <cell r="D291" t="str">
            <v>KG</v>
          </cell>
          <cell r="E291">
            <v>481.29</v>
          </cell>
          <cell r="G291">
            <v>100</v>
          </cell>
          <cell r="H291" t="str">
            <v>SC Syngenta</v>
          </cell>
          <cell r="J291" t="str">
            <v>PB090</v>
          </cell>
          <cell r="K291">
            <v>1</v>
          </cell>
          <cell r="N291">
            <v>636.69000000000005</v>
          </cell>
          <cell r="P291" t="str">
            <v>NP2143</v>
          </cell>
          <cell r="Q291" t="str">
            <v>01Z01ZZ01AH</v>
          </cell>
          <cell r="R291" t="str">
            <v>CA01</v>
          </cell>
        </row>
        <row r="292">
          <cell r="A292">
            <v>4638</v>
          </cell>
          <cell r="B292" t="str">
            <v>CRPB NP2143            STANDARD KG</v>
          </cell>
          <cell r="C292">
            <v>0</v>
          </cell>
          <cell r="D292" t="str">
            <v>KG</v>
          </cell>
          <cell r="E292">
            <v>481.29</v>
          </cell>
          <cell r="G292">
            <v>100</v>
          </cell>
          <cell r="H292" t="str">
            <v>SC Syngenta</v>
          </cell>
          <cell r="J292" t="str">
            <v>PB090</v>
          </cell>
          <cell r="K292">
            <v>1</v>
          </cell>
          <cell r="N292">
            <v>636.69000000000005</v>
          </cell>
          <cell r="P292" t="str">
            <v>NP2143</v>
          </cell>
          <cell r="Q292" t="str">
            <v>01Z01ZZ01AH</v>
          </cell>
          <cell r="R292" t="str">
            <v>CA01</v>
          </cell>
        </row>
        <row r="293">
          <cell r="A293">
            <v>4638</v>
          </cell>
          <cell r="B293" t="str">
            <v>CRPB NP2143            STANDARD KG</v>
          </cell>
          <cell r="C293">
            <v>0</v>
          </cell>
          <cell r="D293" t="str">
            <v>KG</v>
          </cell>
          <cell r="E293">
            <v>481.29</v>
          </cell>
          <cell r="G293">
            <v>100</v>
          </cell>
          <cell r="H293" t="str">
            <v>SC Syngenta</v>
          </cell>
          <cell r="J293" t="str">
            <v>PB090</v>
          </cell>
          <cell r="K293">
            <v>1</v>
          </cell>
          <cell r="N293">
            <v>636.69000000000005</v>
          </cell>
          <cell r="P293" t="str">
            <v>NP2143</v>
          </cell>
          <cell r="Q293" t="str">
            <v>01Z01ZZ01AH</v>
          </cell>
          <cell r="R293" t="str">
            <v>CA01</v>
          </cell>
        </row>
        <row r="294">
          <cell r="A294">
            <v>4638</v>
          </cell>
          <cell r="B294" t="str">
            <v>CRPB NP2143            STANDARD KG</v>
          </cell>
          <cell r="C294">
            <v>0</v>
          </cell>
          <cell r="D294" t="str">
            <v>KG</v>
          </cell>
          <cell r="E294">
            <v>481.29</v>
          </cell>
          <cell r="G294">
            <v>100</v>
          </cell>
          <cell r="H294" t="str">
            <v>SC Syngenta</v>
          </cell>
          <cell r="J294" t="str">
            <v>PB090</v>
          </cell>
          <cell r="K294">
            <v>1</v>
          </cell>
          <cell r="N294">
            <v>636.69000000000005</v>
          </cell>
          <cell r="P294" t="str">
            <v>NP2143</v>
          </cell>
          <cell r="Q294" t="str">
            <v>01Z01ZZ01AH</v>
          </cell>
          <cell r="R294" t="str">
            <v>CA01</v>
          </cell>
        </row>
        <row r="295">
          <cell r="A295">
            <v>4638</v>
          </cell>
          <cell r="B295" t="str">
            <v>CRPB NP2143            STANDARD KG</v>
          </cell>
          <cell r="C295">
            <v>0</v>
          </cell>
          <cell r="D295" t="str">
            <v>KG</v>
          </cell>
          <cell r="E295">
            <v>481.29</v>
          </cell>
          <cell r="G295">
            <v>100</v>
          </cell>
          <cell r="H295" t="str">
            <v>SC Syngenta</v>
          </cell>
          <cell r="J295" t="str">
            <v>PB090</v>
          </cell>
          <cell r="K295">
            <v>1</v>
          </cell>
          <cell r="N295">
            <v>636.69000000000005</v>
          </cell>
          <cell r="P295" t="str">
            <v>NP2143</v>
          </cell>
          <cell r="Q295" t="str">
            <v>01Z01ZZ01AH</v>
          </cell>
          <cell r="R295" t="str">
            <v>CA01</v>
          </cell>
        </row>
        <row r="296">
          <cell r="A296">
            <v>4638</v>
          </cell>
          <cell r="B296" t="str">
            <v>CRPB NP2143            STANDARD KG</v>
          </cell>
          <cell r="C296">
            <v>0</v>
          </cell>
          <cell r="D296" t="str">
            <v>KG</v>
          </cell>
          <cell r="E296">
            <v>481.29</v>
          </cell>
          <cell r="G296">
            <v>100</v>
          </cell>
          <cell r="H296" t="str">
            <v>SC Syngenta</v>
          </cell>
          <cell r="J296" t="str">
            <v>PB090</v>
          </cell>
          <cell r="K296">
            <v>1</v>
          </cell>
          <cell r="N296">
            <v>636.69000000000005</v>
          </cell>
          <cell r="P296" t="str">
            <v>NP2143</v>
          </cell>
          <cell r="Q296" t="str">
            <v>01Z01ZZ01AH</v>
          </cell>
          <cell r="R296" t="str">
            <v>CA01</v>
          </cell>
        </row>
        <row r="297">
          <cell r="A297">
            <v>4638</v>
          </cell>
          <cell r="B297" t="str">
            <v>CRPB NP2143            STANDARD KG</v>
          </cell>
          <cell r="C297">
            <v>0</v>
          </cell>
          <cell r="D297" t="str">
            <v>KG</v>
          </cell>
          <cell r="E297">
            <v>481.29</v>
          </cell>
          <cell r="G297">
            <v>100</v>
          </cell>
          <cell r="H297" t="str">
            <v>SC Syngenta</v>
          </cell>
          <cell r="J297" t="str">
            <v>PB090</v>
          </cell>
          <cell r="K297">
            <v>1</v>
          </cell>
          <cell r="N297">
            <v>636.69000000000005</v>
          </cell>
          <cell r="P297" t="str">
            <v>NP2143</v>
          </cell>
          <cell r="Q297" t="str">
            <v>01Z01ZZ01AH</v>
          </cell>
          <cell r="R297" t="str">
            <v>CA01</v>
          </cell>
        </row>
        <row r="298">
          <cell r="A298">
            <v>4638</v>
          </cell>
          <cell r="B298" t="str">
            <v>CRPB NP2143            STANDARD KG</v>
          </cell>
          <cell r="C298">
            <v>0</v>
          </cell>
          <cell r="D298" t="str">
            <v>KG</v>
          </cell>
          <cell r="E298">
            <v>481.29</v>
          </cell>
          <cell r="G298">
            <v>100</v>
          </cell>
          <cell r="H298" t="str">
            <v>SC Syngenta</v>
          </cell>
          <cell r="J298" t="str">
            <v>PB090</v>
          </cell>
          <cell r="K298">
            <v>1</v>
          </cell>
          <cell r="N298">
            <v>636.69000000000005</v>
          </cell>
          <cell r="P298" t="str">
            <v>NP2143</v>
          </cell>
          <cell r="Q298" t="str">
            <v>01Z01ZZ01AH</v>
          </cell>
          <cell r="R298" t="str">
            <v>CA01</v>
          </cell>
        </row>
        <row r="299">
          <cell r="A299">
            <v>4638</v>
          </cell>
          <cell r="B299" t="str">
            <v>CRPB NP2143            STANDARD KG</v>
          </cell>
          <cell r="C299">
            <v>0</v>
          </cell>
          <cell r="D299" t="str">
            <v>KG</v>
          </cell>
          <cell r="E299">
            <v>481.29</v>
          </cell>
          <cell r="G299">
            <v>100</v>
          </cell>
          <cell r="H299" t="str">
            <v>SC Syngenta</v>
          </cell>
          <cell r="J299" t="str">
            <v>PB090</v>
          </cell>
          <cell r="K299">
            <v>1</v>
          </cell>
          <cell r="N299">
            <v>636.69000000000005</v>
          </cell>
          <cell r="P299" t="str">
            <v>NP2143</v>
          </cell>
          <cell r="Q299" t="str">
            <v>01Z01ZZ01AH</v>
          </cell>
          <cell r="R299" t="str">
            <v>CA01</v>
          </cell>
        </row>
        <row r="300">
          <cell r="A300">
            <v>4638</v>
          </cell>
          <cell r="B300" t="str">
            <v>CRPB NP2143            STANDARD KG</v>
          </cell>
          <cell r="C300">
            <v>0</v>
          </cell>
          <cell r="D300" t="str">
            <v>KG</v>
          </cell>
          <cell r="E300">
            <v>481.29</v>
          </cell>
          <cell r="G300">
            <v>100</v>
          </cell>
          <cell r="H300" t="str">
            <v>SC Syngenta</v>
          </cell>
          <cell r="J300" t="str">
            <v>PB090</v>
          </cell>
          <cell r="K300">
            <v>1</v>
          </cell>
          <cell r="N300">
            <v>636.69000000000005</v>
          </cell>
          <cell r="P300" t="str">
            <v>NP2143</v>
          </cell>
          <cell r="Q300" t="str">
            <v>01Z01ZZ01AH</v>
          </cell>
          <cell r="R300" t="str">
            <v>CA01</v>
          </cell>
        </row>
        <row r="301">
          <cell r="A301">
            <v>4638</v>
          </cell>
          <cell r="B301" t="str">
            <v>CRPB NP2143            STANDARD KG</v>
          </cell>
          <cell r="C301">
            <v>0</v>
          </cell>
          <cell r="D301" t="str">
            <v>KG</v>
          </cell>
          <cell r="E301">
            <v>481.29</v>
          </cell>
          <cell r="G301">
            <v>100</v>
          </cell>
          <cell r="H301" t="str">
            <v>SC Syngenta</v>
          </cell>
          <cell r="J301" t="str">
            <v>PB090</v>
          </cell>
          <cell r="K301">
            <v>1</v>
          </cell>
          <cell r="N301">
            <v>636.69000000000005</v>
          </cell>
          <cell r="P301" t="str">
            <v>NP2143</v>
          </cell>
          <cell r="Q301" t="str">
            <v>01Z01ZZ01AH</v>
          </cell>
          <cell r="R301" t="str">
            <v>CA01</v>
          </cell>
        </row>
        <row r="302">
          <cell r="A302">
            <v>4638</v>
          </cell>
          <cell r="B302" t="str">
            <v>CRPB NP2143            STANDARD KG</v>
          </cell>
          <cell r="C302">
            <v>0</v>
          </cell>
          <cell r="D302" t="str">
            <v>KG</v>
          </cell>
          <cell r="E302">
            <v>481.29</v>
          </cell>
          <cell r="G302">
            <v>100</v>
          </cell>
          <cell r="H302" t="str">
            <v>SC Syngenta</v>
          </cell>
          <cell r="J302" t="str">
            <v>PB090</v>
          </cell>
          <cell r="K302">
            <v>1</v>
          </cell>
          <cell r="N302">
            <v>636.69000000000005</v>
          </cell>
          <cell r="P302" t="str">
            <v>NP2143</v>
          </cell>
          <cell r="Q302" t="str">
            <v>01Z01ZZ01AH</v>
          </cell>
          <cell r="R302" t="str">
            <v>CA01</v>
          </cell>
        </row>
        <row r="303">
          <cell r="A303">
            <v>4638</v>
          </cell>
          <cell r="B303" t="str">
            <v>CRPB NP2143            STANDARD KG</v>
          </cell>
          <cell r="C303">
            <v>0</v>
          </cell>
          <cell r="D303" t="str">
            <v>KG</v>
          </cell>
          <cell r="E303">
            <v>481.29</v>
          </cell>
          <cell r="G303">
            <v>100</v>
          </cell>
          <cell r="H303" t="str">
            <v>SC Syngenta</v>
          </cell>
          <cell r="J303" t="str">
            <v>PB090</v>
          </cell>
          <cell r="K303">
            <v>1</v>
          </cell>
          <cell r="N303">
            <v>636.69000000000005</v>
          </cell>
          <cell r="P303" t="str">
            <v>NP2143</v>
          </cell>
          <cell r="Q303" t="str">
            <v>01Z01ZZ01AH</v>
          </cell>
          <cell r="R303" t="str">
            <v>CA01</v>
          </cell>
        </row>
        <row r="304">
          <cell r="A304">
            <v>4638</v>
          </cell>
          <cell r="B304" t="str">
            <v>CRPB NP2143            STANDARD KG</v>
          </cell>
          <cell r="C304">
            <v>0</v>
          </cell>
          <cell r="D304" t="str">
            <v>KG</v>
          </cell>
          <cell r="E304">
            <v>481.29</v>
          </cell>
          <cell r="G304">
            <v>100</v>
          </cell>
          <cell r="H304" t="str">
            <v>SC Syngenta</v>
          </cell>
          <cell r="J304" t="str">
            <v>PB090</v>
          </cell>
          <cell r="K304">
            <v>1</v>
          </cell>
          <cell r="N304">
            <v>636.69000000000005</v>
          </cell>
          <cell r="P304" t="str">
            <v>NP2143</v>
          </cell>
          <cell r="Q304" t="str">
            <v>01Z01ZZ01AH</v>
          </cell>
          <cell r="R304" t="str">
            <v>CA01</v>
          </cell>
        </row>
        <row r="305">
          <cell r="A305">
            <v>4638</v>
          </cell>
          <cell r="B305" t="str">
            <v>CRPB NP2143            STANDARD KG</v>
          </cell>
          <cell r="C305">
            <v>0</v>
          </cell>
          <cell r="D305" t="str">
            <v>KG</v>
          </cell>
          <cell r="E305">
            <v>481.29</v>
          </cell>
          <cell r="G305">
            <v>100</v>
          </cell>
          <cell r="H305" t="str">
            <v>SC Syngenta</v>
          </cell>
          <cell r="J305" t="str">
            <v>PB090</v>
          </cell>
          <cell r="K305">
            <v>1</v>
          </cell>
          <cell r="N305">
            <v>636.69000000000005</v>
          </cell>
          <cell r="P305" t="str">
            <v>NP2143</v>
          </cell>
          <cell r="Q305" t="str">
            <v>01Z01ZZ01AH</v>
          </cell>
          <cell r="R305" t="str">
            <v>CA01</v>
          </cell>
        </row>
        <row r="306">
          <cell r="A306">
            <v>4638</v>
          </cell>
          <cell r="B306" t="str">
            <v>CRPB NP2143            STANDARD KG</v>
          </cell>
          <cell r="C306">
            <v>0</v>
          </cell>
          <cell r="D306" t="str">
            <v>KG</v>
          </cell>
          <cell r="E306">
            <v>481.29</v>
          </cell>
          <cell r="G306">
            <v>100</v>
          </cell>
          <cell r="H306" t="str">
            <v>SC Syngenta</v>
          </cell>
          <cell r="J306" t="str">
            <v>PB090</v>
          </cell>
          <cell r="K306">
            <v>1</v>
          </cell>
          <cell r="N306">
            <v>636.69000000000005</v>
          </cell>
          <cell r="P306" t="str">
            <v>NP2143</v>
          </cell>
          <cell r="Q306" t="str">
            <v>01Z01ZZ01AH</v>
          </cell>
          <cell r="R306" t="str">
            <v>CA01</v>
          </cell>
        </row>
        <row r="307">
          <cell r="A307">
            <v>4638</v>
          </cell>
          <cell r="B307" t="str">
            <v>CRPB NP2143            STANDARD KG</v>
          </cell>
          <cell r="C307">
            <v>0</v>
          </cell>
          <cell r="D307" t="str">
            <v>KG</v>
          </cell>
          <cell r="E307">
            <v>481.29</v>
          </cell>
          <cell r="G307">
            <v>100</v>
          </cell>
          <cell r="H307" t="str">
            <v>SC Syngenta</v>
          </cell>
          <cell r="J307" t="str">
            <v>PB090</v>
          </cell>
          <cell r="K307">
            <v>1</v>
          </cell>
          <cell r="N307">
            <v>636.69000000000005</v>
          </cell>
          <cell r="P307" t="str">
            <v>NP2143</v>
          </cell>
          <cell r="Q307" t="str">
            <v>01Z01ZZ01AH</v>
          </cell>
          <cell r="R307" t="str">
            <v>CA01</v>
          </cell>
        </row>
        <row r="308">
          <cell r="A308">
            <v>4638</v>
          </cell>
          <cell r="B308" t="str">
            <v>CRPB NP2143            STANDARD KG</v>
          </cell>
          <cell r="C308">
            <v>0</v>
          </cell>
          <cell r="D308" t="str">
            <v>KG</v>
          </cell>
          <cell r="E308">
            <v>481.29</v>
          </cell>
          <cell r="G308">
            <v>100</v>
          </cell>
          <cell r="H308" t="str">
            <v>SC Syngenta</v>
          </cell>
          <cell r="J308" t="str">
            <v>PB090</v>
          </cell>
          <cell r="K308">
            <v>1</v>
          </cell>
          <cell r="N308">
            <v>636.69000000000005</v>
          </cell>
          <cell r="P308" t="str">
            <v>NP2143</v>
          </cell>
          <cell r="Q308" t="str">
            <v>01Z01ZZ01AH</v>
          </cell>
          <cell r="R308" t="str">
            <v>CA01</v>
          </cell>
        </row>
        <row r="309">
          <cell r="A309">
            <v>4638</v>
          </cell>
          <cell r="B309" t="str">
            <v>CRPB NP2143            STANDARD KG</v>
          </cell>
          <cell r="C309">
            <v>0</v>
          </cell>
          <cell r="D309" t="str">
            <v>KG</v>
          </cell>
          <cell r="E309">
            <v>481.29</v>
          </cell>
          <cell r="G309">
            <v>100</v>
          </cell>
          <cell r="H309" t="str">
            <v>SC Syngenta</v>
          </cell>
          <cell r="J309" t="str">
            <v>PB090</v>
          </cell>
          <cell r="K309">
            <v>1</v>
          </cell>
          <cell r="N309">
            <v>636.69000000000005</v>
          </cell>
          <cell r="P309" t="str">
            <v>NP2143</v>
          </cell>
          <cell r="Q309" t="str">
            <v>01Z01ZZ01AH</v>
          </cell>
          <cell r="R309" t="str">
            <v>CA01</v>
          </cell>
        </row>
        <row r="310">
          <cell r="A310">
            <v>4638</v>
          </cell>
          <cell r="B310" t="str">
            <v>CRPB NP2143            STANDARD KG</v>
          </cell>
          <cell r="C310">
            <v>0</v>
          </cell>
          <cell r="D310" t="str">
            <v>KG</v>
          </cell>
          <cell r="E310">
            <v>481.29</v>
          </cell>
          <cell r="G310">
            <v>100</v>
          </cell>
          <cell r="H310" t="str">
            <v>SC Syngenta</v>
          </cell>
          <cell r="J310" t="str">
            <v>PB090</v>
          </cell>
          <cell r="K310">
            <v>1</v>
          </cell>
          <cell r="N310">
            <v>636.69000000000005</v>
          </cell>
          <cell r="P310" t="str">
            <v>NP2143</v>
          </cell>
          <cell r="Q310" t="str">
            <v>01Z01ZZ01AH</v>
          </cell>
          <cell r="R310" t="str">
            <v>CA01</v>
          </cell>
        </row>
        <row r="311">
          <cell r="A311">
            <v>4661</v>
          </cell>
          <cell r="B311" t="str">
            <v>CRPB NP2241            STANDARD KG</v>
          </cell>
          <cell r="C311">
            <v>0</v>
          </cell>
          <cell r="D311" t="str">
            <v>KG</v>
          </cell>
          <cell r="E311">
            <v>0.01</v>
          </cell>
          <cell r="G311">
            <v>100</v>
          </cell>
          <cell r="H311" t="str">
            <v>SC Syngenta</v>
          </cell>
          <cell r="J311" t="str">
            <v>PB090</v>
          </cell>
          <cell r="K311">
            <v>1</v>
          </cell>
          <cell r="P311" t="str">
            <v>NP2241</v>
          </cell>
          <cell r="Q311" t="str">
            <v>01Z01ZZ01BQ</v>
          </cell>
          <cell r="R311" t="str">
            <v>CA01</v>
          </cell>
          <cell r="S311">
            <v>0.01</v>
          </cell>
        </row>
        <row r="312">
          <cell r="A312">
            <v>4661</v>
          </cell>
          <cell r="B312" t="str">
            <v>CRPB NP2241            STANDARD KG</v>
          </cell>
          <cell r="C312">
            <v>0</v>
          </cell>
          <cell r="D312" t="str">
            <v>KG</v>
          </cell>
          <cell r="E312">
            <v>0.01</v>
          </cell>
          <cell r="G312">
            <v>100</v>
          </cell>
          <cell r="H312" t="str">
            <v>SC Syngenta</v>
          </cell>
          <cell r="J312" t="str">
            <v>PB090</v>
          </cell>
          <cell r="K312">
            <v>1</v>
          </cell>
          <cell r="P312" t="str">
            <v>NP2241</v>
          </cell>
          <cell r="Q312" t="str">
            <v>01Z01ZZ01BQ</v>
          </cell>
          <cell r="R312" t="str">
            <v>CA01</v>
          </cell>
          <cell r="S312">
            <v>0.01</v>
          </cell>
        </row>
        <row r="313">
          <cell r="A313">
            <v>4661</v>
          </cell>
          <cell r="B313" t="str">
            <v>CRPB NP2241            STANDARD KG</v>
          </cell>
          <cell r="C313">
            <v>0</v>
          </cell>
          <cell r="D313" t="str">
            <v>KG</v>
          </cell>
          <cell r="E313">
            <v>0.01</v>
          </cell>
          <cell r="G313">
            <v>100</v>
          </cell>
          <cell r="H313" t="str">
            <v>SC Syngenta</v>
          </cell>
          <cell r="J313" t="str">
            <v>PB090</v>
          </cell>
          <cell r="K313">
            <v>1</v>
          </cell>
          <cell r="P313" t="str">
            <v>NP2241</v>
          </cell>
          <cell r="Q313" t="str">
            <v>01Z01ZZ01BQ</v>
          </cell>
          <cell r="R313" t="str">
            <v>CA01</v>
          </cell>
          <cell r="S313">
            <v>0.01</v>
          </cell>
        </row>
        <row r="314">
          <cell r="A314">
            <v>4661</v>
          </cell>
          <cell r="B314" t="str">
            <v>CRPB NP2241            STANDARD KG</v>
          </cell>
          <cell r="C314">
            <v>0</v>
          </cell>
          <cell r="D314" t="str">
            <v>KG</v>
          </cell>
          <cell r="E314">
            <v>0.01</v>
          </cell>
          <cell r="G314">
            <v>100</v>
          </cell>
          <cell r="H314" t="str">
            <v>SC Syngenta</v>
          </cell>
          <cell r="J314" t="str">
            <v>PB090</v>
          </cell>
          <cell r="K314">
            <v>1</v>
          </cell>
          <cell r="P314" t="str">
            <v>NP2241</v>
          </cell>
          <cell r="Q314" t="str">
            <v>01Z01ZZ01BQ</v>
          </cell>
          <cell r="R314" t="str">
            <v>CA01</v>
          </cell>
          <cell r="S314">
            <v>0.01</v>
          </cell>
        </row>
        <row r="315">
          <cell r="A315">
            <v>4661</v>
          </cell>
          <cell r="B315" t="str">
            <v>CRPB NP2241            STANDARD KG</v>
          </cell>
          <cell r="C315">
            <v>0</v>
          </cell>
          <cell r="D315" t="str">
            <v>KG</v>
          </cell>
          <cell r="E315">
            <v>0.01</v>
          </cell>
          <cell r="G315">
            <v>100</v>
          </cell>
          <cell r="H315" t="str">
            <v>SC Syngenta</v>
          </cell>
          <cell r="J315" t="str">
            <v>PB090</v>
          </cell>
          <cell r="K315">
            <v>1</v>
          </cell>
          <cell r="P315" t="str">
            <v>NP2241</v>
          </cell>
          <cell r="Q315" t="str">
            <v>01Z01ZZ01BQ</v>
          </cell>
          <cell r="R315" t="str">
            <v>CA01</v>
          </cell>
          <cell r="S315">
            <v>0.01</v>
          </cell>
        </row>
        <row r="316">
          <cell r="A316">
            <v>4661</v>
          </cell>
          <cell r="B316" t="str">
            <v>CRPB NP2241            STANDARD KG</v>
          </cell>
          <cell r="C316">
            <v>0</v>
          </cell>
          <cell r="D316" t="str">
            <v>KG</v>
          </cell>
          <cell r="E316">
            <v>0.01</v>
          </cell>
          <cell r="G316">
            <v>100</v>
          </cell>
          <cell r="H316" t="str">
            <v>SC Syngenta</v>
          </cell>
          <cell r="J316" t="str">
            <v>PB090</v>
          </cell>
          <cell r="K316">
            <v>1</v>
          </cell>
          <cell r="P316" t="str">
            <v>NP2241</v>
          </cell>
          <cell r="Q316" t="str">
            <v>01Z01ZZ01BQ</v>
          </cell>
          <cell r="R316" t="str">
            <v>CA01</v>
          </cell>
          <cell r="S316">
            <v>0.01</v>
          </cell>
        </row>
        <row r="317">
          <cell r="A317">
            <v>4661</v>
          </cell>
          <cell r="B317" t="str">
            <v>CRPB NP2241            STANDARD KG</v>
          </cell>
          <cell r="C317">
            <v>0</v>
          </cell>
          <cell r="D317" t="str">
            <v>KG</v>
          </cell>
          <cell r="E317">
            <v>0.01</v>
          </cell>
          <cell r="G317">
            <v>100</v>
          </cell>
          <cell r="H317" t="str">
            <v>SC Syngenta</v>
          </cell>
          <cell r="J317" t="str">
            <v>PB090</v>
          </cell>
          <cell r="K317">
            <v>1</v>
          </cell>
          <cell r="P317" t="str">
            <v>NP2241</v>
          </cell>
          <cell r="Q317" t="str">
            <v>01Z01ZZ01BQ</v>
          </cell>
          <cell r="R317" t="str">
            <v>CA01</v>
          </cell>
          <cell r="S317">
            <v>0.01</v>
          </cell>
        </row>
        <row r="318">
          <cell r="A318">
            <v>4661</v>
          </cell>
          <cell r="B318" t="str">
            <v>CRPB NP2241            STANDARD KG</v>
          </cell>
          <cell r="C318">
            <v>0</v>
          </cell>
          <cell r="D318" t="str">
            <v>KG</v>
          </cell>
          <cell r="E318">
            <v>0.01</v>
          </cell>
          <cell r="G318">
            <v>100</v>
          </cell>
          <cell r="H318" t="str">
            <v>SC Syngenta</v>
          </cell>
          <cell r="J318" t="str">
            <v>PB090</v>
          </cell>
          <cell r="K318">
            <v>1</v>
          </cell>
          <cell r="P318" t="str">
            <v>NP2241</v>
          </cell>
          <cell r="Q318" t="str">
            <v>01Z01ZZ01BQ</v>
          </cell>
          <cell r="R318" t="str">
            <v>CA01</v>
          </cell>
          <cell r="S318">
            <v>0.01</v>
          </cell>
        </row>
        <row r="319">
          <cell r="A319">
            <v>4661</v>
          </cell>
          <cell r="B319" t="str">
            <v>CRPB NP2241            STANDARD KG</v>
          </cell>
          <cell r="C319">
            <v>0</v>
          </cell>
          <cell r="D319" t="str">
            <v>KG</v>
          </cell>
          <cell r="E319">
            <v>0.01</v>
          </cell>
          <cell r="G319">
            <v>100</v>
          </cell>
          <cell r="H319" t="str">
            <v>SC Syngenta</v>
          </cell>
          <cell r="J319" t="str">
            <v>PB090</v>
          </cell>
          <cell r="K319">
            <v>1</v>
          </cell>
          <cell r="P319" t="str">
            <v>NP2241</v>
          </cell>
          <cell r="Q319" t="str">
            <v>01Z01ZZ01BQ</v>
          </cell>
          <cell r="R319" t="str">
            <v>CA01</v>
          </cell>
          <cell r="S319">
            <v>0.01</v>
          </cell>
        </row>
        <row r="320">
          <cell r="A320">
            <v>4661</v>
          </cell>
          <cell r="B320" t="str">
            <v>CRPB NP2241            STANDARD KG</v>
          </cell>
          <cell r="C320">
            <v>0</v>
          </cell>
          <cell r="D320" t="str">
            <v>KG</v>
          </cell>
          <cell r="E320">
            <v>0.01</v>
          </cell>
          <cell r="G320">
            <v>100</v>
          </cell>
          <cell r="H320" t="str">
            <v>SC Syngenta</v>
          </cell>
          <cell r="J320" t="str">
            <v>PB090</v>
          </cell>
          <cell r="K320">
            <v>1</v>
          </cell>
          <cell r="P320" t="str">
            <v>NP2241</v>
          </cell>
          <cell r="Q320" t="str">
            <v>01Z01ZZ01BQ</v>
          </cell>
          <cell r="R320" t="str">
            <v>CA01</v>
          </cell>
          <cell r="S320">
            <v>0.01</v>
          </cell>
        </row>
        <row r="321">
          <cell r="A321">
            <v>4661</v>
          </cell>
          <cell r="B321" t="str">
            <v>CRPB NP2241            STANDARD KG</v>
          </cell>
          <cell r="C321">
            <v>0</v>
          </cell>
          <cell r="D321" t="str">
            <v>KG</v>
          </cell>
          <cell r="E321">
            <v>0.01</v>
          </cell>
          <cell r="G321">
            <v>100</v>
          </cell>
          <cell r="H321" t="str">
            <v>SC Syngenta</v>
          </cell>
          <cell r="J321" t="str">
            <v>PB090</v>
          </cell>
          <cell r="K321">
            <v>1</v>
          </cell>
          <cell r="P321" t="str">
            <v>NP2241</v>
          </cell>
          <cell r="Q321" t="str">
            <v>01Z01ZZ01BQ</v>
          </cell>
          <cell r="R321" t="str">
            <v>CA01</v>
          </cell>
          <cell r="S321">
            <v>0.01</v>
          </cell>
        </row>
        <row r="322">
          <cell r="A322">
            <v>4661</v>
          </cell>
          <cell r="B322" t="str">
            <v>CRPB NP2241            STANDARD KG</v>
          </cell>
          <cell r="C322">
            <v>0</v>
          </cell>
          <cell r="D322" t="str">
            <v>KG</v>
          </cell>
          <cell r="E322">
            <v>0.01</v>
          </cell>
          <cell r="G322">
            <v>100</v>
          </cell>
          <cell r="H322" t="str">
            <v>SC Syngenta</v>
          </cell>
          <cell r="J322" t="str">
            <v>PB090</v>
          </cell>
          <cell r="K322">
            <v>1</v>
          </cell>
          <cell r="P322" t="str">
            <v>NP2241</v>
          </cell>
          <cell r="Q322" t="str">
            <v>01Z01ZZ01BQ</v>
          </cell>
          <cell r="R322" t="str">
            <v>CA01</v>
          </cell>
          <cell r="S322">
            <v>0.01</v>
          </cell>
        </row>
        <row r="323">
          <cell r="A323">
            <v>4661</v>
          </cell>
          <cell r="B323" t="str">
            <v>CRPB NP2241            STANDARD KG</v>
          </cell>
          <cell r="C323">
            <v>0</v>
          </cell>
          <cell r="D323" t="str">
            <v>KG</v>
          </cell>
          <cell r="E323">
            <v>0.01</v>
          </cell>
          <cell r="G323">
            <v>100</v>
          </cell>
          <cell r="H323" t="str">
            <v>SC Syngenta</v>
          </cell>
          <cell r="J323" t="str">
            <v>PB090</v>
          </cell>
          <cell r="K323">
            <v>1</v>
          </cell>
          <cell r="P323" t="str">
            <v>NP2241</v>
          </cell>
          <cell r="Q323" t="str">
            <v>01Z01ZZ01BQ</v>
          </cell>
          <cell r="R323" t="str">
            <v>CA01</v>
          </cell>
          <cell r="S323">
            <v>0.01</v>
          </cell>
        </row>
        <row r="324">
          <cell r="A324">
            <v>4661</v>
          </cell>
          <cell r="B324" t="str">
            <v>CRPB NP2241            STANDARD KG</v>
          </cell>
          <cell r="C324">
            <v>0</v>
          </cell>
          <cell r="D324" t="str">
            <v>KG</v>
          </cell>
          <cell r="E324">
            <v>0.01</v>
          </cell>
          <cell r="G324">
            <v>100</v>
          </cell>
          <cell r="H324" t="str">
            <v>SC Syngenta</v>
          </cell>
          <cell r="J324" t="str">
            <v>PB090</v>
          </cell>
          <cell r="K324">
            <v>1</v>
          </cell>
          <cell r="P324" t="str">
            <v>NP2241</v>
          </cell>
          <cell r="Q324" t="str">
            <v>01Z01ZZ01BQ</v>
          </cell>
          <cell r="R324" t="str">
            <v>CA01</v>
          </cell>
          <cell r="S324">
            <v>0.01</v>
          </cell>
        </row>
        <row r="325">
          <cell r="A325">
            <v>4661</v>
          </cell>
          <cell r="B325" t="str">
            <v>CRPB NP2241            STANDARD KG</v>
          </cell>
          <cell r="C325">
            <v>0</v>
          </cell>
          <cell r="D325" t="str">
            <v>KG</v>
          </cell>
          <cell r="E325">
            <v>0.01</v>
          </cell>
          <cell r="G325">
            <v>100</v>
          </cell>
          <cell r="H325" t="str">
            <v>SC Syngenta</v>
          </cell>
          <cell r="J325" t="str">
            <v>PB090</v>
          </cell>
          <cell r="K325">
            <v>1</v>
          </cell>
          <cell r="P325" t="str">
            <v>NP2241</v>
          </cell>
          <cell r="Q325" t="str">
            <v>01Z01ZZ01BQ</v>
          </cell>
          <cell r="R325" t="str">
            <v>CA01</v>
          </cell>
          <cell r="S325">
            <v>0.01</v>
          </cell>
        </row>
        <row r="326">
          <cell r="A326">
            <v>4661</v>
          </cell>
          <cell r="B326" t="str">
            <v>CRPB NP2241            STANDARD KG</v>
          </cell>
          <cell r="C326">
            <v>0</v>
          </cell>
          <cell r="D326" t="str">
            <v>KG</v>
          </cell>
          <cell r="E326">
            <v>0.01</v>
          </cell>
          <cell r="G326">
            <v>100</v>
          </cell>
          <cell r="H326" t="str">
            <v>SC Syngenta</v>
          </cell>
          <cell r="J326" t="str">
            <v>PB090</v>
          </cell>
          <cell r="K326">
            <v>1</v>
          </cell>
          <cell r="P326" t="str">
            <v>NP2241</v>
          </cell>
          <cell r="Q326" t="str">
            <v>01Z01ZZ01BQ</v>
          </cell>
          <cell r="R326" t="str">
            <v>CA01</v>
          </cell>
          <cell r="S326">
            <v>0.01</v>
          </cell>
        </row>
        <row r="327">
          <cell r="A327">
            <v>4661</v>
          </cell>
          <cell r="B327" t="str">
            <v>CRPB NP2241            STANDARD KG</v>
          </cell>
          <cell r="C327">
            <v>0</v>
          </cell>
          <cell r="D327" t="str">
            <v>KG</v>
          </cell>
          <cell r="E327">
            <v>0.01</v>
          </cell>
          <cell r="G327">
            <v>100</v>
          </cell>
          <cell r="H327" t="str">
            <v>SC Syngenta</v>
          </cell>
          <cell r="J327" t="str">
            <v>PB090</v>
          </cell>
          <cell r="K327">
            <v>1</v>
          </cell>
          <cell r="P327" t="str">
            <v>NP2241</v>
          </cell>
          <cell r="Q327" t="str">
            <v>01Z01ZZ01BQ</v>
          </cell>
          <cell r="R327" t="str">
            <v>CA01</v>
          </cell>
          <cell r="S327">
            <v>0.01</v>
          </cell>
        </row>
        <row r="328">
          <cell r="A328">
            <v>4661</v>
          </cell>
          <cell r="B328" t="str">
            <v>CRPB NP2241            STANDARD KG</v>
          </cell>
          <cell r="C328">
            <v>0</v>
          </cell>
          <cell r="D328" t="str">
            <v>KG</v>
          </cell>
          <cell r="E328">
            <v>0.01</v>
          </cell>
          <cell r="G328">
            <v>100</v>
          </cell>
          <cell r="H328" t="str">
            <v>SC Syngenta</v>
          </cell>
          <cell r="J328" t="str">
            <v>PB090</v>
          </cell>
          <cell r="K328">
            <v>1</v>
          </cell>
          <cell r="P328" t="str">
            <v>NP2241</v>
          </cell>
          <cell r="Q328" t="str">
            <v>01Z01ZZ01BQ</v>
          </cell>
          <cell r="R328" t="str">
            <v>CA01</v>
          </cell>
          <cell r="S328">
            <v>0.01</v>
          </cell>
        </row>
        <row r="329">
          <cell r="A329">
            <v>4661</v>
          </cell>
          <cell r="B329" t="str">
            <v>CRPB NP2241            STANDARD KG</v>
          </cell>
          <cell r="C329">
            <v>0</v>
          </cell>
          <cell r="D329" t="str">
            <v>KG</v>
          </cell>
          <cell r="E329">
            <v>0.01</v>
          </cell>
          <cell r="G329">
            <v>100</v>
          </cell>
          <cell r="H329" t="str">
            <v>SC Syngenta</v>
          </cell>
          <cell r="J329" t="str">
            <v>PB090</v>
          </cell>
          <cell r="K329">
            <v>1</v>
          </cell>
          <cell r="P329" t="str">
            <v>NP2241</v>
          </cell>
          <cell r="Q329" t="str">
            <v>01Z01ZZ01BQ</v>
          </cell>
          <cell r="R329" t="str">
            <v>CA01</v>
          </cell>
          <cell r="S329">
            <v>0.01</v>
          </cell>
        </row>
        <row r="330">
          <cell r="A330">
            <v>4661</v>
          </cell>
          <cell r="B330" t="str">
            <v>CRPB NP2241            STANDARD KG</v>
          </cell>
          <cell r="C330">
            <v>0</v>
          </cell>
          <cell r="D330" t="str">
            <v>KG</v>
          </cell>
          <cell r="E330">
            <v>0.01</v>
          </cell>
          <cell r="G330">
            <v>100</v>
          </cell>
          <cell r="H330" t="str">
            <v>SC Syngenta</v>
          </cell>
          <cell r="J330" t="str">
            <v>PB090</v>
          </cell>
          <cell r="K330">
            <v>1</v>
          </cell>
          <cell r="P330" t="str">
            <v>NP2241</v>
          </cell>
          <cell r="Q330" t="str">
            <v>01Z01ZZ01BQ</v>
          </cell>
          <cell r="R330" t="str">
            <v>CA01</v>
          </cell>
          <cell r="S330">
            <v>0.01</v>
          </cell>
        </row>
        <row r="331">
          <cell r="A331">
            <v>4661</v>
          </cell>
          <cell r="B331" t="str">
            <v>CRPB NP2241            STANDARD KG</v>
          </cell>
          <cell r="C331">
            <v>0</v>
          </cell>
          <cell r="D331" t="str">
            <v>KG</v>
          </cell>
          <cell r="E331">
            <v>0.01</v>
          </cell>
          <cell r="G331">
            <v>100</v>
          </cell>
          <cell r="H331" t="str">
            <v>SC Syngenta</v>
          </cell>
          <cell r="J331" t="str">
            <v>PB090</v>
          </cell>
          <cell r="K331">
            <v>1</v>
          </cell>
          <cell r="P331" t="str">
            <v>NP2241</v>
          </cell>
          <cell r="Q331" t="str">
            <v>01Z01ZZ01BQ</v>
          </cell>
          <cell r="R331" t="str">
            <v>CA01</v>
          </cell>
          <cell r="S331">
            <v>0.01</v>
          </cell>
        </row>
        <row r="332">
          <cell r="A332">
            <v>4661</v>
          </cell>
          <cell r="B332" t="str">
            <v>CRPB NP2241            STANDARD KG</v>
          </cell>
          <cell r="C332">
            <v>0</v>
          </cell>
          <cell r="D332" t="str">
            <v>KG</v>
          </cell>
          <cell r="E332">
            <v>0.01</v>
          </cell>
          <cell r="G332">
            <v>100</v>
          </cell>
          <cell r="H332" t="str">
            <v>SC Syngenta</v>
          </cell>
          <cell r="J332" t="str">
            <v>PB090</v>
          </cell>
          <cell r="K332">
            <v>1</v>
          </cell>
          <cell r="P332" t="str">
            <v>NP2241</v>
          </cell>
          <cell r="Q332" t="str">
            <v>01Z01ZZ01BQ</v>
          </cell>
          <cell r="R332" t="str">
            <v>CA01</v>
          </cell>
          <cell r="S332">
            <v>0.01</v>
          </cell>
        </row>
        <row r="333">
          <cell r="A333">
            <v>4661</v>
          </cell>
          <cell r="B333" t="str">
            <v>CRPB NP2241            STANDARD KG</v>
          </cell>
          <cell r="C333">
            <v>0</v>
          </cell>
          <cell r="D333" t="str">
            <v>KG</v>
          </cell>
          <cell r="E333">
            <v>0.01</v>
          </cell>
          <cell r="G333">
            <v>100</v>
          </cell>
          <cell r="H333" t="str">
            <v>SC Syngenta</v>
          </cell>
          <cell r="J333" t="str">
            <v>PB090</v>
          </cell>
          <cell r="K333">
            <v>1</v>
          </cell>
          <cell r="P333" t="str">
            <v>NP2241</v>
          </cell>
          <cell r="Q333" t="str">
            <v>01Z01ZZ01BQ</v>
          </cell>
          <cell r="R333" t="str">
            <v>CA01</v>
          </cell>
          <cell r="S333">
            <v>0.01</v>
          </cell>
        </row>
        <row r="334">
          <cell r="A334">
            <v>4661</v>
          </cell>
          <cell r="B334" t="str">
            <v>CRPB NP2241            STANDARD KG</v>
          </cell>
          <cell r="C334">
            <v>0</v>
          </cell>
          <cell r="D334" t="str">
            <v>KG</v>
          </cell>
          <cell r="E334">
            <v>0.01</v>
          </cell>
          <cell r="G334">
            <v>100</v>
          </cell>
          <cell r="H334" t="str">
            <v>SC Syngenta</v>
          </cell>
          <cell r="J334" t="str">
            <v>PB090</v>
          </cell>
          <cell r="K334">
            <v>1</v>
          </cell>
          <cell r="P334" t="str">
            <v>NP2241</v>
          </cell>
          <cell r="Q334" t="str">
            <v>01Z01ZZ01BQ</v>
          </cell>
          <cell r="R334" t="str">
            <v>CA01</v>
          </cell>
          <cell r="S334">
            <v>0.01</v>
          </cell>
        </row>
        <row r="335">
          <cell r="A335">
            <v>4661</v>
          </cell>
          <cell r="B335" t="str">
            <v>CRPB NP2241            STANDARD KG</v>
          </cell>
          <cell r="C335">
            <v>0</v>
          </cell>
          <cell r="D335" t="str">
            <v>KG</v>
          </cell>
          <cell r="E335">
            <v>0.01</v>
          </cell>
          <cell r="G335">
            <v>100</v>
          </cell>
          <cell r="H335" t="str">
            <v>SC Syngenta</v>
          </cell>
          <cell r="J335" t="str">
            <v>PB090</v>
          </cell>
          <cell r="K335">
            <v>1</v>
          </cell>
          <cell r="P335" t="str">
            <v>NP2241</v>
          </cell>
          <cell r="Q335" t="str">
            <v>01Z01ZZ01BQ</v>
          </cell>
          <cell r="R335" t="str">
            <v>CA01</v>
          </cell>
          <cell r="S335">
            <v>0.01</v>
          </cell>
        </row>
        <row r="336">
          <cell r="A336">
            <v>4661</v>
          </cell>
          <cell r="B336" t="str">
            <v>CRPB NP2241            STANDARD KG</v>
          </cell>
          <cell r="C336">
            <v>0</v>
          </cell>
          <cell r="D336" t="str">
            <v>KG</v>
          </cell>
          <cell r="E336">
            <v>0.01</v>
          </cell>
          <cell r="G336">
            <v>100</v>
          </cell>
          <cell r="H336" t="str">
            <v>SC Syngenta</v>
          </cell>
          <cell r="J336" t="str">
            <v>PB090</v>
          </cell>
          <cell r="K336">
            <v>1</v>
          </cell>
          <cell r="P336" t="str">
            <v>NP2241</v>
          </cell>
          <cell r="Q336" t="str">
            <v>01Z01ZZ01BQ</v>
          </cell>
          <cell r="R336" t="str">
            <v>CA01</v>
          </cell>
          <cell r="S336">
            <v>0.01</v>
          </cell>
        </row>
        <row r="337">
          <cell r="A337">
            <v>4661</v>
          </cell>
          <cell r="B337" t="str">
            <v>CRPB NP2241            STANDARD KG</v>
          </cell>
          <cell r="C337">
            <v>0</v>
          </cell>
          <cell r="D337" t="str">
            <v>KG</v>
          </cell>
          <cell r="E337">
            <v>0.01</v>
          </cell>
          <cell r="G337">
            <v>100</v>
          </cell>
          <cell r="H337" t="str">
            <v>SC Syngenta</v>
          </cell>
          <cell r="J337" t="str">
            <v>PB090</v>
          </cell>
          <cell r="K337">
            <v>1</v>
          </cell>
          <cell r="P337" t="str">
            <v>NP2241</v>
          </cell>
          <cell r="Q337" t="str">
            <v>01Z01ZZ01BQ</v>
          </cell>
          <cell r="R337" t="str">
            <v>CA01</v>
          </cell>
          <cell r="S337">
            <v>0.01</v>
          </cell>
        </row>
        <row r="338">
          <cell r="A338">
            <v>4661</v>
          </cell>
          <cell r="B338" t="str">
            <v>CRPB NP2241            STANDARD KG</v>
          </cell>
          <cell r="C338">
            <v>0</v>
          </cell>
          <cell r="D338" t="str">
            <v>KG</v>
          </cell>
          <cell r="E338">
            <v>0.01</v>
          </cell>
          <cell r="G338">
            <v>100</v>
          </cell>
          <cell r="H338" t="str">
            <v>SC Syngenta</v>
          </cell>
          <cell r="J338" t="str">
            <v>PB090</v>
          </cell>
          <cell r="K338">
            <v>1</v>
          </cell>
          <cell r="P338" t="str">
            <v>NP2241</v>
          </cell>
          <cell r="Q338" t="str">
            <v>01Z01ZZ01BQ</v>
          </cell>
          <cell r="R338" t="str">
            <v>CA01</v>
          </cell>
          <cell r="S338">
            <v>0.01</v>
          </cell>
        </row>
        <row r="339">
          <cell r="A339">
            <v>4661</v>
          </cell>
          <cell r="B339" t="str">
            <v>CRPB NP2241            STANDARD KG</v>
          </cell>
          <cell r="C339">
            <v>0</v>
          </cell>
          <cell r="D339" t="str">
            <v>KG</v>
          </cell>
          <cell r="E339">
            <v>0.01</v>
          </cell>
          <cell r="G339">
            <v>100</v>
          </cell>
          <cell r="H339" t="str">
            <v>SC Syngenta</v>
          </cell>
          <cell r="J339" t="str">
            <v>PB090</v>
          </cell>
          <cell r="K339">
            <v>1</v>
          </cell>
          <cell r="P339" t="str">
            <v>NP2241</v>
          </cell>
          <cell r="Q339" t="str">
            <v>01Z01ZZ01BQ</v>
          </cell>
          <cell r="R339" t="str">
            <v>CA01</v>
          </cell>
          <cell r="S339">
            <v>0.01</v>
          </cell>
        </row>
        <row r="340">
          <cell r="A340">
            <v>4661</v>
          </cell>
          <cell r="B340" t="str">
            <v>CRPB NP2241            STANDARD KG</v>
          </cell>
          <cell r="C340">
            <v>0</v>
          </cell>
          <cell r="D340" t="str">
            <v>KG</v>
          </cell>
          <cell r="E340">
            <v>0.01</v>
          </cell>
          <cell r="G340">
            <v>100</v>
          </cell>
          <cell r="H340" t="str">
            <v>SC Syngenta</v>
          </cell>
          <cell r="J340" t="str">
            <v>PB090</v>
          </cell>
          <cell r="K340">
            <v>1</v>
          </cell>
          <cell r="P340" t="str">
            <v>NP2241</v>
          </cell>
          <cell r="Q340" t="str">
            <v>01Z01ZZ01BQ</v>
          </cell>
          <cell r="R340" t="str">
            <v>CA01</v>
          </cell>
          <cell r="S340">
            <v>0.01</v>
          </cell>
        </row>
        <row r="341">
          <cell r="A341">
            <v>4661</v>
          </cell>
          <cell r="B341" t="str">
            <v>CRPB NP2241            STANDARD KG</v>
          </cell>
          <cell r="C341">
            <v>0</v>
          </cell>
          <cell r="D341" t="str">
            <v>KG</v>
          </cell>
          <cell r="E341">
            <v>0.01</v>
          </cell>
          <cell r="G341">
            <v>100</v>
          </cell>
          <cell r="H341" t="str">
            <v>SC Syngenta</v>
          </cell>
          <cell r="J341" t="str">
            <v>PB090</v>
          </cell>
          <cell r="K341">
            <v>1</v>
          </cell>
          <cell r="P341" t="str">
            <v>NP2241</v>
          </cell>
          <cell r="Q341" t="str">
            <v>01Z01ZZ01BQ</v>
          </cell>
          <cell r="R341" t="str">
            <v>CA01</v>
          </cell>
          <cell r="S341">
            <v>0.01</v>
          </cell>
        </row>
        <row r="342">
          <cell r="A342">
            <v>4661</v>
          </cell>
          <cell r="B342" t="str">
            <v>CRPB NP2241            STANDARD KG</v>
          </cell>
          <cell r="C342">
            <v>0</v>
          </cell>
          <cell r="D342" t="str">
            <v>KG</v>
          </cell>
          <cell r="E342">
            <v>0.01</v>
          </cell>
          <cell r="G342">
            <v>100</v>
          </cell>
          <cell r="H342" t="str">
            <v>SC Syngenta</v>
          </cell>
          <cell r="J342" t="str">
            <v>PB090</v>
          </cell>
          <cell r="K342">
            <v>1</v>
          </cell>
          <cell r="P342" t="str">
            <v>NP2241</v>
          </cell>
          <cell r="Q342" t="str">
            <v>01Z01ZZ01BQ</v>
          </cell>
          <cell r="R342" t="str">
            <v>CA01</v>
          </cell>
          <cell r="S342">
            <v>0.01</v>
          </cell>
        </row>
        <row r="343">
          <cell r="A343">
            <v>4661</v>
          </cell>
          <cell r="B343" t="str">
            <v>CRPB NP2241            STANDARD KG</v>
          </cell>
          <cell r="C343">
            <v>0</v>
          </cell>
          <cell r="D343" t="str">
            <v>KG</v>
          </cell>
          <cell r="E343">
            <v>0.01</v>
          </cell>
          <cell r="G343">
            <v>100</v>
          </cell>
          <cell r="H343" t="str">
            <v>SC Syngenta</v>
          </cell>
          <cell r="J343" t="str">
            <v>PB090</v>
          </cell>
          <cell r="K343">
            <v>1</v>
          </cell>
          <cell r="P343" t="str">
            <v>NP2241</v>
          </cell>
          <cell r="Q343" t="str">
            <v>01Z01ZZ01BQ</v>
          </cell>
          <cell r="R343" t="str">
            <v>CA01</v>
          </cell>
          <cell r="S343">
            <v>0.01</v>
          </cell>
        </row>
        <row r="344">
          <cell r="A344">
            <v>4661</v>
          </cell>
          <cell r="B344" t="str">
            <v>CRPB NP2241            STANDARD KG</v>
          </cell>
          <cell r="C344">
            <v>0</v>
          </cell>
          <cell r="D344" t="str">
            <v>KG</v>
          </cell>
          <cell r="E344">
            <v>0.01</v>
          </cell>
          <cell r="G344">
            <v>100</v>
          </cell>
          <cell r="H344" t="str">
            <v>SC Syngenta</v>
          </cell>
          <cell r="J344" t="str">
            <v>PB090</v>
          </cell>
          <cell r="K344">
            <v>1</v>
          </cell>
          <cell r="P344" t="str">
            <v>NP2241</v>
          </cell>
          <cell r="Q344" t="str">
            <v>01Z01ZZ01BQ</v>
          </cell>
          <cell r="R344" t="str">
            <v>CA01</v>
          </cell>
          <cell r="S344">
            <v>0.01</v>
          </cell>
        </row>
        <row r="345">
          <cell r="A345">
            <v>4661</v>
          </cell>
          <cell r="B345" t="str">
            <v>CRPB NP2241            STANDARD KG</v>
          </cell>
          <cell r="C345">
            <v>0</v>
          </cell>
          <cell r="D345" t="str">
            <v>KG</v>
          </cell>
          <cell r="E345">
            <v>0.01</v>
          </cell>
          <cell r="G345">
            <v>100</v>
          </cell>
          <cell r="H345" t="str">
            <v>SC Syngenta</v>
          </cell>
          <cell r="J345" t="str">
            <v>PB090</v>
          </cell>
          <cell r="K345">
            <v>1</v>
          </cell>
          <cell r="P345" t="str">
            <v>NP2241</v>
          </cell>
          <cell r="Q345" t="str">
            <v>01Z01ZZ01BQ</v>
          </cell>
          <cell r="R345" t="str">
            <v>CA01</v>
          </cell>
          <cell r="S345">
            <v>0.01</v>
          </cell>
        </row>
        <row r="346">
          <cell r="A346">
            <v>4661</v>
          </cell>
          <cell r="B346" t="str">
            <v>CRPB NP2241            STANDARD KG</v>
          </cell>
          <cell r="C346">
            <v>0</v>
          </cell>
          <cell r="D346" t="str">
            <v>KG</v>
          </cell>
          <cell r="E346">
            <v>0.01</v>
          </cell>
          <cell r="G346">
            <v>100</v>
          </cell>
          <cell r="H346" t="str">
            <v>SC Syngenta</v>
          </cell>
          <cell r="J346" t="str">
            <v>PB090</v>
          </cell>
          <cell r="K346">
            <v>1</v>
          </cell>
          <cell r="P346" t="str">
            <v>NP2241</v>
          </cell>
          <cell r="Q346" t="str">
            <v>01Z01ZZ01BQ</v>
          </cell>
          <cell r="R346" t="str">
            <v>CA01</v>
          </cell>
          <cell r="S346">
            <v>0.01</v>
          </cell>
        </row>
        <row r="347">
          <cell r="A347">
            <v>4661</v>
          </cell>
          <cell r="B347" t="str">
            <v>CRPB NP2241            STANDARD KG</v>
          </cell>
          <cell r="C347">
            <v>0</v>
          </cell>
          <cell r="D347" t="str">
            <v>KG</v>
          </cell>
          <cell r="E347">
            <v>0.01</v>
          </cell>
          <cell r="G347">
            <v>100</v>
          </cell>
          <cell r="H347" t="str">
            <v>SC Syngenta</v>
          </cell>
          <cell r="J347" t="str">
            <v>PB090</v>
          </cell>
          <cell r="K347">
            <v>1</v>
          </cell>
          <cell r="P347" t="str">
            <v>NP2241</v>
          </cell>
          <cell r="Q347" t="str">
            <v>01Z01ZZ01BQ</v>
          </cell>
          <cell r="R347" t="str">
            <v>CA01</v>
          </cell>
          <cell r="S347">
            <v>0.01</v>
          </cell>
        </row>
        <row r="348">
          <cell r="A348">
            <v>4661</v>
          </cell>
          <cell r="B348" t="str">
            <v>CRPB NP2241            STANDARD KG</v>
          </cell>
          <cell r="C348">
            <v>0</v>
          </cell>
          <cell r="D348" t="str">
            <v>KG</v>
          </cell>
          <cell r="E348">
            <v>0.01</v>
          </cell>
          <cell r="G348">
            <v>100</v>
          </cell>
          <cell r="H348" t="str">
            <v>SC Syngenta</v>
          </cell>
          <cell r="J348" t="str">
            <v>PB090</v>
          </cell>
          <cell r="K348">
            <v>1</v>
          </cell>
          <cell r="P348" t="str">
            <v>NP2241</v>
          </cell>
          <cell r="Q348" t="str">
            <v>01Z01ZZ01BQ</v>
          </cell>
          <cell r="R348" t="str">
            <v>CA01</v>
          </cell>
          <cell r="S348">
            <v>0.01</v>
          </cell>
        </row>
        <row r="349">
          <cell r="A349">
            <v>4661</v>
          </cell>
          <cell r="B349" t="str">
            <v>CRPB NP2241            STANDARD KG</v>
          </cell>
          <cell r="C349">
            <v>0</v>
          </cell>
          <cell r="D349" t="str">
            <v>KG</v>
          </cell>
          <cell r="E349">
            <v>0.01</v>
          </cell>
          <cell r="G349">
            <v>100</v>
          </cell>
          <cell r="H349" t="str">
            <v>SC Syngenta</v>
          </cell>
          <cell r="J349" t="str">
            <v>PB090</v>
          </cell>
          <cell r="K349">
            <v>1</v>
          </cell>
          <cell r="P349" t="str">
            <v>NP2241</v>
          </cell>
          <cell r="Q349" t="str">
            <v>01Z01ZZ01BQ</v>
          </cell>
          <cell r="R349" t="str">
            <v>CA01</v>
          </cell>
          <cell r="S349">
            <v>0.01</v>
          </cell>
        </row>
        <row r="350">
          <cell r="A350">
            <v>4661</v>
          </cell>
          <cell r="B350" t="str">
            <v>CRPB NP2241            STANDARD KG</v>
          </cell>
          <cell r="C350">
            <v>0</v>
          </cell>
          <cell r="D350" t="str">
            <v>KG</v>
          </cell>
          <cell r="E350">
            <v>0.01</v>
          </cell>
          <cell r="G350">
            <v>100</v>
          </cell>
          <cell r="H350" t="str">
            <v>SC Syngenta</v>
          </cell>
          <cell r="J350" t="str">
            <v>PB090</v>
          </cell>
          <cell r="K350">
            <v>1</v>
          </cell>
          <cell r="P350" t="str">
            <v>NP2241</v>
          </cell>
          <cell r="Q350" t="str">
            <v>01Z01ZZ01BQ</v>
          </cell>
          <cell r="R350" t="str">
            <v>CA01</v>
          </cell>
          <cell r="S350">
            <v>0.01</v>
          </cell>
        </row>
        <row r="351">
          <cell r="A351">
            <v>4661</v>
          </cell>
          <cell r="B351" t="str">
            <v>CRPB NP2241            STANDARD KG</v>
          </cell>
          <cell r="C351">
            <v>0</v>
          </cell>
          <cell r="D351" t="str">
            <v>KG</v>
          </cell>
          <cell r="E351">
            <v>0.01</v>
          </cell>
          <cell r="G351">
            <v>100</v>
          </cell>
          <cell r="H351" t="str">
            <v>SC Syngenta</v>
          </cell>
          <cell r="J351" t="str">
            <v>PB090</v>
          </cell>
          <cell r="K351">
            <v>1</v>
          </cell>
          <cell r="P351" t="str">
            <v>NP2241</v>
          </cell>
          <cell r="Q351" t="str">
            <v>01Z01ZZ01BQ</v>
          </cell>
          <cell r="R351" t="str">
            <v>CA01</v>
          </cell>
          <cell r="S351">
            <v>0.01</v>
          </cell>
        </row>
        <row r="352">
          <cell r="A352">
            <v>4661</v>
          </cell>
          <cell r="B352" t="str">
            <v>CRPB NP2241            STANDARD KG</v>
          </cell>
          <cell r="C352">
            <v>0</v>
          </cell>
          <cell r="D352" t="str">
            <v>KG</v>
          </cell>
          <cell r="E352">
            <v>0.01</v>
          </cell>
          <cell r="G352">
            <v>100</v>
          </cell>
          <cell r="H352" t="str">
            <v>SC Syngenta</v>
          </cell>
          <cell r="J352" t="str">
            <v>PB090</v>
          </cell>
          <cell r="K352">
            <v>1</v>
          </cell>
          <cell r="P352" t="str">
            <v>NP2241</v>
          </cell>
          <cell r="Q352" t="str">
            <v>01Z01ZZ01BQ</v>
          </cell>
          <cell r="R352" t="str">
            <v>CA01</v>
          </cell>
          <cell r="S352">
            <v>0.01</v>
          </cell>
        </row>
        <row r="353">
          <cell r="A353">
            <v>4661</v>
          </cell>
          <cell r="B353" t="str">
            <v>CRPB NP2241            STANDARD KG</v>
          </cell>
          <cell r="C353">
            <v>0</v>
          </cell>
          <cell r="D353" t="str">
            <v>KG</v>
          </cell>
          <cell r="E353">
            <v>0.01</v>
          </cell>
          <cell r="G353">
            <v>100</v>
          </cell>
          <cell r="H353" t="str">
            <v>SC Syngenta</v>
          </cell>
          <cell r="J353" t="str">
            <v>PB090</v>
          </cell>
          <cell r="K353">
            <v>1</v>
          </cell>
          <cell r="P353" t="str">
            <v>NP2241</v>
          </cell>
          <cell r="Q353" t="str">
            <v>01Z01ZZ01BQ</v>
          </cell>
          <cell r="R353" t="str">
            <v>CA01</v>
          </cell>
          <cell r="S353">
            <v>0.01</v>
          </cell>
        </row>
        <row r="354">
          <cell r="A354">
            <v>4661</v>
          </cell>
          <cell r="B354" t="str">
            <v>CRPB NP2241            STANDARD KG</v>
          </cell>
          <cell r="C354">
            <v>0</v>
          </cell>
          <cell r="D354" t="str">
            <v>KG</v>
          </cell>
          <cell r="E354">
            <v>0.01</v>
          </cell>
          <cell r="G354">
            <v>100</v>
          </cell>
          <cell r="H354" t="str">
            <v>SC Syngenta</v>
          </cell>
          <cell r="J354" t="str">
            <v>PB090</v>
          </cell>
          <cell r="K354">
            <v>1</v>
          </cell>
          <cell r="P354" t="str">
            <v>NP2241</v>
          </cell>
          <cell r="Q354" t="str">
            <v>01Z01ZZ01BQ</v>
          </cell>
          <cell r="R354" t="str">
            <v>CA01</v>
          </cell>
          <cell r="S354">
            <v>0.01</v>
          </cell>
        </row>
        <row r="355">
          <cell r="A355">
            <v>4661</v>
          </cell>
          <cell r="B355" t="str">
            <v>CRPB NP2241            STANDARD KG</v>
          </cell>
          <cell r="C355">
            <v>0</v>
          </cell>
          <cell r="D355" t="str">
            <v>KG</v>
          </cell>
          <cell r="E355">
            <v>0.01</v>
          </cell>
          <cell r="G355">
            <v>100</v>
          </cell>
          <cell r="H355" t="str">
            <v>SC Syngenta</v>
          </cell>
          <cell r="J355" t="str">
            <v>PB090</v>
          </cell>
          <cell r="K355">
            <v>1</v>
          </cell>
          <cell r="P355" t="str">
            <v>NP2241</v>
          </cell>
          <cell r="Q355" t="str">
            <v>01Z01ZZ01BQ</v>
          </cell>
          <cell r="R355" t="str">
            <v>CA01</v>
          </cell>
          <cell r="S355">
            <v>0.01</v>
          </cell>
        </row>
        <row r="356">
          <cell r="A356">
            <v>4661</v>
          </cell>
          <cell r="B356" t="str">
            <v>CRPB NP2241            STANDARD KG</v>
          </cell>
          <cell r="C356">
            <v>0</v>
          </cell>
          <cell r="D356" t="str">
            <v>KG</v>
          </cell>
          <cell r="E356">
            <v>0.01</v>
          </cell>
          <cell r="G356">
            <v>100</v>
          </cell>
          <cell r="H356" t="str">
            <v>SC Syngenta</v>
          </cell>
          <cell r="J356" t="str">
            <v>PB090</v>
          </cell>
          <cell r="K356">
            <v>1</v>
          </cell>
          <cell r="P356" t="str">
            <v>NP2241</v>
          </cell>
          <cell r="Q356" t="str">
            <v>01Z01ZZ01BQ</v>
          </cell>
          <cell r="R356" t="str">
            <v>CA01</v>
          </cell>
          <cell r="S356">
            <v>0.01</v>
          </cell>
        </row>
        <row r="357">
          <cell r="A357">
            <v>4661</v>
          </cell>
          <cell r="B357" t="str">
            <v>CRPB NP2241            STANDARD KG</v>
          </cell>
          <cell r="C357">
            <v>0</v>
          </cell>
          <cell r="D357" t="str">
            <v>KG</v>
          </cell>
          <cell r="E357">
            <v>0.01</v>
          </cell>
          <cell r="G357">
            <v>100</v>
          </cell>
          <cell r="H357" t="str">
            <v>SC Syngenta</v>
          </cell>
          <cell r="J357" t="str">
            <v>PB090</v>
          </cell>
          <cell r="K357">
            <v>1</v>
          </cell>
          <cell r="P357" t="str">
            <v>NP2241</v>
          </cell>
          <cell r="Q357" t="str">
            <v>01Z01ZZ01BQ</v>
          </cell>
          <cell r="R357" t="str">
            <v>CA01</v>
          </cell>
          <cell r="S357">
            <v>0.01</v>
          </cell>
        </row>
        <row r="358">
          <cell r="A358">
            <v>4661</v>
          </cell>
          <cell r="B358" t="str">
            <v>CRPB NP2241            STANDARD KG</v>
          </cell>
          <cell r="C358">
            <v>0</v>
          </cell>
          <cell r="D358" t="str">
            <v>KG</v>
          </cell>
          <cell r="E358">
            <v>0.01</v>
          </cell>
          <cell r="G358">
            <v>100</v>
          </cell>
          <cell r="H358" t="str">
            <v>SC Syngenta</v>
          </cell>
          <cell r="J358" t="str">
            <v>PB090</v>
          </cell>
          <cell r="K358">
            <v>1</v>
          </cell>
          <cell r="P358" t="str">
            <v>NP2241</v>
          </cell>
          <cell r="Q358" t="str">
            <v>01Z01ZZ01BQ</v>
          </cell>
          <cell r="R358" t="str">
            <v>CA01</v>
          </cell>
          <cell r="S358">
            <v>0.01</v>
          </cell>
        </row>
        <row r="359">
          <cell r="A359">
            <v>210728</v>
          </cell>
          <cell r="B359" t="str">
            <v>CRBS NP2341Bt11        STANDARD KG</v>
          </cell>
          <cell r="C359">
            <v>500.32</v>
          </cell>
          <cell r="D359" t="str">
            <v>KG</v>
          </cell>
          <cell r="E359">
            <v>409.44</v>
          </cell>
          <cell r="G359">
            <v>100</v>
          </cell>
          <cell r="H359" t="str">
            <v>SC Syngenta</v>
          </cell>
          <cell r="I359" t="str">
            <v>SC SYNGENTA</v>
          </cell>
          <cell r="J359" t="str">
            <v>BA090</v>
          </cell>
          <cell r="K359">
            <v>1</v>
          </cell>
          <cell r="N359">
            <v>566.72</v>
          </cell>
          <cell r="P359" t="str">
            <v>NP2341Bt11</v>
          </cell>
          <cell r="Q359" t="str">
            <v>01Z01ZZ06BF</v>
          </cell>
          <cell r="R359" t="str">
            <v>CA01</v>
          </cell>
        </row>
        <row r="360">
          <cell r="A360">
            <v>210728</v>
          </cell>
          <cell r="B360" t="str">
            <v>CRBS NP2341Bt11        STANDARD KG</v>
          </cell>
          <cell r="C360">
            <v>500.32</v>
          </cell>
          <cell r="D360" t="str">
            <v>KG</v>
          </cell>
          <cell r="E360">
            <v>409.44</v>
          </cell>
          <cell r="G360">
            <v>100</v>
          </cell>
          <cell r="H360" t="str">
            <v>SC Syngenta</v>
          </cell>
          <cell r="I360" t="str">
            <v>SC SYNGENTA</v>
          </cell>
          <cell r="J360" t="str">
            <v>BA090</v>
          </cell>
          <cell r="K360">
            <v>1</v>
          </cell>
          <cell r="N360">
            <v>566.72</v>
          </cell>
          <cell r="P360" t="str">
            <v>NP2341Bt11</v>
          </cell>
          <cell r="Q360" t="str">
            <v>01Z01ZZ06BF</v>
          </cell>
          <cell r="R360" t="str">
            <v>CA01</v>
          </cell>
        </row>
        <row r="361">
          <cell r="A361">
            <v>233538</v>
          </cell>
          <cell r="B361" t="str">
            <v>BAG  14X3X33         HYBRID     CORN CA</v>
          </cell>
          <cell r="C361">
            <v>19388</v>
          </cell>
          <cell r="D361" t="str">
            <v>PC</v>
          </cell>
          <cell r="E361">
            <v>503.45</v>
          </cell>
          <cell r="G361">
            <v>1000</v>
          </cell>
          <cell r="H361" t="str">
            <v>SC Syngenta</v>
          </cell>
          <cell r="I361" t="str">
            <v>SC SYNGENTA</v>
          </cell>
          <cell r="J361" t="str">
            <v>PACKS</v>
          </cell>
          <cell r="K361">
            <v>1</v>
          </cell>
          <cell r="N361">
            <v>596.08000000000004</v>
          </cell>
          <cell r="P361" t="str">
            <v>NON SEEDS</v>
          </cell>
          <cell r="Q361" t="str">
            <v>ZZ</v>
          </cell>
          <cell r="R361" t="str">
            <v>CA01</v>
          </cell>
        </row>
        <row r="362">
          <cell r="A362">
            <v>233538</v>
          </cell>
          <cell r="B362" t="str">
            <v>BAG  14X3X33         HYBRID     CORN CA</v>
          </cell>
          <cell r="C362">
            <v>19388</v>
          </cell>
          <cell r="D362" t="str">
            <v>PC</v>
          </cell>
          <cell r="E362">
            <v>503.45</v>
          </cell>
          <cell r="G362">
            <v>1000</v>
          </cell>
          <cell r="H362" t="str">
            <v>SC Syngenta</v>
          </cell>
          <cell r="I362" t="str">
            <v>SC SYNGENTA</v>
          </cell>
          <cell r="J362" t="str">
            <v>PACKS</v>
          </cell>
          <cell r="K362">
            <v>1</v>
          </cell>
          <cell r="N362">
            <v>596.08000000000004</v>
          </cell>
          <cell r="P362" t="str">
            <v>NON SEEDS</v>
          </cell>
          <cell r="Q362" t="str">
            <v>ZZ</v>
          </cell>
          <cell r="R362" t="str">
            <v>CA01</v>
          </cell>
        </row>
        <row r="363">
          <cell r="A363">
            <v>233541</v>
          </cell>
          <cell r="B363" t="str">
            <v>BAG  15X3X33         HYBRID     CORN CA</v>
          </cell>
          <cell r="C363">
            <v>18515</v>
          </cell>
          <cell r="D363" t="str">
            <v>PC</v>
          </cell>
          <cell r="E363">
            <v>526.1</v>
          </cell>
          <cell r="G363">
            <v>1000</v>
          </cell>
          <cell r="H363" t="str">
            <v>SC Syngenta</v>
          </cell>
          <cell r="I363" t="str">
            <v>SC SYNGENTA</v>
          </cell>
          <cell r="J363" t="str">
            <v>PACKS</v>
          </cell>
          <cell r="K363">
            <v>1</v>
          </cell>
          <cell r="N363">
            <v>615.86</v>
          </cell>
          <cell r="P363" t="str">
            <v>NON SEEDS</v>
          </cell>
          <cell r="Q363" t="str">
            <v>ZZ</v>
          </cell>
          <cell r="R363" t="str">
            <v>CA01</v>
          </cell>
        </row>
        <row r="364">
          <cell r="A364">
            <v>233541</v>
          </cell>
          <cell r="B364" t="str">
            <v>BAG  15X3X33         HYBRID     CORN CA</v>
          </cell>
          <cell r="C364">
            <v>18515</v>
          </cell>
          <cell r="D364" t="str">
            <v>PC</v>
          </cell>
          <cell r="E364">
            <v>526.1</v>
          </cell>
          <cell r="G364">
            <v>1000</v>
          </cell>
          <cell r="H364" t="str">
            <v>SC Syngenta</v>
          </cell>
          <cell r="I364" t="str">
            <v>SC SYNGENTA</v>
          </cell>
          <cell r="J364" t="str">
            <v>PACKS</v>
          </cell>
          <cell r="K364">
            <v>1</v>
          </cell>
          <cell r="N364">
            <v>615.86</v>
          </cell>
          <cell r="P364" t="str">
            <v>NON SEEDS</v>
          </cell>
          <cell r="Q364" t="str">
            <v>ZZ</v>
          </cell>
          <cell r="R364" t="str">
            <v>CA01</v>
          </cell>
        </row>
        <row r="365">
          <cell r="A365">
            <v>233558</v>
          </cell>
          <cell r="B365" t="str">
            <v>BAG  NK SAMPLE        HYBRID    CORN CA</v>
          </cell>
          <cell r="C365">
            <v>15880</v>
          </cell>
          <cell r="D365" t="str">
            <v>PC</v>
          </cell>
          <cell r="E365">
            <v>501.6</v>
          </cell>
          <cell r="G365">
            <v>1000</v>
          </cell>
          <cell r="H365" t="str">
            <v>SC Syngenta</v>
          </cell>
          <cell r="I365" t="str">
            <v>SC SYNGENTA</v>
          </cell>
          <cell r="J365" t="str">
            <v>PACKS</v>
          </cell>
          <cell r="K365">
            <v>1</v>
          </cell>
          <cell r="N365">
            <v>636</v>
          </cell>
          <cell r="P365" t="str">
            <v>NON SEEDS</v>
          </cell>
          <cell r="Q365" t="str">
            <v>ZZ</v>
          </cell>
          <cell r="R365" t="str">
            <v>CA01</v>
          </cell>
        </row>
        <row r="366">
          <cell r="A366">
            <v>233558</v>
          </cell>
          <cell r="B366" t="str">
            <v>BAG  NK SAMPLE        HYBRID    CORN CA</v>
          </cell>
          <cell r="C366">
            <v>15880</v>
          </cell>
          <cell r="D366" t="str">
            <v>PC</v>
          </cell>
          <cell r="E366">
            <v>501.6</v>
          </cell>
          <cell r="G366">
            <v>1000</v>
          </cell>
          <cell r="H366" t="str">
            <v>SC Syngenta</v>
          </cell>
          <cell r="I366" t="str">
            <v>SC SYNGENTA</v>
          </cell>
          <cell r="J366" t="str">
            <v>PACKS</v>
          </cell>
          <cell r="K366">
            <v>1</v>
          </cell>
          <cell r="N366">
            <v>636</v>
          </cell>
          <cell r="P366" t="str">
            <v>NON SEEDS</v>
          </cell>
          <cell r="Q366" t="str">
            <v>ZZ</v>
          </cell>
          <cell r="R366" t="str">
            <v>CA01</v>
          </cell>
        </row>
        <row r="367">
          <cell r="A367">
            <v>233786</v>
          </cell>
          <cell r="B367" t="str">
            <v>TRT  FUNGICIDE, APRON XL</v>
          </cell>
          <cell r="C367">
            <v>46.771000000000001</v>
          </cell>
          <cell r="D367" t="str">
            <v>L</v>
          </cell>
          <cell r="E367">
            <v>186.15</v>
          </cell>
          <cell r="G367">
            <v>1</v>
          </cell>
          <cell r="H367" t="str">
            <v>SC Syngenta</v>
          </cell>
          <cell r="I367" t="str">
            <v>SC SYNGENTA</v>
          </cell>
          <cell r="J367" t="str">
            <v>CPROT</v>
          </cell>
          <cell r="K367">
            <v>1</v>
          </cell>
          <cell r="N367">
            <v>182.33</v>
          </cell>
          <cell r="P367" t="str">
            <v>NON SEEDS</v>
          </cell>
          <cell r="Q367" t="str">
            <v>ZZ</v>
          </cell>
          <cell r="R367" t="str">
            <v>CA01</v>
          </cell>
          <cell r="S367">
            <v>186.15</v>
          </cell>
        </row>
        <row r="368">
          <cell r="A368">
            <v>233786</v>
          </cell>
          <cell r="B368" t="str">
            <v>TRT  FUNGICIDE, APRON XL</v>
          </cell>
          <cell r="C368">
            <v>46.771000000000001</v>
          </cell>
          <cell r="D368" t="str">
            <v>L</v>
          </cell>
          <cell r="E368">
            <v>186.15</v>
          </cell>
          <cell r="G368">
            <v>1</v>
          </cell>
          <cell r="H368" t="str">
            <v>SC Syngenta</v>
          </cell>
          <cell r="I368" t="str">
            <v>SC SYNGENTA</v>
          </cell>
          <cell r="J368" t="str">
            <v>CPROT</v>
          </cell>
          <cell r="K368">
            <v>1</v>
          </cell>
          <cell r="N368">
            <v>182.33</v>
          </cell>
          <cell r="P368" t="str">
            <v>NON SEEDS</v>
          </cell>
          <cell r="Q368" t="str">
            <v>ZZ</v>
          </cell>
          <cell r="R368" t="str">
            <v>CA01</v>
          </cell>
          <cell r="S368">
            <v>186.15</v>
          </cell>
        </row>
        <row r="369">
          <cell r="A369">
            <v>233786</v>
          </cell>
          <cell r="B369" t="str">
            <v>TRT  FUNGICIDE, APRON XL</v>
          </cell>
          <cell r="C369">
            <v>46.771000000000001</v>
          </cell>
          <cell r="D369" t="str">
            <v>L</v>
          </cell>
          <cell r="E369">
            <v>186.15</v>
          </cell>
          <cell r="G369">
            <v>1</v>
          </cell>
          <cell r="H369" t="str">
            <v>SC Syngenta</v>
          </cell>
          <cell r="I369" t="str">
            <v>SC SYNGENTA</v>
          </cell>
          <cell r="J369" t="str">
            <v>CPROT</v>
          </cell>
          <cell r="K369">
            <v>1</v>
          </cell>
          <cell r="N369">
            <v>182.33</v>
          </cell>
          <cell r="P369" t="str">
            <v>NON SEEDS</v>
          </cell>
          <cell r="Q369" t="str">
            <v>ZZ</v>
          </cell>
          <cell r="R369" t="str">
            <v>CA01</v>
          </cell>
          <cell r="S369">
            <v>186.15</v>
          </cell>
        </row>
        <row r="370">
          <cell r="A370">
            <v>233930</v>
          </cell>
          <cell r="B370" t="str">
            <v>TRT  FUNGICIDE, MAXIM XL</v>
          </cell>
          <cell r="C370">
            <v>48.039000000000001</v>
          </cell>
          <cell r="D370" t="str">
            <v>GAL</v>
          </cell>
          <cell r="E370">
            <v>119799.03999999999</v>
          </cell>
          <cell r="G370">
            <v>100</v>
          </cell>
          <cell r="H370" t="str">
            <v>SC Syngenta</v>
          </cell>
          <cell r="I370" t="str">
            <v>SC SYNGENTA</v>
          </cell>
          <cell r="J370" t="str">
            <v>CPROT</v>
          </cell>
          <cell r="K370">
            <v>1</v>
          </cell>
          <cell r="N370">
            <v>111960</v>
          </cell>
          <cell r="P370" t="str">
            <v>NON SEEDS</v>
          </cell>
          <cell r="Q370" t="str">
            <v>ZZ</v>
          </cell>
          <cell r="R370" t="str">
            <v>CA01</v>
          </cell>
        </row>
        <row r="371">
          <cell r="A371">
            <v>233930</v>
          </cell>
          <cell r="B371" t="str">
            <v>TRT  FUNGICIDE, MAXIM XL</v>
          </cell>
          <cell r="C371">
            <v>48.039000000000001</v>
          </cell>
          <cell r="D371" t="str">
            <v>GAL</v>
          </cell>
          <cell r="E371">
            <v>119799.03999999999</v>
          </cell>
          <cell r="G371">
            <v>100</v>
          </cell>
          <cell r="H371" t="str">
            <v>SC Syngenta</v>
          </cell>
          <cell r="I371" t="str">
            <v>SC SYNGENTA</v>
          </cell>
          <cell r="J371" t="str">
            <v>CPROT</v>
          </cell>
          <cell r="K371">
            <v>1</v>
          </cell>
          <cell r="N371">
            <v>111960</v>
          </cell>
          <cell r="P371" t="str">
            <v>NON SEEDS</v>
          </cell>
          <cell r="Q371" t="str">
            <v>ZZ</v>
          </cell>
          <cell r="R371" t="str">
            <v>CA01</v>
          </cell>
        </row>
        <row r="372">
          <cell r="A372">
            <v>328678</v>
          </cell>
          <cell r="B372" t="str">
            <v>Áàòüê³âñüêà ôîðìà êóêóðóäçè NP 1862</v>
          </cell>
          <cell r="C372">
            <v>50</v>
          </cell>
          <cell r="D372" t="str">
            <v>KG</v>
          </cell>
          <cell r="E372">
            <v>490</v>
          </cell>
          <cell r="G372">
            <v>100</v>
          </cell>
          <cell r="J372" t="str">
            <v>BA090</v>
          </cell>
          <cell r="K372">
            <v>1</v>
          </cell>
          <cell r="N372">
            <v>0.01</v>
          </cell>
          <cell r="P372" t="str">
            <v>NP1862</v>
          </cell>
          <cell r="Q372" t="str">
            <v>01Z01ZZ01RI</v>
          </cell>
          <cell r="R372" t="str">
            <v>CA01</v>
          </cell>
        </row>
        <row r="373">
          <cell r="A373">
            <v>328678</v>
          </cell>
          <cell r="B373" t="str">
            <v>Áàòüê³âñüêà ôîðìà êóêóðóäçè NP 1862</v>
          </cell>
          <cell r="C373">
            <v>50</v>
          </cell>
          <cell r="D373" t="str">
            <v>KG</v>
          </cell>
          <cell r="E373">
            <v>490</v>
          </cell>
          <cell r="G373">
            <v>100</v>
          </cell>
          <cell r="J373" t="str">
            <v>BA090</v>
          </cell>
          <cell r="K373">
            <v>1</v>
          </cell>
          <cell r="N373">
            <v>0.01</v>
          </cell>
          <cell r="P373" t="str">
            <v>NP1862</v>
          </cell>
          <cell r="Q373" t="str">
            <v>01Z01ZZ01RI</v>
          </cell>
          <cell r="R373" t="str">
            <v>CA01</v>
          </cell>
        </row>
        <row r="374">
          <cell r="A374">
            <v>328678</v>
          </cell>
          <cell r="B374" t="str">
            <v>Áàòüê³âñüêà ôîðìà êóêóðóäçè NP 1862</v>
          </cell>
          <cell r="C374">
            <v>50</v>
          </cell>
          <cell r="D374" t="str">
            <v>KG</v>
          </cell>
          <cell r="E374">
            <v>490</v>
          </cell>
          <cell r="G374">
            <v>100</v>
          </cell>
          <cell r="J374" t="str">
            <v>BA090</v>
          </cell>
          <cell r="K374">
            <v>1</v>
          </cell>
          <cell r="N374">
            <v>0.01</v>
          </cell>
          <cell r="P374" t="str">
            <v>NP1862</v>
          </cell>
          <cell r="Q374" t="str">
            <v>01Z01ZZ01RI</v>
          </cell>
          <cell r="R374" t="str">
            <v>CA01</v>
          </cell>
        </row>
        <row r="375">
          <cell r="A375">
            <v>328678</v>
          </cell>
          <cell r="B375" t="str">
            <v>Áàòüê³âñüêà ôîðìà êóêóðóäçè NP 1862</v>
          </cell>
          <cell r="C375">
            <v>50</v>
          </cell>
          <cell r="D375" t="str">
            <v>KG</v>
          </cell>
          <cell r="E375">
            <v>490</v>
          </cell>
          <cell r="G375">
            <v>100</v>
          </cell>
          <cell r="J375" t="str">
            <v>BA090</v>
          </cell>
          <cell r="K375">
            <v>1</v>
          </cell>
          <cell r="N375">
            <v>0.01</v>
          </cell>
          <cell r="P375" t="str">
            <v>NP1862</v>
          </cell>
          <cell r="Q375" t="str">
            <v>01Z01ZZ01RI</v>
          </cell>
          <cell r="R375" t="str">
            <v>CA01</v>
          </cell>
        </row>
        <row r="376">
          <cell r="A376">
            <v>328678</v>
          </cell>
          <cell r="B376" t="str">
            <v>Áàòüê³âñüêà ôîðìà êóêóðóäçè NP 1862</v>
          </cell>
          <cell r="C376">
            <v>50</v>
          </cell>
          <cell r="D376" t="str">
            <v>KG</v>
          </cell>
          <cell r="E376">
            <v>490</v>
          </cell>
          <cell r="G376">
            <v>100</v>
          </cell>
          <cell r="J376" t="str">
            <v>BA090</v>
          </cell>
          <cell r="K376">
            <v>1</v>
          </cell>
          <cell r="N376">
            <v>0.01</v>
          </cell>
          <cell r="P376" t="str">
            <v>NP1862</v>
          </cell>
          <cell r="Q376" t="str">
            <v>01Z01ZZ01RI</v>
          </cell>
          <cell r="R376" t="str">
            <v>CA01</v>
          </cell>
        </row>
        <row r="377">
          <cell r="A377">
            <v>328678</v>
          </cell>
          <cell r="B377" t="str">
            <v>Áàòüê³âñüêà ôîðìà êóêóðóäçè NP 1862</v>
          </cell>
          <cell r="C377">
            <v>50</v>
          </cell>
          <cell r="D377" t="str">
            <v>KG</v>
          </cell>
          <cell r="E377">
            <v>490</v>
          </cell>
          <cell r="G377">
            <v>100</v>
          </cell>
          <cell r="J377" t="str">
            <v>BA090</v>
          </cell>
          <cell r="K377">
            <v>1</v>
          </cell>
          <cell r="N377">
            <v>0.01</v>
          </cell>
          <cell r="P377" t="str">
            <v>NP1862</v>
          </cell>
          <cell r="Q377" t="str">
            <v>01Z01ZZ01RI</v>
          </cell>
          <cell r="R377" t="str">
            <v>CA01</v>
          </cell>
        </row>
        <row r="378">
          <cell r="A378">
            <v>328678</v>
          </cell>
          <cell r="B378" t="str">
            <v>Áàòüê³âñüêà ôîðìà êóêóðóäçè NP 1862</v>
          </cell>
          <cell r="C378">
            <v>50</v>
          </cell>
          <cell r="D378" t="str">
            <v>KG</v>
          </cell>
          <cell r="E378">
            <v>490</v>
          </cell>
          <cell r="G378">
            <v>100</v>
          </cell>
          <cell r="J378" t="str">
            <v>BA090</v>
          </cell>
          <cell r="K378">
            <v>1</v>
          </cell>
          <cell r="N378">
            <v>0.01</v>
          </cell>
          <cell r="P378" t="str">
            <v>NP1862</v>
          </cell>
          <cell r="Q378" t="str">
            <v>01Z01ZZ01RI</v>
          </cell>
          <cell r="R378" t="str">
            <v>CA01</v>
          </cell>
        </row>
        <row r="379">
          <cell r="A379">
            <v>328678</v>
          </cell>
          <cell r="B379" t="str">
            <v>CRBS NP1862 STANDARD KG</v>
          </cell>
          <cell r="C379">
            <v>50</v>
          </cell>
          <cell r="D379" t="str">
            <v>KG</v>
          </cell>
          <cell r="E379">
            <v>490</v>
          </cell>
          <cell r="G379">
            <v>100</v>
          </cell>
          <cell r="J379" t="str">
            <v>BA090</v>
          </cell>
          <cell r="K379">
            <v>1</v>
          </cell>
          <cell r="N379">
            <v>0.01</v>
          </cell>
          <cell r="P379" t="str">
            <v>NP1862</v>
          </cell>
          <cell r="Q379" t="str">
            <v>01Z01ZZ01RI</v>
          </cell>
          <cell r="R379" t="str">
            <v>CA01</v>
          </cell>
        </row>
        <row r="380">
          <cell r="A380">
            <v>328678</v>
          </cell>
          <cell r="B380" t="str">
            <v>CRBS NP1862 STANDARD KG</v>
          </cell>
          <cell r="C380">
            <v>50</v>
          </cell>
          <cell r="D380" t="str">
            <v>KG</v>
          </cell>
          <cell r="E380">
            <v>490</v>
          </cell>
          <cell r="G380">
            <v>100</v>
          </cell>
          <cell r="J380" t="str">
            <v>BA090</v>
          </cell>
          <cell r="K380">
            <v>1</v>
          </cell>
          <cell r="N380">
            <v>0.01</v>
          </cell>
          <cell r="P380" t="str">
            <v>NP1862</v>
          </cell>
          <cell r="Q380" t="str">
            <v>01Z01ZZ01RI</v>
          </cell>
          <cell r="R380" t="str">
            <v>CA01</v>
          </cell>
        </row>
        <row r="381">
          <cell r="A381">
            <v>328678</v>
          </cell>
          <cell r="B381" t="str">
            <v>CRBS NP1862 STANDARD KG</v>
          </cell>
          <cell r="C381">
            <v>50</v>
          </cell>
          <cell r="D381" t="str">
            <v>KG</v>
          </cell>
          <cell r="E381">
            <v>490</v>
          </cell>
          <cell r="G381">
            <v>100</v>
          </cell>
          <cell r="J381" t="str">
            <v>BA090</v>
          </cell>
          <cell r="K381">
            <v>1</v>
          </cell>
          <cell r="N381">
            <v>0.01</v>
          </cell>
          <cell r="P381" t="str">
            <v>NP1862</v>
          </cell>
          <cell r="Q381" t="str">
            <v>01Z01ZZ01RI</v>
          </cell>
          <cell r="R381" t="str">
            <v>CA01</v>
          </cell>
        </row>
        <row r="382">
          <cell r="A382">
            <v>328678</v>
          </cell>
          <cell r="B382" t="str">
            <v>CRBS NP1862 STANDARD KG</v>
          </cell>
          <cell r="C382">
            <v>50</v>
          </cell>
          <cell r="D382" t="str">
            <v>KG</v>
          </cell>
          <cell r="E382">
            <v>490</v>
          </cell>
          <cell r="G382">
            <v>100</v>
          </cell>
          <cell r="J382" t="str">
            <v>BA090</v>
          </cell>
          <cell r="K382">
            <v>1</v>
          </cell>
          <cell r="N382">
            <v>0.01</v>
          </cell>
          <cell r="P382" t="str">
            <v>NP1862</v>
          </cell>
          <cell r="Q382" t="str">
            <v>01Z01ZZ01RI</v>
          </cell>
          <cell r="R382" t="str">
            <v>CA01</v>
          </cell>
        </row>
        <row r="383">
          <cell r="A383">
            <v>328678</v>
          </cell>
          <cell r="B383" t="str">
            <v>CRBS NP1862 STANDARD KG</v>
          </cell>
          <cell r="C383">
            <v>50</v>
          </cell>
          <cell r="D383" t="str">
            <v>KG</v>
          </cell>
          <cell r="E383">
            <v>490</v>
          </cell>
          <cell r="G383">
            <v>100</v>
          </cell>
          <cell r="J383" t="str">
            <v>BA090</v>
          </cell>
          <cell r="K383">
            <v>1</v>
          </cell>
          <cell r="N383">
            <v>0.01</v>
          </cell>
          <cell r="P383" t="str">
            <v>NP1862</v>
          </cell>
          <cell r="Q383" t="str">
            <v>01Z01ZZ01RI</v>
          </cell>
          <cell r="R383" t="str">
            <v>CA01</v>
          </cell>
        </row>
        <row r="384">
          <cell r="A384">
            <v>328678</v>
          </cell>
          <cell r="B384" t="str">
            <v>CRBS NP1862 STANDARD KG</v>
          </cell>
          <cell r="C384">
            <v>50</v>
          </cell>
          <cell r="D384" t="str">
            <v>KG</v>
          </cell>
          <cell r="E384">
            <v>490</v>
          </cell>
          <cell r="G384">
            <v>100</v>
          </cell>
          <cell r="J384" t="str">
            <v>BA090</v>
          </cell>
          <cell r="K384">
            <v>1</v>
          </cell>
          <cell r="N384">
            <v>0.01</v>
          </cell>
          <cell r="P384" t="str">
            <v>NP1862</v>
          </cell>
          <cell r="Q384" t="str">
            <v>01Z01ZZ01RI</v>
          </cell>
          <cell r="R384" t="str">
            <v>CA01</v>
          </cell>
        </row>
        <row r="385">
          <cell r="A385">
            <v>328678</v>
          </cell>
          <cell r="B385" t="str">
            <v>CRBS NP1862 STANDARD KG</v>
          </cell>
          <cell r="C385">
            <v>50</v>
          </cell>
          <cell r="D385" t="str">
            <v>KG</v>
          </cell>
          <cell r="E385">
            <v>490</v>
          </cell>
          <cell r="G385">
            <v>100</v>
          </cell>
          <cell r="J385" t="str">
            <v>BA090</v>
          </cell>
          <cell r="K385">
            <v>1</v>
          </cell>
          <cell r="N385">
            <v>0.01</v>
          </cell>
          <cell r="P385" t="str">
            <v>NP1862</v>
          </cell>
          <cell r="Q385" t="str">
            <v>01Z01ZZ01RI</v>
          </cell>
          <cell r="R385" t="str">
            <v>CA01</v>
          </cell>
        </row>
        <row r="386">
          <cell r="A386">
            <v>328678</v>
          </cell>
          <cell r="B386" t="str">
            <v>CRBS NP1862 STANDARD KG</v>
          </cell>
          <cell r="C386">
            <v>50</v>
          </cell>
          <cell r="D386" t="str">
            <v>KG</v>
          </cell>
          <cell r="E386">
            <v>490</v>
          </cell>
          <cell r="G386">
            <v>100</v>
          </cell>
          <cell r="J386" t="str">
            <v>BA090</v>
          </cell>
          <cell r="K386">
            <v>1</v>
          </cell>
          <cell r="N386">
            <v>0.01</v>
          </cell>
          <cell r="P386" t="str">
            <v>NP1862</v>
          </cell>
          <cell r="Q386" t="str">
            <v>01Z01ZZ01RI</v>
          </cell>
          <cell r="R386" t="str">
            <v>CA01</v>
          </cell>
        </row>
        <row r="387">
          <cell r="A387">
            <v>328678</v>
          </cell>
          <cell r="B387" t="str">
            <v>CRBS NP1862 STANDARD KG</v>
          </cell>
          <cell r="C387">
            <v>50</v>
          </cell>
          <cell r="D387" t="str">
            <v>KG</v>
          </cell>
          <cell r="E387">
            <v>490</v>
          </cell>
          <cell r="G387">
            <v>100</v>
          </cell>
          <cell r="J387" t="str">
            <v>BA090</v>
          </cell>
          <cell r="K387">
            <v>1</v>
          </cell>
          <cell r="N387">
            <v>0.01</v>
          </cell>
          <cell r="P387" t="str">
            <v>NP1862</v>
          </cell>
          <cell r="Q387" t="str">
            <v>01Z01ZZ01RI</v>
          </cell>
          <cell r="R387" t="str">
            <v>CA01</v>
          </cell>
        </row>
        <row r="388">
          <cell r="A388">
            <v>328678</v>
          </cell>
          <cell r="B388" t="str">
            <v>CRBS NP1862 STANDARD KG</v>
          </cell>
          <cell r="C388">
            <v>50</v>
          </cell>
          <cell r="D388" t="str">
            <v>KG</v>
          </cell>
          <cell r="E388">
            <v>490</v>
          </cell>
          <cell r="G388">
            <v>100</v>
          </cell>
          <cell r="J388" t="str">
            <v>BA090</v>
          </cell>
          <cell r="K388">
            <v>1</v>
          </cell>
          <cell r="N388">
            <v>0.01</v>
          </cell>
          <cell r="P388" t="str">
            <v>NP1862</v>
          </cell>
          <cell r="Q388" t="str">
            <v>01Z01ZZ01RI</v>
          </cell>
          <cell r="R388" t="str">
            <v>CA01</v>
          </cell>
        </row>
        <row r="389">
          <cell r="A389">
            <v>328678</v>
          </cell>
          <cell r="B389" t="str">
            <v>CRBS NP1862 STANDARD KG</v>
          </cell>
          <cell r="C389">
            <v>50</v>
          </cell>
          <cell r="D389" t="str">
            <v>KG</v>
          </cell>
          <cell r="E389">
            <v>490</v>
          </cell>
          <cell r="G389">
            <v>100</v>
          </cell>
          <cell r="J389" t="str">
            <v>BA090</v>
          </cell>
          <cell r="K389">
            <v>1</v>
          </cell>
          <cell r="N389">
            <v>0.01</v>
          </cell>
          <cell r="P389" t="str">
            <v>NP1862</v>
          </cell>
          <cell r="Q389" t="str">
            <v>01Z01ZZ01RI</v>
          </cell>
          <cell r="R389" t="str">
            <v>CA01</v>
          </cell>
        </row>
        <row r="390">
          <cell r="A390">
            <v>328678</v>
          </cell>
          <cell r="B390" t="str">
            <v>CRBS NP1862 STANDARD KG</v>
          </cell>
          <cell r="C390">
            <v>50</v>
          </cell>
          <cell r="D390" t="str">
            <v>KG</v>
          </cell>
          <cell r="E390">
            <v>490</v>
          </cell>
          <cell r="G390">
            <v>100</v>
          </cell>
          <cell r="J390" t="str">
            <v>BA090</v>
          </cell>
          <cell r="K390">
            <v>1</v>
          </cell>
          <cell r="N390">
            <v>0.01</v>
          </cell>
          <cell r="P390" t="str">
            <v>NP1862</v>
          </cell>
          <cell r="Q390" t="str">
            <v>01Z01ZZ01RI</v>
          </cell>
          <cell r="R390" t="str">
            <v>CA01</v>
          </cell>
        </row>
        <row r="391">
          <cell r="A391">
            <v>328678</v>
          </cell>
          <cell r="B391" t="str">
            <v>CRBS NP1862 STANDARD KG</v>
          </cell>
          <cell r="C391">
            <v>50</v>
          </cell>
          <cell r="D391" t="str">
            <v>KG</v>
          </cell>
          <cell r="E391">
            <v>490</v>
          </cell>
          <cell r="G391">
            <v>100</v>
          </cell>
          <cell r="J391" t="str">
            <v>BA090</v>
          </cell>
          <cell r="K391">
            <v>1</v>
          </cell>
          <cell r="N391">
            <v>0.01</v>
          </cell>
          <cell r="P391" t="str">
            <v>NP1862</v>
          </cell>
          <cell r="Q391" t="str">
            <v>01Z01ZZ01RI</v>
          </cell>
          <cell r="R391" t="str">
            <v>CA01</v>
          </cell>
        </row>
        <row r="392">
          <cell r="A392">
            <v>328678</v>
          </cell>
          <cell r="B392" t="str">
            <v>CRBS NP1862 STANDARD KG</v>
          </cell>
          <cell r="C392">
            <v>50</v>
          </cell>
          <cell r="D392" t="str">
            <v>KG</v>
          </cell>
          <cell r="E392">
            <v>490</v>
          </cell>
          <cell r="G392">
            <v>100</v>
          </cell>
          <cell r="J392" t="str">
            <v>BA090</v>
          </cell>
          <cell r="K392">
            <v>1</v>
          </cell>
          <cell r="N392">
            <v>0.01</v>
          </cell>
          <cell r="P392" t="str">
            <v>NP1862</v>
          </cell>
          <cell r="Q392" t="str">
            <v>01Z01ZZ01RI</v>
          </cell>
          <cell r="R392" t="str">
            <v>CA01</v>
          </cell>
        </row>
        <row r="393">
          <cell r="A393">
            <v>328678</v>
          </cell>
          <cell r="B393" t="str">
            <v>CRBS NP1862 STANDARD KG</v>
          </cell>
          <cell r="C393">
            <v>50</v>
          </cell>
          <cell r="D393" t="str">
            <v>KG</v>
          </cell>
          <cell r="E393">
            <v>490</v>
          </cell>
          <cell r="G393">
            <v>100</v>
          </cell>
          <cell r="J393" t="str">
            <v>BA090</v>
          </cell>
          <cell r="K393">
            <v>1</v>
          </cell>
          <cell r="N393">
            <v>0.01</v>
          </cell>
          <cell r="P393" t="str">
            <v>NP1862</v>
          </cell>
          <cell r="Q393" t="str">
            <v>01Z01ZZ01RI</v>
          </cell>
          <cell r="R393" t="str">
            <v>CA01</v>
          </cell>
        </row>
        <row r="394">
          <cell r="A394">
            <v>328678</v>
          </cell>
          <cell r="B394" t="str">
            <v>CRBS NP1862 STANDARD KG</v>
          </cell>
          <cell r="C394">
            <v>50</v>
          </cell>
          <cell r="D394" t="str">
            <v>KG</v>
          </cell>
          <cell r="E394">
            <v>490</v>
          </cell>
          <cell r="G394">
            <v>100</v>
          </cell>
          <cell r="J394" t="str">
            <v>BA090</v>
          </cell>
          <cell r="K394">
            <v>1</v>
          </cell>
          <cell r="N394">
            <v>0.01</v>
          </cell>
          <cell r="P394" t="str">
            <v>NP1862</v>
          </cell>
          <cell r="Q394" t="str">
            <v>01Z01ZZ01RI</v>
          </cell>
          <cell r="R394" t="str">
            <v>CA01</v>
          </cell>
        </row>
        <row r="395">
          <cell r="A395">
            <v>328678</v>
          </cell>
          <cell r="B395" t="str">
            <v>CRBS NP1862 STANDARD KG</v>
          </cell>
          <cell r="C395">
            <v>50</v>
          </cell>
          <cell r="D395" t="str">
            <v>KG</v>
          </cell>
          <cell r="E395">
            <v>490</v>
          </cell>
          <cell r="G395">
            <v>100</v>
          </cell>
          <cell r="J395" t="str">
            <v>BA090</v>
          </cell>
          <cell r="K395">
            <v>1</v>
          </cell>
          <cell r="N395">
            <v>0.01</v>
          </cell>
          <cell r="P395" t="str">
            <v>NP1862</v>
          </cell>
          <cell r="Q395" t="str">
            <v>01Z01ZZ01RI</v>
          </cell>
          <cell r="R395" t="str">
            <v>CA01</v>
          </cell>
        </row>
        <row r="396">
          <cell r="A396">
            <v>328678</v>
          </cell>
          <cell r="B396" t="str">
            <v>CRBS NP1862 STANDARD KG</v>
          </cell>
          <cell r="C396">
            <v>50</v>
          </cell>
          <cell r="D396" t="str">
            <v>KG</v>
          </cell>
          <cell r="E396">
            <v>490</v>
          </cell>
          <cell r="G396">
            <v>100</v>
          </cell>
          <cell r="J396" t="str">
            <v>BA090</v>
          </cell>
          <cell r="K396">
            <v>1</v>
          </cell>
          <cell r="N396">
            <v>0.01</v>
          </cell>
          <cell r="P396" t="str">
            <v>NP1862</v>
          </cell>
          <cell r="Q396" t="str">
            <v>01Z01ZZ01RI</v>
          </cell>
          <cell r="R396" t="str">
            <v>CA01</v>
          </cell>
        </row>
        <row r="397">
          <cell r="A397">
            <v>328678</v>
          </cell>
          <cell r="B397" t="str">
            <v>CRBS NP1862 STANDARD KG</v>
          </cell>
          <cell r="C397">
            <v>50</v>
          </cell>
          <cell r="D397" t="str">
            <v>KG</v>
          </cell>
          <cell r="E397">
            <v>490</v>
          </cell>
          <cell r="G397">
            <v>100</v>
          </cell>
          <cell r="J397" t="str">
            <v>BA090</v>
          </cell>
          <cell r="K397">
            <v>1</v>
          </cell>
          <cell r="N397">
            <v>0.01</v>
          </cell>
          <cell r="P397" t="str">
            <v>NP1862</v>
          </cell>
          <cell r="Q397" t="str">
            <v>01Z01ZZ01RI</v>
          </cell>
          <cell r="R397" t="str">
            <v>CA01</v>
          </cell>
        </row>
        <row r="398">
          <cell r="A398">
            <v>328678</v>
          </cell>
          <cell r="B398" t="str">
            <v>CRBS NP1862 STANDARD KG</v>
          </cell>
          <cell r="C398">
            <v>50</v>
          </cell>
          <cell r="D398" t="str">
            <v>KG</v>
          </cell>
          <cell r="E398">
            <v>490</v>
          </cell>
          <cell r="G398">
            <v>100</v>
          </cell>
          <cell r="J398" t="str">
            <v>BA090</v>
          </cell>
          <cell r="K398">
            <v>1</v>
          </cell>
          <cell r="N398">
            <v>0.01</v>
          </cell>
          <cell r="P398" t="str">
            <v>NP1862</v>
          </cell>
          <cell r="Q398" t="str">
            <v>01Z01ZZ01RI</v>
          </cell>
          <cell r="R398" t="str">
            <v>CA01</v>
          </cell>
        </row>
        <row r="399">
          <cell r="A399">
            <v>328678</v>
          </cell>
          <cell r="B399" t="str">
            <v>CRBS NP1862 STANDARD KG</v>
          </cell>
          <cell r="C399">
            <v>50</v>
          </cell>
          <cell r="D399" t="str">
            <v>KG</v>
          </cell>
          <cell r="E399">
            <v>490</v>
          </cell>
          <cell r="G399">
            <v>100</v>
          </cell>
          <cell r="J399" t="str">
            <v>BA090</v>
          </cell>
          <cell r="K399">
            <v>1</v>
          </cell>
          <cell r="N399">
            <v>0.01</v>
          </cell>
          <cell r="P399" t="str">
            <v>NP1862</v>
          </cell>
          <cell r="Q399" t="str">
            <v>01Z01ZZ01RI</v>
          </cell>
          <cell r="R399" t="str">
            <v>CA01</v>
          </cell>
        </row>
        <row r="400">
          <cell r="A400">
            <v>328678</v>
          </cell>
          <cell r="B400" t="str">
            <v>CRBS NP1862 STANDARD KG</v>
          </cell>
          <cell r="C400">
            <v>50</v>
          </cell>
          <cell r="D400" t="str">
            <v>KG</v>
          </cell>
          <cell r="E400">
            <v>490</v>
          </cell>
          <cell r="G400">
            <v>100</v>
          </cell>
          <cell r="J400" t="str">
            <v>BA090</v>
          </cell>
          <cell r="K400">
            <v>1</v>
          </cell>
          <cell r="N400">
            <v>0.01</v>
          </cell>
          <cell r="P400" t="str">
            <v>NP1862</v>
          </cell>
          <cell r="Q400" t="str">
            <v>01Z01ZZ01RI</v>
          </cell>
          <cell r="R400" t="str">
            <v>CA01</v>
          </cell>
        </row>
        <row r="401">
          <cell r="A401">
            <v>328678</v>
          </cell>
          <cell r="B401" t="str">
            <v>CRBS NP1862 STANDARD KG</v>
          </cell>
          <cell r="C401">
            <v>50</v>
          </cell>
          <cell r="D401" t="str">
            <v>KG</v>
          </cell>
          <cell r="E401">
            <v>490</v>
          </cell>
          <cell r="G401">
            <v>100</v>
          </cell>
          <cell r="J401" t="str">
            <v>BA090</v>
          </cell>
          <cell r="K401">
            <v>1</v>
          </cell>
          <cell r="N401">
            <v>0.01</v>
          </cell>
          <cell r="P401" t="str">
            <v>NP1862</v>
          </cell>
          <cell r="Q401" t="str">
            <v>01Z01ZZ01RI</v>
          </cell>
          <cell r="R401" t="str">
            <v>CA01</v>
          </cell>
        </row>
        <row r="402">
          <cell r="A402">
            <v>328678</v>
          </cell>
          <cell r="B402" t="str">
            <v>CRBS NP1862 STANDARD KG</v>
          </cell>
          <cell r="C402">
            <v>50</v>
          </cell>
          <cell r="D402" t="str">
            <v>KG</v>
          </cell>
          <cell r="E402">
            <v>490</v>
          </cell>
          <cell r="G402">
            <v>100</v>
          </cell>
          <cell r="J402" t="str">
            <v>BA090</v>
          </cell>
          <cell r="K402">
            <v>1</v>
          </cell>
          <cell r="N402">
            <v>0.01</v>
          </cell>
          <cell r="P402" t="str">
            <v>NP1862</v>
          </cell>
          <cell r="Q402" t="str">
            <v>01Z01ZZ01RI</v>
          </cell>
          <cell r="R402" t="str">
            <v>CA01</v>
          </cell>
        </row>
        <row r="403">
          <cell r="A403">
            <v>328678</v>
          </cell>
          <cell r="B403" t="str">
            <v>CRBS NP1862 STANDARD KG</v>
          </cell>
          <cell r="C403">
            <v>50</v>
          </cell>
          <cell r="D403" t="str">
            <v>KG</v>
          </cell>
          <cell r="E403">
            <v>490</v>
          </cell>
          <cell r="G403">
            <v>100</v>
          </cell>
          <cell r="J403" t="str">
            <v>BA090</v>
          </cell>
          <cell r="K403">
            <v>1</v>
          </cell>
          <cell r="N403">
            <v>0.01</v>
          </cell>
          <cell r="P403" t="str">
            <v>NP1862</v>
          </cell>
          <cell r="Q403" t="str">
            <v>01Z01ZZ01RI</v>
          </cell>
          <cell r="R403" t="str">
            <v>CA01</v>
          </cell>
        </row>
        <row r="404">
          <cell r="A404">
            <v>328678</v>
          </cell>
          <cell r="B404" t="str">
            <v>CRBS NP1862 STANDARD KG</v>
          </cell>
          <cell r="C404">
            <v>50</v>
          </cell>
          <cell r="D404" t="str">
            <v>KG</v>
          </cell>
          <cell r="E404">
            <v>490</v>
          </cell>
          <cell r="G404">
            <v>100</v>
          </cell>
          <cell r="J404" t="str">
            <v>BA090</v>
          </cell>
          <cell r="K404">
            <v>1</v>
          </cell>
          <cell r="N404">
            <v>0.01</v>
          </cell>
          <cell r="P404" t="str">
            <v>NP1862</v>
          </cell>
          <cell r="Q404" t="str">
            <v>01Z01ZZ01RI</v>
          </cell>
          <cell r="R404" t="str">
            <v>CA01</v>
          </cell>
        </row>
        <row r="405">
          <cell r="A405">
            <v>328678</v>
          </cell>
          <cell r="B405" t="str">
            <v>CRBS NP1862 STANDARD KG</v>
          </cell>
          <cell r="C405">
            <v>50</v>
          </cell>
          <cell r="D405" t="str">
            <v>KG</v>
          </cell>
          <cell r="E405">
            <v>490</v>
          </cell>
          <cell r="G405">
            <v>100</v>
          </cell>
          <cell r="J405" t="str">
            <v>BA090</v>
          </cell>
          <cell r="K405">
            <v>1</v>
          </cell>
          <cell r="N405">
            <v>0.01</v>
          </cell>
          <cell r="P405" t="str">
            <v>NP1862</v>
          </cell>
          <cell r="Q405" t="str">
            <v>01Z01ZZ01RI</v>
          </cell>
          <cell r="R405" t="str">
            <v>CA01</v>
          </cell>
        </row>
        <row r="406">
          <cell r="A406">
            <v>328678</v>
          </cell>
          <cell r="B406" t="str">
            <v>CRBS NP1862 STANDARD KG</v>
          </cell>
          <cell r="C406">
            <v>50</v>
          </cell>
          <cell r="D406" t="str">
            <v>KG</v>
          </cell>
          <cell r="E406">
            <v>490</v>
          </cell>
          <cell r="G406">
            <v>100</v>
          </cell>
          <cell r="J406" t="str">
            <v>BA090</v>
          </cell>
          <cell r="K406">
            <v>1</v>
          </cell>
          <cell r="N406">
            <v>0.01</v>
          </cell>
          <cell r="P406" t="str">
            <v>NP1862</v>
          </cell>
          <cell r="Q406" t="str">
            <v>01Z01ZZ01RI</v>
          </cell>
          <cell r="R406" t="str">
            <v>CA01</v>
          </cell>
        </row>
        <row r="407">
          <cell r="A407">
            <v>328678</v>
          </cell>
          <cell r="B407" t="str">
            <v>CRBS NP1862 STANDARD KG</v>
          </cell>
          <cell r="C407">
            <v>50</v>
          </cell>
          <cell r="D407" t="str">
            <v>KG</v>
          </cell>
          <cell r="E407">
            <v>490</v>
          </cell>
          <cell r="G407">
            <v>100</v>
          </cell>
          <cell r="J407" t="str">
            <v>BA090</v>
          </cell>
          <cell r="K407">
            <v>1</v>
          </cell>
          <cell r="N407">
            <v>0.01</v>
          </cell>
          <cell r="P407" t="str">
            <v>NP1862</v>
          </cell>
          <cell r="Q407" t="str">
            <v>01Z01ZZ01RI</v>
          </cell>
          <cell r="R407" t="str">
            <v>CA01</v>
          </cell>
        </row>
        <row r="408">
          <cell r="A408">
            <v>328678</v>
          </cell>
          <cell r="B408" t="str">
            <v>CRBS NP1862 STANDARD KG</v>
          </cell>
          <cell r="C408">
            <v>50</v>
          </cell>
          <cell r="D408" t="str">
            <v>KG</v>
          </cell>
          <cell r="E408">
            <v>490</v>
          </cell>
          <cell r="G408">
            <v>100</v>
          </cell>
          <cell r="J408" t="str">
            <v>BA090</v>
          </cell>
          <cell r="K408">
            <v>1</v>
          </cell>
          <cell r="N408">
            <v>0.01</v>
          </cell>
          <cell r="P408" t="str">
            <v>NP1862</v>
          </cell>
          <cell r="Q408" t="str">
            <v>01Z01ZZ01RI</v>
          </cell>
          <cell r="R408" t="str">
            <v>CA01</v>
          </cell>
        </row>
        <row r="409">
          <cell r="A409">
            <v>328678</v>
          </cell>
          <cell r="B409" t="str">
            <v>CRBS NP1862 STANDARD KG</v>
          </cell>
          <cell r="C409">
            <v>50</v>
          </cell>
          <cell r="D409" t="str">
            <v>KG</v>
          </cell>
          <cell r="E409">
            <v>490</v>
          </cell>
          <cell r="G409">
            <v>100</v>
          </cell>
          <cell r="J409" t="str">
            <v>BA090</v>
          </cell>
          <cell r="K409">
            <v>1</v>
          </cell>
          <cell r="N409">
            <v>0.01</v>
          </cell>
          <cell r="P409" t="str">
            <v>NP1862</v>
          </cell>
          <cell r="Q409" t="str">
            <v>01Z01ZZ01RI</v>
          </cell>
          <cell r="R409" t="str">
            <v>CA01</v>
          </cell>
        </row>
        <row r="410">
          <cell r="A410">
            <v>328678</v>
          </cell>
          <cell r="B410" t="str">
            <v>CRBS NP1862 STANDARD KG</v>
          </cell>
          <cell r="C410">
            <v>50</v>
          </cell>
          <cell r="D410" t="str">
            <v>KG</v>
          </cell>
          <cell r="E410">
            <v>490</v>
          </cell>
          <cell r="G410">
            <v>100</v>
          </cell>
          <cell r="J410" t="str">
            <v>BA090</v>
          </cell>
          <cell r="K410">
            <v>1</v>
          </cell>
          <cell r="N410">
            <v>0.01</v>
          </cell>
          <cell r="P410" t="str">
            <v>NP1862</v>
          </cell>
          <cell r="Q410" t="str">
            <v>01Z01ZZ01RI</v>
          </cell>
          <cell r="R410" t="str">
            <v>CA01</v>
          </cell>
        </row>
        <row r="411">
          <cell r="A411">
            <v>328678</v>
          </cell>
          <cell r="B411" t="str">
            <v>CRBS NP1862 STANDARD KG</v>
          </cell>
          <cell r="C411">
            <v>50</v>
          </cell>
          <cell r="D411" t="str">
            <v>KG</v>
          </cell>
          <cell r="E411">
            <v>490</v>
          </cell>
          <cell r="G411">
            <v>100</v>
          </cell>
          <cell r="J411" t="str">
            <v>BA090</v>
          </cell>
          <cell r="K411">
            <v>1</v>
          </cell>
          <cell r="N411">
            <v>0.01</v>
          </cell>
          <cell r="P411" t="str">
            <v>NP1862</v>
          </cell>
          <cell r="Q411" t="str">
            <v>01Z01ZZ01RI</v>
          </cell>
          <cell r="R411" t="str">
            <v>CA01</v>
          </cell>
        </row>
        <row r="412">
          <cell r="A412">
            <v>328678</v>
          </cell>
          <cell r="B412" t="str">
            <v>CRBS NP1862 STANDARD KG</v>
          </cell>
          <cell r="C412">
            <v>50</v>
          </cell>
          <cell r="D412" t="str">
            <v>KG</v>
          </cell>
          <cell r="E412">
            <v>490</v>
          </cell>
          <cell r="G412">
            <v>100</v>
          </cell>
          <cell r="J412" t="str">
            <v>BA090</v>
          </cell>
          <cell r="K412">
            <v>1</v>
          </cell>
          <cell r="N412">
            <v>0.01</v>
          </cell>
          <cell r="P412" t="str">
            <v>NP1862</v>
          </cell>
          <cell r="Q412" t="str">
            <v>01Z01ZZ01RI</v>
          </cell>
          <cell r="R412" t="str">
            <v>CA01</v>
          </cell>
        </row>
        <row r="413">
          <cell r="A413">
            <v>328678</v>
          </cell>
          <cell r="B413" t="str">
            <v>CRBS NP1862 STANDARD KG</v>
          </cell>
          <cell r="C413">
            <v>50</v>
          </cell>
          <cell r="D413" t="str">
            <v>KG</v>
          </cell>
          <cell r="E413">
            <v>490</v>
          </cell>
          <cell r="G413">
            <v>100</v>
          </cell>
          <cell r="J413" t="str">
            <v>BA090</v>
          </cell>
          <cell r="K413">
            <v>1</v>
          </cell>
          <cell r="N413">
            <v>0.01</v>
          </cell>
          <cell r="P413" t="str">
            <v>NP1862</v>
          </cell>
          <cell r="Q413" t="str">
            <v>01Z01ZZ01RI</v>
          </cell>
          <cell r="R413" t="str">
            <v>CA01</v>
          </cell>
        </row>
        <row r="414">
          <cell r="A414">
            <v>328678</v>
          </cell>
          <cell r="B414" t="str">
            <v>CRBS NP1862 STANDARD KG</v>
          </cell>
          <cell r="C414">
            <v>50</v>
          </cell>
          <cell r="D414" t="str">
            <v>KG</v>
          </cell>
          <cell r="E414">
            <v>490</v>
          </cell>
          <cell r="G414">
            <v>100</v>
          </cell>
          <cell r="J414" t="str">
            <v>BA090</v>
          </cell>
          <cell r="K414">
            <v>1</v>
          </cell>
          <cell r="N414">
            <v>0.01</v>
          </cell>
          <cell r="P414" t="str">
            <v>NP1862</v>
          </cell>
          <cell r="Q414" t="str">
            <v>01Z01ZZ01RI</v>
          </cell>
          <cell r="R414" t="str">
            <v>CA01</v>
          </cell>
        </row>
        <row r="415">
          <cell r="A415">
            <v>328678</v>
          </cell>
          <cell r="B415" t="str">
            <v>CRBS NP1862 STANDARD KG</v>
          </cell>
          <cell r="C415">
            <v>50</v>
          </cell>
          <cell r="D415" t="str">
            <v>KG</v>
          </cell>
          <cell r="E415">
            <v>490</v>
          </cell>
          <cell r="G415">
            <v>100</v>
          </cell>
          <cell r="J415" t="str">
            <v>BA090</v>
          </cell>
          <cell r="K415">
            <v>1</v>
          </cell>
          <cell r="N415">
            <v>0.01</v>
          </cell>
          <cell r="P415" t="str">
            <v>NP1862</v>
          </cell>
          <cell r="Q415" t="str">
            <v>01Z01ZZ01RI</v>
          </cell>
          <cell r="R415" t="str">
            <v>CA01</v>
          </cell>
        </row>
        <row r="416">
          <cell r="A416">
            <v>328678</v>
          </cell>
          <cell r="B416" t="str">
            <v>CRBS NP1862 STANDARD KG</v>
          </cell>
          <cell r="C416">
            <v>50</v>
          </cell>
          <cell r="D416" t="str">
            <v>KG</v>
          </cell>
          <cell r="E416">
            <v>490</v>
          </cell>
          <cell r="G416">
            <v>100</v>
          </cell>
          <cell r="J416" t="str">
            <v>BA090</v>
          </cell>
          <cell r="K416">
            <v>1</v>
          </cell>
          <cell r="N416">
            <v>0.01</v>
          </cell>
          <cell r="P416" t="str">
            <v>NP1862</v>
          </cell>
          <cell r="Q416" t="str">
            <v>01Z01ZZ01RI</v>
          </cell>
          <cell r="R416" t="str">
            <v>CA01</v>
          </cell>
        </row>
        <row r="417">
          <cell r="A417">
            <v>328678</v>
          </cell>
          <cell r="B417" t="str">
            <v>CRBS NP1862 STANDARD KG</v>
          </cell>
          <cell r="C417">
            <v>50</v>
          </cell>
          <cell r="D417" t="str">
            <v>KG</v>
          </cell>
          <cell r="E417">
            <v>490</v>
          </cell>
          <cell r="G417">
            <v>100</v>
          </cell>
          <cell r="J417" t="str">
            <v>BA090</v>
          </cell>
          <cell r="K417">
            <v>1</v>
          </cell>
          <cell r="N417">
            <v>0.01</v>
          </cell>
          <cell r="P417" t="str">
            <v>NP1862</v>
          </cell>
          <cell r="Q417" t="str">
            <v>01Z01ZZ01RI</v>
          </cell>
          <cell r="R417" t="str">
            <v>CA01</v>
          </cell>
        </row>
        <row r="418">
          <cell r="A418">
            <v>328678</v>
          </cell>
          <cell r="B418" t="str">
            <v>CRBS NP1862 STANDARD KG</v>
          </cell>
          <cell r="C418">
            <v>50</v>
          </cell>
          <cell r="D418" t="str">
            <v>KG</v>
          </cell>
          <cell r="E418">
            <v>490</v>
          </cell>
          <cell r="G418">
            <v>100</v>
          </cell>
          <cell r="J418" t="str">
            <v>BA090</v>
          </cell>
          <cell r="K418">
            <v>1</v>
          </cell>
          <cell r="N418">
            <v>0.01</v>
          </cell>
          <cell r="P418" t="str">
            <v>NP1862</v>
          </cell>
          <cell r="Q418" t="str">
            <v>01Z01ZZ01RI</v>
          </cell>
          <cell r="R418" t="str">
            <v>CA01</v>
          </cell>
        </row>
        <row r="419">
          <cell r="A419">
            <v>328678</v>
          </cell>
          <cell r="B419" t="str">
            <v>CRBS NP1862 STANDARD KG</v>
          </cell>
          <cell r="C419">
            <v>50</v>
          </cell>
          <cell r="D419" t="str">
            <v>KG</v>
          </cell>
          <cell r="E419">
            <v>490</v>
          </cell>
          <cell r="G419">
            <v>100</v>
          </cell>
          <cell r="J419" t="str">
            <v>BA090</v>
          </cell>
          <cell r="K419">
            <v>1</v>
          </cell>
          <cell r="N419">
            <v>0.01</v>
          </cell>
          <cell r="P419" t="str">
            <v>NP1862</v>
          </cell>
          <cell r="Q419" t="str">
            <v>01Z01ZZ01RI</v>
          </cell>
          <cell r="R419" t="str">
            <v>CA01</v>
          </cell>
        </row>
        <row r="420">
          <cell r="A420">
            <v>328678</v>
          </cell>
          <cell r="B420" t="str">
            <v>CRBS NP1862 STANDARD KG</v>
          </cell>
          <cell r="C420">
            <v>50</v>
          </cell>
          <cell r="D420" t="str">
            <v>KG</v>
          </cell>
          <cell r="E420">
            <v>490</v>
          </cell>
          <cell r="G420">
            <v>100</v>
          </cell>
          <cell r="J420" t="str">
            <v>BA090</v>
          </cell>
          <cell r="K420">
            <v>1</v>
          </cell>
          <cell r="N420">
            <v>0.01</v>
          </cell>
          <cell r="P420" t="str">
            <v>NP1862</v>
          </cell>
          <cell r="Q420" t="str">
            <v>01Z01ZZ01RI</v>
          </cell>
          <cell r="R420" t="str">
            <v>CA01</v>
          </cell>
        </row>
        <row r="421">
          <cell r="A421">
            <v>387695</v>
          </cell>
          <cell r="B421" t="str">
            <v>CRBS NP2536            STANDARD KG</v>
          </cell>
          <cell r="C421">
            <v>19.23</v>
          </cell>
          <cell r="D421" t="str">
            <v>KG</v>
          </cell>
          <cell r="E421">
            <v>40943.980000000003</v>
          </cell>
          <cell r="G421">
            <v>10000</v>
          </cell>
          <cell r="H421" t="str">
            <v>SC Syngenta</v>
          </cell>
          <cell r="I421" t="str">
            <v>SC SYNGENTA</v>
          </cell>
          <cell r="J421" t="str">
            <v>BA090</v>
          </cell>
          <cell r="K421">
            <v>1</v>
          </cell>
          <cell r="N421">
            <v>56672.07</v>
          </cell>
          <cell r="P421" t="str">
            <v>NP2536</v>
          </cell>
          <cell r="Q421" t="str">
            <v>01Z01ZZ014D</v>
          </cell>
          <cell r="R421" t="str">
            <v>CA01</v>
          </cell>
        </row>
        <row r="422">
          <cell r="A422">
            <v>387695</v>
          </cell>
          <cell r="B422" t="str">
            <v>CRBS NP2536            STANDARD KG</v>
          </cell>
          <cell r="C422">
            <v>19.23</v>
          </cell>
          <cell r="D422" t="str">
            <v>KG</v>
          </cell>
          <cell r="E422">
            <v>40943.980000000003</v>
          </cell>
          <cell r="G422">
            <v>10000</v>
          </cell>
          <cell r="H422" t="str">
            <v>SC Syngenta</v>
          </cell>
          <cell r="I422" t="str">
            <v>SC SYNGENTA</v>
          </cell>
          <cell r="J422" t="str">
            <v>BA090</v>
          </cell>
          <cell r="K422">
            <v>1</v>
          </cell>
          <cell r="N422">
            <v>56672.07</v>
          </cell>
          <cell r="P422" t="str">
            <v>NP2536</v>
          </cell>
          <cell r="Q422" t="str">
            <v>01Z01ZZ014D</v>
          </cell>
          <cell r="R422" t="str">
            <v>CA01</v>
          </cell>
        </row>
        <row r="423">
          <cell r="A423">
            <v>391295</v>
          </cell>
          <cell r="B423" t="str">
            <v>CRCO X1617ABB           DRYSH   KG</v>
          </cell>
          <cell r="C423">
            <v>0</v>
          </cell>
          <cell r="D423" t="str">
            <v>KG</v>
          </cell>
          <cell r="E423">
            <v>157.35</v>
          </cell>
          <cell r="G423">
            <v>100</v>
          </cell>
          <cell r="H423" t="str">
            <v>SC Syngenta</v>
          </cell>
          <cell r="I423" t="str">
            <v>SC SYNGENTA</v>
          </cell>
          <cell r="J423" t="str">
            <v>CO020</v>
          </cell>
          <cell r="K423">
            <v>1</v>
          </cell>
          <cell r="N423">
            <v>228.53</v>
          </cell>
          <cell r="P423" t="str">
            <v>X1617ABB</v>
          </cell>
          <cell r="Q423" t="str">
            <v>01Z010106AP</v>
          </cell>
          <cell r="R423" t="str">
            <v>CA01</v>
          </cell>
        </row>
        <row r="424">
          <cell r="A424">
            <v>391295</v>
          </cell>
          <cell r="B424" t="str">
            <v>CRCO X1617ABB           DRYSH   KG</v>
          </cell>
          <cell r="C424">
            <v>0</v>
          </cell>
          <cell r="D424" t="str">
            <v>KG</v>
          </cell>
          <cell r="E424">
            <v>157.35</v>
          </cell>
          <cell r="G424">
            <v>100</v>
          </cell>
          <cell r="H424" t="str">
            <v>SC Syngenta</v>
          </cell>
          <cell r="I424" t="str">
            <v>SC SYNGENTA</v>
          </cell>
          <cell r="J424" t="str">
            <v>CO020</v>
          </cell>
          <cell r="K424">
            <v>1</v>
          </cell>
          <cell r="N424">
            <v>228.53</v>
          </cell>
          <cell r="P424" t="str">
            <v>X1617ABB</v>
          </cell>
          <cell r="Q424" t="str">
            <v>01Z010106AP</v>
          </cell>
          <cell r="R424" t="str">
            <v>CA01</v>
          </cell>
        </row>
        <row r="425">
          <cell r="A425">
            <v>454240</v>
          </cell>
          <cell r="B425" t="str">
            <v>TRT  PONCHO                          CA</v>
          </cell>
          <cell r="C425">
            <v>50</v>
          </cell>
          <cell r="D425" t="str">
            <v>L</v>
          </cell>
          <cell r="E425">
            <v>317.67</v>
          </cell>
          <cell r="G425">
            <v>1</v>
          </cell>
          <cell r="H425" t="str">
            <v>SC Syngenta</v>
          </cell>
          <cell r="I425" t="str">
            <v>SC SYNGENTA</v>
          </cell>
          <cell r="J425" t="str">
            <v>CPROT</v>
          </cell>
          <cell r="K425">
            <v>1</v>
          </cell>
          <cell r="N425">
            <v>679.57</v>
          </cell>
          <cell r="P425" t="str">
            <v>NON SEEDS</v>
          </cell>
          <cell r="Q425" t="str">
            <v>ZZ</v>
          </cell>
          <cell r="R425" t="str">
            <v>CA01</v>
          </cell>
          <cell r="S425">
            <v>317.67</v>
          </cell>
        </row>
        <row r="426">
          <cell r="A426">
            <v>454240</v>
          </cell>
          <cell r="B426" t="str">
            <v>TRT  PONCHO                          CA</v>
          </cell>
          <cell r="C426">
            <v>50</v>
          </cell>
          <cell r="D426" t="str">
            <v>L</v>
          </cell>
          <cell r="E426">
            <v>317.67</v>
          </cell>
          <cell r="G426">
            <v>1</v>
          </cell>
          <cell r="H426" t="str">
            <v>SC Syngenta</v>
          </cell>
          <cell r="I426" t="str">
            <v>SC SYNGENTA</v>
          </cell>
          <cell r="J426" t="str">
            <v>CPROT</v>
          </cell>
          <cell r="K426">
            <v>1</v>
          </cell>
          <cell r="N426">
            <v>679.57</v>
          </cell>
          <cell r="P426" t="str">
            <v>NON SEEDS</v>
          </cell>
          <cell r="Q426" t="str">
            <v>ZZ</v>
          </cell>
          <cell r="R426" t="str">
            <v>CA01</v>
          </cell>
          <cell r="S426">
            <v>317.67</v>
          </cell>
        </row>
        <row r="427">
          <cell r="A427">
            <v>491922</v>
          </cell>
          <cell r="B427" t="str">
            <v>CRBS NP1932 STANDARD KG</v>
          </cell>
          <cell r="C427">
            <v>0</v>
          </cell>
          <cell r="D427" t="str">
            <v>KG</v>
          </cell>
          <cell r="E427">
            <v>490</v>
          </cell>
          <cell r="G427">
            <v>100</v>
          </cell>
          <cell r="J427" t="str">
            <v>BA090</v>
          </cell>
          <cell r="K427">
            <v>1</v>
          </cell>
          <cell r="N427">
            <v>0.01</v>
          </cell>
          <cell r="P427" t="str">
            <v>NP1932</v>
          </cell>
          <cell r="Q427" t="str">
            <v>01Z01000174</v>
          </cell>
          <cell r="R427" t="str">
            <v>CA01</v>
          </cell>
        </row>
        <row r="428">
          <cell r="A428">
            <v>491922</v>
          </cell>
          <cell r="B428" t="str">
            <v>CRBS NP1932 STANDARD KG</v>
          </cell>
          <cell r="C428">
            <v>0</v>
          </cell>
          <cell r="D428" t="str">
            <v>KG</v>
          </cell>
          <cell r="E428">
            <v>490</v>
          </cell>
          <cell r="G428">
            <v>100</v>
          </cell>
          <cell r="J428" t="str">
            <v>BA090</v>
          </cell>
          <cell r="K428">
            <v>1</v>
          </cell>
          <cell r="N428">
            <v>0.01</v>
          </cell>
          <cell r="P428" t="str">
            <v>NP1932</v>
          </cell>
          <cell r="Q428" t="str">
            <v>01Z01000174</v>
          </cell>
          <cell r="R428" t="str">
            <v>CA01</v>
          </cell>
        </row>
        <row r="429">
          <cell r="A429">
            <v>491922</v>
          </cell>
          <cell r="B429" t="str">
            <v>CRBS NP1932 STANDARD KG</v>
          </cell>
          <cell r="C429">
            <v>0</v>
          </cell>
          <cell r="D429" t="str">
            <v>KG</v>
          </cell>
          <cell r="E429">
            <v>490</v>
          </cell>
          <cell r="G429">
            <v>100</v>
          </cell>
          <cell r="J429" t="str">
            <v>BA090</v>
          </cell>
          <cell r="K429">
            <v>1</v>
          </cell>
          <cell r="N429">
            <v>0.01</v>
          </cell>
          <cell r="P429" t="str">
            <v>NP1932</v>
          </cell>
          <cell r="Q429" t="str">
            <v>01Z01000174</v>
          </cell>
          <cell r="R429" t="str">
            <v>CA01</v>
          </cell>
        </row>
        <row r="430">
          <cell r="A430">
            <v>491922</v>
          </cell>
          <cell r="B430" t="str">
            <v>CRBS NP1932 STANDARD KG</v>
          </cell>
          <cell r="C430">
            <v>0</v>
          </cell>
          <cell r="D430" t="str">
            <v>KG</v>
          </cell>
          <cell r="E430">
            <v>490</v>
          </cell>
          <cell r="G430">
            <v>100</v>
          </cell>
          <cell r="J430" t="str">
            <v>BA090</v>
          </cell>
          <cell r="K430">
            <v>1</v>
          </cell>
          <cell r="N430">
            <v>0.01</v>
          </cell>
          <cell r="P430" t="str">
            <v>NP1932</v>
          </cell>
          <cell r="Q430" t="str">
            <v>01Z01000174</v>
          </cell>
          <cell r="R430" t="str">
            <v>CA01</v>
          </cell>
        </row>
        <row r="431">
          <cell r="A431">
            <v>491922</v>
          </cell>
          <cell r="B431" t="str">
            <v>CRBS NP1932 STANDARD KG</v>
          </cell>
          <cell r="C431">
            <v>0</v>
          </cell>
          <cell r="D431" t="str">
            <v>KG</v>
          </cell>
          <cell r="E431">
            <v>490</v>
          </cell>
          <cell r="G431">
            <v>100</v>
          </cell>
          <cell r="J431" t="str">
            <v>BA090</v>
          </cell>
          <cell r="K431">
            <v>1</v>
          </cell>
          <cell r="N431">
            <v>0.01</v>
          </cell>
          <cell r="P431" t="str">
            <v>NP1932</v>
          </cell>
          <cell r="Q431" t="str">
            <v>01Z01000174</v>
          </cell>
          <cell r="R431" t="str">
            <v>CA01</v>
          </cell>
        </row>
        <row r="432">
          <cell r="A432">
            <v>491922</v>
          </cell>
          <cell r="B432" t="str">
            <v>CRBS NP1932 STANDARD KG</v>
          </cell>
          <cell r="C432">
            <v>0</v>
          </cell>
          <cell r="D432" t="str">
            <v>KG</v>
          </cell>
          <cell r="E432">
            <v>490</v>
          </cell>
          <cell r="G432">
            <v>100</v>
          </cell>
          <cell r="J432" t="str">
            <v>BA090</v>
          </cell>
          <cell r="K432">
            <v>1</v>
          </cell>
          <cell r="N432">
            <v>0.01</v>
          </cell>
          <cell r="P432" t="str">
            <v>NP1932</v>
          </cell>
          <cell r="Q432" t="str">
            <v>01Z01000174</v>
          </cell>
          <cell r="R432" t="str">
            <v>CA01</v>
          </cell>
        </row>
        <row r="433">
          <cell r="A433">
            <v>491922</v>
          </cell>
          <cell r="B433" t="str">
            <v>CRBS NP1932 STANDARD KG</v>
          </cell>
          <cell r="C433">
            <v>0</v>
          </cell>
          <cell r="D433" t="str">
            <v>KG</v>
          </cell>
          <cell r="E433">
            <v>490</v>
          </cell>
          <cell r="G433">
            <v>100</v>
          </cell>
          <cell r="J433" t="str">
            <v>BA090</v>
          </cell>
          <cell r="K433">
            <v>1</v>
          </cell>
          <cell r="N433">
            <v>0.01</v>
          </cell>
          <cell r="P433" t="str">
            <v>NP1932</v>
          </cell>
          <cell r="Q433" t="str">
            <v>01Z01000174</v>
          </cell>
          <cell r="R433" t="str">
            <v>CA01</v>
          </cell>
        </row>
        <row r="434">
          <cell r="A434">
            <v>491922</v>
          </cell>
          <cell r="B434" t="str">
            <v>CRBS NP1932 STANDARD KG</v>
          </cell>
          <cell r="C434">
            <v>0</v>
          </cell>
          <cell r="D434" t="str">
            <v>KG</v>
          </cell>
          <cell r="E434">
            <v>490</v>
          </cell>
          <cell r="G434">
            <v>100</v>
          </cell>
          <cell r="J434" t="str">
            <v>BA090</v>
          </cell>
          <cell r="K434">
            <v>1</v>
          </cell>
          <cell r="N434">
            <v>0.01</v>
          </cell>
          <cell r="P434" t="str">
            <v>NP1932</v>
          </cell>
          <cell r="Q434" t="str">
            <v>01Z01000174</v>
          </cell>
          <cell r="R434" t="str">
            <v>CA01</v>
          </cell>
        </row>
        <row r="435">
          <cell r="A435">
            <v>491922</v>
          </cell>
          <cell r="B435" t="str">
            <v>CRBS NP1932 STANDARD KG</v>
          </cell>
          <cell r="C435">
            <v>0</v>
          </cell>
          <cell r="D435" t="str">
            <v>KG</v>
          </cell>
          <cell r="E435">
            <v>490</v>
          </cell>
          <cell r="G435">
            <v>100</v>
          </cell>
          <cell r="J435" t="str">
            <v>BA090</v>
          </cell>
          <cell r="K435">
            <v>1</v>
          </cell>
          <cell r="N435">
            <v>0.01</v>
          </cell>
          <cell r="P435" t="str">
            <v>NP1932</v>
          </cell>
          <cell r="Q435" t="str">
            <v>01Z01000174</v>
          </cell>
          <cell r="R435" t="str">
            <v>CA01</v>
          </cell>
        </row>
        <row r="436">
          <cell r="A436">
            <v>491922</v>
          </cell>
          <cell r="B436" t="str">
            <v>CRBS NP1932 STANDARD KG</v>
          </cell>
          <cell r="C436">
            <v>0</v>
          </cell>
          <cell r="D436" t="str">
            <v>KG</v>
          </cell>
          <cell r="E436">
            <v>490</v>
          </cell>
          <cell r="G436">
            <v>100</v>
          </cell>
          <cell r="J436" t="str">
            <v>BA090</v>
          </cell>
          <cell r="K436">
            <v>1</v>
          </cell>
          <cell r="N436">
            <v>0.01</v>
          </cell>
          <cell r="P436" t="str">
            <v>NP1932</v>
          </cell>
          <cell r="Q436" t="str">
            <v>01Z01000174</v>
          </cell>
          <cell r="R436" t="str">
            <v>CA01</v>
          </cell>
        </row>
        <row r="437">
          <cell r="A437">
            <v>491922</v>
          </cell>
          <cell r="B437" t="str">
            <v>CRBS NP1932 STANDARD KG</v>
          </cell>
          <cell r="C437">
            <v>0</v>
          </cell>
          <cell r="D437" t="str">
            <v>KG</v>
          </cell>
          <cell r="E437">
            <v>490</v>
          </cell>
          <cell r="G437">
            <v>100</v>
          </cell>
          <cell r="J437" t="str">
            <v>BA090</v>
          </cell>
          <cell r="K437">
            <v>1</v>
          </cell>
          <cell r="N437">
            <v>0.01</v>
          </cell>
          <cell r="P437" t="str">
            <v>NP1932</v>
          </cell>
          <cell r="Q437" t="str">
            <v>01Z01000174</v>
          </cell>
          <cell r="R437" t="str">
            <v>CA01</v>
          </cell>
        </row>
        <row r="438">
          <cell r="A438">
            <v>491922</v>
          </cell>
          <cell r="B438" t="str">
            <v>CRBS NP1932 STANDARD KG</v>
          </cell>
          <cell r="C438">
            <v>0</v>
          </cell>
          <cell r="D438" t="str">
            <v>KG</v>
          </cell>
          <cell r="E438">
            <v>490</v>
          </cell>
          <cell r="G438">
            <v>100</v>
          </cell>
          <cell r="J438" t="str">
            <v>BA090</v>
          </cell>
          <cell r="K438">
            <v>1</v>
          </cell>
          <cell r="N438">
            <v>0.01</v>
          </cell>
          <cell r="P438" t="str">
            <v>NP1932</v>
          </cell>
          <cell r="Q438" t="str">
            <v>01Z01000174</v>
          </cell>
          <cell r="R438" t="str">
            <v>CA01</v>
          </cell>
        </row>
        <row r="439">
          <cell r="A439">
            <v>491922</v>
          </cell>
          <cell r="B439" t="str">
            <v>CRBS NP1932 STANDARD KG</v>
          </cell>
          <cell r="C439">
            <v>0</v>
          </cell>
          <cell r="D439" t="str">
            <v>KG</v>
          </cell>
          <cell r="E439">
            <v>490</v>
          </cell>
          <cell r="G439">
            <v>100</v>
          </cell>
          <cell r="J439" t="str">
            <v>BA090</v>
          </cell>
          <cell r="K439">
            <v>1</v>
          </cell>
          <cell r="N439">
            <v>0.01</v>
          </cell>
          <cell r="P439" t="str">
            <v>NP1932</v>
          </cell>
          <cell r="Q439" t="str">
            <v>01Z01000174</v>
          </cell>
          <cell r="R439" t="str">
            <v>CA01</v>
          </cell>
        </row>
        <row r="440">
          <cell r="A440">
            <v>491922</v>
          </cell>
          <cell r="B440" t="str">
            <v>CRBS NP1932 STANDARD KG</v>
          </cell>
          <cell r="C440">
            <v>0</v>
          </cell>
          <cell r="D440" t="str">
            <v>KG</v>
          </cell>
          <cell r="E440">
            <v>490</v>
          </cell>
          <cell r="G440">
            <v>100</v>
          </cell>
          <cell r="J440" t="str">
            <v>BA090</v>
          </cell>
          <cell r="K440">
            <v>1</v>
          </cell>
          <cell r="N440">
            <v>0.01</v>
          </cell>
          <cell r="P440" t="str">
            <v>NP1932</v>
          </cell>
          <cell r="Q440" t="str">
            <v>01Z01000174</v>
          </cell>
          <cell r="R440" t="str">
            <v>CA01</v>
          </cell>
        </row>
        <row r="441">
          <cell r="A441">
            <v>491922</v>
          </cell>
          <cell r="B441" t="str">
            <v>CRBS NP1932 STANDARD KG</v>
          </cell>
          <cell r="C441">
            <v>0</v>
          </cell>
          <cell r="D441" t="str">
            <v>KG</v>
          </cell>
          <cell r="E441">
            <v>490</v>
          </cell>
          <cell r="G441">
            <v>100</v>
          </cell>
          <cell r="J441" t="str">
            <v>BA090</v>
          </cell>
          <cell r="K441">
            <v>1</v>
          </cell>
          <cell r="N441">
            <v>0.01</v>
          </cell>
          <cell r="P441" t="str">
            <v>NP1932</v>
          </cell>
          <cell r="Q441" t="str">
            <v>01Z01000174</v>
          </cell>
          <cell r="R441" t="str">
            <v>CA01</v>
          </cell>
        </row>
        <row r="442">
          <cell r="A442">
            <v>491922</v>
          </cell>
          <cell r="B442" t="str">
            <v>CRBS NP1932 STANDARD KG</v>
          </cell>
          <cell r="C442">
            <v>0</v>
          </cell>
          <cell r="D442" t="str">
            <v>KG</v>
          </cell>
          <cell r="E442">
            <v>490</v>
          </cell>
          <cell r="G442">
            <v>100</v>
          </cell>
          <cell r="J442" t="str">
            <v>BA090</v>
          </cell>
          <cell r="K442">
            <v>1</v>
          </cell>
          <cell r="N442">
            <v>0.01</v>
          </cell>
          <cell r="P442" t="str">
            <v>NP1932</v>
          </cell>
          <cell r="Q442" t="str">
            <v>01Z01000174</v>
          </cell>
          <cell r="R442" t="str">
            <v>CA01</v>
          </cell>
        </row>
        <row r="443">
          <cell r="A443">
            <v>491922</v>
          </cell>
          <cell r="B443" t="str">
            <v>CRBS NP1932 STANDARD KG</v>
          </cell>
          <cell r="C443">
            <v>0</v>
          </cell>
          <cell r="D443" t="str">
            <v>KG</v>
          </cell>
          <cell r="E443">
            <v>490</v>
          </cell>
          <cell r="G443">
            <v>100</v>
          </cell>
          <cell r="J443" t="str">
            <v>BA090</v>
          </cell>
          <cell r="K443">
            <v>1</v>
          </cell>
          <cell r="N443">
            <v>0.01</v>
          </cell>
          <cell r="P443" t="str">
            <v>NP1932</v>
          </cell>
          <cell r="Q443" t="str">
            <v>01Z01000174</v>
          </cell>
          <cell r="R443" t="str">
            <v>CA01</v>
          </cell>
        </row>
        <row r="444">
          <cell r="A444">
            <v>491922</v>
          </cell>
          <cell r="B444" t="str">
            <v>CRBS NP1932 STANDARD KG</v>
          </cell>
          <cell r="C444">
            <v>0</v>
          </cell>
          <cell r="D444" t="str">
            <v>KG</v>
          </cell>
          <cell r="E444">
            <v>490</v>
          </cell>
          <cell r="G444">
            <v>100</v>
          </cell>
          <cell r="J444" t="str">
            <v>BA090</v>
          </cell>
          <cell r="K444">
            <v>1</v>
          </cell>
          <cell r="N444">
            <v>0.01</v>
          </cell>
          <cell r="P444" t="str">
            <v>NP1932</v>
          </cell>
          <cell r="Q444" t="str">
            <v>01Z01000174</v>
          </cell>
          <cell r="R444" t="str">
            <v>CA01</v>
          </cell>
        </row>
        <row r="445">
          <cell r="A445">
            <v>491922</v>
          </cell>
          <cell r="B445" t="str">
            <v>CRBS NP1932 STANDARD KG</v>
          </cell>
          <cell r="C445">
            <v>0</v>
          </cell>
          <cell r="D445" t="str">
            <v>KG</v>
          </cell>
          <cell r="E445">
            <v>490</v>
          </cell>
          <cell r="G445">
            <v>100</v>
          </cell>
          <cell r="J445" t="str">
            <v>BA090</v>
          </cell>
          <cell r="K445">
            <v>1</v>
          </cell>
          <cell r="N445">
            <v>0.01</v>
          </cell>
          <cell r="P445" t="str">
            <v>NP1932</v>
          </cell>
          <cell r="Q445" t="str">
            <v>01Z01000174</v>
          </cell>
          <cell r="R445" t="str">
            <v>CA01</v>
          </cell>
        </row>
        <row r="446">
          <cell r="A446">
            <v>491922</v>
          </cell>
          <cell r="B446" t="str">
            <v>CRBS NP1932 STANDARD KG</v>
          </cell>
          <cell r="C446">
            <v>0</v>
          </cell>
          <cell r="D446" t="str">
            <v>KG</v>
          </cell>
          <cell r="E446">
            <v>490</v>
          </cell>
          <cell r="G446">
            <v>100</v>
          </cell>
          <cell r="J446" t="str">
            <v>BA090</v>
          </cell>
          <cell r="K446">
            <v>1</v>
          </cell>
          <cell r="N446">
            <v>0.01</v>
          </cell>
          <cell r="P446" t="str">
            <v>NP1932</v>
          </cell>
          <cell r="Q446" t="str">
            <v>01Z01000174</v>
          </cell>
          <cell r="R446" t="str">
            <v>CA01</v>
          </cell>
        </row>
        <row r="447">
          <cell r="A447">
            <v>491922</v>
          </cell>
          <cell r="B447" t="str">
            <v>CRBS NP1932 STANDARD KG</v>
          </cell>
          <cell r="C447">
            <v>0</v>
          </cell>
          <cell r="D447" t="str">
            <v>KG</v>
          </cell>
          <cell r="E447">
            <v>490</v>
          </cell>
          <cell r="G447">
            <v>100</v>
          </cell>
          <cell r="J447" t="str">
            <v>BA090</v>
          </cell>
          <cell r="K447">
            <v>1</v>
          </cell>
          <cell r="N447">
            <v>0.01</v>
          </cell>
          <cell r="P447" t="str">
            <v>NP1932</v>
          </cell>
          <cell r="Q447" t="str">
            <v>01Z01000174</v>
          </cell>
          <cell r="R447" t="str">
            <v>CA01</v>
          </cell>
        </row>
        <row r="448">
          <cell r="A448">
            <v>491922</v>
          </cell>
          <cell r="B448" t="str">
            <v>CRBS NP1932 STANDARD KG</v>
          </cell>
          <cell r="C448">
            <v>0</v>
          </cell>
          <cell r="D448" t="str">
            <v>KG</v>
          </cell>
          <cell r="E448">
            <v>490</v>
          </cell>
          <cell r="G448">
            <v>100</v>
          </cell>
          <cell r="J448" t="str">
            <v>BA090</v>
          </cell>
          <cell r="K448">
            <v>1</v>
          </cell>
          <cell r="N448">
            <v>0.01</v>
          </cell>
          <cell r="P448" t="str">
            <v>NP1932</v>
          </cell>
          <cell r="Q448" t="str">
            <v>01Z01000174</v>
          </cell>
          <cell r="R448" t="str">
            <v>CA01</v>
          </cell>
        </row>
        <row r="449">
          <cell r="A449">
            <v>491922</v>
          </cell>
          <cell r="B449" t="str">
            <v>CRBS NP1932 STANDARD KG</v>
          </cell>
          <cell r="C449">
            <v>0</v>
          </cell>
          <cell r="D449" t="str">
            <v>KG</v>
          </cell>
          <cell r="E449">
            <v>490</v>
          </cell>
          <cell r="G449">
            <v>100</v>
          </cell>
          <cell r="J449" t="str">
            <v>BA090</v>
          </cell>
          <cell r="K449">
            <v>1</v>
          </cell>
          <cell r="N449">
            <v>0.01</v>
          </cell>
          <cell r="P449" t="str">
            <v>NP1932</v>
          </cell>
          <cell r="Q449" t="str">
            <v>01Z01000174</v>
          </cell>
          <cell r="R449" t="str">
            <v>CA01</v>
          </cell>
        </row>
        <row r="450">
          <cell r="A450">
            <v>491922</v>
          </cell>
          <cell r="B450" t="str">
            <v>CRBS NP1932 STANDARD KG</v>
          </cell>
          <cell r="C450">
            <v>0</v>
          </cell>
          <cell r="D450" t="str">
            <v>KG</v>
          </cell>
          <cell r="E450">
            <v>490</v>
          </cell>
          <cell r="G450">
            <v>100</v>
          </cell>
          <cell r="J450" t="str">
            <v>BA090</v>
          </cell>
          <cell r="K450">
            <v>1</v>
          </cell>
          <cell r="N450">
            <v>0.01</v>
          </cell>
          <cell r="P450" t="str">
            <v>NP1932</v>
          </cell>
          <cell r="Q450" t="str">
            <v>01Z01000174</v>
          </cell>
          <cell r="R450" t="str">
            <v>CA01</v>
          </cell>
        </row>
        <row r="451">
          <cell r="A451">
            <v>491922</v>
          </cell>
          <cell r="B451" t="str">
            <v>CRBS NP1932 STANDARD KG</v>
          </cell>
          <cell r="C451">
            <v>0</v>
          </cell>
          <cell r="D451" t="str">
            <v>KG</v>
          </cell>
          <cell r="E451">
            <v>490</v>
          </cell>
          <cell r="G451">
            <v>100</v>
          </cell>
          <cell r="J451" t="str">
            <v>BA090</v>
          </cell>
          <cell r="K451">
            <v>1</v>
          </cell>
          <cell r="N451">
            <v>0.01</v>
          </cell>
          <cell r="P451" t="str">
            <v>NP1932</v>
          </cell>
          <cell r="Q451" t="str">
            <v>01Z01000174</v>
          </cell>
          <cell r="R451" t="str">
            <v>CA01</v>
          </cell>
        </row>
        <row r="452">
          <cell r="A452">
            <v>491922</v>
          </cell>
          <cell r="B452" t="str">
            <v>CRBS NP1932 STANDARD KG</v>
          </cell>
          <cell r="C452">
            <v>0</v>
          </cell>
          <cell r="D452" t="str">
            <v>KG</v>
          </cell>
          <cell r="E452">
            <v>490</v>
          </cell>
          <cell r="G452">
            <v>100</v>
          </cell>
          <cell r="J452" t="str">
            <v>BA090</v>
          </cell>
          <cell r="K452">
            <v>1</v>
          </cell>
          <cell r="N452">
            <v>0.01</v>
          </cell>
          <cell r="P452" t="str">
            <v>NP1932</v>
          </cell>
          <cell r="Q452" t="str">
            <v>01Z01000174</v>
          </cell>
          <cell r="R452" t="str">
            <v>CA01</v>
          </cell>
        </row>
        <row r="453">
          <cell r="A453">
            <v>491922</v>
          </cell>
          <cell r="B453" t="str">
            <v>CRBS NP1932 STANDARD KG</v>
          </cell>
          <cell r="C453">
            <v>0</v>
          </cell>
          <cell r="D453" t="str">
            <v>KG</v>
          </cell>
          <cell r="E453">
            <v>490</v>
          </cell>
          <cell r="G453">
            <v>100</v>
          </cell>
          <cell r="J453" t="str">
            <v>BA090</v>
          </cell>
          <cell r="K453">
            <v>1</v>
          </cell>
          <cell r="N453">
            <v>0.01</v>
          </cell>
          <cell r="P453" t="str">
            <v>NP1932</v>
          </cell>
          <cell r="Q453" t="str">
            <v>01Z01000174</v>
          </cell>
          <cell r="R453" t="str">
            <v>CA01</v>
          </cell>
        </row>
        <row r="454">
          <cell r="A454">
            <v>491922</v>
          </cell>
          <cell r="B454" t="str">
            <v>CRBS NP1932 STANDARD KG</v>
          </cell>
          <cell r="C454">
            <v>0</v>
          </cell>
          <cell r="D454" t="str">
            <v>KG</v>
          </cell>
          <cell r="E454">
            <v>490</v>
          </cell>
          <cell r="G454">
            <v>100</v>
          </cell>
          <cell r="J454" t="str">
            <v>BA090</v>
          </cell>
          <cell r="K454">
            <v>1</v>
          </cell>
          <cell r="N454">
            <v>0.01</v>
          </cell>
          <cell r="P454" t="str">
            <v>NP1932</v>
          </cell>
          <cell r="Q454" t="str">
            <v>01Z01000174</v>
          </cell>
          <cell r="R454" t="str">
            <v>CA01</v>
          </cell>
        </row>
        <row r="455">
          <cell r="A455">
            <v>491922</v>
          </cell>
          <cell r="B455" t="str">
            <v>CRBS NP1932 STANDARD KG</v>
          </cell>
          <cell r="C455">
            <v>0</v>
          </cell>
          <cell r="D455" t="str">
            <v>KG</v>
          </cell>
          <cell r="E455">
            <v>490</v>
          </cell>
          <cell r="G455">
            <v>100</v>
          </cell>
          <cell r="J455" t="str">
            <v>BA090</v>
          </cell>
          <cell r="K455">
            <v>1</v>
          </cell>
          <cell r="N455">
            <v>0.01</v>
          </cell>
          <cell r="P455" t="str">
            <v>NP1932</v>
          </cell>
          <cell r="Q455" t="str">
            <v>01Z01000174</v>
          </cell>
          <cell r="R455" t="str">
            <v>CA01</v>
          </cell>
        </row>
        <row r="456">
          <cell r="A456">
            <v>491922</v>
          </cell>
          <cell r="B456" t="str">
            <v>CRBS NP1932 STANDARD KG</v>
          </cell>
          <cell r="C456">
            <v>0</v>
          </cell>
          <cell r="D456" t="str">
            <v>KG</v>
          </cell>
          <cell r="E456">
            <v>490</v>
          </cell>
          <cell r="G456">
            <v>100</v>
          </cell>
          <cell r="J456" t="str">
            <v>BA090</v>
          </cell>
          <cell r="K456">
            <v>1</v>
          </cell>
          <cell r="N456">
            <v>0.01</v>
          </cell>
          <cell r="P456" t="str">
            <v>NP1932</v>
          </cell>
          <cell r="Q456" t="str">
            <v>01Z01000174</v>
          </cell>
          <cell r="R456" t="str">
            <v>CA01</v>
          </cell>
        </row>
        <row r="457">
          <cell r="A457">
            <v>491922</v>
          </cell>
          <cell r="B457" t="str">
            <v>CRBS NP1932 STANDARD KG</v>
          </cell>
          <cell r="C457">
            <v>0</v>
          </cell>
          <cell r="D457" t="str">
            <v>KG</v>
          </cell>
          <cell r="E457">
            <v>490</v>
          </cell>
          <cell r="G457">
            <v>100</v>
          </cell>
          <cell r="J457" t="str">
            <v>BA090</v>
          </cell>
          <cell r="K457">
            <v>1</v>
          </cell>
          <cell r="N457">
            <v>0.01</v>
          </cell>
          <cell r="P457" t="str">
            <v>NP1932</v>
          </cell>
          <cell r="Q457" t="str">
            <v>01Z01000174</v>
          </cell>
          <cell r="R457" t="str">
            <v>CA01</v>
          </cell>
        </row>
        <row r="458">
          <cell r="A458">
            <v>491922</v>
          </cell>
          <cell r="B458" t="str">
            <v>CRBS NP1932 STANDARD KG</v>
          </cell>
          <cell r="C458">
            <v>0</v>
          </cell>
          <cell r="D458" t="str">
            <v>KG</v>
          </cell>
          <cell r="E458">
            <v>490</v>
          </cell>
          <cell r="G458">
            <v>100</v>
          </cell>
          <cell r="J458" t="str">
            <v>BA090</v>
          </cell>
          <cell r="K458">
            <v>1</v>
          </cell>
          <cell r="N458">
            <v>0.01</v>
          </cell>
          <cell r="P458" t="str">
            <v>NP1932</v>
          </cell>
          <cell r="Q458" t="str">
            <v>01Z01000174</v>
          </cell>
          <cell r="R458" t="str">
            <v>CA01</v>
          </cell>
        </row>
        <row r="459">
          <cell r="A459">
            <v>491922</v>
          </cell>
          <cell r="B459" t="str">
            <v>CRBS NP1932 STANDARD KG</v>
          </cell>
          <cell r="C459">
            <v>0</v>
          </cell>
          <cell r="D459" t="str">
            <v>KG</v>
          </cell>
          <cell r="E459">
            <v>490</v>
          </cell>
          <cell r="G459">
            <v>100</v>
          </cell>
          <cell r="J459" t="str">
            <v>BA090</v>
          </cell>
          <cell r="K459">
            <v>1</v>
          </cell>
          <cell r="N459">
            <v>0.01</v>
          </cell>
          <cell r="P459" t="str">
            <v>NP1932</v>
          </cell>
          <cell r="Q459" t="str">
            <v>01Z01000174</v>
          </cell>
          <cell r="R459" t="str">
            <v>CA01</v>
          </cell>
        </row>
        <row r="460">
          <cell r="A460">
            <v>491922</v>
          </cell>
          <cell r="B460" t="str">
            <v>CRBS NP1932 STANDARD KG</v>
          </cell>
          <cell r="C460">
            <v>0</v>
          </cell>
          <cell r="D460" t="str">
            <v>KG</v>
          </cell>
          <cell r="E460">
            <v>490</v>
          </cell>
          <cell r="G460">
            <v>100</v>
          </cell>
          <cell r="J460" t="str">
            <v>BA090</v>
          </cell>
          <cell r="K460">
            <v>1</v>
          </cell>
          <cell r="N460">
            <v>0.01</v>
          </cell>
          <cell r="P460" t="str">
            <v>NP1932</v>
          </cell>
          <cell r="Q460" t="str">
            <v>01Z01000174</v>
          </cell>
          <cell r="R460" t="str">
            <v>CA01</v>
          </cell>
        </row>
        <row r="461">
          <cell r="A461">
            <v>491922</v>
          </cell>
          <cell r="B461" t="str">
            <v>CRBS NP1932 STANDARD KG</v>
          </cell>
          <cell r="C461">
            <v>0</v>
          </cell>
          <cell r="D461" t="str">
            <v>KG</v>
          </cell>
          <cell r="E461">
            <v>490</v>
          </cell>
          <cell r="G461">
            <v>100</v>
          </cell>
          <cell r="J461" t="str">
            <v>BA090</v>
          </cell>
          <cell r="K461">
            <v>1</v>
          </cell>
          <cell r="N461">
            <v>0.01</v>
          </cell>
          <cell r="P461" t="str">
            <v>NP1932</v>
          </cell>
          <cell r="Q461" t="str">
            <v>01Z01000174</v>
          </cell>
          <cell r="R461" t="str">
            <v>CA01</v>
          </cell>
        </row>
        <row r="462">
          <cell r="A462">
            <v>491922</v>
          </cell>
          <cell r="B462" t="str">
            <v>CRBS NP1932 STANDARD KG</v>
          </cell>
          <cell r="C462">
            <v>0</v>
          </cell>
          <cell r="D462" t="str">
            <v>KG</v>
          </cell>
          <cell r="E462">
            <v>490</v>
          </cell>
          <cell r="G462">
            <v>100</v>
          </cell>
          <cell r="J462" t="str">
            <v>BA090</v>
          </cell>
          <cell r="K462">
            <v>1</v>
          </cell>
          <cell r="N462">
            <v>0.01</v>
          </cell>
          <cell r="P462" t="str">
            <v>NP1932</v>
          </cell>
          <cell r="Q462" t="str">
            <v>01Z01000174</v>
          </cell>
          <cell r="R462" t="str">
            <v>CA01</v>
          </cell>
        </row>
        <row r="463">
          <cell r="A463">
            <v>491922</v>
          </cell>
          <cell r="B463" t="str">
            <v>CRBS NP1932 STANDARD KG</v>
          </cell>
          <cell r="C463">
            <v>0</v>
          </cell>
          <cell r="D463" t="str">
            <v>KG</v>
          </cell>
          <cell r="E463">
            <v>490</v>
          </cell>
          <cell r="G463">
            <v>100</v>
          </cell>
          <cell r="J463" t="str">
            <v>BA090</v>
          </cell>
          <cell r="K463">
            <v>1</v>
          </cell>
          <cell r="N463">
            <v>0.01</v>
          </cell>
          <cell r="P463" t="str">
            <v>NP1932</v>
          </cell>
          <cell r="Q463" t="str">
            <v>01Z01000174</v>
          </cell>
          <cell r="R463" t="str">
            <v>CA01</v>
          </cell>
        </row>
        <row r="464">
          <cell r="A464">
            <v>491922</v>
          </cell>
          <cell r="B464" t="str">
            <v>CRBS NP1932 STANDARD KG</v>
          </cell>
          <cell r="C464">
            <v>0</v>
          </cell>
          <cell r="D464" t="str">
            <v>KG</v>
          </cell>
          <cell r="E464">
            <v>490</v>
          </cell>
          <cell r="G464">
            <v>100</v>
          </cell>
          <cell r="J464" t="str">
            <v>BA090</v>
          </cell>
          <cell r="K464">
            <v>1</v>
          </cell>
          <cell r="N464">
            <v>0.01</v>
          </cell>
          <cell r="P464" t="str">
            <v>NP1932</v>
          </cell>
          <cell r="Q464" t="str">
            <v>01Z01000174</v>
          </cell>
          <cell r="R464" t="str">
            <v>CA01</v>
          </cell>
        </row>
        <row r="465">
          <cell r="A465">
            <v>491922</v>
          </cell>
          <cell r="B465" t="str">
            <v>CRBS NP1932 STANDARD KG</v>
          </cell>
          <cell r="C465">
            <v>0</v>
          </cell>
          <cell r="D465" t="str">
            <v>KG</v>
          </cell>
          <cell r="E465">
            <v>490</v>
          </cell>
          <cell r="G465">
            <v>100</v>
          </cell>
          <cell r="J465" t="str">
            <v>BA090</v>
          </cell>
          <cell r="K465">
            <v>1</v>
          </cell>
          <cell r="N465">
            <v>0.01</v>
          </cell>
          <cell r="P465" t="str">
            <v>NP1932</v>
          </cell>
          <cell r="Q465" t="str">
            <v>01Z01000174</v>
          </cell>
          <cell r="R465" t="str">
            <v>CA01</v>
          </cell>
        </row>
        <row r="466">
          <cell r="A466">
            <v>491922</v>
          </cell>
          <cell r="B466" t="str">
            <v>CRBS NP1932 STANDARD KG</v>
          </cell>
          <cell r="C466">
            <v>0</v>
          </cell>
          <cell r="D466" t="str">
            <v>KG</v>
          </cell>
          <cell r="E466">
            <v>490</v>
          </cell>
          <cell r="G466">
            <v>100</v>
          </cell>
          <cell r="J466" t="str">
            <v>BA090</v>
          </cell>
          <cell r="K466">
            <v>1</v>
          </cell>
          <cell r="N466">
            <v>0.01</v>
          </cell>
          <cell r="P466" t="str">
            <v>NP1932</v>
          </cell>
          <cell r="Q466" t="str">
            <v>01Z01000174</v>
          </cell>
          <cell r="R466" t="str">
            <v>CA01</v>
          </cell>
        </row>
        <row r="467">
          <cell r="A467">
            <v>491922</v>
          </cell>
          <cell r="B467" t="str">
            <v>CRBS NP1932 STANDARD KG</v>
          </cell>
          <cell r="C467">
            <v>0</v>
          </cell>
          <cell r="D467" t="str">
            <v>KG</v>
          </cell>
          <cell r="E467">
            <v>490</v>
          </cell>
          <cell r="G467">
            <v>100</v>
          </cell>
          <cell r="J467" t="str">
            <v>BA090</v>
          </cell>
          <cell r="K467">
            <v>1</v>
          </cell>
          <cell r="N467">
            <v>0.01</v>
          </cell>
          <cell r="P467" t="str">
            <v>NP1932</v>
          </cell>
          <cell r="Q467" t="str">
            <v>01Z01000174</v>
          </cell>
          <cell r="R467" t="str">
            <v>CA01</v>
          </cell>
        </row>
        <row r="468">
          <cell r="A468">
            <v>491922</v>
          </cell>
          <cell r="B468" t="str">
            <v>CRBS NP1932 STANDARD KG</v>
          </cell>
          <cell r="C468">
            <v>0</v>
          </cell>
          <cell r="D468" t="str">
            <v>KG</v>
          </cell>
          <cell r="E468">
            <v>490</v>
          </cell>
          <cell r="G468">
            <v>100</v>
          </cell>
          <cell r="J468" t="str">
            <v>BA090</v>
          </cell>
          <cell r="K468">
            <v>1</v>
          </cell>
          <cell r="N468">
            <v>0.01</v>
          </cell>
          <cell r="P468" t="str">
            <v>NP1932</v>
          </cell>
          <cell r="Q468" t="str">
            <v>01Z01000174</v>
          </cell>
          <cell r="R468" t="str">
            <v>CA01</v>
          </cell>
        </row>
        <row r="469">
          <cell r="A469">
            <v>509671</v>
          </cell>
          <cell r="B469" t="str">
            <v>Áàòüê.ôîðìà êóêóðóäçè NP1639</v>
          </cell>
          <cell r="C469">
            <v>0</v>
          </cell>
          <cell r="D469" t="str">
            <v>KG</v>
          </cell>
          <cell r="E469">
            <v>0.01</v>
          </cell>
          <cell r="G469">
            <v>100</v>
          </cell>
          <cell r="J469" t="str">
            <v>BA090</v>
          </cell>
          <cell r="K469">
            <v>1</v>
          </cell>
          <cell r="P469" t="str">
            <v>NP1739</v>
          </cell>
          <cell r="Q469" t="str">
            <v>01Z01ZZ01YG</v>
          </cell>
          <cell r="R469" t="str">
            <v>CA01</v>
          </cell>
          <cell r="S469">
            <v>0.01</v>
          </cell>
        </row>
        <row r="470">
          <cell r="A470">
            <v>509671</v>
          </cell>
          <cell r="B470" t="str">
            <v>Áàòüê.ôîðìà êóêóðóäçè NP1639</v>
          </cell>
          <cell r="C470">
            <v>0</v>
          </cell>
          <cell r="D470" t="str">
            <v>KG</v>
          </cell>
          <cell r="E470">
            <v>0.01</v>
          </cell>
          <cell r="G470">
            <v>100</v>
          </cell>
          <cell r="J470" t="str">
            <v>BA090</v>
          </cell>
          <cell r="K470">
            <v>1</v>
          </cell>
          <cell r="P470" t="str">
            <v>NP1739</v>
          </cell>
          <cell r="Q470" t="str">
            <v>01Z01ZZ01YG</v>
          </cell>
          <cell r="R470" t="str">
            <v>CA01</v>
          </cell>
          <cell r="S470">
            <v>0.01</v>
          </cell>
        </row>
        <row r="471">
          <cell r="A471">
            <v>509671</v>
          </cell>
          <cell r="B471" t="str">
            <v>Áàòüê.ôîðìà êóêóðóäçè NP1639</v>
          </cell>
          <cell r="C471">
            <v>0</v>
          </cell>
          <cell r="D471" t="str">
            <v>KG</v>
          </cell>
          <cell r="E471">
            <v>0.01</v>
          </cell>
          <cell r="G471">
            <v>100</v>
          </cell>
          <cell r="J471" t="str">
            <v>BA090</v>
          </cell>
          <cell r="K471">
            <v>1</v>
          </cell>
          <cell r="P471" t="str">
            <v>NP1739</v>
          </cell>
          <cell r="Q471" t="str">
            <v>01Z01ZZ01YG</v>
          </cell>
          <cell r="R471" t="str">
            <v>CA01</v>
          </cell>
          <cell r="S471">
            <v>0.01</v>
          </cell>
        </row>
        <row r="472">
          <cell r="A472">
            <v>509671</v>
          </cell>
          <cell r="B472" t="str">
            <v>Áàòüê.ôîðìà êóêóðóäçè NP1639</v>
          </cell>
          <cell r="C472">
            <v>0</v>
          </cell>
          <cell r="D472" t="str">
            <v>KG</v>
          </cell>
          <cell r="E472">
            <v>0.01</v>
          </cell>
          <cell r="G472">
            <v>100</v>
          </cell>
          <cell r="J472" t="str">
            <v>BA090</v>
          </cell>
          <cell r="K472">
            <v>1</v>
          </cell>
          <cell r="P472" t="str">
            <v>NP1739</v>
          </cell>
          <cell r="Q472" t="str">
            <v>01Z01ZZ01YG</v>
          </cell>
          <cell r="R472" t="str">
            <v>CA01</v>
          </cell>
          <cell r="S472">
            <v>0.01</v>
          </cell>
        </row>
        <row r="473">
          <cell r="A473">
            <v>509671</v>
          </cell>
          <cell r="B473" t="str">
            <v>Áàòüê.ôîðìà êóêóðóäçè NP1639</v>
          </cell>
          <cell r="C473">
            <v>0</v>
          </cell>
          <cell r="D473" t="str">
            <v>KG</v>
          </cell>
          <cell r="E473">
            <v>0.01</v>
          </cell>
          <cell r="G473">
            <v>100</v>
          </cell>
          <cell r="J473" t="str">
            <v>BA090</v>
          </cell>
          <cell r="K473">
            <v>1</v>
          </cell>
          <cell r="P473" t="str">
            <v>NP1739</v>
          </cell>
          <cell r="Q473" t="str">
            <v>01Z01ZZ01YG</v>
          </cell>
          <cell r="R473" t="str">
            <v>CA01</v>
          </cell>
          <cell r="S473">
            <v>0.01</v>
          </cell>
        </row>
        <row r="474">
          <cell r="A474">
            <v>509671</v>
          </cell>
          <cell r="B474" t="str">
            <v>Áàòüê.ôîðìà êóêóðóäçè NP1639</v>
          </cell>
          <cell r="C474">
            <v>0</v>
          </cell>
          <cell r="D474" t="str">
            <v>KG</v>
          </cell>
          <cell r="E474">
            <v>0.01</v>
          </cell>
          <cell r="G474">
            <v>100</v>
          </cell>
          <cell r="J474" t="str">
            <v>BA090</v>
          </cell>
          <cell r="K474">
            <v>1</v>
          </cell>
          <cell r="P474" t="str">
            <v>NP1739</v>
          </cell>
          <cell r="Q474" t="str">
            <v>01Z01ZZ01YG</v>
          </cell>
          <cell r="R474" t="str">
            <v>CA01</v>
          </cell>
          <cell r="S474">
            <v>0.01</v>
          </cell>
        </row>
        <row r="475">
          <cell r="A475">
            <v>509671</v>
          </cell>
          <cell r="B475" t="str">
            <v>Áàòüê.ôîðìà êóêóðóäçè NP1639</v>
          </cell>
          <cell r="C475">
            <v>0</v>
          </cell>
          <cell r="D475" t="str">
            <v>KG</v>
          </cell>
          <cell r="E475">
            <v>0.01</v>
          </cell>
          <cell r="G475">
            <v>100</v>
          </cell>
          <cell r="J475" t="str">
            <v>BA090</v>
          </cell>
          <cell r="K475">
            <v>1</v>
          </cell>
          <cell r="P475" t="str">
            <v>NP1739</v>
          </cell>
          <cell r="Q475" t="str">
            <v>01Z01ZZ01YG</v>
          </cell>
          <cell r="R475" t="str">
            <v>CA01</v>
          </cell>
          <cell r="S475">
            <v>0.01</v>
          </cell>
        </row>
        <row r="476">
          <cell r="A476">
            <v>509671</v>
          </cell>
          <cell r="B476" t="str">
            <v>Áàòüê.ôîðìà êóêóðóäçè NP1639</v>
          </cell>
          <cell r="C476">
            <v>0</v>
          </cell>
          <cell r="D476" t="str">
            <v>KG</v>
          </cell>
          <cell r="E476">
            <v>0.01</v>
          </cell>
          <cell r="G476">
            <v>100</v>
          </cell>
          <cell r="J476" t="str">
            <v>BA090</v>
          </cell>
          <cell r="K476">
            <v>1</v>
          </cell>
          <cell r="P476" t="str">
            <v>NP1739</v>
          </cell>
          <cell r="Q476" t="str">
            <v>01Z01ZZ01YG</v>
          </cell>
          <cell r="R476" t="str">
            <v>CA01</v>
          </cell>
          <cell r="S476">
            <v>0.01</v>
          </cell>
        </row>
        <row r="477">
          <cell r="A477">
            <v>509671</v>
          </cell>
          <cell r="B477" t="str">
            <v>Áàòüê.ôîðìà êóêóðóäçè NP1639</v>
          </cell>
          <cell r="C477">
            <v>0</v>
          </cell>
          <cell r="D477" t="str">
            <v>KG</v>
          </cell>
          <cell r="E477">
            <v>0.01</v>
          </cell>
          <cell r="G477">
            <v>100</v>
          </cell>
          <cell r="J477" t="str">
            <v>BA090</v>
          </cell>
          <cell r="K477">
            <v>1</v>
          </cell>
          <cell r="P477" t="str">
            <v>NP1739</v>
          </cell>
          <cell r="Q477" t="str">
            <v>01Z01ZZ01YG</v>
          </cell>
          <cell r="R477" t="str">
            <v>CA01</v>
          </cell>
          <cell r="S477">
            <v>0.01</v>
          </cell>
        </row>
        <row r="478">
          <cell r="A478">
            <v>509671</v>
          </cell>
          <cell r="B478" t="str">
            <v>CRBS NP1739 CRUISER KG</v>
          </cell>
          <cell r="C478">
            <v>0</v>
          </cell>
          <cell r="D478" t="str">
            <v>KG</v>
          </cell>
          <cell r="E478">
            <v>0.01</v>
          </cell>
          <cell r="G478">
            <v>100</v>
          </cell>
          <cell r="J478" t="str">
            <v>BA090</v>
          </cell>
          <cell r="K478">
            <v>1</v>
          </cell>
          <cell r="P478" t="str">
            <v>NP1739</v>
          </cell>
          <cell r="Q478" t="str">
            <v>01Z01ZZ01YG</v>
          </cell>
          <cell r="R478" t="str">
            <v>CA01</v>
          </cell>
          <cell r="S478">
            <v>0.01</v>
          </cell>
        </row>
        <row r="479">
          <cell r="A479">
            <v>509671</v>
          </cell>
          <cell r="B479" t="str">
            <v>CRBS NP1739 CRUISER KG</v>
          </cell>
          <cell r="C479">
            <v>0</v>
          </cell>
          <cell r="D479" t="str">
            <v>KG</v>
          </cell>
          <cell r="E479">
            <v>0.01</v>
          </cell>
          <cell r="G479">
            <v>100</v>
          </cell>
          <cell r="J479" t="str">
            <v>BA090</v>
          </cell>
          <cell r="K479">
            <v>1</v>
          </cell>
          <cell r="P479" t="str">
            <v>NP1739</v>
          </cell>
          <cell r="Q479" t="str">
            <v>01Z01ZZ01YG</v>
          </cell>
          <cell r="R479" t="str">
            <v>CA01</v>
          </cell>
          <cell r="S479">
            <v>0.01</v>
          </cell>
        </row>
        <row r="480">
          <cell r="A480">
            <v>509671</v>
          </cell>
          <cell r="B480" t="str">
            <v>CRBS NP1739 CRUISER KG</v>
          </cell>
          <cell r="C480">
            <v>0</v>
          </cell>
          <cell r="D480" t="str">
            <v>KG</v>
          </cell>
          <cell r="E480">
            <v>0.01</v>
          </cell>
          <cell r="G480">
            <v>100</v>
          </cell>
          <cell r="J480" t="str">
            <v>BA090</v>
          </cell>
          <cell r="K480">
            <v>1</v>
          </cell>
          <cell r="P480" t="str">
            <v>NP1739</v>
          </cell>
          <cell r="Q480" t="str">
            <v>01Z01ZZ01YG</v>
          </cell>
          <cell r="R480" t="str">
            <v>CA01</v>
          </cell>
          <cell r="S480">
            <v>0.01</v>
          </cell>
        </row>
        <row r="481">
          <cell r="A481">
            <v>509671</v>
          </cell>
          <cell r="B481" t="str">
            <v>CRBS NP1739 CRUISER KG</v>
          </cell>
          <cell r="C481">
            <v>0</v>
          </cell>
          <cell r="D481" t="str">
            <v>KG</v>
          </cell>
          <cell r="E481">
            <v>0.01</v>
          </cell>
          <cell r="G481">
            <v>100</v>
          </cell>
          <cell r="J481" t="str">
            <v>BA090</v>
          </cell>
          <cell r="K481">
            <v>1</v>
          </cell>
          <cell r="P481" t="str">
            <v>NP1739</v>
          </cell>
          <cell r="Q481" t="str">
            <v>01Z01ZZ01YG</v>
          </cell>
          <cell r="R481" t="str">
            <v>CA01</v>
          </cell>
          <cell r="S481">
            <v>0.01</v>
          </cell>
        </row>
        <row r="482">
          <cell r="A482">
            <v>509671</v>
          </cell>
          <cell r="B482" t="str">
            <v>CRBS NP1739 CRUISER KG</v>
          </cell>
          <cell r="C482">
            <v>0</v>
          </cell>
          <cell r="D482" t="str">
            <v>KG</v>
          </cell>
          <cell r="E482">
            <v>0.01</v>
          </cell>
          <cell r="G482">
            <v>100</v>
          </cell>
          <cell r="J482" t="str">
            <v>BA090</v>
          </cell>
          <cell r="K482">
            <v>1</v>
          </cell>
          <cell r="P482" t="str">
            <v>NP1739</v>
          </cell>
          <cell r="Q482" t="str">
            <v>01Z01ZZ01YG</v>
          </cell>
          <cell r="R482" t="str">
            <v>CA01</v>
          </cell>
          <cell r="S482">
            <v>0.01</v>
          </cell>
        </row>
        <row r="483">
          <cell r="A483">
            <v>509671</v>
          </cell>
          <cell r="B483" t="str">
            <v>CRBS NP1739 CRUISER KG</v>
          </cell>
          <cell r="C483">
            <v>0</v>
          </cell>
          <cell r="D483" t="str">
            <v>KG</v>
          </cell>
          <cell r="E483">
            <v>0.01</v>
          </cell>
          <cell r="G483">
            <v>100</v>
          </cell>
          <cell r="J483" t="str">
            <v>BA090</v>
          </cell>
          <cell r="K483">
            <v>1</v>
          </cell>
          <cell r="P483" t="str">
            <v>NP1739</v>
          </cell>
          <cell r="Q483" t="str">
            <v>01Z01ZZ01YG</v>
          </cell>
          <cell r="R483" t="str">
            <v>CA01</v>
          </cell>
          <cell r="S483">
            <v>0.01</v>
          </cell>
        </row>
        <row r="484">
          <cell r="A484">
            <v>509671</v>
          </cell>
          <cell r="B484" t="str">
            <v>CRBS NP1739 CRUISER KG</v>
          </cell>
          <cell r="C484">
            <v>0</v>
          </cell>
          <cell r="D484" t="str">
            <v>KG</v>
          </cell>
          <cell r="E484">
            <v>0.01</v>
          </cell>
          <cell r="G484">
            <v>100</v>
          </cell>
          <cell r="J484" t="str">
            <v>BA090</v>
          </cell>
          <cell r="K484">
            <v>1</v>
          </cell>
          <cell r="P484" t="str">
            <v>NP1739</v>
          </cell>
          <cell r="Q484" t="str">
            <v>01Z01ZZ01YG</v>
          </cell>
          <cell r="R484" t="str">
            <v>CA01</v>
          </cell>
          <cell r="S484">
            <v>0.01</v>
          </cell>
        </row>
        <row r="485">
          <cell r="A485">
            <v>509671</v>
          </cell>
          <cell r="B485" t="str">
            <v>CRBS NP1739 CRUISER KG</v>
          </cell>
          <cell r="C485">
            <v>0</v>
          </cell>
          <cell r="D485" t="str">
            <v>KG</v>
          </cell>
          <cell r="E485">
            <v>0.01</v>
          </cell>
          <cell r="G485">
            <v>100</v>
          </cell>
          <cell r="J485" t="str">
            <v>BA090</v>
          </cell>
          <cell r="K485">
            <v>1</v>
          </cell>
          <cell r="P485" t="str">
            <v>NP1739</v>
          </cell>
          <cell r="Q485" t="str">
            <v>01Z01ZZ01YG</v>
          </cell>
          <cell r="R485" t="str">
            <v>CA01</v>
          </cell>
          <cell r="S485">
            <v>0.01</v>
          </cell>
        </row>
        <row r="486">
          <cell r="A486">
            <v>509671</v>
          </cell>
          <cell r="B486" t="str">
            <v>CRBS NP1739 CRUISER KG</v>
          </cell>
          <cell r="C486">
            <v>0</v>
          </cell>
          <cell r="D486" t="str">
            <v>KG</v>
          </cell>
          <cell r="E486">
            <v>0.01</v>
          </cell>
          <cell r="G486">
            <v>100</v>
          </cell>
          <cell r="J486" t="str">
            <v>BA090</v>
          </cell>
          <cell r="K486">
            <v>1</v>
          </cell>
          <cell r="P486" t="str">
            <v>NP1739</v>
          </cell>
          <cell r="Q486" t="str">
            <v>01Z01ZZ01YG</v>
          </cell>
          <cell r="R486" t="str">
            <v>CA01</v>
          </cell>
          <cell r="S486">
            <v>0.01</v>
          </cell>
        </row>
        <row r="487">
          <cell r="A487">
            <v>509671</v>
          </cell>
          <cell r="B487" t="str">
            <v>CRBS NP1739 CRUISER KG</v>
          </cell>
          <cell r="C487">
            <v>0</v>
          </cell>
          <cell r="D487" t="str">
            <v>KG</v>
          </cell>
          <cell r="E487">
            <v>0.01</v>
          </cell>
          <cell r="G487">
            <v>100</v>
          </cell>
          <cell r="J487" t="str">
            <v>BA090</v>
          </cell>
          <cell r="K487">
            <v>1</v>
          </cell>
          <cell r="P487" t="str">
            <v>NP1739</v>
          </cell>
          <cell r="Q487" t="str">
            <v>01Z01ZZ01YG</v>
          </cell>
          <cell r="R487" t="str">
            <v>CA01</v>
          </cell>
          <cell r="S487">
            <v>0.01</v>
          </cell>
        </row>
        <row r="488">
          <cell r="A488">
            <v>509671</v>
          </cell>
          <cell r="B488" t="str">
            <v>CRBS NP1739 CRUISER KG</v>
          </cell>
          <cell r="C488">
            <v>0</v>
          </cell>
          <cell r="D488" t="str">
            <v>KG</v>
          </cell>
          <cell r="E488">
            <v>0.01</v>
          </cell>
          <cell r="G488">
            <v>100</v>
          </cell>
          <cell r="J488" t="str">
            <v>BA090</v>
          </cell>
          <cell r="K488">
            <v>1</v>
          </cell>
          <cell r="P488" t="str">
            <v>NP1739</v>
          </cell>
          <cell r="Q488" t="str">
            <v>01Z01ZZ01YG</v>
          </cell>
          <cell r="R488" t="str">
            <v>CA01</v>
          </cell>
          <cell r="S488">
            <v>0.01</v>
          </cell>
        </row>
        <row r="489">
          <cell r="A489">
            <v>509671</v>
          </cell>
          <cell r="B489" t="str">
            <v>CRBS NP1739 CRUISER KG</v>
          </cell>
          <cell r="C489">
            <v>0</v>
          </cell>
          <cell r="D489" t="str">
            <v>KG</v>
          </cell>
          <cell r="E489">
            <v>0.01</v>
          </cell>
          <cell r="G489">
            <v>100</v>
          </cell>
          <cell r="J489" t="str">
            <v>BA090</v>
          </cell>
          <cell r="K489">
            <v>1</v>
          </cell>
          <cell r="P489" t="str">
            <v>NP1739</v>
          </cell>
          <cell r="Q489" t="str">
            <v>01Z01ZZ01YG</v>
          </cell>
          <cell r="R489" t="str">
            <v>CA01</v>
          </cell>
          <cell r="S489">
            <v>0.01</v>
          </cell>
        </row>
        <row r="490">
          <cell r="A490">
            <v>509671</v>
          </cell>
          <cell r="B490" t="str">
            <v>CRBS NP1739 CRUISER KG</v>
          </cell>
          <cell r="C490">
            <v>0</v>
          </cell>
          <cell r="D490" t="str">
            <v>KG</v>
          </cell>
          <cell r="E490">
            <v>0.01</v>
          </cell>
          <cell r="G490">
            <v>100</v>
          </cell>
          <cell r="J490" t="str">
            <v>BA090</v>
          </cell>
          <cell r="K490">
            <v>1</v>
          </cell>
          <cell r="P490" t="str">
            <v>NP1739</v>
          </cell>
          <cell r="Q490" t="str">
            <v>01Z01ZZ01YG</v>
          </cell>
          <cell r="R490" t="str">
            <v>CA01</v>
          </cell>
          <cell r="S490">
            <v>0.01</v>
          </cell>
        </row>
        <row r="491">
          <cell r="A491">
            <v>509671</v>
          </cell>
          <cell r="B491" t="str">
            <v>CRBS NP1739 CRUISER KG</v>
          </cell>
          <cell r="C491">
            <v>0</v>
          </cell>
          <cell r="D491" t="str">
            <v>KG</v>
          </cell>
          <cell r="E491">
            <v>0.01</v>
          </cell>
          <cell r="G491">
            <v>100</v>
          </cell>
          <cell r="J491" t="str">
            <v>BA090</v>
          </cell>
          <cell r="K491">
            <v>1</v>
          </cell>
          <cell r="P491" t="str">
            <v>NP1739</v>
          </cell>
          <cell r="Q491" t="str">
            <v>01Z01ZZ01YG</v>
          </cell>
          <cell r="R491" t="str">
            <v>CA01</v>
          </cell>
          <cell r="S491">
            <v>0.01</v>
          </cell>
        </row>
        <row r="492">
          <cell r="A492">
            <v>509671</v>
          </cell>
          <cell r="B492" t="str">
            <v>CRBS NP1739 CRUISER KG</v>
          </cell>
          <cell r="C492">
            <v>0</v>
          </cell>
          <cell r="D492" t="str">
            <v>KG</v>
          </cell>
          <cell r="E492">
            <v>0.01</v>
          </cell>
          <cell r="G492">
            <v>100</v>
          </cell>
          <cell r="J492" t="str">
            <v>BA090</v>
          </cell>
          <cell r="K492">
            <v>1</v>
          </cell>
          <cell r="P492" t="str">
            <v>NP1739</v>
          </cell>
          <cell r="Q492" t="str">
            <v>01Z01ZZ01YG</v>
          </cell>
          <cell r="R492" t="str">
            <v>CA01</v>
          </cell>
          <cell r="S492">
            <v>0.01</v>
          </cell>
        </row>
        <row r="493">
          <cell r="A493">
            <v>509671</v>
          </cell>
          <cell r="B493" t="str">
            <v>CRBS NP1739 CRUISER KG</v>
          </cell>
          <cell r="C493">
            <v>0</v>
          </cell>
          <cell r="D493" t="str">
            <v>KG</v>
          </cell>
          <cell r="E493">
            <v>0.01</v>
          </cell>
          <cell r="G493">
            <v>100</v>
          </cell>
          <cell r="J493" t="str">
            <v>BA090</v>
          </cell>
          <cell r="K493">
            <v>1</v>
          </cell>
          <cell r="P493" t="str">
            <v>NP1739</v>
          </cell>
          <cell r="Q493" t="str">
            <v>01Z01ZZ01YG</v>
          </cell>
          <cell r="R493" t="str">
            <v>CA01</v>
          </cell>
          <cell r="S493">
            <v>0.01</v>
          </cell>
        </row>
        <row r="494">
          <cell r="A494">
            <v>509671</v>
          </cell>
          <cell r="B494" t="str">
            <v>CRBS NP1739 CRUISER KG</v>
          </cell>
          <cell r="C494">
            <v>0</v>
          </cell>
          <cell r="D494" t="str">
            <v>KG</v>
          </cell>
          <cell r="E494">
            <v>0.01</v>
          </cell>
          <cell r="G494">
            <v>100</v>
          </cell>
          <cell r="J494" t="str">
            <v>BA090</v>
          </cell>
          <cell r="K494">
            <v>1</v>
          </cell>
          <cell r="P494" t="str">
            <v>NP1739</v>
          </cell>
          <cell r="Q494" t="str">
            <v>01Z01ZZ01YG</v>
          </cell>
          <cell r="R494" t="str">
            <v>CA01</v>
          </cell>
          <cell r="S494">
            <v>0.01</v>
          </cell>
        </row>
        <row r="495">
          <cell r="A495">
            <v>509671</v>
          </cell>
          <cell r="B495" t="str">
            <v>CRBS NP1739 CRUISER KG</v>
          </cell>
          <cell r="C495">
            <v>0</v>
          </cell>
          <cell r="D495" t="str">
            <v>KG</v>
          </cell>
          <cell r="E495">
            <v>0.01</v>
          </cell>
          <cell r="G495">
            <v>100</v>
          </cell>
          <cell r="J495" t="str">
            <v>BA090</v>
          </cell>
          <cell r="K495">
            <v>1</v>
          </cell>
          <cell r="P495" t="str">
            <v>NP1739</v>
          </cell>
          <cell r="Q495" t="str">
            <v>01Z01ZZ01YG</v>
          </cell>
          <cell r="R495" t="str">
            <v>CA01</v>
          </cell>
          <cell r="S495">
            <v>0.01</v>
          </cell>
        </row>
        <row r="496">
          <cell r="A496">
            <v>509671</v>
          </cell>
          <cell r="B496" t="str">
            <v>CRBS NP1739 CRUISER KG</v>
          </cell>
          <cell r="C496">
            <v>0</v>
          </cell>
          <cell r="D496" t="str">
            <v>KG</v>
          </cell>
          <cell r="E496">
            <v>0.01</v>
          </cell>
          <cell r="G496">
            <v>100</v>
          </cell>
          <cell r="J496" t="str">
            <v>BA090</v>
          </cell>
          <cell r="K496">
            <v>1</v>
          </cell>
          <cell r="P496" t="str">
            <v>NP1739</v>
          </cell>
          <cell r="Q496" t="str">
            <v>01Z01ZZ01YG</v>
          </cell>
          <cell r="R496" t="str">
            <v>CA01</v>
          </cell>
          <cell r="S496">
            <v>0.01</v>
          </cell>
        </row>
        <row r="497">
          <cell r="A497">
            <v>509671</v>
          </cell>
          <cell r="B497" t="str">
            <v>CRBS NP1739 CRUISER KG</v>
          </cell>
          <cell r="C497">
            <v>0</v>
          </cell>
          <cell r="D497" t="str">
            <v>KG</v>
          </cell>
          <cell r="E497">
            <v>0.01</v>
          </cell>
          <cell r="G497">
            <v>100</v>
          </cell>
          <cell r="J497" t="str">
            <v>BA090</v>
          </cell>
          <cell r="K497">
            <v>1</v>
          </cell>
          <cell r="P497" t="str">
            <v>NP1739</v>
          </cell>
          <cell r="Q497" t="str">
            <v>01Z01ZZ01YG</v>
          </cell>
          <cell r="R497" t="str">
            <v>CA01</v>
          </cell>
          <cell r="S497">
            <v>0.01</v>
          </cell>
        </row>
        <row r="498">
          <cell r="A498">
            <v>509671</v>
          </cell>
          <cell r="B498" t="str">
            <v>CRBS NP1739 CRUISER KG</v>
          </cell>
          <cell r="C498">
            <v>0</v>
          </cell>
          <cell r="D498" t="str">
            <v>KG</v>
          </cell>
          <cell r="E498">
            <v>0.01</v>
          </cell>
          <cell r="G498">
            <v>100</v>
          </cell>
          <cell r="J498" t="str">
            <v>BA090</v>
          </cell>
          <cell r="K498">
            <v>1</v>
          </cell>
          <cell r="P498" t="str">
            <v>NP1739</v>
          </cell>
          <cell r="Q498" t="str">
            <v>01Z01ZZ01YG</v>
          </cell>
          <cell r="R498" t="str">
            <v>CA01</v>
          </cell>
          <cell r="S498">
            <v>0.01</v>
          </cell>
        </row>
        <row r="499">
          <cell r="A499">
            <v>509671</v>
          </cell>
          <cell r="B499" t="str">
            <v>CRBS NP1739 CRUISER KG</v>
          </cell>
          <cell r="C499">
            <v>0</v>
          </cell>
          <cell r="D499" t="str">
            <v>KG</v>
          </cell>
          <cell r="E499">
            <v>0.01</v>
          </cell>
          <cell r="G499">
            <v>100</v>
          </cell>
          <cell r="J499" t="str">
            <v>BA090</v>
          </cell>
          <cell r="K499">
            <v>1</v>
          </cell>
          <cell r="P499" t="str">
            <v>NP1739</v>
          </cell>
          <cell r="Q499" t="str">
            <v>01Z01ZZ01YG</v>
          </cell>
          <cell r="R499" t="str">
            <v>CA01</v>
          </cell>
          <cell r="S499">
            <v>0.01</v>
          </cell>
        </row>
        <row r="500">
          <cell r="A500">
            <v>509671</v>
          </cell>
          <cell r="B500" t="str">
            <v>CRBS NP1739 CRUISER KG</v>
          </cell>
          <cell r="C500">
            <v>0</v>
          </cell>
          <cell r="D500" t="str">
            <v>KG</v>
          </cell>
          <cell r="E500">
            <v>0.01</v>
          </cell>
          <cell r="G500">
            <v>100</v>
          </cell>
          <cell r="J500" t="str">
            <v>BA090</v>
          </cell>
          <cell r="K500">
            <v>1</v>
          </cell>
          <cell r="P500" t="str">
            <v>NP1739</v>
          </cell>
          <cell r="Q500" t="str">
            <v>01Z01ZZ01YG</v>
          </cell>
          <cell r="R500" t="str">
            <v>CA01</v>
          </cell>
          <cell r="S500">
            <v>0.01</v>
          </cell>
        </row>
        <row r="501">
          <cell r="A501">
            <v>509671</v>
          </cell>
          <cell r="B501" t="str">
            <v>CRBS NP1739 CRUISER KG</v>
          </cell>
          <cell r="C501">
            <v>0</v>
          </cell>
          <cell r="D501" t="str">
            <v>KG</v>
          </cell>
          <cell r="E501">
            <v>0.01</v>
          </cell>
          <cell r="G501">
            <v>100</v>
          </cell>
          <cell r="J501" t="str">
            <v>BA090</v>
          </cell>
          <cell r="K501">
            <v>1</v>
          </cell>
          <cell r="P501" t="str">
            <v>NP1739</v>
          </cell>
          <cell r="Q501" t="str">
            <v>01Z01ZZ01YG</v>
          </cell>
          <cell r="R501" t="str">
            <v>CA01</v>
          </cell>
          <cell r="S501">
            <v>0.01</v>
          </cell>
        </row>
        <row r="502">
          <cell r="A502">
            <v>509671</v>
          </cell>
          <cell r="B502" t="str">
            <v>CRBS NP1739 CRUISER KG</v>
          </cell>
          <cell r="C502">
            <v>0</v>
          </cell>
          <cell r="D502" t="str">
            <v>KG</v>
          </cell>
          <cell r="E502">
            <v>0.01</v>
          </cell>
          <cell r="G502">
            <v>100</v>
          </cell>
          <cell r="J502" t="str">
            <v>BA090</v>
          </cell>
          <cell r="K502">
            <v>1</v>
          </cell>
          <cell r="P502" t="str">
            <v>NP1739</v>
          </cell>
          <cell r="Q502" t="str">
            <v>01Z01ZZ01YG</v>
          </cell>
          <cell r="R502" t="str">
            <v>CA01</v>
          </cell>
          <cell r="S502">
            <v>0.01</v>
          </cell>
        </row>
        <row r="503">
          <cell r="A503">
            <v>509671</v>
          </cell>
          <cell r="B503" t="str">
            <v>CRBS NP1739 CRUISER KG</v>
          </cell>
          <cell r="C503">
            <v>0</v>
          </cell>
          <cell r="D503" t="str">
            <v>KG</v>
          </cell>
          <cell r="E503">
            <v>0.01</v>
          </cell>
          <cell r="G503">
            <v>100</v>
          </cell>
          <cell r="J503" t="str">
            <v>BA090</v>
          </cell>
          <cell r="K503">
            <v>1</v>
          </cell>
          <cell r="P503" t="str">
            <v>NP1739</v>
          </cell>
          <cell r="Q503" t="str">
            <v>01Z01ZZ01YG</v>
          </cell>
          <cell r="R503" t="str">
            <v>CA01</v>
          </cell>
          <cell r="S503">
            <v>0.01</v>
          </cell>
        </row>
        <row r="504">
          <cell r="A504">
            <v>509671</v>
          </cell>
          <cell r="B504" t="str">
            <v>CRBS NP1739 CRUISER KG</v>
          </cell>
          <cell r="C504">
            <v>0</v>
          </cell>
          <cell r="D504" t="str">
            <v>KG</v>
          </cell>
          <cell r="E504">
            <v>0.01</v>
          </cell>
          <cell r="G504">
            <v>100</v>
          </cell>
          <cell r="J504" t="str">
            <v>BA090</v>
          </cell>
          <cell r="K504">
            <v>1</v>
          </cell>
          <cell r="P504" t="str">
            <v>NP1739</v>
          </cell>
          <cell r="Q504" t="str">
            <v>01Z01ZZ01YG</v>
          </cell>
          <cell r="R504" t="str">
            <v>CA01</v>
          </cell>
          <cell r="S504">
            <v>0.01</v>
          </cell>
        </row>
        <row r="505">
          <cell r="A505">
            <v>509671</v>
          </cell>
          <cell r="B505" t="str">
            <v>CRBS NP1739 CRUISER KG</v>
          </cell>
          <cell r="C505">
            <v>0</v>
          </cell>
          <cell r="D505" t="str">
            <v>KG</v>
          </cell>
          <cell r="E505">
            <v>0.01</v>
          </cell>
          <cell r="G505">
            <v>100</v>
          </cell>
          <cell r="J505" t="str">
            <v>BA090</v>
          </cell>
          <cell r="K505">
            <v>1</v>
          </cell>
          <cell r="P505" t="str">
            <v>NP1739</v>
          </cell>
          <cell r="Q505" t="str">
            <v>01Z01ZZ01YG</v>
          </cell>
          <cell r="R505" t="str">
            <v>CA01</v>
          </cell>
          <cell r="S505">
            <v>0.01</v>
          </cell>
        </row>
        <row r="506">
          <cell r="A506">
            <v>509671</v>
          </cell>
          <cell r="B506" t="str">
            <v>CRBS NP1739 CRUISER KG</v>
          </cell>
          <cell r="C506">
            <v>0</v>
          </cell>
          <cell r="D506" t="str">
            <v>KG</v>
          </cell>
          <cell r="E506">
            <v>0.01</v>
          </cell>
          <cell r="G506">
            <v>100</v>
          </cell>
          <cell r="J506" t="str">
            <v>BA090</v>
          </cell>
          <cell r="K506">
            <v>1</v>
          </cell>
          <cell r="P506" t="str">
            <v>NP1739</v>
          </cell>
          <cell r="Q506" t="str">
            <v>01Z01ZZ01YG</v>
          </cell>
          <cell r="R506" t="str">
            <v>CA01</v>
          </cell>
          <cell r="S506">
            <v>0.01</v>
          </cell>
        </row>
        <row r="507">
          <cell r="A507">
            <v>509671</v>
          </cell>
          <cell r="B507" t="str">
            <v>CRBS NP1739 CRUISER KG</v>
          </cell>
          <cell r="C507">
            <v>0</v>
          </cell>
          <cell r="D507" t="str">
            <v>KG</v>
          </cell>
          <cell r="E507">
            <v>0.01</v>
          </cell>
          <cell r="G507">
            <v>100</v>
          </cell>
          <cell r="J507" t="str">
            <v>BA090</v>
          </cell>
          <cell r="K507">
            <v>1</v>
          </cell>
          <cell r="P507" t="str">
            <v>NP1739</v>
          </cell>
          <cell r="Q507" t="str">
            <v>01Z01ZZ01YG</v>
          </cell>
          <cell r="R507" t="str">
            <v>CA01</v>
          </cell>
          <cell r="S507">
            <v>0.01</v>
          </cell>
        </row>
        <row r="508">
          <cell r="A508">
            <v>509671</v>
          </cell>
          <cell r="B508" t="str">
            <v>CRBS NP1739 CRUISER KG</v>
          </cell>
          <cell r="C508">
            <v>0</v>
          </cell>
          <cell r="D508" t="str">
            <v>KG</v>
          </cell>
          <cell r="E508">
            <v>0.01</v>
          </cell>
          <cell r="G508">
            <v>100</v>
          </cell>
          <cell r="J508" t="str">
            <v>BA090</v>
          </cell>
          <cell r="K508">
            <v>1</v>
          </cell>
          <cell r="P508" t="str">
            <v>NP1739</v>
          </cell>
          <cell r="Q508" t="str">
            <v>01Z01ZZ01YG</v>
          </cell>
          <cell r="R508" t="str">
            <v>CA01</v>
          </cell>
          <cell r="S508">
            <v>0.01</v>
          </cell>
        </row>
        <row r="509">
          <cell r="A509">
            <v>509671</v>
          </cell>
          <cell r="B509" t="str">
            <v>CRBS NP1739 CRUISER KG</v>
          </cell>
          <cell r="C509">
            <v>0</v>
          </cell>
          <cell r="D509" t="str">
            <v>KG</v>
          </cell>
          <cell r="E509">
            <v>0.01</v>
          </cell>
          <cell r="G509">
            <v>100</v>
          </cell>
          <cell r="J509" t="str">
            <v>BA090</v>
          </cell>
          <cell r="K509">
            <v>1</v>
          </cell>
          <cell r="P509" t="str">
            <v>NP1739</v>
          </cell>
          <cell r="Q509" t="str">
            <v>01Z01ZZ01YG</v>
          </cell>
          <cell r="R509" t="str">
            <v>CA01</v>
          </cell>
          <cell r="S509">
            <v>0.01</v>
          </cell>
        </row>
        <row r="510">
          <cell r="A510">
            <v>509671</v>
          </cell>
          <cell r="B510" t="str">
            <v>CRBS NP1739 CRUISER KG</v>
          </cell>
          <cell r="C510">
            <v>0</v>
          </cell>
          <cell r="D510" t="str">
            <v>KG</v>
          </cell>
          <cell r="E510">
            <v>0.01</v>
          </cell>
          <cell r="G510">
            <v>100</v>
          </cell>
          <cell r="J510" t="str">
            <v>BA090</v>
          </cell>
          <cell r="K510">
            <v>1</v>
          </cell>
          <cell r="P510" t="str">
            <v>NP1739</v>
          </cell>
          <cell r="Q510" t="str">
            <v>01Z01ZZ01YG</v>
          </cell>
          <cell r="R510" t="str">
            <v>CA01</v>
          </cell>
          <cell r="S510">
            <v>0.01</v>
          </cell>
        </row>
        <row r="511">
          <cell r="A511">
            <v>509671</v>
          </cell>
          <cell r="B511" t="str">
            <v>CRBS NP1739 CRUISER KG</v>
          </cell>
          <cell r="C511">
            <v>0</v>
          </cell>
          <cell r="D511" t="str">
            <v>KG</v>
          </cell>
          <cell r="E511">
            <v>0.01</v>
          </cell>
          <cell r="G511">
            <v>100</v>
          </cell>
          <cell r="J511" t="str">
            <v>BA090</v>
          </cell>
          <cell r="K511">
            <v>1</v>
          </cell>
          <cell r="P511" t="str">
            <v>NP1739</v>
          </cell>
          <cell r="Q511" t="str">
            <v>01Z01ZZ01YG</v>
          </cell>
          <cell r="R511" t="str">
            <v>CA01</v>
          </cell>
          <cell r="S511">
            <v>0.01</v>
          </cell>
        </row>
        <row r="512">
          <cell r="A512">
            <v>509671</v>
          </cell>
          <cell r="B512" t="str">
            <v>CRBS NP1739 CRUISER KG</v>
          </cell>
          <cell r="C512">
            <v>0</v>
          </cell>
          <cell r="D512" t="str">
            <v>KG</v>
          </cell>
          <cell r="E512">
            <v>0.01</v>
          </cell>
          <cell r="G512">
            <v>100</v>
          </cell>
          <cell r="J512" t="str">
            <v>BA090</v>
          </cell>
          <cell r="K512">
            <v>1</v>
          </cell>
          <cell r="P512" t="str">
            <v>NP1739</v>
          </cell>
          <cell r="Q512" t="str">
            <v>01Z01ZZ01YG</v>
          </cell>
          <cell r="R512" t="str">
            <v>CA01</v>
          </cell>
          <cell r="S512">
            <v>0.01</v>
          </cell>
        </row>
        <row r="513">
          <cell r="A513">
            <v>509671</v>
          </cell>
          <cell r="B513" t="str">
            <v>CRBS NP1739 CRUISER KG</v>
          </cell>
          <cell r="C513">
            <v>0</v>
          </cell>
          <cell r="D513" t="str">
            <v>KG</v>
          </cell>
          <cell r="E513">
            <v>0.01</v>
          </cell>
          <cell r="G513">
            <v>100</v>
          </cell>
          <cell r="J513" t="str">
            <v>BA090</v>
          </cell>
          <cell r="K513">
            <v>1</v>
          </cell>
          <cell r="P513" t="str">
            <v>NP1739</v>
          </cell>
          <cell r="Q513" t="str">
            <v>01Z01ZZ01YG</v>
          </cell>
          <cell r="R513" t="str">
            <v>CA01</v>
          </cell>
          <cell r="S513">
            <v>0.01</v>
          </cell>
        </row>
        <row r="514">
          <cell r="A514">
            <v>509671</v>
          </cell>
          <cell r="B514" t="str">
            <v>CRBS NP1739 CRUISER KG</v>
          </cell>
          <cell r="C514">
            <v>0</v>
          </cell>
          <cell r="D514" t="str">
            <v>KG</v>
          </cell>
          <cell r="E514">
            <v>0.01</v>
          </cell>
          <cell r="G514">
            <v>100</v>
          </cell>
          <cell r="J514" t="str">
            <v>BA090</v>
          </cell>
          <cell r="K514">
            <v>1</v>
          </cell>
          <cell r="P514" t="str">
            <v>NP1739</v>
          </cell>
          <cell r="Q514" t="str">
            <v>01Z01ZZ01YG</v>
          </cell>
          <cell r="R514" t="str">
            <v>CA01</v>
          </cell>
          <cell r="S514">
            <v>0.01</v>
          </cell>
        </row>
        <row r="515">
          <cell r="A515">
            <v>509671</v>
          </cell>
          <cell r="B515" t="str">
            <v>CRBS NP1739 CRUISER KG</v>
          </cell>
          <cell r="C515">
            <v>0</v>
          </cell>
          <cell r="D515" t="str">
            <v>KG</v>
          </cell>
          <cell r="E515">
            <v>0.01</v>
          </cell>
          <cell r="G515">
            <v>100</v>
          </cell>
          <cell r="J515" t="str">
            <v>BA090</v>
          </cell>
          <cell r="K515">
            <v>1</v>
          </cell>
          <cell r="P515" t="str">
            <v>NP1739</v>
          </cell>
          <cell r="Q515" t="str">
            <v>01Z01ZZ01YG</v>
          </cell>
          <cell r="R515" t="str">
            <v>CA01</v>
          </cell>
          <cell r="S515">
            <v>0.01</v>
          </cell>
        </row>
        <row r="516">
          <cell r="A516">
            <v>509671</v>
          </cell>
          <cell r="B516" t="str">
            <v>CRBS NP1739 CRUISER KG</v>
          </cell>
          <cell r="C516">
            <v>0</v>
          </cell>
          <cell r="D516" t="str">
            <v>KG</v>
          </cell>
          <cell r="E516">
            <v>0.01</v>
          </cell>
          <cell r="G516">
            <v>100</v>
          </cell>
          <cell r="J516" t="str">
            <v>BA090</v>
          </cell>
          <cell r="K516">
            <v>1</v>
          </cell>
          <cell r="P516" t="str">
            <v>NP1739</v>
          </cell>
          <cell r="Q516" t="str">
            <v>01Z01ZZ01YG</v>
          </cell>
          <cell r="R516" t="str">
            <v>CA01</v>
          </cell>
          <cell r="S516">
            <v>0.01</v>
          </cell>
        </row>
        <row r="517">
          <cell r="A517">
            <v>509671</v>
          </cell>
          <cell r="B517" t="str">
            <v>CRBS NP1739 CRUISER KG</v>
          </cell>
          <cell r="C517">
            <v>0</v>
          </cell>
          <cell r="D517" t="str">
            <v>KG</v>
          </cell>
          <cell r="E517">
            <v>0.01</v>
          </cell>
          <cell r="G517">
            <v>100</v>
          </cell>
          <cell r="J517" t="str">
            <v>BA090</v>
          </cell>
          <cell r="K517">
            <v>1</v>
          </cell>
          <cell r="P517" t="str">
            <v>NP1739</v>
          </cell>
          <cell r="Q517" t="str">
            <v>01Z01ZZ01YG</v>
          </cell>
          <cell r="R517" t="str">
            <v>CA01</v>
          </cell>
          <cell r="S517">
            <v>0.01</v>
          </cell>
        </row>
        <row r="518">
          <cell r="A518">
            <v>509671</v>
          </cell>
          <cell r="B518" t="str">
            <v>CRBS NP1739 CRUISER KG</v>
          </cell>
          <cell r="C518">
            <v>0</v>
          </cell>
          <cell r="D518" t="str">
            <v>KG</v>
          </cell>
          <cell r="E518">
            <v>0.01</v>
          </cell>
          <cell r="G518">
            <v>100</v>
          </cell>
          <cell r="J518" t="str">
            <v>BA090</v>
          </cell>
          <cell r="K518">
            <v>1</v>
          </cell>
          <cell r="P518" t="str">
            <v>NP1739</v>
          </cell>
          <cell r="Q518" t="str">
            <v>01Z01ZZ01YG</v>
          </cell>
          <cell r="R518" t="str">
            <v>CA01</v>
          </cell>
          <cell r="S518">
            <v>0.01</v>
          </cell>
        </row>
        <row r="519">
          <cell r="A519">
            <v>509671</v>
          </cell>
          <cell r="B519" t="str">
            <v>CRBS NP1739 CRUISER KG</v>
          </cell>
          <cell r="C519">
            <v>0</v>
          </cell>
          <cell r="D519" t="str">
            <v>KG</v>
          </cell>
          <cell r="E519">
            <v>0.01</v>
          </cell>
          <cell r="G519">
            <v>100</v>
          </cell>
          <cell r="J519" t="str">
            <v>BA090</v>
          </cell>
          <cell r="K519">
            <v>1</v>
          </cell>
          <cell r="P519" t="str">
            <v>NP1739</v>
          </cell>
          <cell r="Q519" t="str">
            <v>01Z01ZZ01YG</v>
          </cell>
          <cell r="R519" t="str">
            <v>CA01</v>
          </cell>
          <cell r="S519">
            <v>0.01</v>
          </cell>
        </row>
        <row r="520">
          <cell r="A520">
            <v>509671</v>
          </cell>
          <cell r="B520" t="str">
            <v>CRBS NP1739 CRUISER KG</v>
          </cell>
          <cell r="C520">
            <v>0</v>
          </cell>
          <cell r="D520" t="str">
            <v>KG</v>
          </cell>
          <cell r="E520">
            <v>0.01</v>
          </cell>
          <cell r="G520">
            <v>100</v>
          </cell>
          <cell r="J520" t="str">
            <v>BA090</v>
          </cell>
          <cell r="K520">
            <v>1</v>
          </cell>
          <cell r="P520" t="str">
            <v>NP1739</v>
          </cell>
          <cell r="Q520" t="str">
            <v>01Z01ZZ01YG</v>
          </cell>
          <cell r="R520" t="str">
            <v>CA01</v>
          </cell>
          <cell r="S520">
            <v>0.01</v>
          </cell>
        </row>
        <row r="521">
          <cell r="A521">
            <v>509671</v>
          </cell>
          <cell r="B521" t="str">
            <v>CRBS NP1739 CRUISER KG</v>
          </cell>
          <cell r="C521">
            <v>0</v>
          </cell>
          <cell r="D521" t="str">
            <v>KG</v>
          </cell>
          <cell r="E521">
            <v>0.01</v>
          </cell>
          <cell r="G521">
            <v>100</v>
          </cell>
          <cell r="J521" t="str">
            <v>BA090</v>
          </cell>
          <cell r="K521">
            <v>1</v>
          </cell>
          <cell r="P521" t="str">
            <v>NP1739</v>
          </cell>
          <cell r="Q521" t="str">
            <v>01Z01ZZ01YG</v>
          </cell>
          <cell r="R521" t="str">
            <v>CA01</v>
          </cell>
          <cell r="S521">
            <v>0.01</v>
          </cell>
        </row>
        <row r="522">
          <cell r="A522">
            <v>509671</v>
          </cell>
          <cell r="B522" t="str">
            <v>CRBS NP1739 CRUISER KG</v>
          </cell>
          <cell r="C522">
            <v>0</v>
          </cell>
          <cell r="D522" t="str">
            <v>KG</v>
          </cell>
          <cell r="E522">
            <v>0.01</v>
          </cell>
          <cell r="G522">
            <v>100</v>
          </cell>
          <cell r="J522" t="str">
            <v>BA090</v>
          </cell>
          <cell r="K522">
            <v>1</v>
          </cell>
          <cell r="P522" t="str">
            <v>NP1739</v>
          </cell>
          <cell r="Q522" t="str">
            <v>01Z01ZZ01YG</v>
          </cell>
          <cell r="R522" t="str">
            <v>CA01</v>
          </cell>
          <cell r="S522">
            <v>0.01</v>
          </cell>
        </row>
        <row r="523">
          <cell r="A523">
            <v>509671</v>
          </cell>
          <cell r="B523" t="str">
            <v>CRBS NP1739 CRUISER KG</v>
          </cell>
          <cell r="C523">
            <v>0</v>
          </cell>
          <cell r="D523" t="str">
            <v>KG</v>
          </cell>
          <cell r="E523">
            <v>0.01</v>
          </cell>
          <cell r="G523">
            <v>100</v>
          </cell>
          <cell r="J523" t="str">
            <v>BA090</v>
          </cell>
          <cell r="K523">
            <v>1</v>
          </cell>
          <cell r="P523" t="str">
            <v>NP1739</v>
          </cell>
          <cell r="Q523" t="str">
            <v>01Z01ZZ01YG</v>
          </cell>
          <cell r="R523" t="str">
            <v>CA01</v>
          </cell>
          <cell r="S523">
            <v>0.01</v>
          </cell>
        </row>
        <row r="524">
          <cell r="A524">
            <v>509671</v>
          </cell>
          <cell r="B524" t="str">
            <v>CRBS NP1739 CRUISER KG</v>
          </cell>
          <cell r="C524">
            <v>0</v>
          </cell>
          <cell r="D524" t="str">
            <v>KG</v>
          </cell>
          <cell r="E524">
            <v>0.01</v>
          </cell>
          <cell r="G524">
            <v>100</v>
          </cell>
          <cell r="J524" t="str">
            <v>BA090</v>
          </cell>
          <cell r="K524">
            <v>1</v>
          </cell>
          <cell r="P524" t="str">
            <v>NP1739</v>
          </cell>
          <cell r="Q524" t="str">
            <v>01Z01ZZ01YG</v>
          </cell>
          <cell r="R524" t="str">
            <v>CA01</v>
          </cell>
          <cell r="S524">
            <v>0.01</v>
          </cell>
        </row>
        <row r="525">
          <cell r="A525">
            <v>509671</v>
          </cell>
          <cell r="B525" t="str">
            <v>CRBS NP1739 CRUISER KG</v>
          </cell>
          <cell r="C525">
            <v>0</v>
          </cell>
          <cell r="D525" t="str">
            <v>KG</v>
          </cell>
          <cell r="E525">
            <v>0.01</v>
          </cell>
          <cell r="G525">
            <v>100</v>
          </cell>
          <cell r="J525" t="str">
            <v>BA090</v>
          </cell>
          <cell r="K525">
            <v>1</v>
          </cell>
          <cell r="P525" t="str">
            <v>NP1739</v>
          </cell>
          <cell r="Q525" t="str">
            <v>01Z01ZZ01YG</v>
          </cell>
          <cell r="R525" t="str">
            <v>CA01</v>
          </cell>
          <cell r="S525">
            <v>0.01</v>
          </cell>
        </row>
        <row r="526">
          <cell r="A526">
            <v>509671</v>
          </cell>
          <cell r="B526" t="str">
            <v>CRBS NP1739 CRUISER KG</v>
          </cell>
          <cell r="C526">
            <v>0</v>
          </cell>
          <cell r="D526" t="str">
            <v>KG</v>
          </cell>
          <cell r="E526">
            <v>0.01</v>
          </cell>
          <cell r="G526">
            <v>100</v>
          </cell>
          <cell r="J526" t="str">
            <v>BA090</v>
          </cell>
          <cell r="K526">
            <v>1</v>
          </cell>
          <cell r="P526" t="str">
            <v>NP1739</v>
          </cell>
          <cell r="Q526" t="str">
            <v>01Z01ZZ01YG</v>
          </cell>
          <cell r="R526" t="str">
            <v>CA01</v>
          </cell>
          <cell r="S526">
            <v>0.01</v>
          </cell>
        </row>
        <row r="527">
          <cell r="A527">
            <v>509671</v>
          </cell>
          <cell r="B527" t="str">
            <v>CRBS NP1739 CRUISER KG</v>
          </cell>
          <cell r="C527">
            <v>0</v>
          </cell>
          <cell r="D527" t="str">
            <v>KG</v>
          </cell>
          <cell r="E527">
            <v>0.01</v>
          </cell>
          <cell r="G527">
            <v>100</v>
          </cell>
          <cell r="J527" t="str">
            <v>BA090</v>
          </cell>
          <cell r="K527">
            <v>1</v>
          </cell>
          <cell r="P527" t="str">
            <v>NP1739</v>
          </cell>
          <cell r="Q527" t="str">
            <v>01Z01ZZ01YG</v>
          </cell>
          <cell r="R527" t="str">
            <v>CA01</v>
          </cell>
          <cell r="S527">
            <v>0.01</v>
          </cell>
        </row>
        <row r="528">
          <cell r="A528">
            <v>509671</v>
          </cell>
          <cell r="B528" t="str">
            <v>CRBS NP1739 CRUISER KG</v>
          </cell>
          <cell r="C528">
            <v>0</v>
          </cell>
          <cell r="D528" t="str">
            <v>KG</v>
          </cell>
          <cell r="E528">
            <v>0.01</v>
          </cell>
          <cell r="G528">
            <v>100</v>
          </cell>
          <cell r="J528" t="str">
            <v>BA090</v>
          </cell>
          <cell r="K528">
            <v>1</v>
          </cell>
          <cell r="P528" t="str">
            <v>NP1739</v>
          </cell>
          <cell r="Q528" t="str">
            <v>01Z01ZZ01YG</v>
          </cell>
          <cell r="R528" t="str">
            <v>CA01</v>
          </cell>
          <cell r="S528">
            <v>0.01</v>
          </cell>
        </row>
        <row r="529">
          <cell r="A529">
            <v>509671</v>
          </cell>
          <cell r="B529" t="str">
            <v>CRBS NP1739 CRUISER KG</v>
          </cell>
          <cell r="C529">
            <v>0</v>
          </cell>
          <cell r="D529" t="str">
            <v>KG</v>
          </cell>
          <cell r="E529">
            <v>0.01</v>
          </cell>
          <cell r="G529">
            <v>100</v>
          </cell>
          <cell r="J529" t="str">
            <v>BA090</v>
          </cell>
          <cell r="K529">
            <v>1</v>
          </cell>
          <cell r="P529" t="str">
            <v>NP1739</v>
          </cell>
          <cell r="Q529" t="str">
            <v>01Z01ZZ01YG</v>
          </cell>
          <cell r="R529" t="str">
            <v>CA01</v>
          </cell>
          <cell r="S529">
            <v>0.01</v>
          </cell>
        </row>
        <row r="530">
          <cell r="A530">
            <v>509671</v>
          </cell>
          <cell r="B530" t="str">
            <v>CRBS NP1739 CRUISER KG</v>
          </cell>
          <cell r="C530">
            <v>0</v>
          </cell>
          <cell r="D530" t="str">
            <v>KG</v>
          </cell>
          <cell r="E530">
            <v>0.01</v>
          </cell>
          <cell r="G530">
            <v>100</v>
          </cell>
          <cell r="J530" t="str">
            <v>BA090</v>
          </cell>
          <cell r="K530">
            <v>1</v>
          </cell>
          <cell r="P530" t="str">
            <v>NP1739</v>
          </cell>
          <cell r="Q530" t="str">
            <v>01Z01ZZ01YG</v>
          </cell>
          <cell r="R530" t="str">
            <v>CA01</v>
          </cell>
          <cell r="S530">
            <v>0.01</v>
          </cell>
        </row>
        <row r="531">
          <cell r="A531">
            <v>509671</v>
          </cell>
          <cell r="B531" t="str">
            <v>CRBS NP1739 CRUISER KG</v>
          </cell>
          <cell r="C531">
            <v>0</v>
          </cell>
          <cell r="D531" t="str">
            <v>KG</v>
          </cell>
          <cell r="E531">
            <v>0.01</v>
          </cell>
          <cell r="G531">
            <v>100</v>
          </cell>
          <cell r="J531" t="str">
            <v>BA090</v>
          </cell>
          <cell r="K531">
            <v>1</v>
          </cell>
          <cell r="P531" t="str">
            <v>NP1739</v>
          </cell>
          <cell r="Q531" t="str">
            <v>01Z01ZZ01YG</v>
          </cell>
          <cell r="R531" t="str">
            <v>CA01</v>
          </cell>
          <cell r="S531">
            <v>0.01</v>
          </cell>
        </row>
        <row r="532">
          <cell r="A532">
            <v>509671</v>
          </cell>
          <cell r="B532" t="str">
            <v>CRBS NP1739 CRUISER KG</v>
          </cell>
          <cell r="C532">
            <v>0</v>
          </cell>
          <cell r="D532" t="str">
            <v>KG</v>
          </cell>
          <cell r="E532">
            <v>0.01</v>
          </cell>
          <cell r="G532">
            <v>100</v>
          </cell>
          <cell r="J532" t="str">
            <v>BA090</v>
          </cell>
          <cell r="K532">
            <v>1</v>
          </cell>
          <cell r="P532" t="str">
            <v>NP1739</v>
          </cell>
          <cell r="Q532" t="str">
            <v>01Z01ZZ01YG</v>
          </cell>
          <cell r="R532" t="str">
            <v>CA01</v>
          </cell>
          <cell r="S532">
            <v>0.01</v>
          </cell>
        </row>
        <row r="533">
          <cell r="A533">
            <v>509671</v>
          </cell>
          <cell r="B533" t="str">
            <v>CRBS NP1739 CRUISER KG</v>
          </cell>
          <cell r="C533">
            <v>0</v>
          </cell>
          <cell r="D533" t="str">
            <v>KG</v>
          </cell>
          <cell r="E533">
            <v>0.01</v>
          </cell>
          <cell r="G533">
            <v>100</v>
          </cell>
          <cell r="J533" t="str">
            <v>BA090</v>
          </cell>
          <cell r="K533">
            <v>1</v>
          </cell>
          <cell r="P533" t="str">
            <v>NP1739</v>
          </cell>
          <cell r="Q533" t="str">
            <v>01Z01ZZ01YG</v>
          </cell>
          <cell r="R533" t="str">
            <v>CA01</v>
          </cell>
          <cell r="S533">
            <v>0.01</v>
          </cell>
        </row>
        <row r="534">
          <cell r="A534">
            <v>509671</v>
          </cell>
          <cell r="B534" t="str">
            <v>CRBS NP1739 CRUISER KG</v>
          </cell>
          <cell r="C534">
            <v>0</v>
          </cell>
          <cell r="D534" t="str">
            <v>KG</v>
          </cell>
          <cell r="E534">
            <v>0.01</v>
          </cell>
          <cell r="G534">
            <v>100</v>
          </cell>
          <cell r="J534" t="str">
            <v>BA090</v>
          </cell>
          <cell r="K534">
            <v>1</v>
          </cell>
          <cell r="P534" t="str">
            <v>NP1739</v>
          </cell>
          <cell r="Q534" t="str">
            <v>01Z01ZZ01YG</v>
          </cell>
          <cell r="R534" t="str">
            <v>CA01</v>
          </cell>
          <cell r="S534">
            <v>0.01</v>
          </cell>
        </row>
        <row r="535">
          <cell r="A535">
            <v>509671</v>
          </cell>
          <cell r="B535" t="str">
            <v>CRBS NP1739 CRUISER KG</v>
          </cell>
          <cell r="C535">
            <v>0</v>
          </cell>
          <cell r="D535" t="str">
            <v>KG</v>
          </cell>
          <cell r="E535">
            <v>0.01</v>
          </cell>
          <cell r="G535">
            <v>100</v>
          </cell>
          <cell r="J535" t="str">
            <v>BA090</v>
          </cell>
          <cell r="K535">
            <v>1</v>
          </cell>
          <cell r="P535" t="str">
            <v>NP1739</v>
          </cell>
          <cell r="Q535" t="str">
            <v>01Z01ZZ01YG</v>
          </cell>
          <cell r="R535" t="str">
            <v>CA01</v>
          </cell>
          <cell r="S535">
            <v>0.01</v>
          </cell>
        </row>
        <row r="536">
          <cell r="A536">
            <v>509671</v>
          </cell>
          <cell r="B536" t="str">
            <v>CRBS NP1739 CRUISER KG</v>
          </cell>
          <cell r="C536">
            <v>0</v>
          </cell>
          <cell r="D536" t="str">
            <v>KG</v>
          </cell>
          <cell r="E536">
            <v>0.01</v>
          </cell>
          <cell r="G536">
            <v>100</v>
          </cell>
          <cell r="J536" t="str">
            <v>BA090</v>
          </cell>
          <cell r="K536">
            <v>1</v>
          </cell>
          <cell r="P536" t="str">
            <v>NP1739</v>
          </cell>
          <cell r="Q536" t="str">
            <v>01Z01ZZ01YG</v>
          </cell>
          <cell r="R536" t="str">
            <v>CA01</v>
          </cell>
          <cell r="S536">
            <v>0.01</v>
          </cell>
        </row>
        <row r="537">
          <cell r="A537">
            <v>509671</v>
          </cell>
          <cell r="B537" t="str">
            <v>CRBS NP1739 CRUISER KG</v>
          </cell>
          <cell r="C537">
            <v>0</v>
          </cell>
          <cell r="D537" t="str">
            <v>KG</v>
          </cell>
          <cell r="E537">
            <v>0.01</v>
          </cell>
          <cell r="G537">
            <v>100</v>
          </cell>
          <cell r="J537" t="str">
            <v>BA090</v>
          </cell>
          <cell r="K537">
            <v>1</v>
          </cell>
          <cell r="P537" t="str">
            <v>NP1739</v>
          </cell>
          <cell r="Q537" t="str">
            <v>01Z01ZZ01YG</v>
          </cell>
          <cell r="R537" t="str">
            <v>CA01</v>
          </cell>
          <cell r="S537">
            <v>0.01</v>
          </cell>
        </row>
        <row r="538">
          <cell r="A538">
            <v>509671</v>
          </cell>
          <cell r="B538" t="str">
            <v>CRBS NP1739 CRUISER KG</v>
          </cell>
          <cell r="C538">
            <v>0</v>
          </cell>
          <cell r="D538" t="str">
            <v>KG</v>
          </cell>
          <cell r="E538">
            <v>0.01</v>
          </cell>
          <cell r="G538">
            <v>100</v>
          </cell>
          <cell r="J538" t="str">
            <v>BA090</v>
          </cell>
          <cell r="K538">
            <v>1</v>
          </cell>
          <cell r="P538" t="str">
            <v>NP1739</v>
          </cell>
          <cell r="Q538" t="str">
            <v>01Z01ZZ01YG</v>
          </cell>
          <cell r="R538" t="str">
            <v>CA01</v>
          </cell>
          <cell r="S538">
            <v>0.01</v>
          </cell>
        </row>
        <row r="539">
          <cell r="A539">
            <v>509671</v>
          </cell>
          <cell r="B539" t="str">
            <v>CRBS NP1739 CRUISER KG</v>
          </cell>
          <cell r="C539">
            <v>0</v>
          </cell>
          <cell r="D539" t="str">
            <v>KG</v>
          </cell>
          <cell r="E539">
            <v>0.01</v>
          </cell>
          <cell r="G539">
            <v>100</v>
          </cell>
          <cell r="J539" t="str">
            <v>BA090</v>
          </cell>
          <cell r="K539">
            <v>1</v>
          </cell>
          <cell r="P539" t="str">
            <v>NP1739</v>
          </cell>
          <cell r="Q539" t="str">
            <v>01Z01ZZ01YG</v>
          </cell>
          <cell r="R539" t="str">
            <v>CA01</v>
          </cell>
          <cell r="S539">
            <v>0.01</v>
          </cell>
        </row>
        <row r="540">
          <cell r="A540">
            <v>509671</v>
          </cell>
          <cell r="B540" t="str">
            <v>CRBS NP1739 CRUISER KG</v>
          </cell>
          <cell r="C540">
            <v>0</v>
          </cell>
          <cell r="D540" t="str">
            <v>KG</v>
          </cell>
          <cell r="E540">
            <v>0.01</v>
          </cell>
          <cell r="G540">
            <v>100</v>
          </cell>
          <cell r="J540" t="str">
            <v>BA090</v>
          </cell>
          <cell r="K540">
            <v>1</v>
          </cell>
          <cell r="P540" t="str">
            <v>NP1739</v>
          </cell>
          <cell r="Q540" t="str">
            <v>01Z01ZZ01YG</v>
          </cell>
          <cell r="R540" t="str">
            <v>CA01</v>
          </cell>
          <cell r="S540">
            <v>0.01</v>
          </cell>
        </row>
        <row r="541">
          <cell r="A541">
            <v>509671</v>
          </cell>
          <cell r="B541" t="str">
            <v>CRBS NP1739 CRUISER KG</v>
          </cell>
          <cell r="C541">
            <v>0</v>
          </cell>
          <cell r="D541" t="str">
            <v>KG</v>
          </cell>
          <cell r="E541">
            <v>0.01</v>
          </cell>
          <cell r="G541">
            <v>100</v>
          </cell>
          <cell r="J541" t="str">
            <v>BA090</v>
          </cell>
          <cell r="K541">
            <v>1</v>
          </cell>
          <cell r="P541" t="str">
            <v>NP1739</v>
          </cell>
          <cell r="Q541" t="str">
            <v>01Z01ZZ01YG</v>
          </cell>
          <cell r="R541" t="str">
            <v>CA01</v>
          </cell>
          <cell r="S541">
            <v>0.01</v>
          </cell>
        </row>
        <row r="542">
          <cell r="A542">
            <v>509671</v>
          </cell>
          <cell r="B542" t="str">
            <v>CRBS NP1739 CRUISER KG</v>
          </cell>
          <cell r="C542">
            <v>0</v>
          </cell>
          <cell r="D542" t="str">
            <v>KG</v>
          </cell>
          <cell r="E542">
            <v>0.01</v>
          </cell>
          <cell r="G542">
            <v>100</v>
          </cell>
          <cell r="J542" t="str">
            <v>BA090</v>
          </cell>
          <cell r="K542">
            <v>1</v>
          </cell>
          <cell r="P542" t="str">
            <v>NP1739</v>
          </cell>
          <cell r="Q542" t="str">
            <v>01Z01ZZ01YG</v>
          </cell>
          <cell r="R542" t="str">
            <v>CA01</v>
          </cell>
          <cell r="S542">
            <v>0.01</v>
          </cell>
        </row>
        <row r="543">
          <cell r="A543">
            <v>509671</v>
          </cell>
          <cell r="B543" t="str">
            <v>CRBS NP1739 CRUISER KG</v>
          </cell>
          <cell r="C543">
            <v>0</v>
          </cell>
          <cell r="D543" t="str">
            <v>KG</v>
          </cell>
          <cell r="E543">
            <v>0.01</v>
          </cell>
          <cell r="G543">
            <v>100</v>
          </cell>
          <cell r="J543" t="str">
            <v>BA090</v>
          </cell>
          <cell r="K543">
            <v>1</v>
          </cell>
          <cell r="P543" t="str">
            <v>NP1739</v>
          </cell>
          <cell r="Q543" t="str">
            <v>01Z01ZZ01YG</v>
          </cell>
          <cell r="R543" t="str">
            <v>CA01</v>
          </cell>
          <cell r="S543">
            <v>0.01</v>
          </cell>
        </row>
        <row r="544">
          <cell r="A544">
            <v>509671</v>
          </cell>
          <cell r="B544" t="str">
            <v>CRBS NP1739 CRUISER KG</v>
          </cell>
          <cell r="C544">
            <v>0</v>
          </cell>
          <cell r="D544" t="str">
            <v>KG</v>
          </cell>
          <cell r="E544">
            <v>0.01</v>
          </cell>
          <cell r="G544">
            <v>100</v>
          </cell>
          <cell r="J544" t="str">
            <v>BA090</v>
          </cell>
          <cell r="K544">
            <v>1</v>
          </cell>
          <cell r="P544" t="str">
            <v>NP1739</v>
          </cell>
          <cell r="Q544" t="str">
            <v>01Z01ZZ01YG</v>
          </cell>
          <cell r="R544" t="str">
            <v>CA01</v>
          </cell>
          <cell r="S544">
            <v>0.01</v>
          </cell>
        </row>
        <row r="545">
          <cell r="A545">
            <v>509671</v>
          </cell>
          <cell r="B545" t="str">
            <v>CRBS NP1739 CRUISER KG</v>
          </cell>
          <cell r="C545">
            <v>0</v>
          </cell>
          <cell r="D545" t="str">
            <v>KG</v>
          </cell>
          <cell r="E545">
            <v>0.01</v>
          </cell>
          <cell r="G545">
            <v>100</v>
          </cell>
          <cell r="J545" t="str">
            <v>BA090</v>
          </cell>
          <cell r="K545">
            <v>1</v>
          </cell>
          <cell r="P545" t="str">
            <v>NP1739</v>
          </cell>
          <cell r="Q545" t="str">
            <v>01Z01ZZ01YG</v>
          </cell>
          <cell r="R545" t="str">
            <v>CA01</v>
          </cell>
          <cell r="S545">
            <v>0.01</v>
          </cell>
        </row>
        <row r="546">
          <cell r="A546">
            <v>509671</v>
          </cell>
          <cell r="B546" t="str">
            <v>CRBS NP1739 CRUISER KG</v>
          </cell>
          <cell r="C546">
            <v>0</v>
          </cell>
          <cell r="D546" t="str">
            <v>KG</v>
          </cell>
          <cell r="E546">
            <v>0.01</v>
          </cell>
          <cell r="G546">
            <v>100</v>
          </cell>
          <cell r="J546" t="str">
            <v>BA090</v>
          </cell>
          <cell r="K546">
            <v>1</v>
          </cell>
          <cell r="P546" t="str">
            <v>NP1739</v>
          </cell>
          <cell r="Q546" t="str">
            <v>01Z01ZZ01YG</v>
          </cell>
          <cell r="R546" t="str">
            <v>CA01</v>
          </cell>
          <cell r="S546">
            <v>0.01</v>
          </cell>
        </row>
        <row r="547">
          <cell r="A547">
            <v>509671</v>
          </cell>
          <cell r="B547" t="str">
            <v>CRBS NP1739 CRUISER KG</v>
          </cell>
          <cell r="C547">
            <v>0</v>
          </cell>
          <cell r="D547" t="str">
            <v>KG</v>
          </cell>
          <cell r="E547">
            <v>0.01</v>
          </cell>
          <cell r="G547">
            <v>100</v>
          </cell>
          <cell r="J547" t="str">
            <v>BA090</v>
          </cell>
          <cell r="K547">
            <v>1</v>
          </cell>
          <cell r="P547" t="str">
            <v>NP1739</v>
          </cell>
          <cell r="Q547" t="str">
            <v>01Z01ZZ01YG</v>
          </cell>
          <cell r="R547" t="str">
            <v>CA01</v>
          </cell>
          <cell r="S547">
            <v>0.01</v>
          </cell>
        </row>
        <row r="548">
          <cell r="A548">
            <v>509671</v>
          </cell>
          <cell r="B548" t="str">
            <v>CRBS NP1739 CRUISER KG</v>
          </cell>
          <cell r="C548">
            <v>0</v>
          </cell>
          <cell r="D548" t="str">
            <v>KG</v>
          </cell>
          <cell r="E548">
            <v>0.01</v>
          </cell>
          <cell r="G548">
            <v>100</v>
          </cell>
          <cell r="J548" t="str">
            <v>BA090</v>
          </cell>
          <cell r="K548">
            <v>1</v>
          </cell>
          <cell r="P548" t="str">
            <v>NP1739</v>
          </cell>
          <cell r="Q548" t="str">
            <v>01Z01ZZ01YG</v>
          </cell>
          <cell r="R548" t="str">
            <v>CA01</v>
          </cell>
          <cell r="S548">
            <v>0.01</v>
          </cell>
        </row>
        <row r="549">
          <cell r="A549">
            <v>509671</v>
          </cell>
          <cell r="B549" t="str">
            <v>CRBS NP1739 CRUISER KG</v>
          </cell>
          <cell r="C549">
            <v>0</v>
          </cell>
          <cell r="D549" t="str">
            <v>KG</v>
          </cell>
          <cell r="E549">
            <v>0.01</v>
          </cell>
          <cell r="G549">
            <v>100</v>
          </cell>
          <cell r="J549" t="str">
            <v>BA090</v>
          </cell>
          <cell r="K549">
            <v>1</v>
          </cell>
          <cell r="P549" t="str">
            <v>NP1739</v>
          </cell>
          <cell r="Q549" t="str">
            <v>01Z01ZZ01YG</v>
          </cell>
          <cell r="R549" t="str">
            <v>CA01</v>
          </cell>
          <cell r="S549">
            <v>0.01</v>
          </cell>
        </row>
        <row r="550">
          <cell r="A550">
            <v>509729</v>
          </cell>
          <cell r="B550" t="str">
            <v>CRBS NP1862 CRUISER KG</v>
          </cell>
          <cell r="C550">
            <v>0</v>
          </cell>
          <cell r="D550" t="str">
            <v>KG</v>
          </cell>
          <cell r="E550">
            <v>527.89</v>
          </cell>
          <cell r="G550">
            <v>100</v>
          </cell>
          <cell r="J550" t="str">
            <v>BA090</v>
          </cell>
          <cell r="K550">
            <v>1</v>
          </cell>
          <cell r="P550" t="str">
            <v>NP1862</v>
          </cell>
          <cell r="Q550" t="str">
            <v>01Z01ZZ01RI</v>
          </cell>
          <cell r="R550" t="str">
            <v>CA01</v>
          </cell>
        </row>
        <row r="551">
          <cell r="A551">
            <v>509729</v>
          </cell>
          <cell r="B551" t="str">
            <v>CRBS NP1862 CRUISER KG</v>
          </cell>
          <cell r="C551">
            <v>0</v>
          </cell>
          <cell r="D551" t="str">
            <v>KG</v>
          </cell>
          <cell r="E551">
            <v>527.89</v>
          </cell>
          <cell r="G551">
            <v>100</v>
          </cell>
          <cell r="J551" t="str">
            <v>BA090</v>
          </cell>
          <cell r="K551">
            <v>1</v>
          </cell>
          <cell r="P551" t="str">
            <v>NP1862</v>
          </cell>
          <cell r="Q551" t="str">
            <v>01Z01ZZ01RI</v>
          </cell>
          <cell r="R551" t="str">
            <v>CA01</v>
          </cell>
        </row>
        <row r="552">
          <cell r="A552">
            <v>509729</v>
          </cell>
          <cell r="B552" t="str">
            <v>CRBS NP1862 CRUISER KG</v>
          </cell>
          <cell r="C552">
            <v>0</v>
          </cell>
          <cell r="D552" t="str">
            <v>KG</v>
          </cell>
          <cell r="E552">
            <v>527.89</v>
          </cell>
          <cell r="G552">
            <v>100</v>
          </cell>
          <cell r="J552" t="str">
            <v>BA090</v>
          </cell>
          <cell r="K552">
            <v>1</v>
          </cell>
          <cell r="P552" t="str">
            <v>NP1862</v>
          </cell>
          <cell r="Q552" t="str">
            <v>01Z01ZZ01RI</v>
          </cell>
          <cell r="R552" t="str">
            <v>CA01</v>
          </cell>
        </row>
        <row r="553">
          <cell r="A553">
            <v>509729</v>
          </cell>
          <cell r="B553" t="str">
            <v>CRBS NP1862 CRUISER KG</v>
          </cell>
          <cell r="C553">
            <v>0</v>
          </cell>
          <cell r="D553" t="str">
            <v>KG</v>
          </cell>
          <cell r="E553">
            <v>527.89</v>
          </cell>
          <cell r="G553">
            <v>100</v>
          </cell>
          <cell r="J553" t="str">
            <v>BA090</v>
          </cell>
          <cell r="K553">
            <v>1</v>
          </cell>
          <cell r="P553" t="str">
            <v>NP1862</v>
          </cell>
          <cell r="Q553" t="str">
            <v>01Z01ZZ01RI</v>
          </cell>
          <cell r="R553" t="str">
            <v>CA01</v>
          </cell>
        </row>
        <row r="554">
          <cell r="A554">
            <v>509729</v>
          </cell>
          <cell r="B554" t="str">
            <v>CRBS NP1862 CRUISER KG</v>
          </cell>
          <cell r="C554">
            <v>0</v>
          </cell>
          <cell r="D554" t="str">
            <v>KG</v>
          </cell>
          <cell r="E554">
            <v>527.89</v>
          </cell>
          <cell r="G554">
            <v>100</v>
          </cell>
          <cell r="J554" t="str">
            <v>BA090</v>
          </cell>
          <cell r="K554">
            <v>1</v>
          </cell>
          <cell r="P554" t="str">
            <v>NP1862</v>
          </cell>
          <cell r="Q554" t="str">
            <v>01Z01ZZ01RI</v>
          </cell>
          <cell r="R554" t="str">
            <v>CA01</v>
          </cell>
        </row>
        <row r="555">
          <cell r="A555">
            <v>509729</v>
          </cell>
          <cell r="B555" t="str">
            <v>CRBS NP1862 CRUISER KG</v>
          </cell>
          <cell r="C555">
            <v>0</v>
          </cell>
          <cell r="D555" t="str">
            <v>KG</v>
          </cell>
          <cell r="E555">
            <v>527.89</v>
          </cell>
          <cell r="G555">
            <v>100</v>
          </cell>
          <cell r="J555" t="str">
            <v>BA090</v>
          </cell>
          <cell r="K555">
            <v>1</v>
          </cell>
          <cell r="P555" t="str">
            <v>NP1862</v>
          </cell>
          <cell r="Q555" t="str">
            <v>01Z01ZZ01RI</v>
          </cell>
          <cell r="R555" t="str">
            <v>CA01</v>
          </cell>
        </row>
        <row r="556">
          <cell r="A556">
            <v>509729</v>
          </cell>
          <cell r="B556" t="str">
            <v>CRBS NP1862 CRUISER KG</v>
          </cell>
          <cell r="C556">
            <v>0</v>
          </cell>
          <cell r="D556" t="str">
            <v>KG</v>
          </cell>
          <cell r="E556">
            <v>527.89</v>
          </cell>
          <cell r="G556">
            <v>100</v>
          </cell>
          <cell r="J556" t="str">
            <v>BA090</v>
          </cell>
          <cell r="K556">
            <v>1</v>
          </cell>
          <cell r="P556" t="str">
            <v>NP1862</v>
          </cell>
          <cell r="Q556" t="str">
            <v>01Z01ZZ01RI</v>
          </cell>
          <cell r="R556" t="str">
            <v>CA01</v>
          </cell>
        </row>
        <row r="557">
          <cell r="A557">
            <v>509729</v>
          </cell>
          <cell r="B557" t="str">
            <v>CRBS NP1862 CRUISER KG</v>
          </cell>
          <cell r="C557">
            <v>0</v>
          </cell>
          <cell r="D557" t="str">
            <v>KG</v>
          </cell>
          <cell r="E557">
            <v>527.89</v>
          </cell>
          <cell r="G557">
            <v>100</v>
          </cell>
          <cell r="J557" t="str">
            <v>BA090</v>
          </cell>
          <cell r="K557">
            <v>1</v>
          </cell>
          <cell r="P557" t="str">
            <v>NP1862</v>
          </cell>
          <cell r="Q557" t="str">
            <v>01Z01ZZ01RI</v>
          </cell>
          <cell r="R557" t="str">
            <v>CA01</v>
          </cell>
        </row>
        <row r="558">
          <cell r="A558">
            <v>509729</v>
          </cell>
          <cell r="B558" t="str">
            <v>CRBS NP1862 CRUISER KG</v>
          </cell>
          <cell r="C558">
            <v>0</v>
          </cell>
          <cell r="D558" t="str">
            <v>KG</v>
          </cell>
          <cell r="E558">
            <v>527.89</v>
          </cell>
          <cell r="G558">
            <v>100</v>
          </cell>
          <cell r="J558" t="str">
            <v>BA090</v>
          </cell>
          <cell r="K558">
            <v>1</v>
          </cell>
          <cell r="P558" t="str">
            <v>NP1862</v>
          </cell>
          <cell r="Q558" t="str">
            <v>01Z01ZZ01RI</v>
          </cell>
          <cell r="R558" t="str">
            <v>CA01</v>
          </cell>
        </row>
        <row r="559">
          <cell r="A559">
            <v>509729</v>
          </cell>
          <cell r="B559" t="str">
            <v>CRBS NP1862 CRUISER KG</v>
          </cell>
          <cell r="C559">
            <v>0</v>
          </cell>
          <cell r="D559" t="str">
            <v>KG</v>
          </cell>
          <cell r="E559">
            <v>527.89</v>
          </cell>
          <cell r="G559">
            <v>100</v>
          </cell>
          <cell r="J559" t="str">
            <v>BA090</v>
          </cell>
          <cell r="K559">
            <v>1</v>
          </cell>
          <cell r="P559" t="str">
            <v>NP1862</v>
          </cell>
          <cell r="Q559" t="str">
            <v>01Z01ZZ01RI</v>
          </cell>
          <cell r="R559" t="str">
            <v>CA01</v>
          </cell>
        </row>
        <row r="560">
          <cell r="A560">
            <v>509729</v>
          </cell>
          <cell r="B560" t="str">
            <v>CRBS NP1862 CRUISER KG</v>
          </cell>
          <cell r="C560">
            <v>0</v>
          </cell>
          <cell r="D560" t="str">
            <v>KG</v>
          </cell>
          <cell r="E560">
            <v>527.89</v>
          </cell>
          <cell r="G560">
            <v>100</v>
          </cell>
          <cell r="J560" t="str">
            <v>BA090</v>
          </cell>
          <cell r="K560">
            <v>1</v>
          </cell>
          <cell r="P560" t="str">
            <v>NP1862</v>
          </cell>
          <cell r="Q560" t="str">
            <v>01Z01ZZ01RI</v>
          </cell>
          <cell r="R560" t="str">
            <v>CA01</v>
          </cell>
        </row>
        <row r="561">
          <cell r="A561">
            <v>509729</v>
          </cell>
          <cell r="B561" t="str">
            <v>CRBS NP1862 CRUISER KG</v>
          </cell>
          <cell r="C561">
            <v>0</v>
          </cell>
          <cell r="D561" t="str">
            <v>KG</v>
          </cell>
          <cell r="E561">
            <v>527.89</v>
          </cell>
          <cell r="G561">
            <v>100</v>
          </cell>
          <cell r="J561" t="str">
            <v>BA090</v>
          </cell>
          <cell r="K561">
            <v>1</v>
          </cell>
          <cell r="P561" t="str">
            <v>NP1862</v>
          </cell>
          <cell r="Q561" t="str">
            <v>01Z01ZZ01RI</v>
          </cell>
          <cell r="R561" t="str">
            <v>CA01</v>
          </cell>
        </row>
        <row r="562">
          <cell r="A562">
            <v>509729</v>
          </cell>
          <cell r="B562" t="str">
            <v>CRBS NP1862 CRUISER KG</v>
          </cell>
          <cell r="C562">
            <v>0</v>
          </cell>
          <cell r="D562" t="str">
            <v>KG</v>
          </cell>
          <cell r="E562">
            <v>527.89</v>
          </cell>
          <cell r="G562">
            <v>100</v>
          </cell>
          <cell r="J562" t="str">
            <v>BA090</v>
          </cell>
          <cell r="K562">
            <v>1</v>
          </cell>
          <cell r="P562" t="str">
            <v>NP1862</v>
          </cell>
          <cell r="Q562" t="str">
            <v>01Z01ZZ01RI</v>
          </cell>
          <cell r="R562" t="str">
            <v>CA01</v>
          </cell>
        </row>
        <row r="563">
          <cell r="A563">
            <v>509729</v>
          </cell>
          <cell r="B563" t="str">
            <v>CRBS NP1862 CRUISER KG</v>
          </cell>
          <cell r="C563">
            <v>0</v>
          </cell>
          <cell r="D563" t="str">
            <v>KG</v>
          </cell>
          <cell r="E563">
            <v>527.89</v>
          </cell>
          <cell r="G563">
            <v>100</v>
          </cell>
          <cell r="J563" t="str">
            <v>BA090</v>
          </cell>
          <cell r="K563">
            <v>1</v>
          </cell>
          <cell r="P563" t="str">
            <v>NP1862</v>
          </cell>
          <cell r="Q563" t="str">
            <v>01Z01ZZ01RI</v>
          </cell>
          <cell r="R563" t="str">
            <v>CA01</v>
          </cell>
        </row>
        <row r="564">
          <cell r="A564">
            <v>509729</v>
          </cell>
          <cell r="B564" t="str">
            <v>CRBS NP1862 CRUISER KG</v>
          </cell>
          <cell r="C564">
            <v>0</v>
          </cell>
          <cell r="D564" t="str">
            <v>KG</v>
          </cell>
          <cell r="E564">
            <v>527.89</v>
          </cell>
          <cell r="G564">
            <v>100</v>
          </cell>
          <cell r="J564" t="str">
            <v>BA090</v>
          </cell>
          <cell r="K564">
            <v>1</v>
          </cell>
          <cell r="P564" t="str">
            <v>NP1862</v>
          </cell>
          <cell r="Q564" t="str">
            <v>01Z01ZZ01RI</v>
          </cell>
          <cell r="R564" t="str">
            <v>CA01</v>
          </cell>
        </row>
        <row r="565">
          <cell r="A565">
            <v>509729</v>
          </cell>
          <cell r="B565" t="str">
            <v>CRBS NP1862 CRUISER KG</v>
          </cell>
          <cell r="C565">
            <v>0</v>
          </cell>
          <cell r="D565" t="str">
            <v>KG</v>
          </cell>
          <cell r="E565">
            <v>527.89</v>
          </cell>
          <cell r="G565">
            <v>100</v>
          </cell>
          <cell r="J565" t="str">
            <v>BA090</v>
          </cell>
          <cell r="K565">
            <v>1</v>
          </cell>
          <cell r="P565" t="str">
            <v>NP1862</v>
          </cell>
          <cell r="Q565" t="str">
            <v>01Z01ZZ01RI</v>
          </cell>
          <cell r="R565" t="str">
            <v>CA01</v>
          </cell>
        </row>
        <row r="566">
          <cell r="A566">
            <v>509729</v>
          </cell>
          <cell r="B566" t="str">
            <v>CRBS NP1862 CRUISER KG</v>
          </cell>
          <cell r="C566">
            <v>0</v>
          </cell>
          <cell r="D566" t="str">
            <v>KG</v>
          </cell>
          <cell r="E566">
            <v>527.89</v>
          </cell>
          <cell r="G566">
            <v>100</v>
          </cell>
          <cell r="J566" t="str">
            <v>BA090</v>
          </cell>
          <cell r="K566">
            <v>1</v>
          </cell>
          <cell r="P566" t="str">
            <v>NP1862</v>
          </cell>
          <cell r="Q566" t="str">
            <v>01Z01ZZ01RI</v>
          </cell>
          <cell r="R566" t="str">
            <v>CA01</v>
          </cell>
        </row>
        <row r="567">
          <cell r="A567">
            <v>509729</v>
          </cell>
          <cell r="B567" t="str">
            <v>CRBS NP1862 CRUISER KG</v>
          </cell>
          <cell r="C567">
            <v>0</v>
          </cell>
          <cell r="D567" t="str">
            <v>KG</v>
          </cell>
          <cell r="E567">
            <v>527.89</v>
          </cell>
          <cell r="G567">
            <v>100</v>
          </cell>
          <cell r="J567" t="str">
            <v>BA090</v>
          </cell>
          <cell r="K567">
            <v>1</v>
          </cell>
          <cell r="P567" t="str">
            <v>NP1862</v>
          </cell>
          <cell r="Q567" t="str">
            <v>01Z01ZZ01RI</v>
          </cell>
          <cell r="R567" t="str">
            <v>CA01</v>
          </cell>
        </row>
        <row r="568">
          <cell r="A568">
            <v>509729</v>
          </cell>
          <cell r="B568" t="str">
            <v>CRBS NP1862 CRUISER KG</v>
          </cell>
          <cell r="C568">
            <v>0</v>
          </cell>
          <cell r="D568" t="str">
            <v>KG</v>
          </cell>
          <cell r="E568">
            <v>527.89</v>
          </cell>
          <cell r="G568">
            <v>100</v>
          </cell>
          <cell r="J568" t="str">
            <v>BA090</v>
          </cell>
          <cell r="K568">
            <v>1</v>
          </cell>
          <cell r="P568" t="str">
            <v>NP1862</v>
          </cell>
          <cell r="Q568" t="str">
            <v>01Z01ZZ01RI</v>
          </cell>
          <cell r="R568" t="str">
            <v>CA01</v>
          </cell>
        </row>
        <row r="569">
          <cell r="A569">
            <v>509729</v>
          </cell>
          <cell r="B569" t="str">
            <v>CRBS NP1862 CRUISER KG</v>
          </cell>
          <cell r="C569">
            <v>0</v>
          </cell>
          <cell r="D569" t="str">
            <v>KG</v>
          </cell>
          <cell r="E569">
            <v>527.89</v>
          </cell>
          <cell r="G569">
            <v>100</v>
          </cell>
          <cell r="J569" t="str">
            <v>BA090</v>
          </cell>
          <cell r="K569">
            <v>1</v>
          </cell>
          <cell r="P569" t="str">
            <v>NP1862</v>
          </cell>
          <cell r="Q569" t="str">
            <v>01Z01ZZ01RI</v>
          </cell>
          <cell r="R569" t="str">
            <v>CA01</v>
          </cell>
        </row>
        <row r="570">
          <cell r="A570">
            <v>509729</v>
          </cell>
          <cell r="B570" t="str">
            <v>CRBS NP1862 CRUISER KG</v>
          </cell>
          <cell r="C570">
            <v>0</v>
          </cell>
          <cell r="D570" t="str">
            <v>KG</v>
          </cell>
          <cell r="E570">
            <v>527.89</v>
          </cell>
          <cell r="G570">
            <v>100</v>
          </cell>
          <cell r="J570" t="str">
            <v>BA090</v>
          </cell>
          <cell r="K570">
            <v>1</v>
          </cell>
          <cell r="P570" t="str">
            <v>NP1862</v>
          </cell>
          <cell r="Q570" t="str">
            <v>01Z01ZZ01RI</v>
          </cell>
          <cell r="R570" t="str">
            <v>CA01</v>
          </cell>
        </row>
        <row r="571">
          <cell r="A571">
            <v>509729</v>
          </cell>
          <cell r="B571" t="str">
            <v>CRBS NP1862 CRUISER KG</v>
          </cell>
          <cell r="C571">
            <v>0</v>
          </cell>
          <cell r="D571" t="str">
            <v>KG</v>
          </cell>
          <cell r="E571">
            <v>527.89</v>
          </cell>
          <cell r="G571">
            <v>100</v>
          </cell>
          <cell r="J571" t="str">
            <v>BA090</v>
          </cell>
          <cell r="K571">
            <v>1</v>
          </cell>
          <cell r="P571" t="str">
            <v>NP1862</v>
          </cell>
          <cell r="Q571" t="str">
            <v>01Z01ZZ01RI</v>
          </cell>
          <cell r="R571" t="str">
            <v>CA01</v>
          </cell>
        </row>
        <row r="572">
          <cell r="A572">
            <v>509729</v>
          </cell>
          <cell r="B572" t="str">
            <v>CRBS NP1862 CRUISER KG</v>
          </cell>
          <cell r="C572">
            <v>0</v>
          </cell>
          <cell r="D572" t="str">
            <v>KG</v>
          </cell>
          <cell r="E572">
            <v>527.89</v>
          </cell>
          <cell r="G572">
            <v>100</v>
          </cell>
          <cell r="J572" t="str">
            <v>BA090</v>
          </cell>
          <cell r="K572">
            <v>1</v>
          </cell>
          <cell r="P572" t="str">
            <v>NP1862</v>
          </cell>
          <cell r="Q572" t="str">
            <v>01Z01ZZ01RI</v>
          </cell>
          <cell r="R572" t="str">
            <v>CA01</v>
          </cell>
        </row>
        <row r="573">
          <cell r="A573">
            <v>509729</v>
          </cell>
          <cell r="B573" t="str">
            <v>CRBS NP1862 CRUISER KG</v>
          </cell>
          <cell r="C573">
            <v>0</v>
          </cell>
          <cell r="D573" t="str">
            <v>KG</v>
          </cell>
          <cell r="E573">
            <v>527.89</v>
          </cell>
          <cell r="G573">
            <v>100</v>
          </cell>
          <cell r="J573" t="str">
            <v>BA090</v>
          </cell>
          <cell r="K573">
            <v>1</v>
          </cell>
          <cell r="P573" t="str">
            <v>NP1862</v>
          </cell>
          <cell r="Q573" t="str">
            <v>01Z01ZZ01RI</v>
          </cell>
          <cell r="R573" t="str">
            <v>CA01</v>
          </cell>
        </row>
        <row r="574">
          <cell r="A574">
            <v>509729</v>
          </cell>
          <cell r="B574" t="str">
            <v>CRBS NP1862 CRUISER KG</v>
          </cell>
          <cell r="C574">
            <v>0</v>
          </cell>
          <cell r="D574" t="str">
            <v>KG</v>
          </cell>
          <cell r="E574">
            <v>527.89</v>
          </cell>
          <cell r="G574">
            <v>100</v>
          </cell>
          <cell r="J574" t="str">
            <v>BA090</v>
          </cell>
          <cell r="K574">
            <v>1</v>
          </cell>
          <cell r="P574" t="str">
            <v>NP1862</v>
          </cell>
          <cell r="Q574" t="str">
            <v>01Z01ZZ01RI</v>
          </cell>
          <cell r="R574" t="str">
            <v>CA01</v>
          </cell>
        </row>
        <row r="575">
          <cell r="A575">
            <v>509729</v>
          </cell>
          <cell r="B575" t="str">
            <v>CRBS NP1862 CRUISER KG</v>
          </cell>
          <cell r="C575">
            <v>0</v>
          </cell>
          <cell r="D575" t="str">
            <v>KG</v>
          </cell>
          <cell r="E575">
            <v>527.89</v>
          </cell>
          <cell r="G575">
            <v>100</v>
          </cell>
          <cell r="J575" t="str">
            <v>BA090</v>
          </cell>
          <cell r="K575">
            <v>1</v>
          </cell>
          <cell r="P575" t="str">
            <v>NP1862</v>
          </cell>
          <cell r="Q575" t="str">
            <v>01Z01ZZ01RI</v>
          </cell>
          <cell r="R575" t="str">
            <v>CA01</v>
          </cell>
        </row>
        <row r="576">
          <cell r="A576">
            <v>509729</v>
          </cell>
          <cell r="B576" t="str">
            <v>CRBS NP1862 CRUISER KG</v>
          </cell>
          <cell r="C576">
            <v>0</v>
          </cell>
          <cell r="D576" t="str">
            <v>KG</v>
          </cell>
          <cell r="E576">
            <v>527.89</v>
          </cell>
          <cell r="G576">
            <v>100</v>
          </cell>
          <cell r="J576" t="str">
            <v>BA090</v>
          </cell>
          <cell r="K576">
            <v>1</v>
          </cell>
          <cell r="P576" t="str">
            <v>NP1862</v>
          </cell>
          <cell r="Q576" t="str">
            <v>01Z01ZZ01RI</v>
          </cell>
          <cell r="R576" t="str">
            <v>CA01</v>
          </cell>
        </row>
        <row r="577">
          <cell r="A577">
            <v>509729</v>
          </cell>
          <cell r="B577" t="str">
            <v>CRBS NP1862 CRUISER KG</v>
          </cell>
          <cell r="C577">
            <v>0</v>
          </cell>
          <cell r="D577" t="str">
            <v>KG</v>
          </cell>
          <cell r="E577">
            <v>527.89</v>
          </cell>
          <cell r="G577">
            <v>100</v>
          </cell>
          <cell r="J577" t="str">
            <v>BA090</v>
          </cell>
          <cell r="K577">
            <v>1</v>
          </cell>
          <cell r="P577" t="str">
            <v>NP1862</v>
          </cell>
          <cell r="Q577" t="str">
            <v>01Z01ZZ01RI</v>
          </cell>
          <cell r="R577" t="str">
            <v>CA01</v>
          </cell>
        </row>
        <row r="578">
          <cell r="A578">
            <v>509729</v>
          </cell>
          <cell r="B578" t="str">
            <v>CRBS NP1862 CRUISER KG</v>
          </cell>
          <cell r="C578">
            <v>0</v>
          </cell>
          <cell r="D578" t="str">
            <v>KG</v>
          </cell>
          <cell r="E578">
            <v>527.89</v>
          </cell>
          <cell r="G578">
            <v>100</v>
          </cell>
          <cell r="J578" t="str">
            <v>BA090</v>
          </cell>
          <cell r="K578">
            <v>1</v>
          </cell>
          <cell r="P578" t="str">
            <v>NP1862</v>
          </cell>
          <cell r="Q578" t="str">
            <v>01Z01ZZ01RI</v>
          </cell>
          <cell r="R578" t="str">
            <v>CA01</v>
          </cell>
        </row>
        <row r="579">
          <cell r="A579">
            <v>509729</v>
          </cell>
          <cell r="B579" t="str">
            <v>CRBS NP1862 CRUISER KG</v>
          </cell>
          <cell r="C579">
            <v>0</v>
          </cell>
          <cell r="D579" t="str">
            <v>KG</v>
          </cell>
          <cell r="E579">
            <v>527.89</v>
          </cell>
          <cell r="G579">
            <v>100</v>
          </cell>
          <cell r="J579" t="str">
            <v>BA090</v>
          </cell>
          <cell r="K579">
            <v>1</v>
          </cell>
          <cell r="P579" t="str">
            <v>NP1862</v>
          </cell>
          <cell r="Q579" t="str">
            <v>01Z01ZZ01RI</v>
          </cell>
          <cell r="R579" t="str">
            <v>CA01</v>
          </cell>
        </row>
        <row r="580">
          <cell r="A580">
            <v>509729</v>
          </cell>
          <cell r="B580" t="str">
            <v>CRBS NP1862 CRUISER KG</v>
          </cell>
          <cell r="C580">
            <v>0</v>
          </cell>
          <cell r="D580" t="str">
            <v>KG</v>
          </cell>
          <cell r="E580">
            <v>527.89</v>
          </cell>
          <cell r="G580">
            <v>100</v>
          </cell>
          <cell r="J580" t="str">
            <v>BA090</v>
          </cell>
          <cell r="K580">
            <v>1</v>
          </cell>
          <cell r="P580" t="str">
            <v>NP1862</v>
          </cell>
          <cell r="Q580" t="str">
            <v>01Z01ZZ01RI</v>
          </cell>
          <cell r="R580" t="str">
            <v>CA01</v>
          </cell>
        </row>
        <row r="581">
          <cell r="A581">
            <v>509729</v>
          </cell>
          <cell r="B581" t="str">
            <v>CRBS NP1862 CRUISER KG</v>
          </cell>
          <cell r="C581">
            <v>0</v>
          </cell>
          <cell r="D581" t="str">
            <v>KG</v>
          </cell>
          <cell r="E581">
            <v>527.89</v>
          </cell>
          <cell r="G581">
            <v>100</v>
          </cell>
          <cell r="J581" t="str">
            <v>BA090</v>
          </cell>
          <cell r="K581">
            <v>1</v>
          </cell>
          <cell r="P581" t="str">
            <v>NP1862</v>
          </cell>
          <cell r="Q581" t="str">
            <v>01Z01ZZ01RI</v>
          </cell>
          <cell r="R581" t="str">
            <v>CA01</v>
          </cell>
        </row>
        <row r="582">
          <cell r="A582">
            <v>509729</v>
          </cell>
          <cell r="B582" t="str">
            <v>CRBS NP1862 CRUISER KG</v>
          </cell>
          <cell r="C582">
            <v>0</v>
          </cell>
          <cell r="D582" t="str">
            <v>KG</v>
          </cell>
          <cell r="E582">
            <v>527.89</v>
          </cell>
          <cell r="G582">
            <v>100</v>
          </cell>
          <cell r="J582" t="str">
            <v>BA090</v>
          </cell>
          <cell r="K582">
            <v>1</v>
          </cell>
          <cell r="P582" t="str">
            <v>NP1862</v>
          </cell>
          <cell r="Q582" t="str">
            <v>01Z01ZZ01RI</v>
          </cell>
          <cell r="R582" t="str">
            <v>CA01</v>
          </cell>
        </row>
        <row r="583">
          <cell r="A583">
            <v>509729</v>
          </cell>
          <cell r="B583" t="str">
            <v>CRBS NP1862 CRUISER KG</v>
          </cell>
          <cell r="C583">
            <v>0</v>
          </cell>
          <cell r="D583" t="str">
            <v>KG</v>
          </cell>
          <cell r="E583">
            <v>527.89</v>
          </cell>
          <cell r="G583">
            <v>100</v>
          </cell>
          <cell r="J583" t="str">
            <v>BA090</v>
          </cell>
          <cell r="K583">
            <v>1</v>
          </cell>
          <cell r="P583" t="str">
            <v>NP1862</v>
          </cell>
          <cell r="Q583" t="str">
            <v>01Z01ZZ01RI</v>
          </cell>
          <cell r="R583" t="str">
            <v>CA01</v>
          </cell>
        </row>
        <row r="584">
          <cell r="A584">
            <v>509729</v>
          </cell>
          <cell r="B584" t="str">
            <v>CRBS NP1862 CRUISER KG</v>
          </cell>
          <cell r="C584">
            <v>0</v>
          </cell>
          <cell r="D584" t="str">
            <v>KG</v>
          </cell>
          <cell r="E584">
            <v>527.89</v>
          </cell>
          <cell r="G584">
            <v>100</v>
          </cell>
          <cell r="J584" t="str">
            <v>BA090</v>
          </cell>
          <cell r="K584">
            <v>1</v>
          </cell>
          <cell r="P584" t="str">
            <v>NP1862</v>
          </cell>
          <cell r="Q584" t="str">
            <v>01Z01ZZ01RI</v>
          </cell>
          <cell r="R584" t="str">
            <v>CA01</v>
          </cell>
        </row>
        <row r="585">
          <cell r="A585">
            <v>509729</v>
          </cell>
          <cell r="B585" t="str">
            <v>CRBS NP1862 CRUISER KG</v>
          </cell>
          <cell r="C585">
            <v>0</v>
          </cell>
          <cell r="D585" t="str">
            <v>KG</v>
          </cell>
          <cell r="E585">
            <v>527.89</v>
          </cell>
          <cell r="G585">
            <v>100</v>
          </cell>
          <cell r="J585" t="str">
            <v>BA090</v>
          </cell>
          <cell r="K585">
            <v>1</v>
          </cell>
          <cell r="P585" t="str">
            <v>NP1862</v>
          </cell>
          <cell r="Q585" t="str">
            <v>01Z01ZZ01RI</v>
          </cell>
          <cell r="R585" t="str">
            <v>CA01</v>
          </cell>
        </row>
        <row r="586">
          <cell r="A586">
            <v>509729</v>
          </cell>
          <cell r="B586" t="str">
            <v>CRBS NP1862 CRUISER KG</v>
          </cell>
          <cell r="C586">
            <v>0</v>
          </cell>
          <cell r="D586" t="str">
            <v>KG</v>
          </cell>
          <cell r="E586">
            <v>527.89</v>
          </cell>
          <cell r="G586">
            <v>100</v>
          </cell>
          <cell r="J586" t="str">
            <v>BA090</v>
          </cell>
          <cell r="K586">
            <v>1</v>
          </cell>
          <cell r="P586" t="str">
            <v>NP1862</v>
          </cell>
          <cell r="Q586" t="str">
            <v>01Z01ZZ01RI</v>
          </cell>
          <cell r="R586" t="str">
            <v>CA01</v>
          </cell>
        </row>
        <row r="587">
          <cell r="A587">
            <v>509729</v>
          </cell>
          <cell r="B587" t="str">
            <v>CRBS NP1862 CRUISER KG</v>
          </cell>
          <cell r="C587">
            <v>0</v>
          </cell>
          <cell r="D587" t="str">
            <v>KG</v>
          </cell>
          <cell r="E587">
            <v>527.89</v>
          </cell>
          <cell r="G587">
            <v>100</v>
          </cell>
          <cell r="J587" t="str">
            <v>BA090</v>
          </cell>
          <cell r="K587">
            <v>1</v>
          </cell>
          <cell r="P587" t="str">
            <v>NP1862</v>
          </cell>
          <cell r="Q587" t="str">
            <v>01Z01ZZ01RI</v>
          </cell>
          <cell r="R587" t="str">
            <v>CA01</v>
          </cell>
        </row>
        <row r="588">
          <cell r="A588">
            <v>509729</v>
          </cell>
          <cell r="B588" t="str">
            <v>CRBS NP1862 CRUISER KG</v>
          </cell>
          <cell r="C588">
            <v>0</v>
          </cell>
          <cell r="D588" t="str">
            <v>KG</v>
          </cell>
          <cell r="E588">
            <v>527.89</v>
          </cell>
          <cell r="G588">
            <v>100</v>
          </cell>
          <cell r="J588" t="str">
            <v>BA090</v>
          </cell>
          <cell r="K588">
            <v>1</v>
          </cell>
          <cell r="P588" t="str">
            <v>NP1862</v>
          </cell>
          <cell r="Q588" t="str">
            <v>01Z01ZZ01RI</v>
          </cell>
          <cell r="R588" t="str">
            <v>CA01</v>
          </cell>
        </row>
        <row r="589">
          <cell r="A589">
            <v>509729</v>
          </cell>
          <cell r="B589" t="str">
            <v>CRBS NP1862 CRUISER KG</v>
          </cell>
          <cell r="C589">
            <v>0</v>
          </cell>
          <cell r="D589" t="str">
            <v>KG</v>
          </cell>
          <cell r="E589">
            <v>527.89</v>
          </cell>
          <cell r="G589">
            <v>100</v>
          </cell>
          <cell r="J589" t="str">
            <v>BA090</v>
          </cell>
          <cell r="K589">
            <v>1</v>
          </cell>
          <cell r="P589" t="str">
            <v>NP1862</v>
          </cell>
          <cell r="Q589" t="str">
            <v>01Z01ZZ01RI</v>
          </cell>
          <cell r="R589" t="str">
            <v>CA01</v>
          </cell>
        </row>
        <row r="590">
          <cell r="A590">
            <v>509729</v>
          </cell>
          <cell r="B590" t="str">
            <v>CRBS NP1862 CRUISER KG</v>
          </cell>
          <cell r="C590">
            <v>0</v>
          </cell>
          <cell r="D590" t="str">
            <v>KG</v>
          </cell>
          <cell r="E590">
            <v>527.89</v>
          </cell>
          <cell r="G590">
            <v>100</v>
          </cell>
          <cell r="J590" t="str">
            <v>BA090</v>
          </cell>
          <cell r="K590">
            <v>1</v>
          </cell>
          <cell r="P590" t="str">
            <v>NP1862</v>
          </cell>
          <cell r="Q590" t="str">
            <v>01Z01ZZ01RI</v>
          </cell>
          <cell r="R590" t="str">
            <v>CA01</v>
          </cell>
        </row>
        <row r="591">
          <cell r="A591">
            <v>509729</v>
          </cell>
          <cell r="B591" t="str">
            <v>CRBS NP1862 CRUISER KG</v>
          </cell>
          <cell r="C591">
            <v>0</v>
          </cell>
          <cell r="D591" t="str">
            <v>KG</v>
          </cell>
          <cell r="E591">
            <v>527.89</v>
          </cell>
          <cell r="G591">
            <v>100</v>
          </cell>
          <cell r="J591" t="str">
            <v>BA090</v>
          </cell>
          <cell r="K591">
            <v>1</v>
          </cell>
          <cell r="P591" t="str">
            <v>NP1862</v>
          </cell>
          <cell r="Q591" t="str">
            <v>01Z01ZZ01RI</v>
          </cell>
          <cell r="R591" t="str">
            <v>CA01</v>
          </cell>
        </row>
        <row r="592">
          <cell r="A592">
            <v>509729</v>
          </cell>
          <cell r="B592" t="str">
            <v>CRBS NP1862 CRUISER KG</v>
          </cell>
          <cell r="C592">
            <v>0</v>
          </cell>
          <cell r="D592" t="str">
            <v>KG</v>
          </cell>
          <cell r="E592">
            <v>527.89</v>
          </cell>
          <cell r="G592">
            <v>100</v>
          </cell>
          <cell r="J592" t="str">
            <v>BA090</v>
          </cell>
          <cell r="K592">
            <v>1</v>
          </cell>
          <cell r="P592" t="str">
            <v>NP1862</v>
          </cell>
          <cell r="Q592" t="str">
            <v>01Z01ZZ01RI</v>
          </cell>
          <cell r="R592" t="str">
            <v>CA01</v>
          </cell>
        </row>
        <row r="593">
          <cell r="A593">
            <v>509729</v>
          </cell>
          <cell r="B593" t="str">
            <v>CRBS NP1862 CRUISER KG</v>
          </cell>
          <cell r="C593">
            <v>0</v>
          </cell>
          <cell r="D593" t="str">
            <v>KG</v>
          </cell>
          <cell r="E593">
            <v>527.89</v>
          </cell>
          <cell r="G593">
            <v>100</v>
          </cell>
          <cell r="J593" t="str">
            <v>BA090</v>
          </cell>
          <cell r="K593">
            <v>1</v>
          </cell>
          <cell r="P593" t="str">
            <v>NP1862</v>
          </cell>
          <cell r="Q593" t="str">
            <v>01Z01ZZ01RI</v>
          </cell>
          <cell r="R593" t="str">
            <v>CA01</v>
          </cell>
        </row>
        <row r="594">
          <cell r="A594">
            <v>509729</v>
          </cell>
          <cell r="B594" t="str">
            <v>CRBS NP1862 CRUISER KG</v>
          </cell>
          <cell r="C594">
            <v>0</v>
          </cell>
          <cell r="D594" t="str">
            <v>KG</v>
          </cell>
          <cell r="E594">
            <v>527.89</v>
          </cell>
          <cell r="G594">
            <v>100</v>
          </cell>
          <cell r="J594" t="str">
            <v>BA090</v>
          </cell>
          <cell r="K594">
            <v>1</v>
          </cell>
          <cell r="P594" t="str">
            <v>NP1862</v>
          </cell>
          <cell r="Q594" t="str">
            <v>01Z01ZZ01RI</v>
          </cell>
          <cell r="R594" t="str">
            <v>CA01</v>
          </cell>
        </row>
        <row r="595">
          <cell r="A595">
            <v>509729</v>
          </cell>
          <cell r="B595" t="str">
            <v>CRBS NP1862 CRUISER KG</v>
          </cell>
          <cell r="C595">
            <v>0</v>
          </cell>
          <cell r="D595" t="str">
            <v>KG</v>
          </cell>
          <cell r="E595">
            <v>527.89</v>
          </cell>
          <cell r="G595">
            <v>100</v>
          </cell>
          <cell r="J595" t="str">
            <v>BA090</v>
          </cell>
          <cell r="K595">
            <v>1</v>
          </cell>
          <cell r="P595" t="str">
            <v>NP1862</v>
          </cell>
          <cell r="Q595" t="str">
            <v>01Z01ZZ01RI</v>
          </cell>
          <cell r="R595" t="str">
            <v>CA01</v>
          </cell>
        </row>
        <row r="596">
          <cell r="A596">
            <v>509729</v>
          </cell>
          <cell r="B596" t="str">
            <v>CRBS NP1862 CRUISER KG</v>
          </cell>
          <cell r="C596">
            <v>0</v>
          </cell>
          <cell r="D596" t="str">
            <v>KG</v>
          </cell>
          <cell r="E596">
            <v>527.89</v>
          </cell>
          <cell r="G596">
            <v>100</v>
          </cell>
          <cell r="J596" t="str">
            <v>BA090</v>
          </cell>
          <cell r="K596">
            <v>1</v>
          </cell>
          <cell r="P596" t="str">
            <v>NP1862</v>
          </cell>
          <cell r="Q596" t="str">
            <v>01Z01ZZ01RI</v>
          </cell>
          <cell r="R596" t="str">
            <v>CA01</v>
          </cell>
        </row>
        <row r="597">
          <cell r="A597">
            <v>509729</v>
          </cell>
          <cell r="B597" t="str">
            <v>CRBS NP1862 CRUISER KG</v>
          </cell>
          <cell r="C597">
            <v>0</v>
          </cell>
          <cell r="D597" t="str">
            <v>KG</v>
          </cell>
          <cell r="E597">
            <v>527.89</v>
          </cell>
          <cell r="G597">
            <v>100</v>
          </cell>
          <cell r="J597" t="str">
            <v>BA090</v>
          </cell>
          <cell r="K597">
            <v>1</v>
          </cell>
          <cell r="P597" t="str">
            <v>NP1862</v>
          </cell>
          <cell r="Q597" t="str">
            <v>01Z01ZZ01RI</v>
          </cell>
          <cell r="R597" t="str">
            <v>CA01</v>
          </cell>
        </row>
        <row r="598">
          <cell r="A598">
            <v>509729</v>
          </cell>
          <cell r="B598" t="str">
            <v>CRBS NP1862 CRUISER KG</v>
          </cell>
          <cell r="C598">
            <v>0</v>
          </cell>
          <cell r="D598" t="str">
            <v>KG</v>
          </cell>
          <cell r="E598">
            <v>527.89</v>
          </cell>
          <cell r="G598">
            <v>100</v>
          </cell>
          <cell r="J598" t="str">
            <v>BA090</v>
          </cell>
          <cell r="K598">
            <v>1</v>
          </cell>
          <cell r="P598" t="str">
            <v>NP1862</v>
          </cell>
          <cell r="Q598" t="str">
            <v>01Z01ZZ01RI</v>
          </cell>
          <cell r="R598" t="str">
            <v>CA01</v>
          </cell>
        </row>
        <row r="599">
          <cell r="A599">
            <v>509751</v>
          </cell>
          <cell r="B599" t="str">
            <v>CRBS NP1932 CRUISER KG</v>
          </cell>
          <cell r="C599">
            <v>0</v>
          </cell>
          <cell r="D599" t="str">
            <v>KG</v>
          </cell>
          <cell r="E599">
            <v>0.01</v>
          </cell>
          <cell r="G599">
            <v>100</v>
          </cell>
          <cell r="J599" t="str">
            <v>BA090</v>
          </cell>
          <cell r="K599">
            <v>1</v>
          </cell>
          <cell r="P599" t="str">
            <v>NP1932</v>
          </cell>
          <cell r="Q599" t="str">
            <v>01Z01000174</v>
          </cell>
          <cell r="R599" t="str">
            <v>CA01</v>
          </cell>
          <cell r="S599">
            <v>0.01</v>
          </cell>
        </row>
        <row r="600">
          <cell r="A600">
            <v>509751</v>
          </cell>
          <cell r="B600" t="str">
            <v>CRBS NP1932 CRUISER KG</v>
          </cell>
          <cell r="C600">
            <v>0</v>
          </cell>
          <cell r="D600" t="str">
            <v>KG</v>
          </cell>
          <cell r="E600">
            <v>0.01</v>
          </cell>
          <cell r="G600">
            <v>100</v>
          </cell>
          <cell r="J600" t="str">
            <v>BA090</v>
          </cell>
          <cell r="K600">
            <v>1</v>
          </cell>
          <cell r="P600" t="str">
            <v>NP1932</v>
          </cell>
          <cell r="Q600" t="str">
            <v>01Z01000174</v>
          </cell>
          <cell r="R600" t="str">
            <v>CA01</v>
          </cell>
          <cell r="S600">
            <v>0.01</v>
          </cell>
        </row>
        <row r="601">
          <cell r="A601">
            <v>509751</v>
          </cell>
          <cell r="B601" t="str">
            <v>CRBS NP1932 CRUISER KG</v>
          </cell>
          <cell r="C601">
            <v>0</v>
          </cell>
          <cell r="D601" t="str">
            <v>KG</v>
          </cell>
          <cell r="E601">
            <v>0.01</v>
          </cell>
          <cell r="G601">
            <v>100</v>
          </cell>
          <cell r="J601" t="str">
            <v>BA090</v>
          </cell>
          <cell r="K601">
            <v>1</v>
          </cell>
          <cell r="P601" t="str">
            <v>NP1932</v>
          </cell>
          <cell r="Q601" t="str">
            <v>01Z01000174</v>
          </cell>
          <cell r="R601" t="str">
            <v>CA01</v>
          </cell>
          <cell r="S601">
            <v>0.01</v>
          </cell>
        </row>
        <row r="602">
          <cell r="A602">
            <v>509751</v>
          </cell>
          <cell r="B602" t="str">
            <v>CRBS NP1932 CRUISER KG</v>
          </cell>
          <cell r="C602">
            <v>0</v>
          </cell>
          <cell r="D602" t="str">
            <v>KG</v>
          </cell>
          <cell r="E602">
            <v>0.01</v>
          </cell>
          <cell r="G602">
            <v>100</v>
          </cell>
          <cell r="J602" t="str">
            <v>BA090</v>
          </cell>
          <cell r="K602">
            <v>1</v>
          </cell>
          <cell r="P602" t="str">
            <v>NP1932</v>
          </cell>
          <cell r="Q602" t="str">
            <v>01Z01000174</v>
          </cell>
          <cell r="R602" t="str">
            <v>CA01</v>
          </cell>
          <cell r="S602">
            <v>0.01</v>
          </cell>
        </row>
        <row r="603">
          <cell r="A603">
            <v>509751</v>
          </cell>
          <cell r="B603" t="str">
            <v>CRBS NP1932 CRUISER KG</v>
          </cell>
          <cell r="C603">
            <v>0</v>
          </cell>
          <cell r="D603" t="str">
            <v>KG</v>
          </cell>
          <cell r="E603">
            <v>0.01</v>
          </cell>
          <cell r="G603">
            <v>100</v>
          </cell>
          <cell r="J603" t="str">
            <v>BA090</v>
          </cell>
          <cell r="K603">
            <v>1</v>
          </cell>
          <cell r="P603" t="str">
            <v>NP1932</v>
          </cell>
          <cell r="Q603" t="str">
            <v>01Z01000174</v>
          </cell>
          <cell r="R603" t="str">
            <v>CA01</v>
          </cell>
          <cell r="S603">
            <v>0.01</v>
          </cell>
        </row>
        <row r="604">
          <cell r="A604">
            <v>509751</v>
          </cell>
          <cell r="B604" t="str">
            <v>CRBS NP1932 CRUISER KG</v>
          </cell>
          <cell r="C604">
            <v>0</v>
          </cell>
          <cell r="D604" t="str">
            <v>KG</v>
          </cell>
          <cell r="E604">
            <v>0.01</v>
          </cell>
          <cell r="G604">
            <v>100</v>
          </cell>
          <cell r="J604" t="str">
            <v>BA090</v>
          </cell>
          <cell r="K604">
            <v>1</v>
          </cell>
          <cell r="P604" t="str">
            <v>NP1932</v>
          </cell>
          <cell r="Q604" t="str">
            <v>01Z01000174</v>
          </cell>
          <cell r="R604" t="str">
            <v>CA01</v>
          </cell>
          <cell r="S604">
            <v>0.01</v>
          </cell>
        </row>
        <row r="605">
          <cell r="A605">
            <v>509751</v>
          </cell>
          <cell r="B605" t="str">
            <v>CRBS NP1932 CRUISER KG</v>
          </cell>
          <cell r="C605">
            <v>0</v>
          </cell>
          <cell r="D605" t="str">
            <v>KG</v>
          </cell>
          <cell r="E605">
            <v>0.01</v>
          </cell>
          <cell r="G605">
            <v>100</v>
          </cell>
          <cell r="J605" t="str">
            <v>BA090</v>
          </cell>
          <cell r="K605">
            <v>1</v>
          </cell>
          <cell r="P605" t="str">
            <v>NP1932</v>
          </cell>
          <cell r="Q605" t="str">
            <v>01Z01000174</v>
          </cell>
          <cell r="R605" t="str">
            <v>CA01</v>
          </cell>
          <cell r="S605">
            <v>0.01</v>
          </cell>
        </row>
        <row r="606">
          <cell r="A606">
            <v>509751</v>
          </cell>
          <cell r="B606" t="str">
            <v>CRBS NP1932 CRUISER KG</v>
          </cell>
          <cell r="C606">
            <v>0</v>
          </cell>
          <cell r="D606" t="str">
            <v>KG</v>
          </cell>
          <cell r="E606">
            <v>0.01</v>
          </cell>
          <cell r="G606">
            <v>100</v>
          </cell>
          <cell r="J606" t="str">
            <v>BA090</v>
          </cell>
          <cell r="K606">
            <v>1</v>
          </cell>
          <cell r="P606" t="str">
            <v>NP1932</v>
          </cell>
          <cell r="Q606" t="str">
            <v>01Z01000174</v>
          </cell>
          <cell r="R606" t="str">
            <v>CA01</v>
          </cell>
          <cell r="S606">
            <v>0.01</v>
          </cell>
        </row>
        <row r="607">
          <cell r="A607">
            <v>509751</v>
          </cell>
          <cell r="B607" t="str">
            <v>CRBS NP1932 CRUISER KG</v>
          </cell>
          <cell r="C607">
            <v>0</v>
          </cell>
          <cell r="D607" t="str">
            <v>KG</v>
          </cell>
          <cell r="E607">
            <v>0.01</v>
          </cell>
          <cell r="G607">
            <v>100</v>
          </cell>
          <cell r="J607" t="str">
            <v>BA090</v>
          </cell>
          <cell r="K607">
            <v>1</v>
          </cell>
          <cell r="P607" t="str">
            <v>NP1932</v>
          </cell>
          <cell r="Q607" t="str">
            <v>01Z01000174</v>
          </cell>
          <cell r="R607" t="str">
            <v>CA01</v>
          </cell>
          <cell r="S607">
            <v>0.01</v>
          </cell>
        </row>
        <row r="608">
          <cell r="A608">
            <v>509751</v>
          </cell>
          <cell r="B608" t="str">
            <v>CRBS NP1932 CRUISER KG</v>
          </cell>
          <cell r="C608">
            <v>0</v>
          </cell>
          <cell r="D608" t="str">
            <v>KG</v>
          </cell>
          <cell r="E608">
            <v>0.01</v>
          </cell>
          <cell r="G608">
            <v>100</v>
          </cell>
          <cell r="J608" t="str">
            <v>BA090</v>
          </cell>
          <cell r="K608">
            <v>1</v>
          </cell>
          <cell r="P608" t="str">
            <v>NP1932</v>
          </cell>
          <cell r="Q608" t="str">
            <v>01Z01000174</v>
          </cell>
          <cell r="R608" t="str">
            <v>CA01</v>
          </cell>
          <cell r="S608">
            <v>0.01</v>
          </cell>
        </row>
        <row r="609">
          <cell r="A609">
            <v>509751</v>
          </cell>
          <cell r="B609" t="str">
            <v>CRBS NP1932 CRUISER KG</v>
          </cell>
          <cell r="C609">
            <v>0</v>
          </cell>
          <cell r="D609" t="str">
            <v>KG</v>
          </cell>
          <cell r="E609">
            <v>0.01</v>
          </cell>
          <cell r="G609">
            <v>100</v>
          </cell>
          <cell r="J609" t="str">
            <v>BA090</v>
          </cell>
          <cell r="K609">
            <v>1</v>
          </cell>
          <cell r="P609" t="str">
            <v>NP1932</v>
          </cell>
          <cell r="Q609" t="str">
            <v>01Z01000174</v>
          </cell>
          <cell r="R609" t="str">
            <v>CA01</v>
          </cell>
          <cell r="S609">
            <v>0.01</v>
          </cell>
        </row>
        <row r="610">
          <cell r="A610">
            <v>509751</v>
          </cell>
          <cell r="B610" t="str">
            <v>CRBS NP1932 CRUISER KG</v>
          </cell>
          <cell r="C610">
            <v>0</v>
          </cell>
          <cell r="D610" t="str">
            <v>KG</v>
          </cell>
          <cell r="E610">
            <v>0.01</v>
          </cell>
          <cell r="G610">
            <v>100</v>
          </cell>
          <cell r="J610" t="str">
            <v>BA090</v>
          </cell>
          <cell r="K610">
            <v>1</v>
          </cell>
          <cell r="P610" t="str">
            <v>NP1932</v>
          </cell>
          <cell r="Q610" t="str">
            <v>01Z01000174</v>
          </cell>
          <cell r="R610" t="str">
            <v>CA01</v>
          </cell>
          <cell r="S610">
            <v>0.01</v>
          </cell>
        </row>
        <row r="611">
          <cell r="A611">
            <v>509751</v>
          </cell>
          <cell r="B611" t="str">
            <v>CRBS NP1932 CRUISER KG</v>
          </cell>
          <cell r="C611">
            <v>0</v>
          </cell>
          <cell r="D611" t="str">
            <v>KG</v>
          </cell>
          <cell r="E611">
            <v>0.01</v>
          </cell>
          <cell r="G611">
            <v>100</v>
          </cell>
          <cell r="J611" t="str">
            <v>BA090</v>
          </cell>
          <cell r="K611">
            <v>1</v>
          </cell>
          <cell r="P611" t="str">
            <v>NP1932</v>
          </cell>
          <cell r="Q611" t="str">
            <v>01Z01000174</v>
          </cell>
          <cell r="R611" t="str">
            <v>CA01</v>
          </cell>
          <cell r="S611">
            <v>0.01</v>
          </cell>
        </row>
        <row r="612">
          <cell r="A612">
            <v>509751</v>
          </cell>
          <cell r="B612" t="str">
            <v>CRBS NP1932 CRUISER KG</v>
          </cell>
          <cell r="C612">
            <v>0</v>
          </cell>
          <cell r="D612" t="str">
            <v>KG</v>
          </cell>
          <cell r="E612">
            <v>0.01</v>
          </cell>
          <cell r="G612">
            <v>100</v>
          </cell>
          <cell r="J612" t="str">
            <v>BA090</v>
          </cell>
          <cell r="K612">
            <v>1</v>
          </cell>
          <cell r="P612" t="str">
            <v>NP1932</v>
          </cell>
          <cell r="Q612" t="str">
            <v>01Z01000174</v>
          </cell>
          <cell r="R612" t="str">
            <v>CA01</v>
          </cell>
          <cell r="S612">
            <v>0.01</v>
          </cell>
        </row>
        <row r="613">
          <cell r="A613">
            <v>509751</v>
          </cell>
          <cell r="B613" t="str">
            <v>CRBS NP1932 CRUISER KG</v>
          </cell>
          <cell r="C613">
            <v>0</v>
          </cell>
          <cell r="D613" t="str">
            <v>KG</v>
          </cell>
          <cell r="E613">
            <v>0.01</v>
          </cell>
          <cell r="G613">
            <v>100</v>
          </cell>
          <cell r="J613" t="str">
            <v>BA090</v>
          </cell>
          <cell r="K613">
            <v>1</v>
          </cell>
          <cell r="P613" t="str">
            <v>NP1932</v>
          </cell>
          <cell r="Q613" t="str">
            <v>01Z01000174</v>
          </cell>
          <cell r="R613" t="str">
            <v>CA01</v>
          </cell>
          <cell r="S613">
            <v>0.01</v>
          </cell>
        </row>
        <row r="614">
          <cell r="A614">
            <v>509751</v>
          </cell>
          <cell r="B614" t="str">
            <v>CRBS NP1932 CRUISER KG</v>
          </cell>
          <cell r="C614">
            <v>0</v>
          </cell>
          <cell r="D614" t="str">
            <v>KG</v>
          </cell>
          <cell r="E614">
            <v>0.01</v>
          </cell>
          <cell r="G614">
            <v>100</v>
          </cell>
          <cell r="J614" t="str">
            <v>BA090</v>
          </cell>
          <cell r="K614">
            <v>1</v>
          </cell>
          <cell r="P614" t="str">
            <v>NP1932</v>
          </cell>
          <cell r="Q614" t="str">
            <v>01Z01000174</v>
          </cell>
          <cell r="R614" t="str">
            <v>CA01</v>
          </cell>
          <cell r="S614">
            <v>0.01</v>
          </cell>
        </row>
        <row r="615">
          <cell r="A615">
            <v>509751</v>
          </cell>
          <cell r="B615" t="str">
            <v>CRBS NP1932 CRUISER KG</v>
          </cell>
          <cell r="C615">
            <v>0</v>
          </cell>
          <cell r="D615" t="str">
            <v>KG</v>
          </cell>
          <cell r="E615">
            <v>0.01</v>
          </cell>
          <cell r="G615">
            <v>100</v>
          </cell>
          <cell r="J615" t="str">
            <v>BA090</v>
          </cell>
          <cell r="K615">
            <v>1</v>
          </cell>
          <cell r="P615" t="str">
            <v>NP1932</v>
          </cell>
          <cell r="Q615" t="str">
            <v>01Z01000174</v>
          </cell>
          <cell r="R615" t="str">
            <v>CA01</v>
          </cell>
          <cell r="S615">
            <v>0.01</v>
          </cell>
        </row>
        <row r="616">
          <cell r="A616">
            <v>509751</v>
          </cell>
          <cell r="B616" t="str">
            <v>CRBS NP1932 CRUISER KG</v>
          </cell>
          <cell r="C616">
            <v>0</v>
          </cell>
          <cell r="D616" t="str">
            <v>KG</v>
          </cell>
          <cell r="E616">
            <v>0.01</v>
          </cell>
          <cell r="G616">
            <v>100</v>
          </cell>
          <cell r="J616" t="str">
            <v>BA090</v>
          </cell>
          <cell r="K616">
            <v>1</v>
          </cell>
          <cell r="P616" t="str">
            <v>NP1932</v>
          </cell>
          <cell r="Q616" t="str">
            <v>01Z01000174</v>
          </cell>
          <cell r="R616" t="str">
            <v>CA01</v>
          </cell>
          <cell r="S616">
            <v>0.01</v>
          </cell>
        </row>
        <row r="617">
          <cell r="A617">
            <v>509751</v>
          </cell>
          <cell r="B617" t="str">
            <v>CRBS NP1932 CRUISER KG</v>
          </cell>
          <cell r="C617">
            <v>0</v>
          </cell>
          <cell r="D617" t="str">
            <v>KG</v>
          </cell>
          <cell r="E617">
            <v>0.01</v>
          </cell>
          <cell r="G617">
            <v>100</v>
          </cell>
          <cell r="J617" t="str">
            <v>BA090</v>
          </cell>
          <cell r="K617">
            <v>1</v>
          </cell>
          <cell r="P617" t="str">
            <v>NP1932</v>
          </cell>
          <cell r="Q617" t="str">
            <v>01Z01000174</v>
          </cell>
          <cell r="R617" t="str">
            <v>CA01</v>
          </cell>
          <cell r="S617">
            <v>0.01</v>
          </cell>
        </row>
        <row r="618">
          <cell r="A618">
            <v>509751</v>
          </cell>
          <cell r="B618" t="str">
            <v>CRBS NP1932 CRUISER KG</v>
          </cell>
          <cell r="C618">
            <v>0</v>
          </cell>
          <cell r="D618" t="str">
            <v>KG</v>
          </cell>
          <cell r="E618">
            <v>0.01</v>
          </cell>
          <cell r="G618">
            <v>100</v>
          </cell>
          <cell r="J618" t="str">
            <v>BA090</v>
          </cell>
          <cell r="K618">
            <v>1</v>
          </cell>
          <cell r="P618" t="str">
            <v>NP1932</v>
          </cell>
          <cell r="Q618" t="str">
            <v>01Z01000174</v>
          </cell>
          <cell r="R618" t="str">
            <v>CA01</v>
          </cell>
          <cell r="S618">
            <v>0.01</v>
          </cell>
        </row>
        <row r="619">
          <cell r="A619">
            <v>509751</v>
          </cell>
          <cell r="B619" t="str">
            <v>CRBS NP1932 CRUISER KG</v>
          </cell>
          <cell r="C619">
            <v>0</v>
          </cell>
          <cell r="D619" t="str">
            <v>KG</v>
          </cell>
          <cell r="E619">
            <v>0.01</v>
          </cell>
          <cell r="G619">
            <v>100</v>
          </cell>
          <cell r="J619" t="str">
            <v>BA090</v>
          </cell>
          <cell r="K619">
            <v>1</v>
          </cell>
          <cell r="P619" t="str">
            <v>NP1932</v>
          </cell>
          <cell r="Q619" t="str">
            <v>01Z01000174</v>
          </cell>
          <cell r="R619" t="str">
            <v>CA01</v>
          </cell>
          <cell r="S619">
            <v>0.01</v>
          </cell>
        </row>
        <row r="620">
          <cell r="A620">
            <v>509751</v>
          </cell>
          <cell r="B620" t="str">
            <v>CRBS NP1932 CRUISER KG</v>
          </cell>
          <cell r="C620">
            <v>0</v>
          </cell>
          <cell r="D620" t="str">
            <v>KG</v>
          </cell>
          <cell r="E620">
            <v>0.01</v>
          </cell>
          <cell r="G620">
            <v>100</v>
          </cell>
          <cell r="J620" t="str">
            <v>BA090</v>
          </cell>
          <cell r="K620">
            <v>1</v>
          </cell>
          <cell r="P620" t="str">
            <v>NP1932</v>
          </cell>
          <cell r="Q620" t="str">
            <v>01Z01000174</v>
          </cell>
          <cell r="R620" t="str">
            <v>CA01</v>
          </cell>
          <cell r="S620">
            <v>0.01</v>
          </cell>
        </row>
        <row r="621">
          <cell r="A621">
            <v>509751</v>
          </cell>
          <cell r="B621" t="str">
            <v>CRBS NP1932 CRUISER KG</v>
          </cell>
          <cell r="C621">
            <v>0</v>
          </cell>
          <cell r="D621" t="str">
            <v>KG</v>
          </cell>
          <cell r="E621">
            <v>0.01</v>
          </cell>
          <cell r="G621">
            <v>100</v>
          </cell>
          <cell r="J621" t="str">
            <v>BA090</v>
          </cell>
          <cell r="K621">
            <v>1</v>
          </cell>
          <cell r="P621" t="str">
            <v>NP1932</v>
          </cell>
          <cell r="Q621" t="str">
            <v>01Z01000174</v>
          </cell>
          <cell r="R621" t="str">
            <v>CA01</v>
          </cell>
          <cell r="S621">
            <v>0.01</v>
          </cell>
        </row>
        <row r="622">
          <cell r="A622">
            <v>509751</v>
          </cell>
          <cell r="B622" t="str">
            <v>CRBS NP1932 CRUISER KG</v>
          </cell>
          <cell r="C622">
            <v>0</v>
          </cell>
          <cell r="D622" t="str">
            <v>KG</v>
          </cell>
          <cell r="E622">
            <v>0.01</v>
          </cell>
          <cell r="G622">
            <v>100</v>
          </cell>
          <cell r="J622" t="str">
            <v>BA090</v>
          </cell>
          <cell r="K622">
            <v>1</v>
          </cell>
          <cell r="P622" t="str">
            <v>NP1932</v>
          </cell>
          <cell r="Q622" t="str">
            <v>01Z01000174</v>
          </cell>
          <cell r="R622" t="str">
            <v>CA01</v>
          </cell>
          <cell r="S622">
            <v>0.01</v>
          </cell>
        </row>
        <row r="623">
          <cell r="A623">
            <v>509751</v>
          </cell>
          <cell r="B623" t="str">
            <v>CRBS NP1932 CRUISER KG</v>
          </cell>
          <cell r="C623">
            <v>0</v>
          </cell>
          <cell r="D623" t="str">
            <v>KG</v>
          </cell>
          <cell r="E623">
            <v>0.01</v>
          </cell>
          <cell r="G623">
            <v>100</v>
          </cell>
          <cell r="J623" t="str">
            <v>BA090</v>
          </cell>
          <cell r="K623">
            <v>1</v>
          </cell>
          <cell r="P623" t="str">
            <v>NP1932</v>
          </cell>
          <cell r="Q623" t="str">
            <v>01Z01000174</v>
          </cell>
          <cell r="R623" t="str">
            <v>CA01</v>
          </cell>
          <cell r="S623">
            <v>0.01</v>
          </cell>
        </row>
        <row r="624">
          <cell r="A624">
            <v>509751</v>
          </cell>
          <cell r="B624" t="str">
            <v>CRBS NP1932 CRUISER KG</v>
          </cell>
          <cell r="C624">
            <v>0</v>
          </cell>
          <cell r="D624" t="str">
            <v>KG</v>
          </cell>
          <cell r="E624">
            <v>0.01</v>
          </cell>
          <cell r="G624">
            <v>100</v>
          </cell>
          <cell r="J624" t="str">
            <v>BA090</v>
          </cell>
          <cell r="K624">
            <v>1</v>
          </cell>
          <cell r="P624" t="str">
            <v>NP1932</v>
          </cell>
          <cell r="Q624" t="str">
            <v>01Z01000174</v>
          </cell>
          <cell r="R624" t="str">
            <v>CA01</v>
          </cell>
          <cell r="S624">
            <v>0.01</v>
          </cell>
        </row>
        <row r="625">
          <cell r="A625">
            <v>509751</v>
          </cell>
          <cell r="B625" t="str">
            <v>CRBS NP1932 CRUISER KG</v>
          </cell>
          <cell r="C625">
            <v>0</v>
          </cell>
          <cell r="D625" t="str">
            <v>KG</v>
          </cell>
          <cell r="E625">
            <v>0.01</v>
          </cell>
          <cell r="G625">
            <v>100</v>
          </cell>
          <cell r="J625" t="str">
            <v>BA090</v>
          </cell>
          <cell r="K625">
            <v>1</v>
          </cell>
          <cell r="P625" t="str">
            <v>NP1932</v>
          </cell>
          <cell r="Q625" t="str">
            <v>01Z01000174</v>
          </cell>
          <cell r="R625" t="str">
            <v>CA01</v>
          </cell>
          <cell r="S625">
            <v>0.01</v>
          </cell>
        </row>
        <row r="626">
          <cell r="A626">
            <v>509751</v>
          </cell>
          <cell r="B626" t="str">
            <v>CRBS NP1932 CRUISER KG</v>
          </cell>
          <cell r="C626">
            <v>0</v>
          </cell>
          <cell r="D626" t="str">
            <v>KG</v>
          </cell>
          <cell r="E626">
            <v>0.01</v>
          </cell>
          <cell r="G626">
            <v>100</v>
          </cell>
          <cell r="J626" t="str">
            <v>BA090</v>
          </cell>
          <cell r="K626">
            <v>1</v>
          </cell>
          <cell r="P626" t="str">
            <v>NP1932</v>
          </cell>
          <cell r="Q626" t="str">
            <v>01Z01000174</v>
          </cell>
          <cell r="R626" t="str">
            <v>CA01</v>
          </cell>
          <cell r="S626">
            <v>0.01</v>
          </cell>
        </row>
        <row r="627">
          <cell r="A627">
            <v>509751</v>
          </cell>
          <cell r="B627" t="str">
            <v>CRBS NP1932 CRUISER KG</v>
          </cell>
          <cell r="C627">
            <v>0</v>
          </cell>
          <cell r="D627" t="str">
            <v>KG</v>
          </cell>
          <cell r="E627">
            <v>0.01</v>
          </cell>
          <cell r="G627">
            <v>100</v>
          </cell>
          <cell r="J627" t="str">
            <v>BA090</v>
          </cell>
          <cell r="K627">
            <v>1</v>
          </cell>
          <cell r="P627" t="str">
            <v>NP1932</v>
          </cell>
          <cell r="Q627" t="str">
            <v>01Z01000174</v>
          </cell>
          <cell r="R627" t="str">
            <v>CA01</v>
          </cell>
          <cell r="S627">
            <v>0.01</v>
          </cell>
        </row>
        <row r="628">
          <cell r="A628">
            <v>509751</v>
          </cell>
          <cell r="B628" t="str">
            <v>CRBS NP1932 CRUISER KG</v>
          </cell>
          <cell r="C628">
            <v>0</v>
          </cell>
          <cell r="D628" t="str">
            <v>KG</v>
          </cell>
          <cell r="E628">
            <v>0.01</v>
          </cell>
          <cell r="G628">
            <v>100</v>
          </cell>
          <cell r="J628" t="str">
            <v>BA090</v>
          </cell>
          <cell r="K628">
            <v>1</v>
          </cell>
          <cell r="P628" t="str">
            <v>NP1932</v>
          </cell>
          <cell r="Q628" t="str">
            <v>01Z01000174</v>
          </cell>
          <cell r="R628" t="str">
            <v>CA01</v>
          </cell>
          <cell r="S628">
            <v>0.01</v>
          </cell>
        </row>
        <row r="629">
          <cell r="A629">
            <v>509751</v>
          </cell>
          <cell r="B629" t="str">
            <v>CRBS NP1932 CRUISER KG</v>
          </cell>
          <cell r="C629">
            <v>0</v>
          </cell>
          <cell r="D629" t="str">
            <v>KG</v>
          </cell>
          <cell r="E629">
            <v>0.01</v>
          </cell>
          <cell r="G629">
            <v>100</v>
          </cell>
          <cell r="J629" t="str">
            <v>BA090</v>
          </cell>
          <cell r="K629">
            <v>1</v>
          </cell>
          <cell r="P629" t="str">
            <v>NP1932</v>
          </cell>
          <cell r="Q629" t="str">
            <v>01Z01000174</v>
          </cell>
          <cell r="R629" t="str">
            <v>CA01</v>
          </cell>
          <cell r="S629">
            <v>0.01</v>
          </cell>
        </row>
        <row r="630">
          <cell r="A630">
            <v>509751</v>
          </cell>
          <cell r="B630" t="str">
            <v>CRBS NP1932 CRUISER KG</v>
          </cell>
          <cell r="C630">
            <v>0</v>
          </cell>
          <cell r="D630" t="str">
            <v>KG</v>
          </cell>
          <cell r="E630">
            <v>0.01</v>
          </cell>
          <cell r="G630">
            <v>100</v>
          </cell>
          <cell r="J630" t="str">
            <v>BA090</v>
          </cell>
          <cell r="K630">
            <v>1</v>
          </cell>
          <cell r="P630" t="str">
            <v>NP1932</v>
          </cell>
          <cell r="Q630" t="str">
            <v>01Z01000174</v>
          </cell>
          <cell r="R630" t="str">
            <v>CA01</v>
          </cell>
          <cell r="S630">
            <v>0.01</v>
          </cell>
        </row>
        <row r="631">
          <cell r="A631">
            <v>509751</v>
          </cell>
          <cell r="B631" t="str">
            <v>CRBS NP1932 CRUISER KG</v>
          </cell>
          <cell r="C631">
            <v>0</v>
          </cell>
          <cell r="D631" t="str">
            <v>KG</v>
          </cell>
          <cell r="E631">
            <v>0.01</v>
          </cell>
          <cell r="G631">
            <v>100</v>
          </cell>
          <cell r="J631" t="str">
            <v>BA090</v>
          </cell>
          <cell r="K631">
            <v>1</v>
          </cell>
          <cell r="P631" t="str">
            <v>NP1932</v>
          </cell>
          <cell r="Q631" t="str">
            <v>01Z01000174</v>
          </cell>
          <cell r="R631" t="str">
            <v>CA01</v>
          </cell>
          <cell r="S631">
            <v>0.01</v>
          </cell>
        </row>
        <row r="632">
          <cell r="A632">
            <v>509751</v>
          </cell>
          <cell r="B632" t="str">
            <v>CRBS NP1932 CRUISER KG</v>
          </cell>
          <cell r="C632">
            <v>0</v>
          </cell>
          <cell r="D632" t="str">
            <v>KG</v>
          </cell>
          <cell r="E632">
            <v>0.01</v>
          </cell>
          <cell r="G632">
            <v>100</v>
          </cell>
          <cell r="J632" t="str">
            <v>BA090</v>
          </cell>
          <cell r="K632">
            <v>1</v>
          </cell>
          <cell r="P632" t="str">
            <v>NP1932</v>
          </cell>
          <cell r="Q632" t="str">
            <v>01Z01000174</v>
          </cell>
          <cell r="R632" t="str">
            <v>CA01</v>
          </cell>
          <cell r="S632">
            <v>0.01</v>
          </cell>
        </row>
        <row r="633">
          <cell r="A633">
            <v>509751</v>
          </cell>
          <cell r="B633" t="str">
            <v>CRBS NP1932 CRUISER KG</v>
          </cell>
          <cell r="C633">
            <v>0</v>
          </cell>
          <cell r="D633" t="str">
            <v>KG</v>
          </cell>
          <cell r="E633">
            <v>0.01</v>
          </cell>
          <cell r="G633">
            <v>100</v>
          </cell>
          <cell r="J633" t="str">
            <v>BA090</v>
          </cell>
          <cell r="K633">
            <v>1</v>
          </cell>
          <cell r="P633" t="str">
            <v>NP1932</v>
          </cell>
          <cell r="Q633" t="str">
            <v>01Z01000174</v>
          </cell>
          <cell r="R633" t="str">
            <v>CA01</v>
          </cell>
          <cell r="S633">
            <v>0.01</v>
          </cell>
        </row>
        <row r="634">
          <cell r="A634">
            <v>509751</v>
          </cell>
          <cell r="B634" t="str">
            <v>CRBS NP1932 CRUISER KG</v>
          </cell>
          <cell r="C634">
            <v>0</v>
          </cell>
          <cell r="D634" t="str">
            <v>KG</v>
          </cell>
          <cell r="E634">
            <v>0.01</v>
          </cell>
          <cell r="G634">
            <v>100</v>
          </cell>
          <cell r="J634" t="str">
            <v>BA090</v>
          </cell>
          <cell r="K634">
            <v>1</v>
          </cell>
          <cell r="P634" t="str">
            <v>NP1932</v>
          </cell>
          <cell r="Q634" t="str">
            <v>01Z01000174</v>
          </cell>
          <cell r="R634" t="str">
            <v>CA01</v>
          </cell>
          <cell r="S634">
            <v>0.01</v>
          </cell>
        </row>
        <row r="635">
          <cell r="A635">
            <v>509751</v>
          </cell>
          <cell r="B635" t="str">
            <v>CRBS NP1932 CRUISER KG</v>
          </cell>
          <cell r="C635">
            <v>0</v>
          </cell>
          <cell r="D635" t="str">
            <v>KG</v>
          </cell>
          <cell r="E635">
            <v>0.01</v>
          </cell>
          <cell r="G635">
            <v>100</v>
          </cell>
          <cell r="J635" t="str">
            <v>BA090</v>
          </cell>
          <cell r="K635">
            <v>1</v>
          </cell>
          <cell r="P635" t="str">
            <v>NP1932</v>
          </cell>
          <cell r="Q635" t="str">
            <v>01Z01000174</v>
          </cell>
          <cell r="R635" t="str">
            <v>CA01</v>
          </cell>
          <cell r="S635">
            <v>0.01</v>
          </cell>
        </row>
        <row r="636">
          <cell r="A636">
            <v>509751</v>
          </cell>
          <cell r="B636" t="str">
            <v>CRBS NP1932 CRUISER KG</v>
          </cell>
          <cell r="C636">
            <v>0</v>
          </cell>
          <cell r="D636" t="str">
            <v>KG</v>
          </cell>
          <cell r="E636">
            <v>0.01</v>
          </cell>
          <cell r="G636">
            <v>100</v>
          </cell>
          <cell r="J636" t="str">
            <v>BA090</v>
          </cell>
          <cell r="K636">
            <v>1</v>
          </cell>
          <cell r="P636" t="str">
            <v>NP1932</v>
          </cell>
          <cell r="Q636" t="str">
            <v>01Z01000174</v>
          </cell>
          <cell r="R636" t="str">
            <v>CA01</v>
          </cell>
          <cell r="S636">
            <v>0.01</v>
          </cell>
        </row>
        <row r="637">
          <cell r="A637">
            <v>509751</v>
          </cell>
          <cell r="B637" t="str">
            <v>CRBS NP1932 CRUISER KG</v>
          </cell>
          <cell r="C637">
            <v>0</v>
          </cell>
          <cell r="D637" t="str">
            <v>KG</v>
          </cell>
          <cell r="E637">
            <v>0.01</v>
          </cell>
          <cell r="G637">
            <v>100</v>
          </cell>
          <cell r="J637" t="str">
            <v>BA090</v>
          </cell>
          <cell r="K637">
            <v>1</v>
          </cell>
          <cell r="P637" t="str">
            <v>NP1932</v>
          </cell>
          <cell r="Q637" t="str">
            <v>01Z01000174</v>
          </cell>
          <cell r="R637" t="str">
            <v>CA01</v>
          </cell>
          <cell r="S637">
            <v>0.01</v>
          </cell>
        </row>
        <row r="638">
          <cell r="A638">
            <v>509751</v>
          </cell>
          <cell r="B638" t="str">
            <v>CRBS NP1932 CRUISER KG</v>
          </cell>
          <cell r="C638">
            <v>0</v>
          </cell>
          <cell r="D638" t="str">
            <v>KG</v>
          </cell>
          <cell r="E638">
            <v>0.01</v>
          </cell>
          <cell r="G638">
            <v>100</v>
          </cell>
          <cell r="J638" t="str">
            <v>BA090</v>
          </cell>
          <cell r="K638">
            <v>1</v>
          </cell>
          <cell r="P638" t="str">
            <v>NP1932</v>
          </cell>
          <cell r="Q638" t="str">
            <v>01Z01000174</v>
          </cell>
          <cell r="R638" t="str">
            <v>CA01</v>
          </cell>
          <cell r="S638">
            <v>0.01</v>
          </cell>
        </row>
        <row r="639">
          <cell r="A639">
            <v>509751</v>
          </cell>
          <cell r="B639" t="str">
            <v>CRBS NP1932 CRUISER KG</v>
          </cell>
          <cell r="C639">
            <v>0</v>
          </cell>
          <cell r="D639" t="str">
            <v>KG</v>
          </cell>
          <cell r="E639">
            <v>0.01</v>
          </cell>
          <cell r="G639">
            <v>100</v>
          </cell>
          <cell r="J639" t="str">
            <v>BA090</v>
          </cell>
          <cell r="K639">
            <v>1</v>
          </cell>
          <cell r="P639" t="str">
            <v>NP1932</v>
          </cell>
          <cell r="Q639" t="str">
            <v>01Z01000174</v>
          </cell>
          <cell r="R639" t="str">
            <v>CA01</v>
          </cell>
          <cell r="S639">
            <v>0.01</v>
          </cell>
        </row>
        <row r="640">
          <cell r="A640">
            <v>509751</v>
          </cell>
          <cell r="B640" t="str">
            <v>CRBS NP1932 CRUISER KG</v>
          </cell>
          <cell r="C640">
            <v>0</v>
          </cell>
          <cell r="D640" t="str">
            <v>KG</v>
          </cell>
          <cell r="E640">
            <v>0.01</v>
          </cell>
          <cell r="G640">
            <v>100</v>
          </cell>
          <cell r="J640" t="str">
            <v>BA090</v>
          </cell>
          <cell r="K640">
            <v>1</v>
          </cell>
          <cell r="P640" t="str">
            <v>NP1932</v>
          </cell>
          <cell r="Q640" t="str">
            <v>01Z01000174</v>
          </cell>
          <cell r="R640" t="str">
            <v>CA01</v>
          </cell>
          <cell r="S640">
            <v>0.01</v>
          </cell>
        </row>
        <row r="641">
          <cell r="A641">
            <v>509845</v>
          </cell>
          <cell r="B641" t="str">
            <v>CRBS NP2424Bt11/NP2341Bt11 STANDARD KG</v>
          </cell>
          <cell r="C641">
            <v>90.71</v>
          </cell>
          <cell r="D641" t="str">
            <v>KG</v>
          </cell>
          <cell r="E641">
            <v>396.29</v>
          </cell>
          <cell r="G641">
            <v>100</v>
          </cell>
          <cell r="H641" t="str">
            <v>SC Syngenta</v>
          </cell>
          <cell r="I641" t="str">
            <v>SC SYNGENTA</v>
          </cell>
          <cell r="J641" t="str">
            <v>BA090</v>
          </cell>
          <cell r="K641">
            <v>1</v>
          </cell>
          <cell r="N641">
            <v>0.01</v>
          </cell>
          <cell r="P641" t="str">
            <v>NP2424Bt11/NP2341Bt11</v>
          </cell>
          <cell r="Q641" t="str">
            <v>01Z01ZZ06DH</v>
          </cell>
          <cell r="R641" t="str">
            <v>CA01</v>
          </cell>
        </row>
        <row r="642">
          <cell r="A642">
            <v>509845</v>
          </cell>
          <cell r="B642" t="str">
            <v>CRBS NP2424Bt11/NP2341Bt11 STANDARD KG</v>
          </cell>
          <cell r="C642">
            <v>90.71</v>
          </cell>
          <cell r="D642" t="str">
            <v>KG</v>
          </cell>
          <cell r="E642">
            <v>396.29</v>
          </cell>
          <cell r="G642">
            <v>100</v>
          </cell>
          <cell r="H642" t="str">
            <v>SC Syngenta</v>
          </cell>
          <cell r="I642" t="str">
            <v>SC SYNGENTA</v>
          </cell>
          <cell r="J642" t="str">
            <v>BA090</v>
          </cell>
          <cell r="K642">
            <v>1</v>
          </cell>
          <cell r="N642">
            <v>0.01</v>
          </cell>
          <cell r="P642" t="str">
            <v>NP2424Bt11/NP2341Bt11</v>
          </cell>
          <cell r="Q642" t="str">
            <v>01Z01ZZ06DH</v>
          </cell>
          <cell r="R642" t="str">
            <v>CA01</v>
          </cell>
        </row>
        <row r="643">
          <cell r="A643">
            <v>521732</v>
          </cell>
          <cell r="B643" t="str">
            <v>CRPB NP2768     STD    KG</v>
          </cell>
          <cell r="C643">
            <v>0</v>
          </cell>
          <cell r="D643" t="str">
            <v>KG</v>
          </cell>
          <cell r="E643">
            <v>471</v>
          </cell>
          <cell r="G643">
            <v>100</v>
          </cell>
          <cell r="H643" t="str">
            <v>SC Syngenta</v>
          </cell>
          <cell r="I643" t="str">
            <v>SC SYNGENTA</v>
          </cell>
          <cell r="J643" t="str">
            <v>PB090</v>
          </cell>
          <cell r="K643">
            <v>1</v>
          </cell>
          <cell r="N643">
            <v>0.01</v>
          </cell>
          <cell r="P643" t="str">
            <v>NP2768</v>
          </cell>
          <cell r="Q643" t="str">
            <v>01Z01ZZ0193</v>
          </cell>
          <cell r="R643" t="str">
            <v>CA01</v>
          </cell>
        </row>
        <row r="644">
          <cell r="A644">
            <v>521732</v>
          </cell>
          <cell r="B644" t="str">
            <v>CRPB NP2768     STD    KG</v>
          </cell>
          <cell r="C644">
            <v>0</v>
          </cell>
          <cell r="D644" t="str">
            <v>KG</v>
          </cell>
          <cell r="E644">
            <v>471</v>
          </cell>
          <cell r="G644">
            <v>100</v>
          </cell>
          <cell r="H644" t="str">
            <v>SC Syngenta</v>
          </cell>
          <cell r="I644" t="str">
            <v>SC SYNGENTA</v>
          </cell>
          <cell r="J644" t="str">
            <v>PB090</v>
          </cell>
          <cell r="K644">
            <v>1</v>
          </cell>
          <cell r="N644">
            <v>0.01</v>
          </cell>
          <cell r="P644" t="str">
            <v>NP2768</v>
          </cell>
          <cell r="Q644" t="str">
            <v>01Z01ZZ0193</v>
          </cell>
          <cell r="R644" t="str">
            <v>CA01</v>
          </cell>
        </row>
        <row r="645">
          <cell r="A645">
            <v>527831</v>
          </cell>
          <cell r="B645" t="str">
            <v>CRBS NPAA2359          STANDARD KG</v>
          </cell>
          <cell r="C645">
            <v>45.36</v>
          </cell>
          <cell r="D645" t="str">
            <v>KG</v>
          </cell>
          <cell r="E645">
            <v>417.81</v>
          </cell>
          <cell r="G645">
            <v>100</v>
          </cell>
          <cell r="H645" t="str">
            <v>SC Syngenta</v>
          </cell>
          <cell r="J645" t="str">
            <v>BA090</v>
          </cell>
          <cell r="K645">
            <v>1</v>
          </cell>
          <cell r="N645">
            <v>0.01</v>
          </cell>
          <cell r="P645" t="str">
            <v>NPAA2359</v>
          </cell>
          <cell r="Q645" t="str">
            <v>01Z01ZZ01K0</v>
          </cell>
          <cell r="R645" t="str">
            <v>CA01</v>
          </cell>
        </row>
        <row r="646">
          <cell r="A646">
            <v>527831</v>
          </cell>
          <cell r="B646" t="str">
            <v>CRBS NPAA2359          STANDARD KG</v>
          </cell>
          <cell r="C646">
            <v>45.36</v>
          </cell>
          <cell r="D646" t="str">
            <v>KG</v>
          </cell>
          <cell r="E646">
            <v>417.81</v>
          </cell>
          <cell r="G646">
            <v>100</v>
          </cell>
          <cell r="H646" t="str">
            <v>SC Syngenta</v>
          </cell>
          <cell r="J646" t="str">
            <v>BA090</v>
          </cell>
          <cell r="K646">
            <v>1</v>
          </cell>
          <cell r="N646">
            <v>0.01</v>
          </cell>
          <cell r="P646" t="str">
            <v>NPAA2359</v>
          </cell>
          <cell r="Q646" t="str">
            <v>01Z01ZZ01K0</v>
          </cell>
          <cell r="R646" t="str">
            <v>CA01</v>
          </cell>
        </row>
        <row r="647">
          <cell r="A647">
            <v>527831</v>
          </cell>
          <cell r="B647" t="str">
            <v>CRBS NPAA2359          STANDARD KG</v>
          </cell>
          <cell r="C647">
            <v>45.36</v>
          </cell>
          <cell r="D647" t="str">
            <v>KG</v>
          </cell>
          <cell r="E647">
            <v>417.81</v>
          </cell>
          <cell r="G647">
            <v>100</v>
          </cell>
          <cell r="H647" t="str">
            <v>SC Syngenta</v>
          </cell>
          <cell r="J647" t="str">
            <v>BA090</v>
          </cell>
          <cell r="K647">
            <v>1</v>
          </cell>
          <cell r="N647">
            <v>0.01</v>
          </cell>
          <cell r="P647" t="str">
            <v>NPAA2359</v>
          </cell>
          <cell r="Q647" t="str">
            <v>01Z01ZZ01K0</v>
          </cell>
          <cell r="R647" t="str">
            <v>CA01</v>
          </cell>
        </row>
        <row r="648">
          <cell r="A648">
            <v>527831</v>
          </cell>
          <cell r="B648" t="str">
            <v>CRBS NPAA2359          STANDARD KG</v>
          </cell>
          <cell r="C648">
            <v>45.36</v>
          </cell>
          <cell r="D648" t="str">
            <v>KG</v>
          </cell>
          <cell r="E648">
            <v>417.81</v>
          </cell>
          <cell r="G648">
            <v>100</v>
          </cell>
          <cell r="H648" t="str">
            <v>SC Syngenta</v>
          </cell>
          <cell r="J648" t="str">
            <v>BA090</v>
          </cell>
          <cell r="K648">
            <v>1</v>
          </cell>
          <cell r="N648">
            <v>0.01</v>
          </cell>
          <cell r="P648" t="str">
            <v>NPAA2359</v>
          </cell>
          <cell r="Q648" t="str">
            <v>01Z01ZZ01K0</v>
          </cell>
          <cell r="R648" t="str">
            <v>CA01</v>
          </cell>
        </row>
        <row r="649">
          <cell r="A649">
            <v>527831</v>
          </cell>
          <cell r="B649" t="str">
            <v>CRBS NPAA2359          STANDARD KG</v>
          </cell>
          <cell r="C649">
            <v>45.36</v>
          </cell>
          <cell r="D649" t="str">
            <v>KG</v>
          </cell>
          <cell r="E649">
            <v>417.81</v>
          </cell>
          <cell r="G649">
            <v>100</v>
          </cell>
          <cell r="H649" t="str">
            <v>SC Syngenta</v>
          </cell>
          <cell r="J649" t="str">
            <v>BA090</v>
          </cell>
          <cell r="K649">
            <v>1</v>
          </cell>
          <cell r="N649">
            <v>0.01</v>
          </cell>
          <cell r="P649" t="str">
            <v>NPAA2359</v>
          </cell>
          <cell r="Q649" t="str">
            <v>01Z01ZZ01K0</v>
          </cell>
          <cell r="R649" t="str">
            <v>CA01</v>
          </cell>
        </row>
        <row r="650">
          <cell r="A650">
            <v>527831</v>
          </cell>
          <cell r="B650" t="str">
            <v>CRBS NPAA2359          STANDARD KG</v>
          </cell>
          <cell r="C650">
            <v>45.36</v>
          </cell>
          <cell r="D650" t="str">
            <v>KG</v>
          </cell>
          <cell r="E650">
            <v>417.81</v>
          </cell>
          <cell r="G650">
            <v>100</v>
          </cell>
          <cell r="H650" t="str">
            <v>SC Syngenta</v>
          </cell>
          <cell r="J650" t="str">
            <v>BA090</v>
          </cell>
          <cell r="K650">
            <v>1</v>
          </cell>
          <cell r="N650">
            <v>0.01</v>
          </cell>
          <cell r="P650" t="str">
            <v>NPAA2359</v>
          </cell>
          <cell r="Q650" t="str">
            <v>01Z01ZZ01K0</v>
          </cell>
          <cell r="R650" t="str">
            <v>CA01</v>
          </cell>
        </row>
        <row r="651">
          <cell r="A651">
            <v>527831</v>
          </cell>
          <cell r="B651" t="str">
            <v>CRBS NPAA2359          STANDARD KG</v>
          </cell>
          <cell r="C651">
            <v>45.36</v>
          </cell>
          <cell r="D651" t="str">
            <v>KG</v>
          </cell>
          <cell r="E651">
            <v>417.81</v>
          </cell>
          <cell r="G651">
            <v>100</v>
          </cell>
          <cell r="H651" t="str">
            <v>SC Syngenta</v>
          </cell>
          <cell r="J651" t="str">
            <v>BA090</v>
          </cell>
          <cell r="K651">
            <v>1</v>
          </cell>
          <cell r="N651">
            <v>0.01</v>
          </cell>
          <cell r="P651" t="str">
            <v>NPAA2359</v>
          </cell>
          <cell r="Q651" t="str">
            <v>01Z01ZZ01K0</v>
          </cell>
          <cell r="R651" t="str">
            <v>CA01</v>
          </cell>
        </row>
        <row r="652">
          <cell r="A652">
            <v>527831</v>
          </cell>
          <cell r="B652" t="str">
            <v>CRBS NPAA2359          STANDARD KG</v>
          </cell>
          <cell r="C652">
            <v>45.36</v>
          </cell>
          <cell r="D652" t="str">
            <v>KG</v>
          </cell>
          <cell r="E652">
            <v>417.81</v>
          </cell>
          <cell r="G652">
            <v>100</v>
          </cell>
          <cell r="H652" t="str">
            <v>SC Syngenta</v>
          </cell>
          <cell r="J652" t="str">
            <v>BA090</v>
          </cell>
          <cell r="K652">
            <v>1</v>
          </cell>
          <cell r="N652">
            <v>0.01</v>
          </cell>
          <cell r="P652" t="str">
            <v>NPAA2359</v>
          </cell>
          <cell r="Q652" t="str">
            <v>01Z01ZZ01K0</v>
          </cell>
          <cell r="R652" t="str">
            <v>CA01</v>
          </cell>
        </row>
        <row r="653">
          <cell r="A653">
            <v>527831</v>
          </cell>
          <cell r="B653" t="str">
            <v>CRBS NPAA2359          STANDARD KG</v>
          </cell>
          <cell r="C653">
            <v>45.36</v>
          </cell>
          <cell r="D653" t="str">
            <v>KG</v>
          </cell>
          <cell r="E653">
            <v>417.81</v>
          </cell>
          <cell r="G653">
            <v>100</v>
          </cell>
          <cell r="H653" t="str">
            <v>SC Syngenta</v>
          </cell>
          <cell r="J653" t="str">
            <v>BA090</v>
          </cell>
          <cell r="K653">
            <v>1</v>
          </cell>
          <cell r="N653">
            <v>0.01</v>
          </cell>
          <cell r="P653" t="str">
            <v>NPAA2359</v>
          </cell>
          <cell r="Q653" t="str">
            <v>01Z01ZZ01K0</v>
          </cell>
          <cell r="R653" t="str">
            <v>CA01</v>
          </cell>
        </row>
        <row r="654">
          <cell r="A654">
            <v>527831</v>
          </cell>
          <cell r="B654" t="str">
            <v>CRBS NPAA2359          STANDARD KG</v>
          </cell>
          <cell r="C654">
            <v>45.36</v>
          </cell>
          <cell r="D654" t="str">
            <v>KG</v>
          </cell>
          <cell r="E654">
            <v>417.81</v>
          </cell>
          <cell r="G654">
            <v>100</v>
          </cell>
          <cell r="H654" t="str">
            <v>SC Syngenta</v>
          </cell>
          <cell r="J654" t="str">
            <v>BA090</v>
          </cell>
          <cell r="K654">
            <v>1</v>
          </cell>
          <cell r="N654">
            <v>0.01</v>
          </cell>
          <cell r="P654" t="str">
            <v>NPAA2359</v>
          </cell>
          <cell r="Q654" t="str">
            <v>01Z01ZZ01K0</v>
          </cell>
          <cell r="R654" t="str">
            <v>CA01</v>
          </cell>
        </row>
        <row r="655">
          <cell r="A655">
            <v>527831</v>
          </cell>
          <cell r="B655" t="str">
            <v>CRBS NPAA2359          STANDARD KG</v>
          </cell>
          <cell r="C655">
            <v>45.36</v>
          </cell>
          <cell r="D655" t="str">
            <v>KG</v>
          </cell>
          <cell r="E655">
            <v>417.81</v>
          </cell>
          <cell r="G655">
            <v>100</v>
          </cell>
          <cell r="H655" t="str">
            <v>SC Syngenta</v>
          </cell>
          <cell r="J655" t="str">
            <v>BA090</v>
          </cell>
          <cell r="K655">
            <v>1</v>
          </cell>
          <cell r="N655">
            <v>0.01</v>
          </cell>
          <cell r="P655" t="str">
            <v>NPAA2359</v>
          </cell>
          <cell r="Q655" t="str">
            <v>01Z01ZZ01K0</v>
          </cell>
          <cell r="R655" t="str">
            <v>CA01</v>
          </cell>
        </row>
        <row r="656">
          <cell r="A656">
            <v>527831</v>
          </cell>
          <cell r="B656" t="str">
            <v>CRBS NPAA2359          STANDARD KG</v>
          </cell>
          <cell r="C656">
            <v>45.36</v>
          </cell>
          <cell r="D656" t="str">
            <v>KG</v>
          </cell>
          <cell r="E656">
            <v>417.81</v>
          </cell>
          <cell r="G656">
            <v>100</v>
          </cell>
          <cell r="H656" t="str">
            <v>SC Syngenta</v>
          </cell>
          <cell r="J656" t="str">
            <v>BA090</v>
          </cell>
          <cell r="K656">
            <v>1</v>
          </cell>
          <cell r="N656">
            <v>0.01</v>
          </cell>
          <cell r="P656" t="str">
            <v>NPAA2359</v>
          </cell>
          <cell r="Q656" t="str">
            <v>01Z01ZZ01K0</v>
          </cell>
          <cell r="R656" t="str">
            <v>CA01</v>
          </cell>
        </row>
        <row r="657">
          <cell r="A657">
            <v>527831</v>
          </cell>
          <cell r="B657" t="str">
            <v>CRBS NPAA2359          STANDARD KG</v>
          </cell>
          <cell r="C657">
            <v>45.36</v>
          </cell>
          <cell r="D657" t="str">
            <v>KG</v>
          </cell>
          <cell r="E657">
            <v>417.81</v>
          </cell>
          <cell r="G657">
            <v>100</v>
          </cell>
          <cell r="H657" t="str">
            <v>SC Syngenta</v>
          </cell>
          <cell r="J657" t="str">
            <v>BA090</v>
          </cell>
          <cell r="K657">
            <v>1</v>
          </cell>
          <cell r="N657">
            <v>0.01</v>
          </cell>
          <cell r="P657" t="str">
            <v>NPAA2359</v>
          </cell>
          <cell r="Q657" t="str">
            <v>01Z01ZZ01K0</v>
          </cell>
          <cell r="R657" t="str">
            <v>CA01</v>
          </cell>
        </row>
        <row r="658">
          <cell r="A658">
            <v>527831</v>
          </cell>
          <cell r="B658" t="str">
            <v>CRBS NPAA2359          STANDARD KG</v>
          </cell>
          <cell r="C658">
            <v>45.36</v>
          </cell>
          <cell r="D658" t="str">
            <v>KG</v>
          </cell>
          <cell r="E658">
            <v>417.81</v>
          </cell>
          <cell r="G658">
            <v>100</v>
          </cell>
          <cell r="H658" t="str">
            <v>SC Syngenta</v>
          </cell>
          <cell r="J658" t="str">
            <v>BA090</v>
          </cell>
          <cell r="K658">
            <v>1</v>
          </cell>
          <cell r="N658">
            <v>0.01</v>
          </cell>
          <cell r="P658" t="str">
            <v>NPAA2359</v>
          </cell>
          <cell r="Q658" t="str">
            <v>01Z01ZZ01K0</v>
          </cell>
          <cell r="R658" t="str">
            <v>CA01</v>
          </cell>
        </row>
        <row r="659">
          <cell r="A659">
            <v>527831</v>
          </cell>
          <cell r="B659" t="str">
            <v>CRBS NPAA2359          STANDARD KG</v>
          </cell>
          <cell r="C659">
            <v>45.36</v>
          </cell>
          <cell r="D659" t="str">
            <v>KG</v>
          </cell>
          <cell r="E659">
            <v>417.81</v>
          </cell>
          <cell r="G659">
            <v>100</v>
          </cell>
          <cell r="H659" t="str">
            <v>SC Syngenta</v>
          </cell>
          <cell r="J659" t="str">
            <v>BA090</v>
          </cell>
          <cell r="K659">
            <v>1</v>
          </cell>
          <cell r="N659">
            <v>0.01</v>
          </cell>
          <cell r="P659" t="str">
            <v>NPAA2359</v>
          </cell>
          <cell r="Q659" t="str">
            <v>01Z01ZZ01K0</v>
          </cell>
          <cell r="R659" t="str">
            <v>CA01</v>
          </cell>
        </row>
        <row r="660">
          <cell r="A660">
            <v>527831</v>
          </cell>
          <cell r="B660" t="str">
            <v>CRBS NPAA2359          STANDARD KG</v>
          </cell>
          <cell r="C660">
            <v>45.36</v>
          </cell>
          <cell r="D660" t="str">
            <v>KG</v>
          </cell>
          <cell r="E660">
            <v>417.81</v>
          </cell>
          <cell r="G660">
            <v>100</v>
          </cell>
          <cell r="H660" t="str">
            <v>SC Syngenta</v>
          </cell>
          <cell r="J660" t="str">
            <v>BA090</v>
          </cell>
          <cell r="K660">
            <v>1</v>
          </cell>
          <cell r="N660">
            <v>0.01</v>
          </cell>
          <cell r="P660" t="str">
            <v>NPAA2359</v>
          </cell>
          <cell r="Q660" t="str">
            <v>01Z01ZZ01K0</v>
          </cell>
          <cell r="R660" t="str">
            <v>CA01</v>
          </cell>
        </row>
        <row r="661">
          <cell r="A661">
            <v>527831</v>
          </cell>
          <cell r="B661" t="str">
            <v>CRBS NPAA2359          STANDARD KG</v>
          </cell>
          <cell r="C661">
            <v>45.36</v>
          </cell>
          <cell r="D661" t="str">
            <v>KG</v>
          </cell>
          <cell r="E661">
            <v>417.81</v>
          </cell>
          <cell r="G661">
            <v>100</v>
          </cell>
          <cell r="H661" t="str">
            <v>SC Syngenta</v>
          </cell>
          <cell r="J661" t="str">
            <v>BA090</v>
          </cell>
          <cell r="K661">
            <v>1</v>
          </cell>
          <cell r="N661">
            <v>0.01</v>
          </cell>
          <cell r="P661" t="str">
            <v>NPAA2359</v>
          </cell>
          <cell r="Q661" t="str">
            <v>01Z01ZZ01K0</v>
          </cell>
          <cell r="R661" t="str">
            <v>CA01</v>
          </cell>
        </row>
        <row r="662">
          <cell r="A662">
            <v>527831</v>
          </cell>
          <cell r="B662" t="str">
            <v>CRBS NPAA2359          STANDARD KG</v>
          </cell>
          <cell r="C662">
            <v>45.36</v>
          </cell>
          <cell r="D662" t="str">
            <v>KG</v>
          </cell>
          <cell r="E662">
            <v>417.81</v>
          </cell>
          <cell r="G662">
            <v>100</v>
          </cell>
          <cell r="H662" t="str">
            <v>SC Syngenta</v>
          </cell>
          <cell r="J662" t="str">
            <v>BA090</v>
          </cell>
          <cell r="K662">
            <v>1</v>
          </cell>
          <cell r="N662">
            <v>0.01</v>
          </cell>
          <cell r="P662" t="str">
            <v>NPAA2359</v>
          </cell>
          <cell r="Q662" t="str">
            <v>01Z01ZZ01K0</v>
          </cell>
          <cell r="R662" t="str">
            <v>CA01</v>
          </cell>
        </row>
        <row r="663">
          <cell r="A663">
            <v>527831</v>
          </cell>
          <cell r="B663" t="str">
            <v>CRBS NPAA2359          STANDARD KG</v>
          </cell>
          <cell r="C663">
            <v>45.36</v>
          </cell>
          <cell r="D663" t="str">
            <v>KG</v>
          </cell>
          <cell r="E663">
            <v>417.81</v>
          </cell>
          <cell r="G663">
            <v>100</v>
          </cell>
          <cell r="H663" t="str">
            <v>SC Syngenta</v>
          </cell>
          <cell r="J663" t="str">
            <v>BA090</v>
          </cell>
          <cell r="K663">
            <v>1</v>
          </cell>
          <cell r="N663">
            <v>0.01</v>
          </cell>
          <cell r="P663" t="str">
            <v>NPAA2359</v>
          </cell>
          <cell r="Q663" t="str">
            <v>01Z01ZZ01K0</v>
          </cell>
          <cell r="R663" t="str">
            <v>CA01</v>
          </cell>
        </row>
        <row r="664">
          <cell r="A664">
            <v>527831</v>
          </cell>
          <cell r="B664" t="str">
            <v>CRBS NPAA2359          STANDARD KG</v>
          </cell>
          <cell r="C664">
            <v>45.36</v>
          </cell>
          <cell r="D664" t="str">
            <v>KG</v>
          </cell>
          <cell r="E664">
            <v>417.81</v>
          </cell>
          <cell r="G664">
            <v>100</v>
          </cell>
          <cell r="H664" t="str">
            <v>SC Syngenta</v>
          </cell>
          <cell r="J664" t="str">
            <v>BA090</v>
          </cell>
          <cell r="K664">
            <v>1</v>
          </cell>
          <cell r="N664">
            <v>0.01</v>
          </cell>
          <cell r="P664" t="str">
            <v>NPAA2359</v>
          </cell>
          <cell r="Q664" t="str">
            <v>01Z01ZZ01K0</v>
          </cell>
          <cell r="R664" t="str">
            <v>CA01</v>
          </cell>
        </row>
        <row r="665">
          <cell r="A665">
            <v>527831</v>
          </cell>
          <cell r="B665" t="str">
            <v>CRBS NPAA2359          STANDARD KG</v>
          </cell>
          <cell r="C665">
            <v>45.36</v>
          </cell>
          <cell r="D665" t="str">
            <v>KG</v>
          </cell>
          <cell r="E665">
            <v>417.81</v>
          </cell>
          <cell r="G665">
            <v>100</v>
          </cell>
          <cell r="H665" t="str">
            <v>SC Syngenta</v>
          </cell>
          <cell r="J665" t="str">
            <v>BA090</v>
          </cell>
          <cell r="K665">
            <v>1</v>
          </cell>
          <cell r="N665">
            <v>0.01</v>
          </cell>
          <cell r="P665" t="str">
            <v>NPAA2359</v>
          </cell>
          <cell r="Q665" t="str">
            <v>01Z01ZZ01K0</v>
          </cell>
          <cell r="R665" t="str">
            <v>CA01</v>
          </cell>
        </row>
        <row r="666">
          <cell r="A666">
            <v>527831</v>
          </cell>
          <cell r="B666" t="str">
            <v>CRBS NPAA2359          STANDARD KG</v>
          </cell>
          <cell r="C666">
            <v>45.36</v>
          </cell>
          <cell r="D666" t="str">
            <v>KG</v>
          </cell>
          <cell r="E666">
            <v>417.81</v>
          </cell>
          <cell r="G666">
            <v>100</v>
          </cell>
          <cell r="H666" t="str">
            <v>SC Syngenta</v>
          </cell>
          <cell r="J666" t="str">
            <v>BA090</v>
          </cell>
          <cell r="K666">
            <v>1</v>
          </cell>
          <cell r="N666">
            <v>0.01</v>
          </cell>
          <cell r="P666" t="str">
            <v>NPAA2359</v>
          </cell>
          <cell r="Q666" t="str">
            <v>01Z01ZZ01K0</v>
          </cell>
          <cell r="R666" t="str">
            <v>CA01</v>
          </cell>
        </row>
        <row r="667">
          <cell r="A667">
            <v>527831</v>
          </cell>
          <cell r="B667" t="str">
            <v>CRBS NPAA2359          STANDARD KG</v>
          </cell>
          <cell r="C667">
            <v>45.36</v>
          </cell>
          <cell r="D667" t="str">
            <v>KG</v>
          </cell>
          <cell r="E667">
            <v>417.81</v>
          </cell>
          <cell r="G667">
            <v>100</v>
          </cell>
          <cell r="H667" t="str">
            <v>SC Syngenta</v>
          </cell>
          <cell r="J667" t="str">
            <v>BA090</v>
          </cell>
          <cell r="K667">
            <v>1</v>
          </cell>
          <cell r="N667">
            <v>0.01</v>
          </cell>
          <cell r="P667" t="str">
            <v>NPAA2359</v>
          </cell>
          <cell r="Q667" t="str">
            <v>01Z01ZZ01K0</v>
          </cell>
          <cell r="R667" t="str">
            <v>CA01</v>
          </cell>
        </row>
        <row r="668">
          <cell r="A668">
            <v>527831</v>
          </cell>
          <cell r="B668" t="str">
            <v>CRBS NPAA2359          STANDARD KG</v>
          </cell>
          <cell r="C668">
            <v>45.36</v>
          </cell>
          <cell r="D668" t="str">
            <v>KG</v>
          </cell>
          <cell r="E668">
            <v>417.81</v>
          </cell>
          <cell r="G668">
            <v>100</v>
          </cell>
          <cell r="H668" t="str">
            <v>SC Syngenta</v>
          </cell>
          <cell r="J668" t="str">
            <v>BA090</v>
          </cell>
          <cell r="K668">
            <v>1</v>
          </cell>
          <cell r="N668">
            <v>0.01</v>
          </cell>
          <cell r="P668" t="str">
            <v>NPAA2359</v>
          </cell>
          <cell r="Q668" t="str">
            <v>01Z01ZZ01K0</v>
          </cell>
          <cell r="R668" t="str">
            <v>CA01</v>
          </cell>
        </row>
        <row r="669">
          <cell r="A669">
            <v>527831</v>
          </cell>
          <cell r="B669" t="str">
            <v>CRBS NPAA2359          STANDARD KG</v>
          </cell>
          <cell r="C669">
            <v>45.36</v>
          </cell>
          <cell r="D669" t="str">
            <v>KG</v>
          </cell>
          <cell r="E669">
            <v>417.81</v>
          </cell>
          <cell r="G669">
            <v>100</v>
          </cell>
          <cell r="H669" t="str">
            <v>SC Syngenta</v>
          </cell>
          <cell r="J669" t="str">
            <v>BA090</v>
          </cell>
          <cell r="K669">
            <v>1</v>
          </cell>
          <cell r="N669">
            <v>0.01</v>
          </cell>
          <cell r="P669" t="str">
            <v>NPAA2359</v>
          </cell>
          <cell r="Q669" t="str">
            <v>01Z01ZZ01K0</v>
          </cell>
          <cell r="R669" t="str">
            <v>CA01</v>
          </cell>
        </row>
        <row r="670">
          <cell r="A670">
            <v>527831</v>
          </cell>
          <cell r="B670" t="str">
            <v>CRBS NPAA2359          STANDARD KG</v>
          </cell>
          <cell r="C670">
            <v>45.36</v>
          </cell>
          <cell r="D670" t="str">
            <v>KG</v>
          </cell>
          <cell r="E670">
            <v>417.81</v>
          </cell>
          <cell r="G670">
            <v>100</v>
          </cell>
          <cell r="H670" t="str">
            <v>SC Syngenta</v>
          </cell>
          <cell r="J670" t="str">
            <v>BA090</v>
          </cell>
          <cell r="K670">
            <v>1</v>
          </cell>
          <cell r="N670">
            <v>0.01</v>
          </cell>
          <cell r="P670" t="str">
            <v>NPAA2359</v>
          </cell>
          <cell r="Q670" t="str">
            <v>01Z01ZZ01K0</v>
          </cell>
          <cell r="R670" t="str">
            <v>CA01</v>
          </cell>
        </row>
        <row r="671">
          <cell r="A671">
            <v>527831</v>
          </cell>
          <cell r="B671" t="str">
            <v>CRBS NPAA2359          STANDARD KG</v>
          </cell>
          <cell r="C671">
            <v>45.36</v>
          </cell>
          <cell r="D671" t="str">
            <v>KG</v>
          </cell>
          <cell r="E671">
            <v>417.81</v>
          </cell>
          <cell r="G671">
            <v>100</v>
          </cell>
          <cell r="H671" t="str">
            <v>SC Syngenta</v>
          </cell>
          <cell r="J671" t="str">
            <v>BA090</v>
          </cell>
          <cell r="K671">
            <v>1</v>
          </cell>
          <cell r="N671">
            <v>0.01</v>
          </cell>
          <cell r="P671" t="str">
            <v>NPAA2359</v>
          </cell>
          <cell r="Q671" t="str">
            <v>01Z01ZZ01K0</v>
          </cell>
          <cell r="R671" t="str">
            <v>CA01</v>
          </cell>
        </row>
        <row r="672">
          <cell r="A672">
            <v>527831</v>
          </cell>
          <cell r="B672" t="str">
            <v>CRBS NPAA2359          STANDARD KG</v>
          </cell>
          <cell r="C672">
            <v>45.36</v>
          </cell>
          <cell r="D672" t="str">
            <v>KG</v>
          </cell>
          <cell r="E672">
            <v>417.81</v>
          </cell>
          <cell r="G672">
            <v>100</v>
          </cell>
          <cell r="H672" t="str">
            <v>SC Syngenta</v>
          </cell>
          <cell r="J672" t="str">
            <v>BA090</v>
          </cell>
          <cell r="K672">
            <v>1</v>
          </cell>
          <cell r="N672">
            <v>0.01</v>
          </cell>
          <cell r="P672" t="str">
            <v>NPAA2359</v>
          </cell>
          <cell r="Q672" t="str">
            <v>01Z01ZZ01K0</v>
          </cell>
          <cell r="R672" t="str">
            <v>CA01</v>
          </cell>
        </row>
        <row r="673">
          <cell r="A673">
            <v>527831</v>
          </cell>
          <cell r="B673" t="str">
            <v>CRBS NPAA2359          STANDARD KG</v>
          </cell>
          <cell r="C673">
            <v>45.36</v>
          </cell>
          <cell r="D673" t="str">
            <v>KG</v>
          </cell>
          <cell r="E673">
            <v>417.81</v>
          </cell>
          <cell r="G673">
            <v>100</v>
          </cell>
          <cell r="H673" t="str">
            <v>SC Syngenta</v>
          </cell>
          <cell r="J673" t="str">
            <v>BA090</v>
          </cell>
          <cell r="K673">
            <v>1</v>
          </cell>
          <cell r="N673">
            <v>0.01</v>
          </cell>
          <cell r="P673" t="str">
            <v>NPAA2359</v>
          </cell>
          <cell r="Q673" t="str">
            <v>01Z01ZZ01K0</v>
          </cell>
          <cell r="R673" t="str">
            <v>CA01</v>
          </cell>
        </row>
        <row r="674">
          <cell r="A674">
            <v>527831</v>
          </cell>
          <cell r="B674" t="str">
            <v>CRBS NPAA2359          STANDARD KG</v>
          </cell>
          <cell r="C674">
            <v>45.36</v>
          </cell>
          <cell r="D674" t="str">
            <v>KG</v>
          </cell>
          <cell r="E674">
            <v>417.81</v>
          </cell>
          <cell r="G674">
            <v>100</v>
          </cell>
          <cell r="H674" t="str">
            <v>SC Syngenta</v>
          </cell>
          <cell r="J674" t="str">
            <v>BA090</v>
          </cell>
          <cell r="K674">
            <v>1</v>
          </cell>
          <cell r="N674">
            <v>0.01</v>
          </cell>
          <cell r="P674" t="str">
            <v>NPAA2359</v>
          </cell>
          <cell r="Q674" t="str">
            <v>01Z01ZZ01K0</v>
          </cell>
          <cell r="R674" t="str">
            <v>CA01</v>
          </cell>
        </row>
        <row r="675">
          <cell r="A675">
            <v>527831</v>
          </cell>
          <cell r="B675" t="str">
            <v>CRBS NPAA2359          STANDARD KG</v>
          </cell>
          <cell r="C675">
            <v>45.36</v>
          </cell>
          <cell r="D675" t="str">
            <v>KG</v>
          </cell>
          <cell r="E675">
            <v>417.81</v>
          </cell>
          <cell r="G675">
            <v>100</v>
          </cell>
          <cell r="H675" t="str">
            <v>SC Syngenta</v>
          </cell>
          <cell r="J675" t="str">
            <v>BA090</v>
          </cell>
          <cell r="K675">
            <v>1</v>
          </cell>
          <cell r="N675">
            <v>0.01</v>
          </cell>
          <cell r="P675" t="str">
            <v>NPAA2359</v>
          </cell>
          <cell r="Q675" t="str">
            <v>01Z01ZZ01K0</v>
          </cell>
          <cell r="R675" t="str">
            <v>CA01</v>
          </cell>
        </row>
        <row r="676">
          <cell r="A676">
            <v>527831</v>
          </cell>
          <cell r="B676" t="str">
            <v>CRBS NPAA2359          STANDARD KG</v>
          </cell>
          <cell r="C676">
            <v>45.36</v>
          </cell>
          <cell r="D676" t="str">
            <v>KG</v>
          </cell>
          <cell r="E676">
            <v>417.81</v>
          </cell>
          <cell r="G676">
            <v>100</v>
          </cell>
          <cell r="H676" t="str">
            <v>SC Syngenta</v>
          </cell>
          <cell r="J676" t="str">
            <v>BA090</v>
          </cell>
          <cell r="K676">
            <v>1</v>
          </cell>
          <cell r="N676">
            <v>0.01</v>
          </cell>
          <cell r="P676" t="str">
            <v>NPAA2359</v>
          </cell>
          <cell r="Q676" t="str">
            <v>01Z01ZZ01K0</v>
          </cell>
          <cell r="R676" t="str">
            <v>CA01</v>
          </cell>
        </row>
        <row r="677">
          <cell r="A677">
            <v>527831</v>
          </cell>
          <cell r="B677" t="str">
            <v>CRBS NPAA2359          STANDARD KG</v>
          </cell>
          <cell r="C677">
            <v>45.36</v>
          </cell>
          <cell r="D677" t="str">
            <v>KG</v>
          </cell>
          <cell r="E677">
            <v>417.81</v>
          </cell>
          <cell r="G677">
            <v>100</v>
          </cell>
          <cell r="H677" t="str">
            <v>SC Syngenta</v>
          </cell>
          <cell r="J677" t="str">
            <v>BA090</v>
          </cell>
          <cell r="K677">
            <v>1</v>
          </cell>
          <cell r="N677">
            <v>0.01</v>
          </cell>
          <cell r="P677" t="str">
            <v>NPAA2359</v>
          </cell>
          <cell r="Q677" t="str">
            <v>01Z01ZZ01K0</v>
          </cell>
          <cell r="R677" t="str">
            <v>CA01</v>
          </cell>
        </row>
        <row r="678">
          <cell r="A678">
            <v>527831</v>
          </cell>
          <cell r="B678" t="str">
            <v>CRBS NPAA2359          STANDARD KG</v>
          </cell>
          <cell r="C678">
            <v>45.36</v>
          </cell>
          <cell r="D678" t="str">
            <v>KG</v>
          </cell>
          <cell r="E678">
            <v>417.81</v>
          </cell>
          <cell r="G678">
            <v>100</v>
          </cell>
          <cell r="H678" t="str">
            <v>SC Syngenta</v>
          </cell>
          <cell r="J678" t="str">
            <v>BA090</v>
          </cell>
          <cell r="K678">
            <v>1</v>
          </cell>
          <cell r="N678">
            <v>0.01</v>
          </cell>
          <cell r="P678" t="str">
            <v>NPAA2359</v>
          </cell>
          <cell r="Q678" t="str">
            <v>01Z01ZZ01K0</v>
          </cell>
          <cell r="R678" t="str">
            <v>CA01</v>
          </cell>
        </row>
        <row r="679">
          <cell r="A679">
            <v>527831</v>
          </cell>
          <cell r="B679" t="str">
            <v>CRBS NPAA2359          STANDARD KG</v>
          </cell>
          <cell r="C679">
            <v>45.36</v>
          </cell>
          <cell r="D679" t="str">
            <v>KG</v>
          </cell>
          <cell r="E679">
            <v>417.81</v>
          </cell>
          <cell r="G679">
            <v>100</v>
          </cell>
          <cell r="H679" t="str">
            <v>SC Syngenta</v>
          </cell>
          <cell r="J679" t="str">
            <v>BA090</v>
          </cell>
          <cell r="K679">
            <v>1</v>
          </cell>
          <cell r="N679">
            <v>0.01</v>
          </cell>
          <cell r="P679" t="str">
            <v>NPAA2359</v>
          </cell>
          <cell r="Q679" t="str">
            <v>01Z01ZZ01K0</v>
          </cell>
          <cell r="R679" t="str">
            <v>CA01</v>
          </cell>
        </row>
        <row r="680">
          <cell r="A680">
            <v>527831</v>
          </cell>
          <cell r="B680" t="str">
            <v>CRBS NPAA2359          STANDARD KG</v>
          </cell>
          <cell r="C680">
            <v>45.36</v>
          </cell>
          <cell r="D680" t="str">
            <v>KG</v>
          </cell>
          <cell r="E680">
            <v>417.81</v>
          </cell>
          <cell r="G680">
            <v>100</v>
          </cell>
          <cell r="H680" t="str">
            <v>SC Syngenta</v>
          </cell>
          <cell r="J680" t="str">
            <v>BA090</v>
          </cell>
          <cell r="K680">
            <v>1</v>
          </cell>
          <cell r="N680">
            <v>0.01</v>
          </cell>
          <cell r="P680" t="str">
            <v>NPAA2359</v>
          </cell>
          <cell r="Q680" t="str">
            <v>01Z01ZZ01K0</v>
          </cell>
          <cell r="R680" t="str">
            <v>CA01</v>
          </cell>
        </row>
        <row r="681">
          <cell r="A681">
            <v>527831</v>
          </cell>
          <cell r="B681" t="str">
            <v>CRBS NPAA2359          STANDARD KG</v>
          </cell>
          <cell r="C681">
            <v>45.36</v>
          </cell>
          <cell r="D681" t="str">
            <v>KG</v>
          </cell>
          <cell r="E681">
            <v>417.81</v>
          </cell>
          <cell r="G681">
            <v>100</v>
          </cell>
          <cell r="H681" t="str">
            <v>SC Syngenta</v>
          </cell>
          <cell r="J681" t="str">
            <v>BA090</v>
          </cell>
          <cell r="K681">
            <v>1</v>
          </cell>
          <cell r="N681">
            <v>0.01</v>
          </cell>
          <cell r="P681" t="str">
            <v>NPAA2359</v>
          </cell>
          <cell r="Q681" t="str">
            <v>01Z01ZZ01K0</v>
          </cell>
          <cell r="R681" t="str">
            <v>CA01</v>
          </cell>
        </row>
        <row r="682">
          <cell r="A682">
            <v>527831</v>
          </cell>
          <cell r="B682" t="str">
            <v>CRBS NPAA2359          STANDARD KG</v>
          </cell>
          <cell r="C682">
            <v>45.36</v>
          </cell>
          <cell r="D682" t="str">
            <v>KG</v>
          </cell>
          <cell r="E682">
            <v>417.81</v>
          </cell>
          <cell r="G682">
            <v>100</v>
          </cell>
          <cell r="H682" t="str">
            <v>SC Syngenta</v>
          </cell>
          <cell r="J682" t="str">
            <v>BA090</v>
          </cell>
          <cell r="K682">
            <v>1</v>
          </cell>
          <cell r="N682">
            <v>0.01</v>
          </cell>
          <cell r="P682" t="str">
            <v>NPAA2359</v>
          </cell>
          <cell r="Q682" t="str">
            <v>01Z01ZZ01K0</v>
          </cell>
          <cell r="R682" t="str">
            <v>CA01</v>
          </cell>
        </row>
        <row r="683">
          <cell r="A683">
            <v>527831</v>
          </cell>
          <cell r="B683" t="str">
            <v>CRBS NPAA2359          STANDARD KG</v>
          </cell>
          <cell r="C683">
            <v>45.36</v>
          </cell>
          <cell r="D683" t="str">
            <v>KG</v>
          </cell>
          <cell r="E683">
            <v>417.81</v>
          </cell>
          <cell r="G683">
            <v>100</v>
          </cell>
          <cell r="H683" t="str">
            <v>SC Syngenta</v>
          </cell>
          <cell r="J683" t="str">
            <v>BA090</v>
          </cell>
          <cell r="K683">
            <v>1</v>
          </cell>
          <cell r="N683">
            <v>0.01</v>
          </cell>
          <cell r="P683" t="str">
            <v>NPAA2359</v>
          </cell>
          <cell r="Q683" t="str">
            <v>01Z01ZZ01K0</v>
          </cell>
          <cell r="R683" t="str">
            <v>CA01</v>
          </cell>
        </row>
        <row r="684">
          <cell r="A684">
            <v>527831</v>
          </cell>
          <cell r="B684" t="str">
            <v>CRBS NPAA2359          STANDARD KG</v>
          </cell>
          <cell r="C684">
            <v>45.36</v>
          </cell>
          <cell r="D684" t="str">
            <v>KG</v>
          </cell>
          <cell r="E684">
            <v>417.81</v>
          </cell>
          <cell r="G684">
            <v>100</v>
          </cell>
          <cell r="H684" t="str">
            <v>SC Syngenta</v>
          </cell>
          <cell r="J684" t="str">
            <v>BA090</v>
          </cell>
          <cell r="K684">
            <v>1</v>
          </cell>
          <cell r="N684">
            <v>0.01</v>
          </cell>
          <cell r="P684" t="str">
            <v>NPAA2359</v>
          </cell>
          <cell r="Q684" t="str">
            <v>01Z01ZZ01K0</v>
          </cell>
          <cell r="R684" t="str">
            <v>CA01</v>
          </cell>
        </row>
        <row r="685">
          <cell r="A685">
            <v>527831</v>
          </cell>
          <cell r="B685" t="str">
            <v>CRBS NPAA2359          STANDARD KG</v>
          </cell>
          <cell r="C685">
            <v>45.36</v>
          </cell>
          <cell r="D685" t="str">
            <v>KG</v>
          </cell>
          <cell r="E685">
            <v>417.81</v>
          </cell>
          <cell r="G685">
            <v>100</v>
          </cell>
          <cell r="H685" t="str">
            <v>SC Syngenta</v>
          </cell>
          <cell r="J685" t="str">
            <v>BA090</v>
          </cell>
          <cell r="K685">
            <v>1</v>
          </cell>
          <cell r="N685">
            <v>0.01</v>
          </cell>
          <cell r="P685" t="str">
            <v>NPAA2359</v>
          </cell>
          <cell r="Q685" t="str">
            <v>01Z01ZZ01K0</v>
          </cell>
          <cell r="R685" t="str">
            <v>CA01</v>
          </cell>
        </row>
        <row r="686">
          <cell r="A686">
            <v>527831</v>
          </cell>
          <cell r="B686" t="str">
            <v>CRBS NPAA2359          STANDARD KG</v>
          </cell>
          <cell r="C686">
            <v>45.36</v>
          </cell>
          <cell r="D686" t="str">
            <v>KG</v>
          </cell>
          <cell r="E686">
            <v>417.81</v>
          </cell>
          <cell r="G686">
            <v>100</v>
          </cell>
          <cell r="H686" t="str">
            <v>SC Syngenta</v>
          </cell>
          <cell r="J686" t="str">
            <v>BA090</v>
          </cell>
          <cell r="K686">
            <v>1</v>
          </cell>
          <cell r="N686">
            <v>0.01</v>
          </cell>
          <cell r="P686" t="str">
            <v>NPAA2359</v>
          </cell>
          <cell r="Q686" t="str">
            <v>01Z01ZZ01K0</v>
          </cell>
          <cell r="R686" t="str">
            <v>CA01</v>
          </cell>
        </row>
        <row r="687">
          <cell r="A687">
            <v>527831</v>
          </cell>
          <cell r="B687" t="str">
            <v>CRBS NPAA2359          STANDARD KG</v>
          </cell>
          <cell r="C687">
            <v>45.36</v>
          </cell>
          <cell r="D687" t="str">
            <v>KG</v>
          </cell>
          <cell r="E687">
            <v>417.81</v>
          </cell>
          <cell r="G687">
            <v>100</v>
          </cell>
          <cell r="H687" t="str">
            <v>SC Syngenta</v>
          </cell>
          <cell r="J687" t="str">
            <v>BA090</v>
          </cell>
          <cell r="K687">
            <v>1</v>
          </cell>
          <cell r="N687">
            <v>0.01</v>
          </cell>
          <cell r="P687" t="str">
            <v>NPAA2359</v>
          </cell>
          <cell r="Q687" t="str">
            <v>01Z01ZZ01K0</v>
          </cell>
          <cell r="R687" t="str">
            <v>CA01</v>
          </cell>
        </row>
        <row r="688">
          <cell r="A688">
            <v>527831</v>
          </cell>
          <cell r="B688" t="str">
            <v>CRBS NPAA2359          STANDARD KG</v>
          </cell>
          <cell r="C688">
            <v>45.36</v>
          </cell>
          <cell r="D688" t="str">
            <v>KG</v>
          </cell>
          <cell r="E688">
            <v>417.81</v>
          </cell>
          <cell r="G688">
            <v>100</v>
          </cell>
          <cell r="H688" t="str">
            <v>SC Syngenta</v>
          </cell>
          <cell r="J688" t="str">
            <v>BA090</v>
          </cell>
          <cell r="K688">
            <v>1</v>
          </cell>
          <cell r="N688">
            <v>0.01</v>
          </cell>
          <cell r="P688" t="str">
            <v>NPAA2359</v>
          </cell>
          <cell r="Q688" t="str">
            <v>01Z01ZZ01K0</v>
          </cell>
          <cell r="R688" t="str">
            <v>CA01</v>
          </cell>
        </row>
        <row r="689">
          <cell r="A689">
            <v>527831</v>
          </cell>
          <cell r="B689" t="str">
            <v>CRBS NPAA2359          STANDARD KG</v>
          </cell>
          <cell r="C689">
            <v>45.36</v>
          </cell>
          <cell r="D689" t="str">
            <v>KG</v>
          </cell>
          <cell r="E689">
            <v>417.81</v>
          </cell>
          <cell r="G689">
            <v>100</v>
          </cell>
          <cell r="H689" t="str">
            <v>SC Syngenta</v>
          </cell>
          <cell r="J689" t="str">
            <v>BA090</v>
          </cell>
          <cell r="K689">
            <v>1</v>
          </cell>
          <cell r="N689">
            <v>0.01</v>
          </cell>
          <cell r="P689" t="str">
            <v>NPAA2359</v>
          </cell>
          <cell r="Q689" t="str">
            <v>01Z01ZZ01K0</v>
          </cell>
          <cell r="R689" t="str">
            <v>CA01</v>
          </cell>
        </row>
        <row r="690">
          <cell r="A690">
            <v>527831</v>
          </cell>
          <cell r="B690" t="str">
            <v>CRBS NPAA2359          STANDARD KG</v>
          </cell>
          <cell r="C690">
            <v>45.36</v>
          </cell>
          <cell r="D690" t="str">
            <v>KG</v>
          </cell>
          <cell r="E690">
            <v>417.81</v>
          </cell>
          <cell r="G690">
            <v>100</v>
          </cell>
          <cell r="H690" t="str">
            <v>SC Syngenta</v>
          </cell>
          <cell r="J690" t="str">
            <v>BA090</v>
          </cell>
          <cell r="K690">
            <v>1</v>
          </cell>
          <cell r="N690">
            <v>0.01</v>
          </cell>
          <cell r="P690" t="str">
            <v>NPAA2359</v>
          </cell>
          <cell r="Q690" t="str">
            <v>01Z01ZZ01K0</v>
          </cell>
          <cell r="R690" t="str">
            <v>CA01</v>
          </cell>
        </row>
        <row r="691">
          <cell r="A691">
            <v>527831</v>
          </cell>
          <cell r="B691" t="str">
            <v>CRBS NPAA2359          STANDARD KG</v>
          </cell>
          <cell r="C691">
            <v>45.36</v>
          </cell>
          <cell r="D691" t="str">
            <v>KG</v>
          </cell>
          <cell r="E691">
            <v>417.81</v>
          </cell>
          <cell r="G691">
            <v>100</v>
          </cell>
          <cell r="H691" t="str">
            <v>SC Syngenta</v>
          </cell>
          <cell r="J691" t="str">
            <v>BA090</v>
          </cell>
          <cell r="K691">
            <v>1</v>
          </cell>
          <cell r="N691">
            <v>0.01</v>
          </cell>
          <cell r="P691" t="str">
            <v>NPAA2359</v>
          </cell>
          <cell r="Q691" t="str">
            <v>01Z01ZZ01K0</v>
          </cell>
          <cell r="R691" t="str">
            <v>CA01</v>
          </cell>
        </row>
        <row r="692">
          <cell r="A692">
            <v>527831</v>
          </cell>
          <cell r="B692" t="str">
            <v>CRBS NPAA2359          STANDARD KG</v>
          </cell>
          <cell r="C692">
            <v>45.36</v>
          </cell>
          <cell r="D692" t="str">
            <v>KG</v>
          </cell>
          <cell r="E692">
            <v>417.81</v>
          </cell>
          <cell r="G692">
            <v>100</v>
          </cell>
          <cell r="H692" t="str">
            <v>SC Syngenta</v>
          </cell>
          <cell r="J692" t="str">
            <v>BA090</v>
          </cell>
          <cell r="K692">
            <v>1</v>
          </cell>
          <cell r="N692">
            <v>0.01</v>
          </cell>
          <cell r="P692" t="str">
            <v>NPAA2359</v>
          </cell>
          <cell r="Q692" t="str">
            <v>01Z01ZZ01K0</v>
          </cell>
          <cell r="R692" t="str">
            <v>CA01</v>
          </cell>
        </row>
        <row r="693">
          <cell r="A693">
            <v>527831</v>
          </cell>
          <cell r="B693" t="str">
            <v>CRBS NPAA2359          STANDARD KG</v>
          </cell>
          <cell r="C693">
            <v>45.36</v>
          </cell>
          <cell r="D693" t="str">
            <v>KG</v>
          </cell>
          <cell r="E693">
            <v>417.81</v>
          </cell>
          <cell r="G693">
            <v>100</v>
          </cell>
          <cell r="H693" t="str">
            <v>SC Syngenta</v>
          </cell>
          <cell r="J693" t="str">
            <v>BA090</v>
          </cell>
          <cell r="K693">
            <v>1</v>
          </cell>
          <cell r="N693">
            <v>0.01</v>
          </cell>
          <cell r="P693" t="str">
            <v>NPAA2359</v>
          </cell>
          <cell r="Q693" t="str">
            <v>01Z01ZZ01K0</v>
          </cell>
          <cell r="R693" t="str">
            <v>CA01</v>
          </cell>
        </row>
        <row r="694">
          <cell r="A694">
            <v>527831</v>
          </cell>
          <cell r="B694" t="str">
            <v>CRBS NPAA2359          STANDARD KG</v>
          </cell>
          <cell r="C694">
            <v>45.36</v>
          </cell>
          <cell r="D694" t="str">
            <v>KG</v>
          </cell>
          <cell r="E694">
            <v>417.81</v>
          </cell>
          <cell r="G694">
            <v>100</v>
          </cell>
          <cell r="H694" t="str">
            <v>SC Syngenta</v>
          </cell>
          <cell r="J694" t="str">
            <v>BA090</v>
          </cell>
          <cell r="K694">
            <v>1</v>
          </cell>
          <cell r="N694">
            <v>0.01</v>
          </cell>
          <cell r="P694" t="str">
            <v>NPAA2359</v>
          </cell>
          <cell r="Q694" t="str">
            <v>01Z01ZZ01K0</v>
          </cell>
          <cell r="R694" t="str">
            <v>CA01</v>
          </cell>
        </row>
        <row r="695">
          <cell r="A695">
            <v>527831</v>
          </cell>
          <cell r="B695" t="str">
            <v>CRBS NPAA2359          STANDARD KG</v>
          </cell>
          <cell r="C695">
            <v>45.36</v>
          </cell>
          <cell r="D695" t="str">
            <v>KG</v>
          </cell>
          <cell r="E695">
            <v>417.81</v>
          </cell>
          <cell r="G695">
            <v>100</v>
          </cell>
          <cell r="H695" t="str">
            <v>SC Syngenta</v>
          </cell>
          <cell r="J695" t="str">
            <v>BA090</v>
          </cell>
          <cell r="K695">
            <v>1</v>
          </cell>
          <cell r="N695">
            <v>0.01</v>
          </cell>
          <cell r="P695" t="str">
            <v>NPAA2359</v>
          </cell>
          <cell r="Q695" t="str">
            <v>01Z01ZZ01K0</v>
          </cell>
          <cell r="R695" t="str">
            <v>CA01</v>
          </cell>
        </row>
        <row r="696">
          <cell r="A696">
            <v>527831</v>
          </cell>
          <cell r="B696" t="str">
            <v>CRBS NPAA2359          STANDARD KG</v>
          </cell>
          <cell r="C696">
            <v>45.36</v>
          </cell>
          <cell r="D696" t="str">
            <v>KG</v>
          </cell>
          <cell r="E696">
            <v>417.81</v>
          </cell>
          <cell r="G696">
            <v>100</v>
          </cell>
          <cell r="H696" t="str">
            <v>SC Syngenta</v>
          </cell>
          <cell r="J696" t="str">
            <v>BA090</v>
          </cell>
          <cell r="K696">
            <v>1</v>
          </cell>
          <cell r="N696">
            <v>0.01</v>
          </cell>
          <cell r="P696" t="str">
            <v>NPAA2359</v>
          </cell>
          <cell r="Q696" t="str">
            <v>01Z01ZZ01K0</v>
          </cell>
          <cell r="R696" t="str">
            <v>CA01</v>
          </cell>
        </row>
        <row r="697">
          <cell r="A697">
            <v>527831</v>
          </cell>
          <cell r="B697" t="str">
            <v>CRBS NPAA2359          STANDARD KG</v>
          </cell>
          <cell r="C697">
            <v>45.36</v>
          </cell>
          <cell r="D697" t="str">
            <v>KG</v>
          </cell>
          <cell r="E697">
            <v>417.81</v>
          </cell>
          <cell r="G697">
            <v>100</v>
          </cell>
          <cell r="H697" t="str">
            <v>SC Syngenta</v>
          </cell>
          <cell r="J697" t="str">
            <v>BA090</v>
          </cell>
          <cell r="K697">
            <v>1</v>
          </cell>
          <cell r="N697">
            <v>0.01</v>
          </cell>
          <cell r="P697" t="str">
            <v>NPAA2359</v>
          </cell>
          <cell r="Q697" t="str">
            <v>01Z01ZZ01K0</v>
          </cell>
          <cell r="R697" t="str">
            <v>CA01</v>
          </cell>
        </row>
        <row r="698">
          <cell r="A698">
            <v>527831</v>
          </cell>
          <cell r="B698" t="str">
            <v>CRBS NPAA2359          STANDARD KG</v>
          </cell>
          <cell r="C698">
            <v>45.36</v>
          </cell>
          <cell r="D698" t="str">
            <v>KG</v>
          </cell>
          <cell r="E698">
            <v>417.81</v>
          </cell>
          <cell r="G698">
            <v>100</v>
          </cell>
          <cell r="H698" t="str">
            <v>SC Syngenta</v>
          </cell>
          <cell r="J698" t="str">
            <v>BA090</v>
          </cell>
          <cell r="K698">
            <v>1</v>
          </cell>
          <cell r="N698">
            <v>0.01</v>
          </cell>
          <cell r="P698" t="str">
            <v>NPAA2359</v>
          </cell>
          <cell r="Q698" t="str">
            <v>01Z01ZZ01K0</v>
          </cell>
          <cell r="R698" t="str">
            <v>CA01</v>
          </cell>
        </row>
        <row r="699">
          <cell r="A699">
            <v>527831</v>
          </cell>
          <cell r="B699" t="str">
            <v>CRBS NPAA2359          STANDARD KG</v>
          </cell>
          <cell r="C699">
            <v>45.36</v>
          </cell>
          <cell r="D699" t="str">
            <v>KG</v>
          </cell>
          <cell r="E699">
            <v>417.81</v>
          </cell>
          <cell r="G699">
            <v>100</v>
          </cell>
          <cell r="H699" t="str">
            <v>SC Syngenta</v>
          </cell>
          <cell r="J699" t="str">
            <v>BA090</v>
          </cell>
          <cell r="K699">
            <v>1</v>
          </cell>
          <cell r="N699">
            <v>0.01</v>
          </cell>
          <cell r="P699" t="str">
            <v>NPAA2359</v>
          </cell>
          <cell r="Q699" t="str">
            <v>01Z01ZZ01K0</v>
          </cell>
          <cell r="R699" t="str">
            <v>CA01</v>
          </cell>
        </row>
        <row r="700">
          <cell r="A700">
            <v>527831</v>
          </cell>
          <cell r="B700" t="str">
            <v>CRBS NPAA2359          STANDARD KG</v>
          </cell>
          <cell r="C700">
            <v>45.36</v>
          </cell>
          <cell r="D700" t="str">
            <v>KG</v>
          </cell>
          <cell r="E700">
            <v>417.81</v>
          </cell>
          <cell r="G700">
            <v>100</v>
          </cell>
          <cell r="H700" t="str">
            <v>SC Syngenta</v>
          </cell>
          <cell r="J700" t="str">
            <v>BA090</v>
          </cell>
          <cell r="K700">
            <v>1</v>
          </cell>
          <cell r="N700">
            <v>0.01</v>
          </cell>
          <cell r="P700" t="str">
            <v>NPAA2359</v>
          </cell>
          <cell r="Q700" t="str">
            <v>01Z01ZZ01K0</v>
          </cell>
          <cell r="R700" t="str">
            <v>CA01</v>
          </cell>
        </row>
        <row r="701">
          <cell r="A701">
            <v>542493</v>
          </cell>
          <cell r="B701" t="str">
            <v>CRCO N29-G7    MF1     STD CA</v>
          </cell>
          <cell r="C701">
            <v>92</v>
          </cell>
          <cell r="D701" t="str">
            <v>UN</v>
          </cell>
          <cell r="E701">
            <v>3983.37</v>
          </cell>
          <cell r="G701">
            <v>100</v>
          </cell>
          <cell r="H701" t="str">
            <v>NK</v>
          </cell>
          <cell r="I701" t="str">
            <v>NK CA</v>
          </cell>
          <cell r="J701" t="str">
            <v>CO110</v>
          </cell>
          <cell r="K701">
            <v>1</v>
          </cell>
          <cell r="N701">
            <v>3999.8</v>
          </cell>
          <cell r="P701" t="str">
            <v>X29204HI</v>
          </cell>
          <cell r="Q701" t="str">
            <v>01Z010310AG</v>
          </cell>
          <cell r="R701" t="str">
            <v>CA01</v>
          </cell>
          <cell r="S701">
            <v>3983.37</v>
          </cell>
        </row>
        <row r="702">
          <cell r="A702">
            <v>542493</v>
          </cell>
          <cell r="B702" t="str">
            <v>CRCO N29-G7    MF1     STD CA</v>
          </cell>
          <cell r="C702">
            <v>92</v>
          </cell>
          <cell r="D702" t="str">
            <v>UN</v>
          </cell>
          <cell r="E702">
            <v>3983.37</v>
          </cell>
          <cell r="G702">
            <v>100</v>
          </cell>
          <cell r="H702" t="str">
            <v>NK</v>
          </cell>
          <cell r="I702" t="str">
            <v>NK CA</v>
          </cell>
          <cell r="J702" t="str">
            <v>CO110</v>
          </cell>
          <cell r="K702">
            <v>1</v>
          </cell>
          <cell r="N702">
            <v>3999.8</v>
          </cell>
          <cell r="P702" t="str">
            <v>X29204HI</v>
          </cell>
          <cell r="Q702" t="str">
            <v>01Z010310AG</v>
          </cell>
          <cell r="R702" t="str">
            <v>CA01</v>
          </cell>
          <cell r="S702">
            <v>3983.37</v>
          </cell>
        </row>
        <row r="703">
          <cell r="A703">
            <v>542496</v>
          </cell>
          <cell r="B703" t="str">
            <v>CRCO N29-G7    MF1     SPC CA</v>
          </cell>
          <cell r="C703">
            <v>136</v>
          </cell>
          <cell r="D703" t="str">
            <v>UN</v>
          </cell>
          <cell r="E703">
            <v>4733.38</v>
          </cell>
          <cell r="G703">
            <v>100</v>
          </cell>
          <cell r="H703" t="str">
            <v>NK</v>
          </cell>
          <cell r="I703" t="str">
            <v>NK CA</v>
          </cell>
          <cell r="J703" t="str">
            <v>CO110</v>
          </cell>
          <cell r="K703">
            <v>1</v>
          </cell>
          <cell r="N703">
            <v>4858.25</v>
          </cell>
          <cell r="P703" t="str">
            <v>X29204HI</v>
          </cell>
          <cell r="Q703" t="str">
            <v>01Z010310AG</v>
          </cell>
          <cell r="R703" t="str">
            <v>CA01</v>
          </cell>
          <cell r="S703">
            <v>4733.38</v>
          </cell>
        </row>
        <row r="704">
          <cell r="A704">
            <v>542496</v>
          </cell>
          <cell r="B704" t="str">
            <v>CRCO N29-G7    MF1     SPC CA</v>
          </cell>
          <cell r="C704">
            <v>136</v>
          </cell>
          <cell r="D704" t="str">
            <v>UN</v>
          </cell>
          <cell r="E704">
            <v>4733.38</v>
          </cell>
          <cell r="G704">
            <v>100</v>
          </cell>
          <cell r="H704" t="str">
            <v>NK</v>
          </cell>
          <cell r="I704" t="str">
            <v>NK CA</v>
          </cell>
          <cell r="J704" t="str">
            <v>CO110</v>
          </cell>
          <cell r="K704">
            <v>1</v>
          </cell>
          <cell r="N704">
            <v>4858.25</v>
          </cell>
          <cell r="P704" t="str">
            <v>X29204HI</v>
          </cell>
          <cell r="Q704" t="str">
            <v>01Z010310AG</v>
          </cell>
          <cell r="R704" t="str">
            <v>CA01</v>
          </cell>
          <cell r="S704">
            <v>4733.38</v>
          </cell>
        </row>
        <row r="705">
          <cell r="A705">
            <v>542499</v>
          </cell>
          <cell r="B705" t="str">
            <v>CRCO N29-G7    MF2     STD CA</v>
          </cell>
          <cell r="C705">
            <v>600</v>
          </cell>
          <cell r="D705" t="str">
            <v>UN</v>
          </cell>
          <cell r="E705">
            <v>3983.37</v>
          </cell>
          <cell r="G705">
            <v>100</v>
          </cell>
          <cell r="H705" t="str">
            <v>NK</v>
          </cell>
          <cell r="I705" t="str">
            <v>NK CA</v>
          </cell>
          <cell r="J705" t="str">
            <v>CO110</v>
          </cell>
          <cell r="K705">
            <v>1</v>
          </cell>
          <cell r="N705">
            <v>3999.8</v>
          </cell>
          <cell r="P705" t="str">
            <v>X29204HI</v>
          </cell>
          <cell r="Q705" t="str">
            <v>01Z010310AG</v>
          </cell>
          <cell r="R705" t="str">
            <v>CA01</v>
          </cell>
          <cell r="S705">
            <v>3983.37</v>
          </cell>
        </row>
        <row r="706">
          <cell r="A706">
            <v>542499</v>
          </cell>
          <cell r="B706" t="str">
            <v>CRCO N29-G7    MF2     STD CA</v>
          </cell>
          <cell r="C706">
            <v>600</v>
          </cell>
          <cell r="D706" t="str">
            <v>UN</v>
          </cell>
          <cell r="E706">
            <v>3983.37</v>
          </cell>
          <cell r="G706">
            <v>100</v>
          </cell>
          <cell r="H706" t="str">
            <v>NK</v>
          </cell>
          <cell r="I706" t="str">
            <v>NK CA</v>
          </cell>
          <cell r="J706" t="str">
            <v>CO110</v>
          </cell>
          <cell r="K706">
            <v>1</v>
          </cell>
          <cell r="N706">
            <v>3999.8</v>
          </cell>
          <cell r="P706" t="str">
            <v>X29204HI</v>
          </cell>
          <cell r="Q706" t="str">
            <v>01Z010310AG</v>
          </cell>
          <cell r="R706" t="str">
            <v>CA01</v>
          </cell>
          <cell r="S706">
            <v>3983.37</v>
          </cell>
        </row>
        <row r="707">
          <cell r="A707">
            <v>542502</v>
          </cell>
          <cell r="B707" t="str">
            <v>CRCO N29-G7    MF2     SPC CA</v>
          </cell>
          <cell r="C707">
            <v>270</v>
          </cell>
          <cell r="D707" t="str">
            <v>UN</v>
          </cell>
          <cell r="E707">
            <v>4733.38</v>
          </cell>
          <cell r="G707">
            <v>100</v>
          </cell>
          <cell r="H707" t="str">
            <v>NK</v>
          </cell>
          <cell r="I707" t="str">
            <v>NK CA</v>
          </cell>
          <cell r="J707" t="str">
            <v>CO110</v>
          </cell>
          <cell r="K707">
            <v>1</v>
          </cell>
          <cell r="N707">
            <v>4858.25</v>
          </cell>
          <cell r="P707" t="str">
            <v>X29204HI</v>
          </cell>
          <cell r="Q707" t="str">
            <v>01Z010310AG</v>
          </cell>
          <cell r="R707" t="str">
            <v>CA01</v>
          </cell>
          <cell r="S707">
            <v>4733.38</v>
          </cell>
        </row>
        <row r="708">
          <cell r="A708">
            <v>542502</v>
          </cell>
          <cell r="B708" t="str">
            <v>CRCO N29-G7    MF2     SPC CA</v>
          </cell>
          <cell r="C708">
            <v>270</v>
          </cell>
          <cell r="D708" t="str">
            <v>UN</v>
          </cell>
          <cell r="E708">
            <v>4733.38</v>
          </cell>
          <cell r="G708">
            <v>100</v>
          </cell>
          <cell r="H708" t="str">
            <v>NK</v>
          </cell>
          <cell r="I708" t="str">
            <v>NK CA</v>
          </cell>
          <cell r="J708" t="str">
            <v>CO110</v>
          </cell>
          <cell r="K708">
            <v>1</v>
          </cell>
          <cell r="N708">
            <v>4858.25</v>
          </cell>
          <cell r="P708" t="str">
            <v>X29204HI</v>
          </cell>
          <cell r="Q708" t="str">
            <v>01Z010310AG</v>
          </cell>
          <cell r="R708" t="str">
            <v>CA01</v>
          </cell>
          <cell r="S708">
            <v>4733.38</v>
          </cell>
        </row>
        <row r="709">
          <cell r="A709">
            <v>542508</v>
          </cell>
          <cell r="B709" t="str">
            <v>CRCO N29-G7    MR1     SPC CA</v>
          </cell>
          <cell r="C709">
            <v>131</v>
          </cell>
          <cell r="D709" t="str">
            <v>UN</v>
          </cell>
          <cell r="E709">
            <v>4733.38</v>
          </cell>
          <cell r="G709">
            <v>100</v>
          </cell>
          <cell r="H709" t="str">
            <v>NK</v>
          </cell>
          <cell r="I709" t="str">
            <v>NK CA</v>
          </cell>
          <cell r="J709" t="str">
            <v>CO110</v>
          </cell>
          <cell r="K709">
            <v>1</v>
          </cell>
          <cell r="N709">
            <v>4858.25</v>
          </cell>
          <cell r="P709" t="str">
            <v>X29204HI</v>
          </cell>
          <cell r="Q709" t="str">
            <v>01Z010310AG</v>
          </cell>
          <cell r="R709" t="str">
            <v>CA01</v>
          </cell>
          <cell r="S709">
            <v>4733.38</v>
          </cell>
        </row>
        <row r="710">
          <cell r="A710">
            <v>542508</v>
          </cell>
          <cell r="B710" t="str">
            <v>CRCO N29-G7    MR1     SPC CA</v>
          </cell>
          <cell r="C710">
            <v>131</v>
          </cell>
          <cell r="D710" t="str">
            <v>UN</v>
          </cell>
          <cell r="E710">
            <v>4733.38</v>
          </cell>
          <cell r="G710">
            <v>100</v>
          </cell>
          <cell r="H710" t="str">
            <v>NK</v>
          </cell>
          <cell r="I710" t="str">
            <v>NK CA</v>
          </cell>
          <cell r="J710" t="str">
            <v>CO110</v>
          </cell>
          <cell r="K710">
            <v>1</v>
          </cell>
          <cell r="N710">
            <v>4858.25</v>
          </cell>
          <cell r="P710" t="str">
            <v>X29204HI</v>
          </cell>
          <cell r="Q710" t="str">
            <v>01Z010310AG</v>
          </cell>
          <cell r="R710" t="str">
            <v>CA01</v>
          </cell>
          <cell r="S710">
            <v>4733.38</v>
          </cell>
        </row>
        <row r="711">
          <cell r="A711">
            <v>542511</v>
          </cell>
          <cell r="B711" t="str">
            <v>CRCO N29-G7    MR2     STD CA</v>
          </cell>
          <cell r="C711">
            <v>329</v>
          </cell>
          <cell r="D711" t="str">
            <v>UN</v>
          </cell>
          <cell r="E711">
            <v>3983.37</v>
          </cell>
          <cell r="G711">
            <v>100</v>
          </cell>
          <cell r="H711" t="str">
            <v>NK</v>
          </cell>
          <cell r="I711" t="str">
            <v>NK CA</v>
          </cell>
          <cell r="J711" t="str">
            <v>CO110</v>
          </cell>
          <cell r="K711">
            <v>1</v>
          </cell>
          <cell r="N711">
            <v>3999.8</v>
          </cell>
          <cell r="P711" t="str">
            <v>X29204HI</v>
          </cell>
          <cell r="Q711" t="str">
            <v>01Z010310AG</v>
          </cell>
          <cell r="R711" t="str">
            <v>CA01</v>
          </cell>
          <cell r="S711">
            <v>3983.37</v>
          </cell>
        </row>
        <row r="712">
          <cell r="A712">
            <v>542511</v>
          </cell>
          <cell r="B712" t="str">
            <v>CRCO N29-G7    MR2     STD CA</v>
          </cell>
          <cell r="C712">
            <v>329</v>
          </cell>
          <cell r="D712" t="str">
            <v>UN</v>
          </cell>
          <cell r="E712">
            <v>3983.37</v>
          </cell>
          <cell r="G712">
            <v>100</v>
          </cell>
          <cell r="H712" t="str">
            <v>NK</v>
          </cell>
          <cell r="I712" t="str">
            <v>NK CA</v>
          </cell>
          <cell r="J712" t="str">
            <v>CO110</v>
          </cell>
          <cell r="K712">
            <v>1</v>
          </cell>
          <cell r="N712">
            <v>3999.8</v>
          </cell>
          <cell r="P712" t="str">
            <v>X29204HI</v>
          </cell>
          <cell r="Q712" t="str">
            <v>01Z010310AG</v>
          </cell>
          <cell r="R712" t="str">
            <v>CA01</v>
          </cell>
          <cell r="S712">
            <v>3983.37</v>
          </cell>
        </row>
        <row r="713">
          <cell r="A713">
            <v>542514</v>
          </cell>
          <cell r="B713" t="str">
            <v>CRCO N29-G7    MR2     SPC CA</v>
          </cell>
          <cell r="C713">
            <v>237</v>
          </cell>
          <cell r="D713" t="str">
            <v>UN</v>
          </cell>
          <cell r="E713">
            <v>4733.38</v>
          </cell>
          <cell r="G713">
            <v>100</v>
          </cell>
          <cell r="H713" t="str">
            <v>NK</v>
          </cell>
          <cell r="I713" t="str">
            <v>NK CA</v>
          </cell>
          <cell r="J713" t="str">
            <v>CO110</v>
          </cell>
          <cell r="K713">
            <v>1</v>
          </cell>
          <cell r="N713">
            <v>4858.25</v>
          </cell>
          <cell r="P713" t="str">
            <v>X29204HI</v>
          </cell>
          <cell r="Q713" t="str">
            <v>01Z010310AG</v>
          </cell>
          <cell r="R713" t="str">
            <v>CA01</v>
          </cell>
          <cell r="S713">
            <v>4733.38</v>
          </cell>
        </row>
        <row r="714">
          <cell r="A714">
            <v>542514</v>
          </cell>
          <cell r="B714" t="str">
            <v>CRCO N29-G7    MR2     SPC CA</v>
          </cell>
          <cell r="C714">
            <v>237</v>
          </cell>
          <cell r="D714" t="str">
            <v>UN</v>
          </cell>
          <cell r="E714">
            <v>4733.38</v>
          </cell>
          <cell r="G714">
            <v>100</v>
          </cell>
          <cell r="H714" t="str">
            <v>NK</v>
          </cell>
          <cell r="I714" t="str">
            <v>NK CA</v>
          </cell>
          <cell r="J714" t="str">
            <v>CO110</v>
          </cell>
          <cell r="K714">
            <v>1</v>
          </cell>
          <cell r="N714">
            <v>4858.25</v>
          </cell>
          <cell r="P714" t="str">
            <v>X29204HI</v>
          </cell>
          <cell r="Q714" t="str">
            <v>01Z010310AG</v>
          </cell>
          <cell r="R714" t="str">
            <v>CA01</v>
          </cell>
          <cell r="S714">
            <v>4733.38</v>
          </cell>
        </row>
        <row r="715">
          <cell r="A715">
            <v>543021</v>
          </cell>
          <cell r="B715" t="str">
            <v>CRCO N15-A9    MF1     STD CA</v>
          </cell>
          <cell r="C715">
            <v>127</v>
          </cell>
          <cell r="D715" t="str">
            <v>UN</v>
          </cell>
          <cell r="E715">
            <v>6200</v>
          </cell>
          <cell r="G715">
            <v>100</v>
          </cell>
          <cell r="H715" t="str">
            <v>NK</v>
          </cell>
          <cell r="I715" t="str">
            <v>NK CA</v>
          </cell>
          <cell r="J715" t="str">
            <v>CO110</v>
          </cell>
          <cell r="K715">
            <v>1</v>
          </cell>
          <cell r="N715">
            <v>3631.87</v>
          </cell>
          <cell r="P715" t="str">
            <v>X10246</v>
          </cell>
          <cell r="Q715" t="str">
            <v>01Z010101BO</v>
          </cell>
          <cell r="R715" t="str">
            <v>CA01</v>
          </cell>
          <cell r="S715">
            <v>6200</v>
          </cell>
        </row>
        <row r="716">
          <cell r="A716">
            <v>543021</v>
          </cell>
          <cell r="B716" t="str">
            <v>CRCO N15-A9    MF1     STD CA</v>
          </cell>
          <cell r="C716">
            <v>127</v>
          </cell>
          <cell r="D716" t="str">
            <v>UN</v>
          </cell>
          <cell r="E716">
            <v>6200</v>
          </cell>
          <cell r="G716">
            <v>100</v>
          </cell>
          <cell r="H716" t="str">
            <v>NK</v>
          </cell>
          <cell r="I716" t="str">
            <v>NK CA</v>
          </cell>
          <cell r="J716" t="str">
            <v>CO110</v>
          </cell>
          <cell r="K716">
            <v>1</v>
          </cell>
          <cell r="N716">
            <v>3631.87</v>
          </cell>
          <cell r="P716" t="str">
            <v>X10246</v>
          </cell>
          <cell r="Q716" t="str">
            <v>01Z010101BO</v>
          </cell>
          <cell r="R716" t="str">
            <v>CA01</v>
          </cell>
          <cell r="S716">
            <v>6200</v>
          </cell>
        </row>
        <row r="717">
          <cell r="A717">
            <v>543024</v>
          </cell>
          <cell r="B717" t="str">
            <v>CRCO N15-A9    MF1     SPC CA</v>
          </cell>
          <cell r="C717">
            <v>140</v>
          </cell>
          <cell r="D717" t="str">
            <v>UN</v>
          </cell>
          <cell r="E717">
            <v>6950</v>
          </cell>
          <cell r="G717">
            <v>100</v>
          </cell>
          <cell r="H717" t="str">
            <v>NK</v>
          </cell>
          <cell r="I717" t="str">
            <v>NK CA</v>
          </cell>
          <cell r="J717" t="str">
            <v>CO110</v>
          </cell>
          <cell r="K717">
            <v>1</v>
          </cell>
          <cell r="N717">
            <v>4490.3</v>
          </cell>
          <cell r="P717" t="str">
            <v>X10246</v>
          </cell>
          <cell r="Q717" t="str">
            <v>01Z010101BO</v>
          </cell>
          <cell r="R717" t="str">
            <v>CA01</v>
          </cell>
          <cell r="S717">
            <v>6950</v>
          </cell>
        </row>
        <row r="718">
          <cell r="A718">
            <v>543024</v>
          </cell>
          <cell r="B718" t="str">
            <v>CRCO N15-A9    MF1     SPC CA</v>
          </cell>
          <cell r="C718">
            <v>140</v>
          </cell>
          <cell r="D718" t="str">
            <v>UN</v>
          </cell>
          <cell r="E718">
            <v>6950</v>
          </cell>
          <cell r="G718">
            <v>100</v>
          </cell>
          <cell r="H718" t="str">
            <v>NK</v>
          </cell>
          <cell r="I718" t="str">
            <v>NK CA</v>
          </cell>
          <cell r="J718" t="str">
            <v>CO110</v>
          </cell>
          <cell r="K718">
            <v>1</v>
          </cell>
          <cell r="N718">
            <v>4490.3</v>
          </cell>
          <cell r="P718" t="str">
            <v>X10246</v>
          </cell>
          <cell r="Q718" t="str">
            <v>01Z010101BO</v>
          </cell>
          <cell r="R718" t="str">
            <v>CA01</v>
          </cell>
          <cell r="S718">
            <v>6950</v>
          </cell>
        </row>
        <row r="719">
          <cell r="A719">
            <v>543027</v>
          </cell>
          <cell r="B719" t="str">
            <v>CRCO N15-A9    MF2     STD     80KS CA</v>
          </cell>
          <cell r="C719">
            <v>26</v>
          </cell>
          <cell r="D719" t="str">
            <v>UN</v>
          </cell>
          <cell r="E719">
            <v>6200</v>
          </cell>
          <cell r="G719">
            <v>100</v>
          </cell>
          <cell r="H719" t="str">
            <v>NK</v>
          </cell>
          <cell r="I719" t="str">
            <v>NK CA</v>
          </cell>
          <cell r="J719" t="str">
            <v>CO110</v>
          </cell>
          <cell r="K719">
            <v>1</v>
          </cell>
          <cell r="N719">
            <v>3631.87</v>
          </cell>
          <cell r="P719" t="str">
            <v>X10246</v>
          </cell>
          <cell r="Q719" t="str">
            <v>01Z010101BO</v>
          </cell>
          <cell r="R719" t="str">
            <v>CA01</v>
          </cell>
          <cell r="S719">
            <v>6200</v>
          </cell>
        </row>
        <row r="720">
          <cell r="A720">
            <v>543027</v>
          </cell>
          <cell r="B720" t="str">
            <v>CRCO N15-A9    MF2     STD     80KS CA</v>
          </cell>
          <cell r="C720">
            <v>26</v>
          </cell>
          <cell r="D720" t="str">
            <v>UN</v>
          </cell>
          <cell r="E720">
            <v>6200</v>
          </cell>
          <cell r="G720">
            <v>100</v>
          </cell>
          <cell r="H720" t="str">
            <v>NK</v>
          </cell>
          <cell r="I720" t="str">
            <v>NK CA</v>
          </cell>
          <cell r="J720" t="str">
            <v>CO110</v>
          </cell>
          <cell r="K720">
            <v>1</v>
          </cell>
          <cell r="N720">
            <v>3631.87</v>
          </cell>
          <cell r="P720" t="str">
            <v>X10246</v>
          </cell>
          <cell r="Q720" t="str">
            <v>01Z010101BO</v>
          </cell>
          <cell r="R720" t="str">
            <v>CA01</v>
          </cell>
          <cell r="S720">
            <v>6200</v>
          </cell>
        </row>
        <row r="721">
          <cell r="A721">
            <v>543030</v>
          </cell>
          <cell r="B721" t="str">
            <v>CRCO N15-A9    MF2     SPC CA</v>
          </cell>
          <cell r="C721">
            <v>8</v>
          </cell>
          <cell r="D721" t="str">
            <v>UN</v>
          </cell>
          <cell r="E721">
            <v>6950</v>
          </cell>
          <cell r="G721">
            <v>100</v>
          </cell>
          <cell r="H721" t="str">
            <v>NK</v>
          </cell>
          <cell r="I721" t="str">
            <v>NK CA</v>
          </cell>
          <cell r="J721" t="str">
            <v>CO110</v>
          </cell>
          <cell r="K721">
            <v>1</v>
          </cell>
          <cell r="N721">
            <v>4490.3</v>
          </cell>
          <cell r="P721" t="str">
            <v>X10246</v>
          </cell>
          <cell r="Q721" t="str">
            <v>01Z010101BO</v>
          </cell>
          <cell r="R721" t="str">
            <v>CA01</v>
          </cell>
          <cell r="S721">
            <v>6950</v>
          </cell>
        </row>
        <row r="722">
          <cell r="A722">
            <v>543030</v>
          </cell>
          <cell r="B722" t="str">
            <v>CRCO N15-A9    MF2     SPC CA</v>
          </cell>
          <cell r="C722">
            <v>8</v>
          </cell>
          <cell r="D722" t="str">
            <v>UN</v>
          </cell>
          <cell r="E722">
            <v>6950</v>
          </cell>
          <cell r="G722">
            <v>100</v>
          </cell>
          <cell r="H722" t="str">
            <v>NK</v>
          </cell>
          <cell r="I722" t="str">
            <v>NK CA</v>
          </cell>
          <cell r="J722" t="str">
            <v>CO110</v>
          </cell>
          <cell r="K722">
            <v>1</v>
          </cell>
          <cell r="N722">
            <v>4490.3</v>
          </cell>
          <cell r="P722" t="str">
            <v>X10246</v>
          </cell>
          <cell r="Q722" t="str">
            <v>01Z010101BO</v>
          </cell>
          <cell r="R722" t="str">
            <v>CA01</v>
          </cell>
          <cell r="S722">
            <v>6950</v>
          </cell>
        </row>
        <row r="723">
          <cell r="A723">
            <v>543042</v>
          </cell>
          <cell r="B723" t="str">
            <v>CRCO N15-A9    MR2     SPC CA</v>
          </cell>
          <cell r="C723">
            <v>0</v>
          </cell>
          <cell r="D723" t="str">
            <v>UN</v>
          </cell>
          <cell r="E723">
            <v>6950</v>
          </cell>
          <cell r="G723">
            <v>100</v>
          </cell>
          <cell r="H723" t="str">
            <v>NK</v>
          </cell>
          <cell r="I723" t="str">
            <v>NK CA</v>
          </cell>
          <cell r="J723" t="str">
            <v>CO110</v>
          </cell>
          <cell r="K723">
            <v>1</v>
          </cell>
          <cell r="N723">
            <v>4490.3</v>
          </cell>
          <cell r="P723" t="str">
            <v>X10246</v>
          </cell>
          <cell r="Q723" t="str">
            <v>01Z010101BO</v>
          </cell>
          <cell r="R723" t="str">
            <v>CA01</v>
          </cell>
          <cell r="S723">
            <v>6950</v>
          </cell>
        </row>
        <row r="724">
          <cell r="A724">
            <v>543042</v>
          </cell>
          <cell r="B724" t="str">
            <v>CRCO N15-A9    MR2     SPC CA</v>
          </cell>
          <cell r="C724">
            <v>0</v>
          </cell>
          <cell r="D724" t="str">
            <v>UN</v>
          </cell>
          <cell r="E724">
            <v>6950</v>
          </cell>
          <cell r="G724">
            <v>100</v>
          </cell>
          <cell r="H724" t="str">
            <v>NK</v>
          </cell>
          <cell r="I724" t="str">
            <v>NK CA</v>
          </cell>
          <cell r="J724" t="str">
            <v>CO110</v>
          </cell>
          <cell r="K724">
            <v>1</v>
          </cell>
          <cell r="N724">
            <v>4490.3</v>
          </cell>
          <cell r="P724" t="str">
            <v>X10246</v>
          </cell>
          <cell r="Q724" t="str">
            <v>01Z010101BO</v>
          </cell>
          <cell r="R724" t="str">
            <v>CA01</v>
          </cell>
          <cell r="S724">
            <v>6950</v>
          </cell>
        </row>
        <row r="725">
          <cell r="A725">
            <v>543111</v>
          </cell>
          <cell r="B725" t="str">
            <v>CRCO N27-W8    LR70    STD CA</v>
          </cell>
          <cell r="C725">
            <v>0</v>
          </cell>
          <cell r="D725" t="str">
            <v>UN</v>
          </cell>
          <cell r="E725">
            <v>6199.21</v>
          </cell>
          <cell r="G725">
            <v>100</v>
          </cell>
          <cell r="H725" t="str">
            <v>NK</v>
          </cell>
          <cell r="I725" t="str">
            <v>NK CA</v>
          </cell>
          <cell r="J725" t="str">
            <v>CO110</v>
          </cell>
          <cell r="K725">
            <v>1</v>
          </cell>
          <cell r="N725">
            <v>3833.06</v>
          </cell>
          <cell r="P725" t="str">
            <v>X26164BB</v>
          </cell>
          <cell r="Q725" t="str">
            <v>01Z010206BB</v>
          </cell>
          <cell r="R725" t="str">
            <v>CA01</v>
          </cell>
          <cell r="S725">
            <v>6199.21</v>
          </cell>
        </row>
        <row r="726">
          <cell r="A726">
            <v>543111</v>
          </cell>
          <cell r="B726" t="str">
            <v>CRCO N27-W8    LR70    STD CA</v>
          </cell>
          <cell r="C726">
            <v>0</v>
          </cell>
          <cell r="D726" t="str">
            <v>UN</v>
          </cell>
          <cell r="E726">
            <v>6199.21</v>
          </cell>
          <cell r="G726">
            <v>100</v>
          </cell>
          <cell r="H726" t="str">
            <v>NK</v>
          </cell>
          <cell r="I726" t="str">
            <v>NK CA</v>
          </cell>
          <cell r="J726" t="str">
            <v>CO110</v>
          </cell>
          <cell r="K726">
            <v>1</v>
          </cell>
          <cell r="N726">
            <v>3833.06</v>
          </cell>
          <cell r="P726" t="str">
            <v>X26164BB</v>
          </cell>
          <cell r="Q726" t="str">
            <v>01Z010206BB</v>
          </cell>
          <cell r="R726" t="str">
            <v>CA01</v>
          </cell>
          <cell r="S726">
            <v>6199.21</v>
          </cell>
        </row>
        <row r="727">
          <cell r="A727">
            <v>543114</v>
          </cell>
          <cell r="B727" t="str">
            <v>CRCO N27-W8    LR70    SPC CA</v>
          </cell>
          <cell r="C727">
            <v>403</v>
          </cell>
          <cell r="D727" t="str">
            <v>UN</v>
          </cell>
          <cell r="E727">
            <v>6205.06</v>
          </cell>
          <cell r="G727">
            <v>100</v>
          </cell>
          <cell r="H727" t="str">
            <v>NK</v>
          </cell>
          <cell r="I727" t="str">
            <v>NK CA</v>
          </cell>
          <cell r="J727" t="str">
            <v>CO110</v>
          </cell>
          <cell r="K727">
            <v>1</v>
          </cell>
          <cell r="N727">
            <v>4691.5200000000004</v>
          </cell>
          <cell r="P727" t="str">
            <v>X26164BB</v>
          </cell>
          <cell r="Q727" t="str">
            <v>01Z010206BB</v>
          </cell>
          <cell r="R727" t="str">
            <v>CA01</v>
          </cell>
          <cell r="S727">
            <v>6205.06</v>
          </cell>
        </row>
        <row r="728">
          <cell r="A728">
            <v>543114</v>
          </cell>
          <cell r="B728" t="str">
            <v>CRCO N27-W8    LR70    SPC CA</v>
          </cell>
          <cell r="C728">
            <v>403</v>
          </cell>
          <cell r="D728" t="str">
            <v>UN</v>
          </cell>
          <cell r="E728">
            <v>6205.06</v>
          </cell>
          <cell r="G728">
            <v>100</v>
          </cell>
          <cell r="H728" t="str">
            <v>NK</v>
          </cell>
          <cell r="I728" t="str">
            <v>NK CA</v>
          </cell>
          <cell r="J728" t="str">
            <v>CO110</v>
          </cell>
          <cell r="K728">
            <v>1</v>
          </cell>
          <cell r="N728">
            <v>4691.5200000000004</v>
          </cell>
          <cell r="P728" t="str">
            <v>X26164BB</v>
          </cell>
          <cell r="Q728" t="str">
            <v>01Z010206BB</v>
          </cell>
          <cell r="R728" t="str">
            <v>CA01</v>
          </cell>
          <cell r="S728">
            <v>6205.06</v>
          </cell>
        </row>
        <row r="729">
          <cell r="A729">
            <v>543126</v>
          </cell>
          <cell r="B729" t="str">
            <v>CRCO N27-W8    MF2     SPC CA</v>
          </cell>
          <cell r="C729">
            <v>117</v>
          </cell>
          <cell r="D729" t="str">
            <v>UN</v>
          </cell>
          <cell r="E729">
            <v>6205.06</v>
          </cell>
          <cell r="G729">
            <v>100</v>
          </cell>
          <cell r="H729" t="str">
            <v>NK</v>
          </cell>
          <cell r="I729" t="str">
            <v>NK CA</v>
          </cell>
          <cell r="J729" t="str">
            <v>CO110</v>
          </cell>
          <cell r="K729">
            <v>1</v>
          </cell>
          <cell r="N729">
            <v>4691.5200000000004</v>
          </cell>
          <cell r="P729" t="str">
            <v>X26164BB</v>
          </cell>
          <cell r="Q729" t="str">
            <v>01Z010206BB</v>
          </cell>
          <cell r="R729" t="str">
            <v>CA01</v>
          </cell>
          <cell r="S729">
            <v>6205.06</v>
          </cell>
        </row>
        <row r="730">
          <cell r="A730">
            <v>543126</v>
          </cell>
          <cell r="B730" t="str">
            <v>CRCO N27-W8    MF2     SPC CA</v>
          </cell>
          <cell r="C730">
            <v>117</v>
          </cell>
          <cell r="D730" t="str">
            <v>UN</v>
          </cell>
          <cell r="E730">
            <v>6205.06</v>
          </cell>
          <cell r="G730">
            <v>100</v>
          </cell>
          <cell r="H730" t="str">
            <v>NK</v>
          </cell>
          <cell r="I730" t="str">
            <v>NK CA</v>
          </cell>
          <cell r="J730" t="str">
            <v>CO110</v>
          </cell>
          <cell r="K730">
            <v>1</v>
          </cell>
          <cell r="N730">
            <v>4691.5200000000004</v>
          </cell>
          <cell r="P730" t="str">
            <v>X26164BB</v>
          </cell>
          <cell r="Q730" t="str">
            <v>01Z010206BB</v>
          </cell>
          <cell r="R730" t="str">
            <v>CA01</v>
          </cell>
          <cell r="S730">
            <v>6205.06</v>
          </cell>
        </row>
        <row r="731">
          <cell r="A731">
            <v>653128</v>
          </cell>
          <cell r="B731" t="str">
            <v>CRCO N16-N7     MF1     STD     80KS CA</v>
          </cell>
          <cell r="C731">
            <v>580</v>
          </cell>
          <cell r="D731" t="str">
            <v>UN</v>
          </cell>
          <cell r="E731">
            <v>5281.62</v>
          </cell>
          <cell r="G731">
            <v>100</v>
          </cell>
          <cell r="H731" t="str">
            <v>NK</v>
          </cell>
          <cell r="I731" t="str">
            <v>NK CA</v>
          </cell>
          <cell r="J731" t="str">
            <v>CO110</v>
          </cell>
          <cell r="K731">
            <v>1</v>
          </cell>
          <cell r="N731">
            <v>4845.51</v>
          </cell>
          <cell r="P731" t="str">
            <v>X1832ABB</v>
          </cell>
          <cell r="Q731" t="str">
            <v>01Z010106AA</v>
          </cell>
          <cell r="R731" t="str">
            <v>CA01</v>
          </cell>
          <cell r="S731">
            <v>5281.62</v>
          </cell>
        </row>
        <row r="732">
          <cell r="A732">
            <v>653128</v>
          </cell>
          <cell r="B732" t="str">
            <v>CRCO N16-N7     MF1     STD     80KS CA</v>
          </cell>
          <cell r="C732">
            <v>580</v>
          </cell>
          <cell r="D732" t="str">
            <v>UN</v>
          </cell>
          <cell r="E732">
            <v>5281.62</v>
          </cell>
          <cell r="G732">
            <v>100</v>
          </cell>
          <cell r="H732" t="str">
            <v>NK</v>
          </cell>
          <cell r="I732" t="str">
            <v>NK CA</v>
          </cell>
          <cell r="J732" t="str">
            <v>CO110</v>
          </cell>
          <cell r="K732">
            <v>1</v>
          </cell>
          <cell r="N732">
            <v>4845.51</v>
          </cell>
          <cell r="P732" t="str">
            <v>X1832ABB</v>
          </cell>
          <cell r="Q732" t="str">
            <v>01Z010106AA</v>
          </cell>
          <cell r="R732" t="str">
            <v>CA01</v>
          </cell>
          <cell r="S732">
            <v>5281.62</v>
          </cell>
        </row>
        <row r="733">
          <cell r="A733">
            <v>653131</v>
          </cell>
          <cell r="B733" t="str">
            <v>CRCO N16-N7     MF1     SPC     80KS CA</v>
          </cell>
          <cell r="C733">
            <v>796</v>
          </cell>
          <cell r="D733" t="str">
            <v>UN</v>
          </cell>
          <cell r="E733">
            <v>6032.45</v>
          </cell>
          <cell r="G733">
            <v>100</v>
          </cell>
          <cell r="H733" t="str">
            <v>NK</v>
          </cell>
          <cell r="I733" t="str">
            <v>NK CA</v>
          </cell>
          <cell r="J733" t="str">
            <v>CO110</v>
          </cell>
          <cell r="K733">
            <v>1</v>
          </cell>
          <cell r="N733">
            <v>5703.95</v>
          </cell>
          <cell r="P733" t="str">
            <v>X1832ABB</v>
          </cell>
          <cell r="Q733" t="str">
            <v>01Z010106AA</v>
          </cell>
          <cell r="R733" t="str">
            <v>CA01</v>
          </cell>
          <cell r="S733">
            <v>6032.45</v>
          </cell>
        </row>
        <row r="734">
          <cell r="A734">
            <v>653131</v>
          </cell>
          <cell r="B734" t="str">
            <v>CRCO N16-N7     MF1     SPC     80KS CA</v>
          </cell>
          <cell r="C734">
            <v>796</v>
          </cell>
          <cell r="D734" t="str">
            <v>UN</v>
          </cell>
          <cell r="E734">
            <v>6032.45</v>
          </cell>
          <cell r="G734">
            <v>100</v>
          </cell>
          <cell r="H734" t="str">
            <v>NK</v>
          </cell>
          <cell r="I734" t="str">
            <v>NK CA</v>
          </cell>
          <cell r="J734" t="str">
            <v>CO110</v>
          </cell>
          <cell r="K734">
            <v>1</v>
          </cell>
          <cell r="N734">
            <v>5703.95</v>
          </cell>
          <cell r="P734" t="str">
            <v>X1832ABB</v>
          </cell>
          <cell r="Q734" t="str">
            <v>01Z010106AA</v>
          </cell>
          <cell r="R734" t="str">
            <v>CA01</v>
          </cell>
          <cell r="S734">
            <v>6032.45</v>
          </cell>
        </row>
        <row r="735">
          <cell r="A735">
            <v>653134</v>
          </cell>
          <cell r="B735" t="str">
            <v>CRCO N16-N7     MF2     STD     80KS CA</v>
          </cell>
          <cell r="C735">
            <v>264</v>
          </cell>
          <cell r="D735" t="str">
            <v>UN</v>
          </cell>
          <cell r="E735">
            <v>5281.62</v>
          </cell>
          <cell r="G735">
            <v>100</v>
          </cell>
          <cell r="H735" t="str">
            <v>NK</v>
          </cell>
          <cell r="I735" t="str">
            <v>NK CA</v>
          </cell>
          <cell r="J735" t="str">
            <v>CO110</v>
          </cell>
          <cell r="K735">
            <v>1</v>
          </cell>
          <cell r="N735">
            <v>4845.51</v>
          </cell>
          <cell r="P735" t="str">
            <v>X1832ABB</v>
          </cell>
          <cell r="Q735" t="str">
            <v>01Z010106AA</v>
          </cell>
          <cell r="R735" t="str">
            <v>CA01</v>
          </cell>
          <cell r="S735">
            <v>5281.62</v>
          </cell>
        </row>
        <row r="736">
          <cell r="A736">
            <v>653134</v>
          </cell>
          <cell r="B736" t="str">
            <v>CRCO N16-N7     MF2     STD     80KS CA</v>
          </cell>
          <cell r="C736">
            <v>264</v>
          </cell>
          <cell r="D736" t="str">
            <v>UN</v>
          </cell>
          <cell r="E736">
            <v>5281.62</v>
          </cell>
          <cell r="G736">
            <v>100</v>
          </cell>
          <cell r="H736" t="str">
            <v>NK</v>
          </cell>
          <cell r="I736" t="str">
            <v>NK CA</v>
          </cell>
          <cell r="J736" t="str">
            <v>CO110</v>
          </cell>
          <cell r="K736">
            <v>1</v>
          </cell>
          <cell r="N736">
            <v>4845.51</v>
          </cell>
          <cell r="P736" t="str">
            <v>X1832ABB</v>
          </cell>
          <cell r="Q736" t="str">
            <v>01Z010106AA</v>
          </cell>
          <cell r="R736" t="str">
            <v>CA01</v>
          </cell>
          <cell r="S736">
            <v>5281.62</v>
          </cell>
        </row>
        <row r="737">
          <cell r="A737">
            <v>653140</v>
          </cell>
          <cell r="B737" t="str">
            <v>CRCO N16-N7     MR1     STD     80KS CA</v>
          </cell>
          <cell r="C737">
            <v>179</v>
          </cell>
          <cell r="D737" t="str">
            <v>UN</v>
          </cell>
          <cell r="E737">
            <v>5281.62</v>
          </cell>
          <cell r="G737">
            <v>100</v>
          </cell>
          <cell r="H737" t="str">
            <v>NK</v>
          </cell>
          <cell r="I737" t="str">
            <v>NK CA</v>
          </cell>
          <cell r="J737" t="str">
            <v>CO110</v>
          </cell>
          <cell r="K737">
            <v>1</v>
          </cell>
          <cell r="N737">
            <v>4845.51</v>
          </cell>
          <cell r="P737" t="str">
            <v>X1832ABB</v>
          </cell>
          <cell r="Q737" t="str">
            <v>01Z010106AA</v>
          </cell>
          <cell r="R737" t="str">
            <v>CA01</v>
          </cell>
          <cell r="S737">
            <v>5281.62</v>
          </cell>
        </row>
        <row r="738">
          <cell r="A738">
            <v>653140</v>
          </cell>
          <cell r="B738" t="str">
            <v>CRCO N16-N7     MR1     STD     80KS CA</v>
          </cell>
          <cell r="C738">
            <v>179</v>
          </cell>
          <cell r="D738" t="str">
            <v>UN</v>
          </cell>
          <cell r="E738">
            <v>5281.62</v>
          </cell>
          <cell r="G738">
            <v>100</v>
          </cell>
          <cell r="H738" t="str">
            <v>NK</v>
          </cell>
          <cell r="I738" t="str">
            <v>NK CA</v>
          </cell>
          <cell r="J738" t="str">
            <v>CO110</v>
          </cell>
          <cell r="K738">
            <v>1</v>
          </cell>
          <cell r="N738">
            <v>4845.51</v>
          </cell>
          <cell r="P738" t="str">
            <v>X1832ABB</v>
          </cell>
          <cell r="Q738" t="str">
            <v>01Z010106AA</v>
          </cell>
          <cell r="R738" t="str">
            <v>CA01</v>
          </cell>
          <cell r="S738">
            <v>5281.62</v>
          </cell>
        </row>
        <row r="739">
          <cell r="A739">
            <v>653149</v>
          </cell>
          <cell r="B739" t="str">
            <v>CRCO N16-N7     MR2     SPC     80KS CA</v>
          </cell>
          <cell r="C739">
            <v>274</v>
          </cell>
          <cell r="D739" t="str">
            <v>UN</v>
          </cell>
          <cell r="E739">
            <v>6032.45</v>
          </cell>
          <cell r="G739">
            <v>100</v>
          </cell>
          <cell r="H739" t="str">
            <v>NK</v>
          </cell>
          <cell r="I739" t="str">
            <v>NK CA</v>
          </cell>
          <cell r="J739" t="str">
            <v>CO110</v>
          </cell>
          <cell r="K739">
            <v>1</v>
          </cell>
          <cell r="N739">
            <v>5703.95</v>
          </cell>
          <cell r="P739" t="str">
            <v>X1832ABB</v>
          </cell>
          <cell r="Q739" t="str">
            <v>01Z010106AA</v>
          </cell>
          <cell r="R739" t="str">
            <v>CA01</v>
          </cell>
          <cell r="S739">
            <v>6032.45</v>
          </cell>
        </row>
        <row r="740">
          <cell r="A740">
            <v>653149</v>
          </cell>
          <cell r="B740" t="str">
            <v>CRCO N16-N7     MR2     SPC     80KS CA</v>
          </cell>
          <cell r="C740">
            <v>274</v>
          </cell>
          <cell r="D740" t="str">
            <v>UN</v>
          </cell>
          <cell r="E740">
            <v>6032.45</v>
          </cell>
          <cell r="G740">
            <v>100</v>
          </cell>
          <cell r="H740" t="str">
            <v>NK</v>
          </cell>
          <cell r="I740" t="str">
            <v>NK CA</v>
          </cell>
          <cell r="J740" t="str">
            <v>CO110</v>
          </cell>
          <cell r="K740">
            <v>1</v>
          </cell>
          <cell r="N740">
            <v>5703.95</v>
          </cell>
          <cell r="P740" t="str">
            <v>X1832ABB</v>
          </cell>
          <cell r="Q740" t="str">
            <v>01Z010106AA</v>
          </cell>
          <cell r="R740" t="str">
            <v>CA01</v>
          </cell>
          <cell r="S740">
            <v>6032.45</v>
          </cell>
        </row>
        <row r="741">
          <cell r="A741">
            <v>653230</v>
          </cell>
          <cell r="B741" t="str">
            <v>CRCO N22-T8     MF2     STD     80KS CA</v>
          </cell>
          <cell r="C741">
            <v>207</v>
          </cell>
          <cell r="D741" t="str">
            <v>UN</v>
          </cell>
          <cell r="E741">
            <v>5570</v>
          </cell>
          <cell r="G741">
            <v>100</v>
          </cell>
          <cell r="H741" t="str">
            <v>NK</v>
          </cell>
          <cell r="I741" t="str">
            <v>NK CA</v>
          </cell>
          <cell r="J741" t="str">
            <v>CO110</v>
          </cell>
          <cell r="K741">
            <v>1</v>
          </cell>
          <cell r="N741">
            <v>4314.54</v>
          </cell>
          <cell r="P741" t="str">
            <v>X2242ABB</v>
          </cell>
          <cell r="Q741" t="str">
            <v>01Z010206AH</v>
          </cell>
          <cell r="R741" t="str">
            <v>CA01</v>
          </cell>
          <cell r="S741">
            <v>5570</v>
          </cell>
        </row>
        <row r="742">
          <cell r="A742">
            <v>653230</v>
          </cell>
          <cell r="B742" t="str">
            <v>CRCO N22-T8     MF2     STD     80KS CA</v>
          </cell>
          <cell r="C742">
            <v>207</v>
          </cell>
          <cell r="D742" t="str">
            <v>UN</v>
          </cell>
          <cell r="E742">
            <v>5570</v>
          </cell>
          <cell r="G742">
            <v>100</v>
          </cell>
          <cell r="H742" t="str">
            <v>NK</v>
          </cell>
          <cell r="I742" t="str">
            <v>NK CA</v>
          </cell>
          <cell r="J742" t="str">
            <v>CO110</v>
          </cell>
          <cell r="K742">
            <v>1</v>
          </cell>
          <cell r="N742">
            <v>4314.54</v>
          </cell>
          <cell r="P742" t="str">
            <v>X2242ABB</v>
          </cell>
          <cell r="Q742" t="str">
            <v>01Z010206AH</v>
          </cell>
          <cell r="R742" t="str">
            <v>CA01</v>
          </cell>
          <cell r="S742">
            <v>5570</v>
          </cell>
        </row>
        <row r="743">
          <cell r="A743">
            <v>653233</v>
          </cell>
          <cell r="B743" t="str">
            <v>CRCO N22-T8     MF2     SPC     80KS CA</v>
          </cell>
          <cell r="C743">
            <v>62</v>
          </cell>
          <cell r="D743" t="str">
            <v>UN</v>
          </cell>
          <cell r="E743">
            <v>6321</v>
          </cell>
          <cell r="G743">
            <v>100</v>
          </cell>
          <cell r="H743" t="str">
            <v>NK</v>
          </cell>
          <cell r="I743" t="str">
            <v>NK CA</v>
          </cell>
          <cell r="J743" t="str">
            <v>CO110</v>
          </cell>
          <cell r="K743">
            <v>1</v>
          </cell>
          <cell r="N743">
            <v>5164.96</v>
          </cell>
          <cell r="P743" t="str">
            <v>X2242ABB</v>
          </cell>
          <cell r="Q743" t="str">
            <v>01Z010206AH</v>
          </cell>
          <cell r="R743" t="str">
            <v>CA01</v>
          </cell>
          <cell r="S743">
            <v>6321</v>
          </cell>
        </row>
        <row r="744">
          <cell r="A744">
            <v>653233</v>
          </cell>
          <cell r="B744" t="str">
            <v>CRCO N22-T8     MF2     SPC     80KS CA</v>
          </cell>
          <cell r="C744">
            <v>62</v>
          </cell>
          <cell r="D744" t="str">
            <v>UN</v>
          </cell>
          <cell r="E744">
            <v>6321</v>
          </cell>
          <cell r="G744">
            <v>100</v>
          </cell>
          <cell r="H744" t="str">
            <v>NK</v>
          </cell>
          <cell r="I744" t="str">
            <v>NK CA</v>
          </cell>
          <cell r="J744" t="str">
            <v>CO110</v>
          </cell>
          <cell r="K744">
            <v>1</v>
          </cell>
          <cell r="N744">
            <v>5164.96</v>
          </cell>
          <cell r="P744" t="str">
            <v>X2242ABB</v>
          </cell>
          <cell r="Q744" t="str">
            <v>01Z010206AH</v>
          </cell>
          <cell r="R744" t="str">
            <v>CA01</v>
          </cell>
          <cell r="S744">
            <v>6321</v>
          </cell>
        </row>
        <row r="745">
          <cell r="A745">
            <v>653242</v>
          </cell>
          <cell r="B745" t="str">
            <v>CRCO N22-T8     MR2     STD     80KS CA</v>
          </cell>
          <cell r="C745">
            <v>274</v>
          </cell>
          <cell r="D745" t="str">
            <v>UN</v>
          </cell>
          <cell r="E745">
            <v>5570</v>
          </cell>
          <cell r="G745">
            <v>100</v>
          </cell>
          <cell r="H745" t="str">
            <v>NK</v>
          </cell>
          <cell r="I745" t="str">
            <v>NK CA</v>
          </cell>
          <cell r="J745" t="str">
            <v>CO110</v>
          </cell>
          <cell r="K745">
            <v>1</v>
          </cell>
          <cell r="N745">
            <v>4314.54</v>
          </cell>
          <cell r="P745" t="str">
            <v>X2242ABB</v>
          </cell>
          <cell r="Q745" t="str">
            <v>01Z010206AH</v>
          </cell>
          <cell r="R745" t="str">
            <v>CA01</v>
          </cell>
          <cell r="S745">
            <v>5570</v>
          </cell>
        </row>
        <row r="746">
          <cell r="A746">
            <v>653242</v>
          </cell>
          <cell r="B746" t="str">
            <v>CRCO N22-T8     MR2     STD     80KS CA</v>
          </cell>
          <cell r="C746">
            <v>274</v>
          </cell>
          <cell r="D746" t="str">
            <v>UN</v>
          </cell>
          <cell r="E746">
            <v>5570</v>
          </cell>
          <cell r="G746">
            <v>100</v>
          </cell>
          <cell r="H746" t="str">
            <v>NK</v>
          </cell>
          <cell r="I746" t="str">
            <v>NK CA</v>
          </cell>
          <cell r="J746" t="str">
            <v>CO110</v>
          </cell>
          <cell r="K746">
            <v>1</v>
          </cell>
          <cell r="N746">
            <v>4314.54</v>
          </cell>
          <cell r="P746" t="str">
            <v>X2242ABB</v>
          </cell>
          <cell r="Q746" t="str">
            <v>01Z010206AH</v>
          </cell>
          <cell r="R746" t="str">
            <v>CA01</v>
          </cell>
          <cell r="S746">
            <v>5570</v>
          </cell>
        </row>
        <row r="747">
          <cell r="A747">
            <v>681015</v>
          </cell>
          <cell r="B747" t="str">
            <v>TRT  Cruiser Maxx 250               CA</v>
          </cell>
          <cell r="C747">
            <v>7278.7920000000004</v>
          </cell>
          <cell r="D747" t="str">
            <v>L</v>
          </cell>
          <cell r="E747">
            <v>263.35000000000002</v>
          </cell>
          <cell r="G747">
            <v>1</v>
          </cell>
          <cell r="H747" t="str">
            <v>SC Syngenta</v>
          </cell>
          <cell r="I747" t="str">
            <v>SC SYNGENTA</v>
          </cell>
          <cell r="J747" t="str">
            <v>CPROT</v>
          </cell>
          <cell r="K747">
            <v>1</v>
          </cell>
          <cell r="N747">
            <v>238.33</v>
          </cell>
          <cell r="P747" t="str">
            <v>NON SEEDS</v>
          </cell>
          <cell r="Q747" t="str">
            <v>ZZ</v>
          </cell>
          <cell r="R747" t="str">
            <v>CA01</v>
          </cell>
        </row>
        <row r="748">
          <cell r="A748">
            <v>681015</v>
          </cell>
          <cell r="B748" t="str">
            <v>TRT  Cruiser Maxx 250               CA</v>
          </cell>
          <cell r="C748">
            <v>7278.7920000000004</v>
          </cell>
          <cell r="D748" t="str">
            <v>L</v>
          </cell>
          <cell r="E748">
            <v>263.35000000000002</v>
          </cell>
          <cell r="G748">
            <v>1</v>
          </cell>
          <cell r="H748" t="str">
            <v>SC Syngenta</v>
          </cell>
          <cell r="I748" t="str">
            <v>SC SYNGENTA</v>
          </cell>
          <cell r="J748" t="str">
            <v>CPROT</v>
          </cell>
          <cell r="K748">
            <v>1</v>
          </cell>
          <cell r="N748">
            <v>238.33</v>
          </cell>
          <cell r="P748" t="str">
            <v>NON SEEDS</v>
          </cell>
          <cell r="Q748" t="str">
            <v>ZZ</v>
          </cell>
          <cell r="R748" t="str">
            <v>CA01</v>
          </cell>
        </row>
        <row r="749">
          <cell r="A749">
            <v>681887</v>
          </cell>
          <cell r="B749" t="str">
            <v>CRCO N16-N7     MF2     SPC     80KS CA</v>
          </cell>
          <cell r="C749">
            <v>310</v>
          </cell>
          <cell r="D749" t="str">
            <v>UN</v>
          </cell>
          <cell r="E749">
            <v>6032.45</v>
          </cell>
          <cell r="G749">
            <v>100</v>
          </cell>
          <cell r="H749" t="str">
            <v>NK</v>
          </cell>
          <cell r="I749" t="str">
            <v>NK CA</v>
          </cell>
          <cell r="J749" t="str">
            <v>CO110</v>
          </cell>
          <cell r="K749">
            <v>1</v>
          </cell>
          <cell r="N749">
            <v>5703.95</v>
          </cell>
          <cell r="P749" t="str">
            <v>X1832ABB</v>
          </cell>
          <cell r="Q749" t="str">
            <v>01Z010106AA</v>
          </cell>
          <cell r="R749" t="str">
            <v>CA01</v>
          </cell>
          <cell r="S749">
            <v>6032.45</v>
          </cell>
        </row>
        <row r="750">
          <cell r="A750">
            <v>681887</v>
          </cell>
          <cell r="B750" t="str">
            <v>CRCO N16-N7     MF2     SPC     80KS CA</v>
          </cell>
          <cell r="C750">
            <v>310</v>
          </cell>
          <cell r="D750" t="str">
            <v>UN</v>
          </cell>
          <cell r="E750">
            <v>6032.45</v>
          </cell>
          <cell r="G750">
            <v>100</v>
          </cell>
          <cell r="H750" t="str">
            <v>NK</v>
          </cell>
          <cell r="I750" t="str">
            <v>NK CA</v>
          </cell>
          <cell r="J750" t="str">
            <v>CO110</v>
          </cell>
          <cell r="K750">
            <v>1</v>
          </cell>
          <cell r="N750">
            <v>5703.95</v>
          </cell>
          <cell r="P750" t="str">
            <v>X1832ABB</v>
          </cell>
          <cell r="Q750" t="str">
            <v>01Z010106AA</v>
          </cell>
          <cell r="R750" t="str">
            <v>CA01</v>
          </cell>
          <cell r="S750">
            <v>6032.45</v>
          </cell>
        </row>
        <row r="751">
          <cell r="A751">
            <v>681888</v>
          </cell>
          <cell r="B751" t="str">
            <v>CRCO N16-N7     MR1     SPC     80KS CA</v>
          </cell>
          <cell r="C751">
            <v>757</v>
          </cell>
          <cell r="D751" t="str">
            <v>UN</v>
          </cell>
          <cell r="E751">
            <v>6032.45</v>
          </cell>
          <cell r="G751">
            <v>100</v>
          </cell>
          <cell r="H751" t="str">
            <v>NK</v>
          </cell>
          <cell r="I751" t="str">
            <v>NK CA</v>
          </cell>
          <cell r="J751" t="str">
            <v>CO110</v>
          </cell>
          <cell r="K751">
            <v>1</v>
          </cell>
          <cell r="N751">
            <v>5703.95</v>
          </cell>
          <cell r="P751" t="str">
            <v>X1832ABB</v>
          </cell>
          <cell r="Q751" t="str">
            <v>01Z010106AA</v>
          </cell>
          <cell r="R751" t="str">
            <v>CA01</v>
          </cell>
          <cell r="S751">
            <v>6032.45</v>
          </cell>
        </row>
        <row r="752">
          <cell r="A752">
            <v>681888</v>
          </cell>
          <cell r="B752" t="str">
            <v>CRCO N16-N7     MR1     SPC     80KS CA</v>
          </cell>
          <cell r="C752">
            <v>757</v>
          </cell>
          <cell r="D752" t="str">
            <v>UN</v>
          </cell>
          <cell r="E752">
            <v>6032.45</v>
          </cell>
          <cell r="G752">
            <v>100</v>
          </cell>
          <cell r="H752" t="str">
            <v>NK</v>
          </cell>
          <cell r="I752" t="str">
            <v>NK CA</v>
          </cell>
          <cell r="J752" t="str">
            <v>CO110</v>
          </cell>
          <cell r="K752">
            <v>1</v>
          </cell>
          <cell r="N752">
            <v>5703.95</v>
          </cell>
          <cell r="P752" t="str">
            <v>X1832ABB</v>
          </cell>
          <cell r="Q752" t="str">
            <v>01Z010106AA</v>
          </cell>
          <cell r="R752" t="str">
            <v>CA01</v>
          </cell>
          <cell r="S752">
            <v>6032.45</v>
          </cell>
        </row>
        <row r="753">
          <cell r="A753">
            <v>681903</v>
          </cell>
          <cell r="B753" t="str">
            <v>CRCO N22-T8     MR2     SPC     80KS CA</v>
          </cell>
          <cell r="C753">
            <v>92</v>
          </cell>
          <cell r="D753" t="str">
            <v>UN</v>
          </cell>
          <cell r="E753">
            <v>6321</v>
          </cell>
          <cell r="G753">
            <v>100</v>
          </cell>
          <cell r="H753" t="str">
            <v>NK</v>
          </cell>
          <cell r="I753" t="str">
            <v>NK CA</v>
          </cell>
          <cell r="J753" t="str">
            <v>CO110</v>
          </cell>
          <cell r="K753">
            <v>1</v>
          </cell>
          <cell r="N753">
            <v>5164.96</v>
          </cell>
          <cell r="P753" t="str">
            <v>X2242ABB</v>
          </cell>
          <cell r="Q753" t="str">
            <v>01Z010206AH</v>
          </cell>
          <cell r="R753" t="str">
            <v>CA01</v>
          </cell>
          <cell r="S753">
            <v>6321</v>
          </cell>
        </row>
        <row r="754">
          <cell r="A754">
            <v>681903</v>
          </cell>
          <cell r="B754" t="str">
            <v>CRCO N22-T8     MR2     SPC     80KS CA</v>
          </cell>
          <cell r="C754">
            <v>92</v>
          </cell>
          <cell r="D754" t="str">
            <v>UN</v>
          </cell>
          <cell r="E754">
            <v>6321</v>
          </cell>
          <cell r="G754">
            <v>100</v>
          </cell>
          <cell r="H754" t="str">
            <v>NK</v>
          </cell>
          <cell r="I754" t="str">
            <v>NK CA</v>
          </cell>
          <cell r="J754" t="str">
            <v>CO110</v>
          </cell>
          <cell r="K754">
            <v>1</v>
          </cell>
          <cell r="N754">
            <v>5164.96</v>
          </cell>
          <cell r="P754" t="str">
            <v>X2242ABB</v>
          </cell>
          <cell r="Q754" t="str">
            <v>01Z010206AH</v>
          </cell>
          <cell r="R754" t="str">
            <v>CA01</v>
          </cell>
          <cell r="S754">
            <v>6321</v>
          </cell>
        </row>
        <row r="755">
          <cell r="A755">
            <v>685996</v>
          </cell>
          <cell r="B755" t="str">
            <v>CRCO 8888      LR70    STD     70KS CA</v>
          </cell>
          <cell r="C755">
            <v>0</v>
          </cell>
          <cell r="D755" t="str">
            <v>UN</v>
          </cell>
          <cell r="E755">
            <v>4783.57</v>
          </cell>
          <cell r="G755">
            <v>100</v>
          </cell>
          <cell r="H755" t="str">
            <v>NK</v>
          </cell>
          <cell r="I755" t="str">
            <v>NK CA</v>
          </cell>
          <cell r="J755" t="str">
            <v>CO110</v>
          </cell>
          <cell r="K755">
            <v>1</v>
          </cell>
          <cell r="N755">
            <v>4122.74</v>
          </cell>
          <cell r="P755">
            <v>8888</v>
          </cell>
          <cell r="Q755" t="str">
            <v>01Z010301AW</v>
          </cell>
          <cell r="R755" t="str">
            <v>CA01</v>
          </cell>
          <cell r="S755">
            <v>4783.57</v>
          </cell>
        </row>
        <row r="756">
          <cell r="A756">
            <v>685996</v>
          </cell>
          <cell r="B756" t="str">
            <v>CRCO 8888      LR70    STD     70KS CA</v>
          </cell>
          <cell r="C756">
            <v>0</v>
          </cell>
          <cell r="D756" t="str">
            <v>UN</v>
          </cell>
          <cell r="E756">
            <v>4783.57</v>
          </cell>
          <cell r="G756">
            <v>100</v>
          </cell>
          <cell r="H756" t="str">
            <v>NK</v>
          </cell>
          <cell r="I756" t="str">
            <v>NK CA</v>
          </cell>
          <cell r="J756" t="str">
            <v>CO110</v>
          </cell>
          <cell r="K756">
            <v>1</v>
          </cell>
          <cell r="N756">
            <v>4122.74</v>
          </cell>
          <cell r="P756">
            <v>8888</v>
          </cell>
          <cell r="Q756" t="str">
            <v>01Z010301AW</v>
          </cell>
          <cell r="R756" t="str">
            <v>CA01</v>
          </cell>
          <cell r="S756">
            <v>4783.57</v>
          </cell>
        </row>
        <row r="757">
          <cell r="A757">
            <v>685998</v>
          </cell>
          <cell r="B757" t="str">
            <v>CRCO 8888      LR70    SPC     70KS CA</v>
          </cell>
          <cell r="C757">
            <v>0</v>
          </cell>
          <cell r="D757" t="str">
            <v>UN</v>
          </cell>
          <cell r="E757">
            <v>5528.03</v>
          </cell>
          <cell r="G757">
            <v>100</v>
          </cell>
          <cell r="H757" t="str">
            <v>NK</v>
          </cell>
          <cell r="I757" t="str">
            <v>NK CA</v>
          </cell>
          <cell r="J757" t="str">
            <v>CO110</v>
          </cell>
          <cell r="K757">
            <v>1</v>
          </cell>
          <cell r="N757">
            <v>5680.36</v>
          </cell>
          <cell r="P757">
            <v>8888</v>
          </cell>
          <cell r="Q757" t="str">
            <v>01Z010301AW</v>
          </cell>
          <cell r="R757" t="str">
            <v>CA01</v>
          </cell>
          <cell r="S757">
            <v>5528.03</v>
          </cell>
        </row>
        <row r="758">
          <cell r="A758">
            <v>685998</v>
          </cell>
          <cell r="B758" t="str">
            <v>CRCO 8888      LR70    SPC     70KS CA</v>
          </cell>
          <cell r="C758">
            <v>0</v>
          </cell>
          <cell r="D758" t="str">
            <v>UN</v>
          </cell>
          <cell r="E758">
            <v>5528.03</v>
          </cell>
          <cell r="G758">
            <v>100</v>
          </cell>
          <cell r="H758" t="str">
            <v>NK</v>
          </cell>
          <cell r="I758" t="str">
            <v>NK CA</v>
          </cell>
          <cell r="J758" t="str">
            <v>CO110</v>
          </cell>
          <cell r="K758">
            <v>1</v>
          </cell>
          <cell r="N758">
            <v>5680.36</v>
          </cell>
          <cell r="P758">
            <v>8888</v>
          </cell>
          <cell r="Q758" t="str">
            <v>01Z010301AW</v>
          </cell>
          <cell r="R758" t="str">
            <v>CA01</v>
          </cell>
          <cell r="S758">
            <v>5528.03</v>
          </cell>
        </row>
        <row r="759">
          <cell r="A759">
            <v>686000</v>
          </cell>
          <cell r="B759" t="str">
            <v>CRCO 8888      MF1     STD     80KS CA</v>
          </cell>
          <cell r="C759">
            <v>2</v>
          </cell>
          <cell r="D759" t="str">
            <v>UN</v>
          </cell>
          <cell r="E759">
            <v>4783.57</v>
          </cell>
          <cell r="G759">
            <v>100</v>
          </cell>
          <cell r="H759" t="str">
            <v>NK</v>
          </cell>
          <cell r="I759" t="str">
            <v>NK CA</v>
          </cell>
          <cell r="J759" t="str">
            <v>CO110</v>
          </cell>
          <cell r="K759">
            <v>1</v>
          </cell>
          <cell r="N759">
            <v>4122.74</v>
          </cell>
          <cell r="P759">
            <v>8888</v>
          </cell>
          <cell r="Q759" t="str">
            <v>01Z010301AW</v>
          </cell>
          <cell r="R759" t="str">
            <v>CA01</v>
          </cell>
          <cell r="S759">
            <v>4783.57</v>
          </cell>
        </row>
        <row r="760">
          <cell r="A760">
            <v>686000</v>
          </cell>
          <cell r="B760" t="str">
            <v>CRCO 8888      MF1     STD     80KS CA</v>
          </cell>
          <cell r="C760">
            <v>2</v>
          </cell>
          <cell r="D760" t="str">
            <v>UN</v>
          </cell>
          <cell r="E760">
            <v>4783.57</v>
          </cell>
          <cell r="G760">
            <v>100</v>
          </cell>
          <cell r="H760" t="str">
            <v>NK</v>
          </cell>
          <cell r="I760" t="str">
            <v>NK CA</v>
          </cell>
          <cell r="J760" t="str">
            <v>CO110</v>
          </cell>
          <cell r="K760">
            <v>1</v>
          </cell>
          <cell r="N760">
            <v>4122.74</v>
          </cell>
          <cell r="P760">
            <v>8888</v>
          </cell>
          <cell r="Q760" t="str">
            <v>01Z010301AW</v>
          </cell>
          <cell r="R760" t="str">
            <v>CA01</v>
          </cell>
          <cell r="S760">
            <v>4783.57</v>
          </cell>
        </row>
        <row r="761">
          <cell r="A761">
            <v>686002</v>
          </cell>
          <cell r="B761" t="str">
            <v>CRCO 8888      MF1     SPC     80KS CA</v>
          </cell>
          <cell r="C761">
            <v>27</v>
          </cell>
          <cell r="D761" t="str">
            <v>UN</v>
          </cell>
          <cell r="E761">
            <v>5528.03</v>
          </cell>
          <cell r="G761">
            <v>100</v>
          </cell>
          <cell r="H761" t="str">
            <v>NK</v>
          </cell>
          <cell r="I761" t="str">
            <v>NK CA</v>
          </cell>
          <cell r="J761" t="str">
            <v>CO110</v>
          </cell>
          <cell r="K761">
            <v>1</v>
          </cell>
          <cell r="N761">
            <v>5680.36</v>
          </cell>
          <cell r="P761">
            <v>8888</v>
          </cell>
          <cell r="Q761" t="str">
            <v>01Z010301AW</v>
          </cell>
          <cell r="R761" t="str">
            <v>CA01</v>
          </cell>
          <cell r="S761">
            <v>5528.03</v>
          </cell>
        </row>
        <row r="762">
          <cell r="A762">
            <v>686002</v>
          </cell>
          <cell r="B762" t="str">
            <v>CRCO 8888      MF1     SPC     80KS CA</v>
          </cell>
          <cell r="C762">
            <v>27</v>
          </cell>
          <cell r="D762" t="str">
            <v>UN</v>
          </cell>
          <cell r="E762">
            <v>5528.03</v>
          </cell>
          <cell r="G762">
            <v>100</v>
          </cell>
          <cell r="H762" t="str">
            <v>NK</v>
          </cell>
          <cell r="I762" t="str">
            <v>NK CA</v>
          </cell>
          <cell r="J762" t="str">
            <v>CO110</v>
          </cell>
          <cell r="K762">
            <v>1</v>
          </cell>
          <cell r="N762">
            <v>5680.36</v>
          </cell>
          <cell r="P762">
            <v>8888</v>
          </cell>
          <cell r="Q762" t="str">
            <v>01Z010301AW</v>
          </cell>
          <cell r="R762" t="str">
            <v>CA01</v>
          </cell>
          <cell r="S762">
            <v>5528.03</v>
          </cell>
        </row>
        <row r="763">
          <cell r="A763">
            <v>686004</v>
          </cell>
          <cell r="B763" t="str">
            <v>CRCO 8888      MF2     STD     80KS CA</v>
          </cell>
          <cell r="C763">
            <v>102</v>
          </cell>
          <cell r="D763" t="str">
            <v>UN</v>
          </cell>
          <cell r="E763">
            <v>4783.57</v>
          </cell>
          <cell r="G763">
            <v>100</v>
          </cell>
          <cell r="H763" t="str">
            <v>NK</v>
          </cell>
          <cell r="I763" t="str">
            <v>NK CA</v>
          </cell>
          <cell r="J763" t="str">
            <v>CO110</v>
          </cell>
          <cell r="K763">
            <v>1</v>
          </cell>
          <cell r="N763">
            <v>4122.74</v>
          </cell>
          <cell r="P763">
            <v>8888</v>
          </cell>
          <cell r="Q763" t="str">
            <v>01Z010301AW</v>
          </cell>
          <cell r="R763" t="str">
            <v>CA01</v>
          </cell>
          <cell r="S763">
            <v>4783.57</v>
          </cell>
        </row>
        <row r="764">
          <cell r="A764">
            <v>686004</v>
          </cell>
          <cell r="B764" t="str">
            <v>CRCO 8888      MF2     STD     80KS CA</v>
          </cell>
          <cell r="C764">
            <v>102</v>
          </cell>
          <cell r="D764" t="str">
            <v>UN</v>
          </cell>
          <cell r="E764">
            <v>4783.57</v>
          </cell>
          <cell r="G764">
            <v>100</v>
          </cell>
          <cell r="H764" t="str">
            <v>NK</v>
          </cell>
          <cell r="I764" t="str">
            <v>NK CA</v>
          </cell>
          <cell r="J764" t="str">
            <v>CO110</v>
          </cell>
          <cell r="K764">
            <v>1</v>
          </cell>
          <cell r="N764">
            <v>4122.74</v>
          </cell>
          <cell r="P764">
            <v>8888</v>
          </cell>
          <cell r="Q764" t="str">
            <v>01Z010301AW</v>
          </cell>
          <cell r="R764" t="str">
            <v>CA01</v>
          </cell>
          <cell r="S764">
            <v>4783.57</v>
          </cell>
        </row>
        <row r="765">
          <cell r="A765">
            <v>686006</v>
          </cell>
          <cell r="B765" t="str">
            <v>CRCO 8888      MF2     SPC     80KS CA</v>
          </cell>
          <cell r="C765">
            <v>0</v>
          </cell>
          <cell r="D765" t="str">
            <v>UN</v>
          </cell>
          <cell r="E765">
            <v>5528.03</v>
          </cell>
          <cell r="G765">
            <v>100</v>
          </cell>
          <cell r="H765" t="str">
            <v>NK</v>
          </cell>
          <cell r="I765" t="str">
            <v>NK CA</v>
          </cell>
          <cell r="J765" t="str">
            <v>CO110</v>
          </cell>
          <cell r="K765">
            <v>1</v>
          </cell>
          <cell r="N765">
            <v>5680.36</v>
          </cell>
          <cell r="P765">
            <v>8888</v>
          </cell>
          <cell r="Q765" t="str">
            <v>01Z010301AW</v>
          </cell>
          <cell r="R765" t="str">
            <v>CA01</v>
          </cell>
          <cell r="S765">
            <v>5528.03</v>
          </cell>
        </row>
        <row r="766">
          <cell r="A766">
            <v>686006</v>
          </cell>
          <cell r="B766" t="str">
            <v>CRCO 8888      MF2     SPC     80KS CA</v>
          </cell>
          <cell r="C766">
            <v>0</v>
          </cell>
          <cell r="D766" t="str">
            <v>UN</v>
          </cell>
          <cell r="E766">
            <v>5528.03</v>
          </cell>
          <cell r="G766">
            <v>100</v>
          </cell>
          <cell r="H766" t="str">
            <v>NK</v>
          </cell>
          <cell r="I766" t="str">
            <v>NK CA</v>
          </cell>
          <cell r="J766" t="str">
            <v>CO110</v>
          </cell>
          <cell r="K766">
            <v>1</v>
          </cell>
          <cell r="N766">
            <v>5680.36</v>
          </cell>
          <cell r="P766">
            <v>8888</v>
          </cell>
          <cell r="Q766" t="str">
            <v>01Z010301AW</v>
          </cell>
          <cell r="R766" t="str">
            <v>CA01</v>
          </cell>
          <cell r="S766">
            <v>5528.03</v>
          </cell>
        </row>
        <row r="767">
          <cell r="A767">
            <v>686012</v>
          </cell>
          <cell r="B767" t="str">
            <v>CRCO 8888      MR2     STD     80KS CA</v>
          </cell>
          <cell r="C767">
            <v>134</v>
          </cell>
          <cell r="D767" t="str">
            <v>UN</v>
          </cell>
          <cell r="E767">
            <v>4783.57</v>
          </cell>
          <cell r="G767">
            <v>100</v>
          </cell>
          <cell r="H767" t="str">
            <v>NK</v>
          </cell>
          <cell r="I767" t="str">
            <v>NK CA</v>
          </cell>
          <cell r="J767" t="str">
            <v>CO110</v>
          </cell>
          <cell r="K767">
            <v>1</v>
          </cell>
          <cell r="N767">
            <v>4122.74</v>
          </cell>
          <cell r="P767">
            <v>8888</v>
          </cell>
          <cell r="Q767" t="str">
            <v>01Z010301AW</v>
          </cell>
          <cell r="R767" t="str">
            <v>CA01</v>
          </cell>
          <cell r="S767">
            <v>4783.57</v>
          </cell>
        </row>
        <row r="768">
          <cell r="A768">
            <v>686012</v>
          </cell>
          <cell r="B768" t="str">
            <v>CRCO 8888      MR2     STD     80KS CA</v>
          </cell>
          <cell r="C768">
            <v>134</v>
          </cell>
          <cell r="D768" t="str">
            <v>UN</v>
          </cell>
          <cell r="E768">
            <v>4783.57</v>
          </cell>
          <cell r="G768">
            <v>100</v>
          </cell>
          <cell r="H768" t="str">
            <v>NK</v>
          </cell>
          <cell r="I768" t="str">
            <v>NK CA</v>
          </cell>
          <cell r="J768" t="str">
            <v>CO110</v>
          </cell>
          <cell r="K768">
            <v>1</v>
          </cell>
          <cell r="N768">
            <v>4122.74</v>
          </cell>
          <cell r="P768">
            <v>8888</v>
          </cell>
          <cell r="Q768" t="str">
            <v>01Z010301AW</v>
          </cell>
          <cell r="R768" t="str">
            <v>CA01</v>
          </cell>
          <cell r="S768">
            <v>4783.57</v>
          </cell>
        </row>
        <row r="769">
          <cell r="A769">
            <v>686014</v>
          </cell>
          <cell r="B769" t="str">
            <v>CRCO 8888      MR2     SPC     80KS CA</v>
          </cell>
          <cell r="C769">
            <v>0</v>
          </cell>
          <cell r="D769" t="str">
            <v>UN</v>
          </cell>
          <cell r="E769">
            <v>5528.03</v>
          </cell>
          <cell r="G769">
            <v>100</v>
          </cell>
          <cell r="H769" t="str">
            <v>NK</v>
          </cell>
          <cell r="I769" t="str">
            <v>NK CA</v>
          </cell>
          <cell r="J769" t="str">
            <v>CO110</v>
          </cell>
          <cell r="K769">
            <v>1</v>
          </cell>
          <cell r="N769">
            <v>5680.36</v>
          </cell>
          <cell r="P769">
            <v>8888</v>
          </cell>
          <cell r="Q769" t="str">
            <v>01Z010301AW</v>
          </cell>
          <cell r="R769" t="str">
            <v>CA01</v>
          </cell>
          <cell r="S769">
            <v>5528.03</v>
          </cell>
        </row>
        <row r="770">
          <cell r="A770">
            <v>686014</v>
          </cell>
          <cell r="B770" t="str">
            <v>CRCO 8888      MR2     SPC     80KS CA</v>
          </cell>
          <cell r="C770">
            <v>0</v>
          </cell>
          <cell r="D770" t="str">
            <v>UN</v>
          </cell>
          <cell r="E770">
            <v>5528.03</v>
          </cell>
          <cell r="G770">
            <v>100</v>
          </cell>
          <cell r="H770" t="str">
            <v>NK</v>
          </cell>
          <cell r="I770" t="str">
            <v>NK CA</v>
          </cell>
          <cell r="J770" t="str">
            <v>CO110</v>
          </cell>
          <cell r="K770">
            <v>1</v>
          </cell>
          <cell r="N770">
            <v>5680.36</v>
          </cell>
          <cell r="P770">
            <v>8888</v>
          </cell>
          <cell r="Q770" t="str">
            <v>01Z010301AW</v>
          </cell>
          <cell r="R770" t="str">
            <v>CA01</v>
          </cell>
          <cell r="S770">
            <v>5528.03</v>
          </cell>
        </row>
        <row r="771">
          <cell r="A771">
            <v>736357</v>
          </cell>
          <cell r="B771" t="str">
            <v>CRCO N44-M1     MR1     STD     80KS CA</v>
          </cell>
          <cell r="C771">
            <v>0</v>
          </cell>
          <cell r="D771" t="str">
            <v>UN</v>
          </cell>
          <cell r="E771">
            <v>4047</v>
          </cell>
          <cell r="G771">
            <v>100</v>
          </cell>
          <cell r="H771" t="str">
            <v>NK</v>
          </cell>
          <cell r="I771" t="str">
            <v>NK CA</v>
          </cell>
          <cell r="J771" t="str">
            <v>CO110</v>
          </cell>
          <cell r="K771">
            <v>1</v>
          </cell>
          <cell r="N771">
            <v>4385.74</v>
          </cell>
          <cell r="P771" t="str">
            <v>X40444BB</v>
          </cell>
          <cell r="Q771" t="str">
            <v>01Z010406BQ</v>
          </cell>
          <cell r="R771" t="str">
            <v>CA01</v>
          </cell>
          <cell r="S771">
            <v>4047</v>
          </cell>
        </row>
        <row r="772">
          <cell r="A772">
            <v>736357</v>
          </cell>
          <cell r="B772" t="str">
            <v>CRCO N44-M1     MR1     STD     80KS CA</v>
          </cell>
          <cell r="C772">
            <v>0</v>
          </cell>
          <cell r="D772" t="str">
            <v>UN</v>
          </cell>
          <cell r="E772">
            <v>4047</v>
          </cell>
          <cell r="G772">
            <v>100</v>
          </cell>
          <cell r="H772" t="str">
            <v>NK</v>
          </cell>
          <cell r="I772" t="str">
            <v>NK CA</v>
          </cell>
          <cell r="J772" t="str">
            <v>CO110</v>
          </cell>
          <cell r="K772">
            <v>1</v>
          </cell>
          <cell r="N772">
            <v>4385.74</v>
          </cell>
          <cell r="P772" t="str">
            <v>X40444BB</v>
          </cell>
          <cell r="Q772" t="str">
            <v>01Z010406BQ</v>
          </cell>
          <cell r="R772" t="str">
            <v>CA01</v>
          </cell>
          <cell r="S772">
            <v>4047</v>
          </cell>
        </row>
        <row r="773">
          <cell r="A773">
            <v>760017</v>
          </cell>
          <cell r="B773" t="str">
            <v>CRCO N29-A5     LR70    STD     70KS CA</v>
          </cell>
          <cell r="C773">
            <v>0</v>
          </cell>
          <cell r="D773" t="str">
            <v>UN</v>
          </cell>
          <cell r="E773">
            <v>4793</v>
          </cell>
          <cell r="G773">
            <v>100</v>
          </cell>
          <cell r="H773" t="str">
            <v>NK</v>
          </cell>
          <cell r="I773" t="str">
            <v>NK CA</v>
          </cell>
          <cell r="J773" t="str">
            <v>CO110</v>
          </cell>
          <cell r="K773">
            <v>1</v>
          </cell>
          <cell r="N773">
            <v>4732.3599999999997</v>
          </cell>
          <cell r="P773" t="str">
            <v>X29204YD</v>
          </cell>
          <cell r="Q773" t="str">
            <v>01Z01023200</v>
          </cell>
          <cell r="R773" t="str">
            <v>CA01</v>
          </cell>
          <cell r="S773">
            <v>4793</v>
          </cell>
        </row>
        <row r="774">
          <cell r="A774">
            <v>760017</v>
          </cell>
          <cell r="B774" t="str">
            <v>CRCO N29-A5     LR70    STD     70KS CA</v>
          </cell>
          <cell r="C774">
            <v>0</v>
          </cell>
          <cell r="D774" t="str">
            <v>UN</v>
          </cell>
          <cell r="E774">
            <v>4793</v>
          </cell>
          <cell r="G774">
            <v>100</v>
          </cell>
          <cell r="H774" t="str">
            <v>NK</v>
          </cell>
          <cell r="I774" t="str">
            <v>NK CA</v>
          </cell>
          <cell r="J774" t="str">
            <v>CO110</v>
          </cell>
          <cell r="K774">
            <v>1</v>
          </cell>
          <cell r="N774">
            <v>4732.3599999999997</v>
          </cell>
          <cell r="P774" t="str">
            <v>X29204YD</v>
          </cell>
          <cell r="Q774" t="str">
            <v>01Z01023200</v>
          </cell>
          <cell r="R774" t="str">
            <v>CA01</v>
          </cell>
          <cell r="S774">
            <v>4793</v>
          </cell>
        </row>
        <row r="775">
          <cell r="A775">
            <v>760018</v>
          </cell>
          <cell r="B775" t="str">
            <v>CRCO N29-A5     LR70    SPC     70KS CA</v>
          </cell>
          <cell r="C775">
            <v>1025</v>
          </cell>
          <cell r="D775" t="str">
            <v>UN</v>
          </cell>
          <cell r="E775">
            <v>5543</v>
          </cell>
          <cell r="G775">
            <v>100</v>
          </cell>
          <cell r="H775" t="str">
            <v>NK</v>
          </cell>
          <cell r="I775" t="str">
            <v>NK CA</v>
          </cell>
          <cell r="J775" t="str">
            <v>CO110</v>
          </cell>
          <cell r="K775">
            <v>1</v>
          </cell>
          <cell r="N775">
            <v>5590.81</v>
          </cell>
          <cell r="P775" t="str">
            <v>X29204YD</v>
          </cell>
          <cell r="Q775" t="str">
            <v>01Z01023200</v>
          </cell>
          <cell r="R775" t="str">
            <v>CA01</v>
          </cell>
          <cell r="S775">
            <v>5543</v>
          </cell>
        </row>
        <row r="776">
          <cell r="A776">
            <v>760018</v>
          </cell>
          <cell r="B776" t="str">
            <v>CRCO N29-A5     LR70    SPC     70KS CA</v>
          </cell>
          <cell r="C776">
            <v>1025</v>
          </cell>
          <cell r="D776" t="str">
            <v>UN</v>
          </cell>
          <cell r="E776">
            <v>5543</v>
          </cell>
          <cell r="G776">
            <v>100</v>
          </cell>
          <cell r="H776" t="str">
            <v>NK</v>
          </cell>
          <cell r="I776" t="str">
            <v>NK CA</v>
          </cell>
          <cell r="J776" t="str">
            <v>CO110</v>
          </cell>
          <cell r="K776">
            <v>1</v>
          </cell>
          <cell r="N776">
            <v>5590.81</v>
          </cell>
          <cell r="P776" t="str">
            <v>X29204YD</v>
          </cell>
          <cell r="Q776" t="str">
            <v>01Z01023200</v>
          </cell>
          <cell r="R776" t="str">
            <v>CA01</v>
          </cell>
          <cell r="S776">
            <v>5543</v>
          </cell>
        </row>
        <row r="777">
          <cell r="A777">
            <v>760021</v>
          </cell>
          <cell r="B777" t="str">
            <v>CRCO N29-A5     MF2     STD     80KS CA</v>
          </cell>
          <cell r="C777">
            <v>0</v>
          </cell>
          <cell r="D777" t="str">
            <v>UN</v>
          </cell>
          <cell r="E777">
            <v>4793</v>
          </cell>
          <cell r="G777">
            <v>100</v>
          </cell>
          <cell r="H777" t="str">
            <v>NK</v>
          </cell>
          <cell r="I777" t="str">
            <v>NK CA</v>
          </cell>
          <cell r="J777" t="str">
            <v>CO110</v>
          </cell>
          <cell r="K777">
            <v>1</v>
          </cell>
          <cell r="N777">
            <v>4732.3599999999997</v>
          </cell>
          <cell r="P777" t="str">
            <v>X29204YD</v>
          </cell>
          <cell r="Q777" t="str">
            <v>01Z01023200</v>
          </cell>
          <cell r="R777" t="str">
            <v>CA01</v>
          </cell>
          <cell r="S777">
            <v>4793</v>
          </cell>
        </row>
        <row r="778">
          <cell r="A778">
            <v>760021</v>
          </cell>
          <cell r="B778" t="str">
            <v>CRCO N29-A5     MF2     STD     80KS CA</v>
          </cell>
          <cell r="C778">
            <v>0</v>
          </cell>
          <cell r="D778" t="str">
            <v>UN</v>
          </cell>
          <cell r="E778">
            <v>4793</v>
          </cell>
          <cell r="G778">
            <v>100</v>
          </cell>
          <cell r="H778" t="str">
            <v>NK</v>
          </cell>
          <cell r="I778" t="str">
            <v>NK CA</v>
          </cell>
          <cell r="J778" t="str">
            <v>CO110</v>
          </cell>
          <cell r="K778">
            <v>1</v>
          </cell>
          <cell r="N778">
            <v>4732.3599999999997</v>
          </cell>
          <cell r="P778" t="str">
            <v>X29204YD</v>
          </cell>
          <cell r="Q778" t="str">
            <v>01Z01023200</v>
          </cell>
          <cell r="R778" t="str">
            <v>CA01</v>
          </cell>
          <cell r="S778">
            <v>4793</v>
          </cell>
        </row>
        <row r="779">
          <cell r="A779">
            <v>760022</v>
          </cell>
          <cell r="B779" t="str">
            <v>CRCO N29-A5     MF2     SPC     80KS CA</v>
          </cell>
          <cell r="C779">
            <v>1270</v>
          </cell>
          <cell r="D779" t="str">
            <v>UN</v>
          </cell>
          <cell r="E779">
            <v>5542</v>
          </cell>
          <cell r="G779">
            <v>100</v>
          </cell>
          <cell r="H779" t="str">
            <v>NK</v>
          </cell>
          <cell r="I779" t="str">
            <v>NK CA</v>
          </cell>
          <cell r="J779" t="str">
            <v>CO110</v>
          </cell>
          <cell r="K779">
            <v>1</v>
          </cell>
          <cell r="N779">
            <v>5590.81</v>
          </cell>
          <cell r="P779" t="str">
            <v>X29204YD</v>
          </cell>
          <cell r="Q779" t="str">
            <v>01Z01023200</v>
          </cell>
          <cell r="R779" t="str">
            <v>CA01</v>
          </cell>
          <cell r="S779">
            <v>5542</v>
          </cell>
        </row>
        <row r="780">
          <cell r="A780">
            <v>760022</v>
          </cell>
          <cell r="B780" t="str">
            <v>CRCO N29-A5     MF2     SPC     80KS CA</v>
          </cell>
          <cell r="C780">
            <v>1270</v>
          </cell>
          <cell r="D780" t="str">
            <v>UN</v>
          </cell>
          <cell r="E780">
            <v>5542</v>
          </cell>
          <cell r="G780">
            <v>100</v>
          </cell>
          <cell r="H780" t="str">
            <v>NK</v>
          </cell>
          <cell r="I780" t="str">
            <v>NK CA</v>
          </cell>
          <cell r="J780" t="str">
            <v>CO110</v>
          </cell>
          <cell r="K780">
            <v>1</v>
          </cell>
          <cell r="N780">
            <v>5590.81</v>
          </cell>
          <cell r="P780" t="str">
            <v>X29204YD</v>
          </cell>
          <cell r="Q780" t="str">
            <v>01Z01023200</v>
          </cell>
          <cell r="R780" t="str">
            <v>CA01</v>
          </cell>
          <cell r="S780">
            <v>5542</v>
          </cell>
        </row>
        <row r="781">
          <cell r="A781">
            <v>760025</v>
          </cell>
          <cell r="B781" t="str">
            <v>CRCO N29-A5     MR2     STD     80KS CA</v>
          </cell>
          <cell r="C781">
            <v>0</v>
          </cell>
          <cell r="D781" t="str">
            <v>UN</v>
          </cell>
          <cell r="E781">
            <v>4793</v>
          </cell>
          <cell r="G781">
            <v>100</v>
          </cell>
          <cell r="H781" t="str">
            <v>NK</v>
          </cell>
          <cell r="I781" t="str">
            <v>NK CA</v>
          </cell>
          <cell r="J781" t="str">
            <v>CO110</v>
          </cell>
          <cell r="K781">
            <v>1</v>
          </cell>
          <cell r="N781">
            <v>4732.3599999999997</v>
          </cell>
          <cell r="P781" t="str">
            <v>X29204YD</v>
          </cell>
          <cell r="Q781" t="str">
            <v>01Z01023200</v>
          </cell>
          <cell r="R781" t="str">
            <v>CA01</v>
          </cell>
          <cell r="S781">
            <v>4793</v>
          </cell>
        </row>
        <row r="782">
          <cell r="A782">
            <v>760025</v>
          </cell>
          <cell r="B782" t="str">
            <v>CRCO N29-A5     MR2     STD     80KS CA</v>
          </cell>
          <cell r="C782">
            <v>0</v>
          </cell>
          <cell r="D782" t="str">
            <v>UN</v>
          </cell>
          <cell r="E782">
            <v>4793</v>
          </cell>
          <cell r="G782">
            <v>100</v>
          </cell>
          <cell r="H782" t="str">
            <v>NK</v>
          </cell>
          <cell r="I782" t="str">
            <v>NK CA</v>
          </cell>
          <cell r="J782" t="str">
            <v>CO110</v>
          </cell>
          <cell r="K782">
            <v>1</v>
          </cell>
          <cell r="N782">
            <v>4732.3599999999997</v>
          </cell>
          <cell r="P782" t="str">
            <v>X29204YD</v>
          </cell>
          <cell r="Q782" t="str">
            <v>01Z01023200</v>
          </cell>
          <cell r="R782" t="str">
            <v>CA01</v>
          </cell>
          <cell r="S782">
            <v>4793</v>
          </cell>
        </row>
        <row r="783">
          <cell r="A783">
            <v>760026</v>
          </cell>
          <cell r="B783" t="str">
            <v>CRCO N29-A5     MR2     SPC     80KS CA</v>
          </cell>
          <cell r="C783">
            <v>1099</v>
          </cell>
          <cell r="D783" t="str">
            <v>UN</v>
          </cell>
          <cell r="E783">
            <v>5542</v>
          </cell>
          <cell r="G783">
            <v>100</v>
          </cell>
          <cell r="H783" t="str">
            <v>NK</v>
          </cell>
          <cell r="I783" t="str">
            <v>NK CA</v>
          </cell>
          <cell r="J783" t="str">
            <v>CO110</v>
          </cell>
          <cell r="K783">
            <v>1</v>
          </cell>
          <cell r="N783">
            <v>5590.81</v>
          </cell>
          <cell r="P783" t="str">
            <v>X29204YD</v>
          </cell>
          <cell r="Q783" t="str">
            <v>01Z01023200</v>
          </cell>
          <cell r="R783" t="str">
            <v>CA01</v>
          </cell>
          <cell r="S783">
            <v>5542</v>
          </cell>
        </row>
        <row r="784">
          <cell r="A784">
            <v>760026</v>
          </cell>
          <cell r="B784" t="str">
            <v>CRCO N29-A5     MR2     SPC     80KS CA</v>
          </cell>
          <cell r="C784">
            <v>1099</v>
          </cell>
          <cell r="D784" t="str">
            <v>UN</v>
          </cell>
          <cell r="E784">
            <v>5542</v>
          </cell>
          <cell r="G784">
            <v>100</v>
          </cell>
          <cell r="H784" t="str">
            <v>NK</v>
          </cell>
          <cell r="I784" t="str">
            <v>NK CA</v>
          </cell>
          <cell r="J784" t="str">
            <v>CO110</v>
          </cell>
          <cell r="K784">
            <v>1</v>
          </cell>
          <cell r="N784">
            <v>5590.81</v>
          </cell>
          <cell r="P784" t="str">
            <v>X29204YD</v>
          </cell>
          <cell r="Q784" t="str">
            <v>01Z01023200</v>
          </cell>
          <cell r="R784" t="str">
            <v>CA01</v>
          </cell>
          <cell r="S784">
            <v>5542</v>
          </cell>
        </row>
        <row r="785">
          <cell r="A785">
            <v>763195</v>
          </cell>
          <cell r="B785" t="str">
            <v>CRCO NX4656   SPC  FET   NK</v>
          </cell>
          <cell r="C785">
            <v>0</v>
          </cell>
          <cell r="D785" t="str">
            <v>D10</v>
          </cell>
          <cell r="E785">
            <v>1684.94</v>
          </cell>
          <cell r="G785">
            <v>100</v>
          </cell>
          <cell r="H785" t="str">
            <v>NK</v>
          </cell>
          <cell r="I785" t="str">
            <v>NK US</v>
          </cell>
          <cell r="J785" t="str">
            <v>CO110</v>
          </cell>
          <cell r="K785">
            <v>1</v>
          </cell>
          <cell r="N785">
            <v>0.01</v>
          </cell>
          <cell r="P785" t="str">
            <v>X51556</v>
          </cell>
          <cell r="Q785" t="str">
            <v>01Z0105013A</v>
          </cell>
          <cell r="R785" t="str">
            <v>CA01</v>
          </cell>
        </row>
        <row r="786">
          <cell r="A786">
            <v>763195</v>
          </cell>
          <cell r="B786" t="str">
            <v>CRCO NX4656   SPC  FET   NK</v>
          </cell>
          <cell r="C786">
            <v>0</v>
          </cell>
          <cell r="D786" t="str">
            <v>D10</v>
          </cell>
          <cell r="E786">
            <v>1684.94</v>
          </cell>
          <cell r="G786">
            <v>100</v>
          </cell>
          <cell r="H786" t="str">
            <v>NK</v>
          </cell>
          <cell r="I786" t="str">
            <v>NK US</v>
          </cell>
          <cell r="J786" t="str">
            <v>CO110</v>
          </cell>
          <cell r="K786">
            <v>1</v>
          </cell>
          <cell r="N786">
            <v>0.01</v>
          </cell>
          <cell r="P786" t="str">
            <v>X51556</v>
          </cell>
          <cell r="Q786" t="str">
            <v>01Z0105013A</v>
          </cell>
          <cell r="R786" t="str">
            <v>CA01</v>
          </cell>
        </row>
        <row r="787">
          <cell r="A787">
            <v>763755</v>
          </cell>
          <cell r="B787" t="str">
            <v>CRCO NX6556   SPC  FET   NK</v>
          </cell>
          <cell r="C787">
            <v>0</v>
          </cell>
          <cell r="D787" t="str">
            <v>D10</v>
          </cell>
          <cell r="E787">
            <v>1685.34</v>
          </cell>
          <cell r="G787">
            <v>100</v>
          </cell>
          <cell r="H787" t="str">
            <v>NK</v>
          </cell>
          <cell r="I787" t="str">
            <v>NK US</v>
          </cell>
          <cell r="J787" t="str">
            <v>CO110</v>
          </cell>
          <cell r="K787">
            <v>1</v>
          </cell>
          <cell r="N787">
            <v>0.01</v>
          </cell>
          <cell r="P787" t="str">
            <v>X60906</v>
          </cell>
          <cell r="Q787" t="str">
            <v>01Z010601A6</v>
          </cell>
          <cell r="R787" t="str">
            <v>CA01</v>
          </cell>
        </row>
        <row r="788">
          <cell r="A788">
            <v>763755</v>
          </cell>
          <cell r="B788" t="str">
            <v>CRCO NX6556   SPC  FET   NK</v>
          </cell>
          <cell r="C788">
            <v>0</v>
          </cell>
          <cell r="D788" t="str">
            <v>D10</v>
          </cell>
          <cell r="E788">
            <v>1685.34</v>
          </cell>
          <cell r="G788">
            <v>100</v>
          </cell>
          <cell r="H788" t="str">
            <v>NK</v>
          </cell>
          <cell r="I788" t="str">
            <v>NK US</v>
          </cell>
          <cell r="J788" t="str">
            <v>CO110</v>
          </cell>
          <cell r="K788">
            <v>1</v>
          </cell>
          <cell r="N788">
            <v>0.01</v>
          </cell>
          <cell r="P788" t="str">
            <v>X60906</v>
          </cell>
          <cell r="Q788" t="str">
            <v>01Z010601A6</v>
          </cell>
          <cell r="R788" t="str">
            <v>CA01</v>
          </cell>
        </row>
        <row r="789">
          <cell r="A789">
            <v>777048</v>
          </cell>
          <cell r="B789" t="str">
            <v>CRBS NP2593BT11     STD    KG</v>
          </cell>
          <cell r="C789">
            <v>0</v>
          </cell>
          <cell r="D789" t="str">
            <v>KG</v>
          </cell>
          <cell r="E789">
            <v>459.25</v>
          </cell>
          <cell r="G789">
            <v>100</v>
          </cell>
          <cell r="H789" t="str">
            <v>SC Syngenta</v>
          </cell>
          <cell r="I789" t="str">
            <v>SC SYNGENTA</v>
          </cell>
          <cell r="J789" t="str">
            <v>BA090</v>
          </cell>
          <cell r="K789">
            <v>1</v>
          </cell>
          <cell r="N789">
            <v>0.01</v>
          </cell>
          <cell r="P789" t="str">
            <v>NP2593BT11</v>
          </cell>
          <cell r="Q789" t="str">
            <v>01Z01ZZ0617</v>
          </cell>
          <cell r="R789" t="str">
            <v>CA01</v>
          </cell>
        </row>
        <row r="790">
          <cell r="A790">
            <v>777048</v>
          </cell>
          <cell r="B790" t="str">
            <v>CRBS NP2593BT11     STD    KG</v>
          </cell>
          <cell r="C790">
            <v>0</v>
          </cell>
          <cell r="D790" t="str">
            <v>KG</v>
          </cell>
          <cell r="E790">
            <v>459.25</v>
          </cell>
          <cell r="G790">
            <v>100</v>
          </cell>
          <cell r="H790" t="str">
            <v>SC Syngenta</v>
          </cell>
          <cell r="I790" t="str">
            <v>SC SYNGENTA</v>
          </cell>
          <cell r="J790" t="str">
            <v>BA090</v>
          </cell>
          <cell r="K790">
            <v>1</v>
          </cell>
          <cell r="N790">
            <v>0.01</v>
          </cell>
          <cell r="P790" t="str">
            <v>NP2593BT11</v>
          </cell>
          <cell r="Q790" t="str">
            <v>01Z01ZZ0617</v>
          </cell>
          <cell r="R790" t="str">
            <v>CA01</v>
          </cell>
        </row>
        <row r="791">
          <cell r="A791">
            <v>816631</v>
          </cell>
          <cell r="B791" t="str">
            <v>BAG  14X3X31 HERBICIDE TOLERANT CORN CA</v>
          </cell>
          <cell r="C791">
            <v>549</v>
          </cell>
          <cell r="D791" t="str">
            <v>PC</v>
          </cell>
          <cell r="E791">
            <v>602</v>
          </cell>
          <cell r="G791">
            <v>1000</v>
          </cell>
          <cell r="H791" t="str">
            <v>SC Syngenta</v>
          </cell>
          <cell r="I791" t="str">
            <v>SC SYNGENTA</v>
          </cell>
          <cell r="J791" t="str">
            <v>PACKS</v>
          </cell>
          <cell r="K791">
            <v>1</v>
          </cell>
          <cell r="N791">
            <v>0.01</v>
          </cell>
          <cell r="P791" t="str">
            <v>NON SEEDS</v>
          </cell>
          <cell r="Q791" t="str">
            <v>ZZ</v>
          </cell>
          <cell r="R791" t="str">
            <v>CA01</v>
          </cell>
        </row>
        <row r="792">
          <cell r="A792">
            <v>816631</v>
          </cell>
          <cell r="B792" t="str">
            <v>BAG  14X3X31 HERBICIDE TOLERANT CORN CA</v>
          </cell>
          <cell r="C792">
            <v>549</v>
          </cell>
          <cell r="D792" t="str">
            <v>PC</v>
          </cell>
          <cell r="E792">
            <v>602</v>
          </cell>
          <cell r="G792">
            <v>1000</v>
          </cell>
          <cell r="H792" t="str">
            <v>SC Syngenta</v>
          </cell>
          <cell r="I792" t="str">
            <v>SC SYNGENTA</v>
          </cell>
          <cell r="J792" t="str">
            <v>PACKS</v>
          </cell>
          <cell r="K792">
            <v>1</v>
          </cell>
          <cell r="N792">
            <v>0.01</v>
          </cell>
          <cell r="P792" t="str">
            <v>NON SEEDS</v>
          </cell>
          <cell r="Q792" t="str">
            <v>ZZ</v>
          </cell>
          <cell r="R792" t="str">
            <v>CA01</v>
          </cell>
        </row>
        <row r="793">
          <cell r="A793">
            <v>816632</v>
          </cell>
          <cell r="B793" t="str">
            <v>BAG  14X3X33  HERBICIDE TOLERANT CORN CA</v>
          </cell>
          <cell r="C793">
            <v>42201</v>
          </cell>
          <cell r="D793" t="str">
            <v>PC</v>
          </cell>
          <cell r="E793">
            <v>473.8</v>
          </cell>
          <cell r="G793">
            <v>1000</v>
          </cell>
          <cell r="H793" t="str">
            <v>SC Syngenta</v>
          </cell>
          <cell r="I793" t="str">
            <v>SC SYNGENTA</v>
          </cell>
          <cell r="J793" t="str">
            <v>PACKS</v>
          </cell>
          <cell r="K793">
            <v>1</v>
          </cell>
          <cell r="N793">
            <v>478.6</v>
          </cell>
          <cell r="P793" t="str">
            <v>NON SEEDS</v>
          </cell>
          <cell r="Q793" t="str">
            <v>ZZ</v>
          </cell>
          <cell r="R793" t="str">
            <v>CA01</v>
          </cell>
        </row>
        <row r="794">
          <cell r="A794">
            <v>816632</v>
          </cell>
          <cell r="B794" t="str">
            <v>BAG  14X3X33  HERBICIDE TOLERANT CORN CA</v>
          </cell>
          <cell r="C794">
            <v>42201</v>
          </cell>
          <cell r="D794" t="str">
            <v>PC</v>
          </cell>
          <cell r="E794">
            <v>473.8</v>
          </cell>
          <cell r="G794">
            <v>1000</v>
          </cell>
          <cell r="H794" t="str">
            <v>SC Syngenta</v>
          </cell>
          <cell r="I794" t="str">
            <v>SC SYNGENTA</v>
          </cell>
          <cell r="J794" t="str">
            <v>PACKS</v>
          </cell>
          <cell r="K794">
            <v>1</v>
          </cell>
          <cell r="N794">
            <v>478.6</v>
          </cell>
          <cell r="P794" t="str">
            <v>NON SEEDS</v>
          </cell>
          <cell r="Q794" t="str">
            <v>ZZ</v>
          </cell>
          <cell r="R794" t="str">
            <v>CA01</v>
          </cell>
        </row>
        <row r="795">
          <cell r="A795">
            <v>816635</v>
          </cell>
          <cell r="B795" t="str">
            <v>BAG 15X4.5X35 HERBICIDE TOLERANT CORN CA</v>
          </cell>
          <cell r="C795">
            <v>16709</v>
          </cell>
          <cell r="D795" t="str">
            <v>PC</v>
          </cell>
          <cell r="E795">
            <v>608.20000000000005</v>
          </cell>
          <cell r="G795">
            <v>1000</v>
          </cell>
          <cell r="H795" t="str">
            <v>SC Syngenta</v>
          </cell>
          <cell r="I795" t="str">
            <v>SC SYNGENTA</v>
          </cell>
          <cell r="J795" t="str">
            <v>PACKS</v>
          </cell>
          <cell r="K795">
            <v>1</v>
          </cell>
          <cell r="N795">
            <v>595.64</v>
          </cell>
          <cell r="P795" t="str">
            <v>NON SEEDS</v>
          </cell>
          <cell r="Q795" t="str">
            <v>ZZ</v>
          </cell>
          <cell r="R795" t="str">
            <v>CA01</v>
          </cell>
        </row>
        <row r="796">
          <cell r="A796">
            <v>816635</v>
          </cell>
          <cell r="B796" t="str">
            <v>BAG 15X4.5X35 HERBICIDE TOLERANT CORN CA</v>
          </cell>
          <cell r="C796">
            <v>16709</v>
          </cell>
          <cell r="D796" t="str">
            <v>PC</v>
          </cell>
          <cell r="E796">
            <v>608.20000000000005</v>
          </cell>
          <cell r="G796">
            <v>1000</v>
          </cell>
          <cell r="H796" t="str">
            <v>SC Syngenta</v>
          </cell>
          <cell r="I796" t="str">
            <v>SC SYNGENTA</v>
          </cell>
          <cell r="J796" t="str">
            <v>PACKS</v>
          </cell>
          <cell r="K796">
            <v>1</v>
          </cell>
          <cell r="N796">
            <v>595.64</v>
          </cell>
          <cell r="P796" t="str">
            <v>NON SEEDS</v>
          </cell>
          <cell r="Q796" t="str">
            <v>ZZ</v>
          </cell>
          <cell r="R796" t="str">
            <v>CA01</v>
          </cell>
        </row>
        <row r="797">
          <cell r="A797">
            <v>820847</v>
          </cell>
          <cell r="B797" t="str">
            <v>CRCO N39-G4   MF1     STD CA</v>
          </cell>
          <cell r="C797">
            <v>447</v>
          </cell>
          <cell r="D797" t="str">
            <v>UN</v>
          </cell>
          <cell r="E797">
            <v>4281</v>
          </cell>
          <cell r="G797">
            <v>100</v>
          </cell>
          <cell r="H797" t="str">
            <v>NK</v>
          </cell>
          <cell r="I797" t="str">
            <v>NK CA</v>
          </cell>
          <cell r="J797" t="str">
            <v>CO110</v>
          </cell>
          <cell r="K797">
            <v>1</v>
          </cell>
          <cell r="N797">
            <v>4225.3900000000003</v>
          </cell>
          <cell r="P797" t="str">
            <v>X35375BB</v>
          </cell>
          <cell r="Q797" t="str">
            <v>01Z01050622</v>
          </cell>
          <cell r="R797" t="str">
            <v>CA01</v>
          </cell>
          <cell r="S797">
            <v>4281</v>
          </cell>
        </row>
        <row r="798">
          <cell r="A798">
            <v>820847</v>
          </cell>
          <cell r="B798" t="str">
            <v>CRCO N39-G4   MF1     STD CA</v>
          </cell>
          <cell r="C798">
            <v>447</v>
          </cell>
          <cell r="D798" t="str">
            <v>UN</v>
          </cell>
          <cell r="E798">
            <v>4281</v>
          </cell>
          <cell r="G798">
            <v>100</v>
          </cell>
          <cell r="H798" t="str">
            <v>NK</v>
          </cell>
          <cell r="I798" t="str">
            <v>NK CA</v>
          </cell>
          <cell r="J798" t="str">
            <v>CO110</v>
          </cell>
          <cell r="K798">
            <v>1</v>
          </cell>
          <cell r="N798">
            <v>4225.3900000000003</v>
          </cell>
          <cell r="P798" t="str">
            <v>X35375BB</v>
          </cell>
          <cell r="Q798" t="str">
            <v>01Z01050622</v>
          </cell>
          <cell r="R798" t="str">
            <v>CA01</v>
          </cell>
          <cell r="S798">
            <v>4281</v>
          </cell>
        </row>
        <row r="799">
          <cell r="A799">
            <v>820849</v>
          </cell>
          <cell r="B799" t="str">
            <v>CRCO N39-G4    MF1     SPC CA</v>
          </cell>
          <cell r="C799">
            <v>760</v>
          </cell>
          <cell r="D799" t="str">
            <v>UN</v>
          </cell>
          <cell r="E799">
            <v>497700</v>
          </cell>
          <cell r="G799">
            <v>10000</v>
          </cell>
          <cell r="H799" t="str">
            <v>NK</v>
          </cell>
          <cell r="I799" t="str">
            <v>NK CA</v>
          </cell>
          <cell r="J799" t="str">
            <v>CO110</v>
          </cell>
          <cell r="K799">
            <v>1</v>
          </cell>
          <cell r="N799">
            <v>517539.9</v>
          </cell>
          <cell r="P799" t="str">
            <v>X35375BB</v>
          </cell>
          <cell r="Q799" t="str">
            <v>01Z01050622</v>
          </cell>
          <cell r="R799" t="str">
            <v>CA01</v>
          </cell>
          <cell r="S799">
            <v>497700</v>
          </cell>
        </row>
        <row r="800">
          <cell r="A800">
            <v>820849</v>
          </cell>
          <cell r="B800" t="str">
            <v>CRCO N39-G4    MF1     SPC CA</v>
          </cell>
          <cell r="C800">
            <v>760</v>
          </cell>
          <cell r="D800" t="str">
            <v>UN</v>
          </cell>
          <cell r="E800">
            <v>497700</v>
          </cell>
          <cell r="G800">
            <v>10000</v>
          </cell>
          <cell r="H800" t="str">
            <v>NK</v>
          </cell>
          <cell r="I800" t="str">
            <v>NK CA</v>
          </cell>
          <cell r="J800" t="str">
            <v>CO110</v>
          </cell>
          <cell r="K800">
            <v>1</v>
          </cell>
          <cell r="N800">
            <v>517539.9</v>
          </cell>
          <cell r="P800" t="str">
            <v>X35375BB</v>
          </cell>
          <cell r="Q800" t="str">
            <v>01Z01050622</v>
          </cell>
          <cell r="R800" t="str">
            <v>CA01</v>
          </cell>
          <cell r="S800">
            <v>497700</v>
          </cell>
        </row>
        <row r="801">
          <cell r="A801">
            <v>820855</v>
          </cell>
          <cell r="B801" t="str">
            <v>CRCO N39-G4   MR1     STD CA</v>
          </cell>
          <cell r="C801">
            <v>316</v>
          </cell>
          <cell r="D801" t="str">
            <v>UN</v>
          </cell>
          <cell r="E801">
            <v>474046.9</v>
          </cell>
          <cell r="G801">
            <v>10000</v>
          </cell>
          <cell r="H801" t="str">
            <v>NK</v>
          </cell>
          <cell r="I801" t="str">
            <v>NK CA</v>
          </cell>
          <cell r="J801" t="str">
            <v>CO110</v>
          </cell>
          <cell r="K801">
            <v>1</v>
          </cell>
          <cell r="N801">
            <v>422539.9</v>
          </cell>
          <cell r="P801" t="str">
            <v>X35375BB</v>
          </cell>
          <cell r="Q801" t="str">
            <v>01Z01050622</v>
          </cell>
          <cell r="R801" t="str">
            <v>CA01</v>
          </cell>
          <cell r="S801">
            <v>428100</v>
          </cell>
        </row>
        <row r="802">
          <cell r="A802">
            <v>820855</v>
          </cell>
          <cell r="B802" t="str">
            <v>CRCO N39-G4   MR1     STD CA</v>
          </cell>
          <cell r="C802">
            <v>316</v>
          </cell>
          <cell r="D802" t="str">
            <v>UN</v>
          </cell>
          <cell r="E802">
            <v>474046.9</v>
          </cell>
          <cell r="G802">
            <v>10000</v>
          </cell>
          <cell r="H802" t="str">
            <v>NK</v>
          </cell>
          <cell r="I802" t="str">
            <v>NK CA</v>
          </cell>
          <cell r="J802" t="str">
            <v>CO110</v>
          </cell>
          <cell r="K802">
            <v>1</v>
          </cell>
          <cell r="N802">
            <v>422539.9</v>
          </cell>
          <cell r="P802" t="str">
            <v>X35375BB</v>
          </cell>
          <cell r="Q802" t="str">
            <v>01Z01050622</v>
          </cell>
          <cell r="R802" t="str">
            <v>CA01</v>
          </cell>
          <cell r="S802">
            <v>428100</v>
          </cell>
        </row>
        <row r="803">
          <cell r="A803">
            <v>820857</v>
          </cell>
          <cell r="B803" t="str">
            <v>CRCO N39-G4    MR1     SPC CA</v>
          </cell>
          <cell r="C803">
            <v>940</v>
          </cell>
          <cell r="D803" t="str">
            <v>UN</v>
          </cell>
          <cell r="E803">
            <v>497700</v>
          </cell>
          <cell r="G803">
            <v>10000</v>
          </cell>
          <cell r="H803" t="str">
            <v>NK</v>
          </cell>
          <cell r="I803" t="str">
            <v>NK CA</v>
          </cell>
          <cell r="J803" t="str">
            <v>CO110</v>
          </cell>
          <cell r="K803">
            <v>1</v>
          </cell>
          <cell r="N803">
            <v>517539.9</v>
          </cell>
          <cell r="P803" t="str">
            <v>X35375BB</v>
          </cell>
          <cell r="Q803" t="str">
            <v>01Z01050622</v>
          </cell>
          <cell r="R803" t="str">
            <v>CA01</v>
          </cell>
          <cell r="S803">
            <v>497700</v>
          </cell>
        </row>
        <row r="804">
          <cell r="A804">
            <v>820857</v>
          </cell>
          <cell r="B804" t="str">
            <v>CRCO N39-G4    MR1     SPC CA</v>
          </cell>
          <cell r="C804">
            <v>940</v>
          </cell>
          <cell r="D804" t="str">
            <v>UN</v>
          </cell>
          <cell r="E804">
            <v>497700</v>
          </cell>
          <cell r="G804">
            <v>10000</v>
          </cell>
          <cell r="H804" t="str">
            <v>NK</v>
          </cell>
          <cell r="I804" t="str">
            <v>NK CA</v>
          </cell>
          <cell r="J804" t="str">
            <v>CO110</v>
          </cell>
          <cell r="K804">
            <v>1</v>
          </cell>
          <cell r="N804">
            <v>517539.9</v>
          </cell>
          <cell r="P804" t="str">
            <v>X35375BB</v>
          </cell>
          <cell r="Q804" t="str">
            <v>01Z01050622</v>
          </cell>
          <cell r="R804" t="str">
            <v>CA01</v>
          </cell>
          <cell r="S804">
            <v>497700</v>
          </cell>
        </row>
        <row r="805">
          <cell r="A805">
            <v>820859</v>
          </cell>
          <cell r="B805" t="str">
            <v>CRCO N39-G4   MR2     STD CA</v>
          </cell>
          <cell r="C805">
            <v>355</v>
          </cell>
          <cell r="D805" t="str">
            <v>UN</v>
          </cell>
          <cell r="E805">
            <v>422600</v>
          </cell>
          <cell r="G805">
            <v>10000</v>
          </cell>
          <cell r="H805" t="str">
            <v>NK</v>
          </cell>
          <cell r="I805" t="str">
            <v>NK CA</v>
          </cell>
          <cell r="J805" t="str">
            <v>CO110</v>
          </cell>
          <cell r="K805">
            <v>1</v>
          </cell>
          <cell r="N805">
            <v>422539.9</v>
          </cell>
          <cell r="P805" t="str">
            <v>X35375BB</v>
          </cell>
          <cell r="Q805" t="str">
            <v>01Z01050622</v>
          </cell>
          <cell r="R805" t="str">
            <v>CA01</v>
          </cell>
          <cell r="S805">
            <v>422600</v>
          </cell>
        </row>
        <row r="806">
          <cell r="A806">
            <v>820859</v>
          </cell>
          <cell r="B806" t="str">
            <v>CRCO N39-G4   MR2     STD CA</v>
          </cell>
          <cell r="C806">
            <v>355</v>
          </cell>
          <cell r="D806" t="str">
            <v>UN</v>
          </cell>
          <cell r="E806">
            <v>422600</v>
          </cell>
          <cell r="G806">
            <v>10000</v>
          </cell>
          <cell r="H806" t="str">
            <v>NK</v>
          </cell>
          <cell r="I806" t="str">
            <v>NK CA</v>
          </cell>
          <cell r="J806" t="str">
            <v>CO110</v>
          </cell>
          <cell r="K806">
            <v>1</v>
          </cell>
          <cell r="N806">
            <v>422539.9</v>
          </cell>
          <cell r="P806" t="str">
            <v>X35375BB</v>
          </cell>
          <cell r="Q806" t="str">
            <v>01Z01050622</v>
          </cell>
          <cell r="R806" t="str">
            <v>CA01</v>
          </cell>
          <cell r="S806">
            <v>422600</v>
          </cell>
        </row>
        <row r="807">
          <cell r="A807">
            <v>820861</v>
          </cell>
          <cell r="B807" t="str">
            <v>CRCO N39-G4    MR2     SPC CA</v>
          </cell>
          <cell r="C807">
            <v>564</v>
          </cell>
          <cell r="D807" t="str">
            <v>UN</v>
          </cell>
          <cell r="E807">
            <v>497700</v>
          </cell>
          <cell r="G807">
            <v>10000</v>
          </cell>
          <cell r="H807" t="str">
            <v>NK</v>
          </cell>
          <cell r="I807" t="str">
            <v>NK CA</v>
          </cell>
          <cell r="J807" t="str">
            <v>CO110</v>
          </cell>
          <cell r="K807">
            <v>1</v>
          </cell>
          <cell r="N807">
            <v>517539.9</v>
          </cell>
          <cell r="P807" t="str">
            <v>X35375BB</v>
          </cell>
          <cell r="Q807" t="str">
            <v>01Z01050622</v>
          </cell>
          <cell r="R807" t="str">
            <v>CA01</v>
          </cell>
          <cell r="S807">
            <v>497700</v>
          </cell>
        </row>
        <row r="808">
          <cell r="A808">
            <v>820861</v>
          </cell>
          <cell r="B808" t="str">
            <v>CRCO N39-G4    MR2     SPC CA</v>
          </cell>
          <cell r="C808">
            <v>564</v>
          </cell>
          <cell r="D808" t="str">
            <v>UN</v>
          </cell>
          <cell r="E808">
            <v>497700</v>
          </cell>
          <cell r="G808">
            <v>10000</v>
          </cell>
          <cell r="H808" t="str">
            <v>NK</v>
          </cell>
          <cell r="I808" t="str">
            <v>NK CA</v>
          </cell>
          <cell r="J808" t="str">
            <v>CO110</v>
          </cell>
          <cell r="K808">
            <v>1</v>
          </cell>
          <cell r="N808">
            <v>517539.9</v>
          </cell>
          <cell r="P808" t="str">
            <v>X35375BB</v>
          </cell>
          <cell r="Q808" t="str">
            <v>01Z01050622</v>
          </cell>
          <cell r="R808" t="str">
            <v>CA01</v>
          </cell>
          <cell r="S808">
            <v>497700</v>
          </cell>
        </row>
        <row r="809">
          <cell r="A809">
            <v>820913</v>
          </cell>
          <cell r="B809" t="str">
            <v>CRCO N51-T8   MF1     STD CA</v>
          </cell>
          <cell r="C809">
            <v>49</v>
          </cell>
          <cell r="D809" t="str">
            <v>UN</v>
          </cell>
          <cell r="E809">
            <v>4237</v>
          </cell>
          <cell r="G809">
            <v>100</v>
          </cell>
          <cell r="H809" t="str">
            <v>NK</v>
          </cell>
          <cell r="I809" t="str">
            <v>NK CA</v>
          </cell>
          <cell r="J809" t="str">
            <v>CO110</v>
          </cell>
          <cell r="K809">
            <v>1</v>
          </cell>
          <cell r="N809">
            <v>4447.58</v>
          </cell>
          <cell r="P809" t="str">
            <v>X5369ABB</v>
          </cell>
          <cell r="Q809" t="str">
            <v>01Z010506BB</v>
          </cell>
          <cell r="R809" t="str">
            <v>CA01</v>
          </cell>
          <cell r="S809">
            <v>4237</v>
          </cell>
        </row>
        <row r="810">
          <cell r="A810">
            <v>820913</v>
          </cell>
          <cell r="B810" t="str">
            <v>CRCO N51-T8   MF1     STD CA</v>
          </cell>
          <cell r="C810">
            <v>49</v>
          </cell>
          <cell r="D810" t="str">
            <v>UN</v>
          </cell>
          <cell r="E810">
            <v>4237</v>
          </cell>
          <cell r="G810">
            <v>100</v>
          </cell>
          <cell r="H810" t="str">
            <v>NK</v>
          </cell>
          <cell r="I810" t="str">
            <v>NK CA</v>
          </cell>
          <cell r="J810" t="str">
            <v>CO110</v>
          </cell>
          <cell r="K810">
            <v>1</v>
          </cell>
          <cell r="N810">
            <v>4447.58</v>
          </cell>
          <cell r="P810" t="str">
            <v>X5369ABB</v>
          </cell>
          <cell r="Q810" t="str">
            <v>01Z010506BB</v>
          </cell>
          <cell r="R810" t="str">
            <v>CA01</v>
          </cell>
          <cell r="S810">
            <v>4237</v>
          </cell>
        </row>
        <row r="811">
          <cell r="A811">
            <v>820914</v>
          </cell>
          <cell r="B811" t="str">
            <v>CRCO N51-T8   MF2     STD CA</v>
          </cell>
          <cell r="C811">
            <v>129</v>
          </cell>
          <cell r="D811" t="str">
            <v>UN</v>
          </cell>
          <cell r="E811">
            <v>4237</v>
          </cell>
          <cell r="G811">
            <v>100</v>
          </cell>
          <cell r="H811" t="str">
            <v>NK</v>
          </cell>
          <cell r="I811" t="str">
            <v>NK CA</v>
          </cell>
          <cell r="J811" t="str">
            <v>CO110</v>
          </cell>
          <cell r="K811">
            <v>1</v>
          </cell>
          <cell r="N811">
            <v>4447.58</v>
          </cell>
          <cell r="P811" t="str">
            <v>X5369ABB</v>
          </cell>
          <cell r="Q811" t="str">
            <v>01Z010506BB</v>
          </cell>
          <cell r="R811" t="str">
            <v>CA01</v>
          </cell>
          <cell r="S811">
            <v>4237</v>
          </cell>
        </row>
        <row r="812">
          <cell r="A812">
            <v>820914</v>
          </cell>
          <cell r="B812" t="str">
            <v>CRCO N51-T8   MF2     STD CA</v>
          </cell>
          <cell r="C812">
            <v>129</v>
          </cell>
          <cell r="D812" t="str">
            <v>UN</v>
          </cell>
          <cell r="E812">
            <v>4237</v>
          </cell>
          <cell r="G812">
            <v>100</v>
          </cell>
          <cell r="H812" t="str">
            <v>NK</v>
          </cell>
          <cell r="I812" t="str">
            <v>NK CA</v>
          </cell>
          <cell r="J812" t="str">
            <v>CO110</v>
          </cell>
          <cell r="K812">
            <v>1</v>
          </cell>
          <cell r="N812">
            <v>4447.58</v>
          </cell>
          <cell r="P812" t="str">
            <v>X5369ABB</v>
          </cell>
          <cell r="Q812" t="str">
            <v>01Z010506BB</v>
          </cell>
          <cell r="R812" t="str">
            <v>CA01</v>
          </cell>
          <cell r="S812">
            <v>4237</v>
          </cell>
        </row>
        <row r="813">
          <cell r="A813">
            <v>820915</v>
          </cell>
          <cell r="B813" t="str">
            <v>CRCO N51-T8   MR1     STD CA</v>
          </cell>
          <cell r="C813">
            <v>0</v>
          </cell>
          <cell r="D813" t="str">
            <v>UN</v>
          </cell>
          <cell r="E813">
            <v>4237</v>
          </cell>
          <cell r="G813">
            <v>100</v>
          </cell>
          <cell r="H813" t="str">
            <v>NK</v>
          </cell>
          <cell r="I813" t="str">
            <v>NK CA</v>
          </cell>
          <cell r="J813" t="str">
            <v>CO110</v>
          </cell>
          <cell r="K813">
            <v>1</v>
          </cell>
          <cell r="N813">
            <v>4447.58</v>
          </cell>
          <cell r="P813" t="str">
            <v>X5369ABB</v>
          </cell>
          <cell r="Q813" t="str">
            <v>01Z010506BB</v>
          </cell>
          <cell r="R813" t="str">
            <v>CA01</v>
          </cell>
          <cell r="S813">
            <v>4237</v>
          </cell>
        </row>
        <row r="814">
          <cell r="A814">
            <v>820915</v>
          </cell>
          <cell r="B814" t="str">
            <v>CRCO N51-T8   MR1     STD CA</v>
          </cell>
          <cell r="C814">
            <v>0</v>
          </cell>
          <cell r="D814" t="str">
            <v>UN</v>
          </cell>
          <cell r="E814">
            <v>4237</v>
          </cell>
          <cell r="G814">
            <v>100</v>
          </cell>
          <cell r="H814" t="str">
            <v>NK</v>
          </cell>
          <cell r="I814" t="str">
            <v>NK CA</v>
          </cell>
          <cell r="J814" t="str">
            <v>CO110</v>
          </cell>
          <cell r="K814">
            <v>1</v>
          </cell>
          <cell r="N814">
            <v>4447.58</v>
          </cell>
          <cell r="P814" t="str">
            <v>X5369ABB</v>
          </cell>
          <cell r="Q814" t="str">
            <v>01Z010506BB</v>
          </cell>
          <cell r="R814" t="str">
            <v>CA01</v>
          </cell>
          <cell r="S814">
            <v>4237</v>
          </cell>
        </row>
        <row r="815">
          <cell r="A815">
            <v>820916</v>
          </cell>
          <cell r="B815" t="str">
            <v>CRCO N51-T8   MR2     STD CA</v>
          </cell>
          <cell r="C815">
            <v>78</v>
          </cell>
          <cell r="D815" t="str">
            <v>UN</v>
          </cell>
          <cell r="E815">
            <v>423700</v>
          </cell>
          <cell r="G815">
            <v>10000</v>
          </cell>
          <cell r="H815" t="str">
            <v>NK</v>
          </cell>
          <cell r="I815" t="str">
            <v>NK CA</v>
          </cell>
          <cell r="J815" t="str">
            <v>CO110</v>
          </cell>
          <cell r="K815">
            <v>1</v>
          </cell>
          <cell r="N815">
            <v>444758</v>
          </cell>
          <cell r="P815" t="str">
            <v>X5369ABB</v>
          </cell>
          <cell r="Q815" t="str">
            <v>01Z010506BB</v>
          </cell>
          <cell r="R815" t="str">
            <v>CA01</v>
          </cell>
          <cell r="S815">
            <v>423700</v>
          </cell>
        </row>
        <row r="816">
          <cell r="A816">
            <v>820916</v>
          </cell>
          <cell r="B816" t="str">
            <v>CRCO N51-T8   MR2     STD CA</v>
          </cell>
          <cell r="C816">
            <v>78</v>
          </cell>
          <cell r="D816" t="str">
            <v>UN</v>
          </cell>
          <cell r="E816">
            <v>423700</v>
          </cell>
          <cell r="G816">
            <v>10000</v>
          </cell>
          <cell r="H816" t="str">
            <v>NK</v>
          </cell>
          <cell r="I816" t="str">
            <v>NK CA</v>
          </cell>
          <cell r="J816" t="str">
            <v>CO110</v>
          </cell>
          <cell r="K816">
            <v>1</v>
          </cell>
          <cell r="N816">
            <v>444758</v>
          </cell>
          <cell r="P816" t="str">
            <v>X5369ABB</v>
          </cell>
          <cell r="Q816" t="str">
            <v>01Z010506BB</v>
          </cell>
          <cell r="R816" t="str">
            <v>CA01</v>
          </cell>
          <cell r="S816">
            <v>423700</v>
          </cell>
        </row>
        <row r="817">
          <cell r="A817">
            <v>820936</v>
          </cell>
          <cell r="B817" t="str">
            <v>CRCO N53-W3   MR2     STD CA</v>
          </cell>
          <cell r="C817">
            <v>125</v>
          </cell>
          <cell r="D817" t="str">
            <v>UN</v>
          </cell>
          <cell r="E817">
            <v>5067.03</v>
          </cell>
          <cell r="G817">
            <v>100</v>
          </cell>
          <cell r="H817" t="str">
            <v>NK</v>
          </cell>
          <cell r="I817" t="str">
            <v>NK CA</v>
          </cell>
          <cell r="J817" t="str">
            <v>CO110</v>
          </cell>
          <cell r="K817">
            <v>1</v>
          </cell>
          <cell r="N817">
            <v>4941.67</v>
          </cell>
          <cell r="P817" t="str">
            <v>X5132AGR</v>
          </cell>
          <cell r="Q817" t="str">
            <v>01Z01051502</v>
          </cell>
          <cell r="R817" t="str">
            <v>CA01</v>
          </cell>
          <cell r="S817">
            <v>5067.03</v>
          </cell>
        </row>
        <row r="818">
          <cell r="A818">
            <v>820936</v>
          </cell>
          <cell r="B818" t="str">
            <v>CRCO N53-W3   MR2     STD CA</v>
          </cell>
          <cell r="C818">
            <v>125</v>
          </cell>
          <cell r="D818" t="str">
            <v>UN</v>
          </cell>
          <cell r="E818">
            <v>5067.03</v>
          </cell>
          <cell r="G818">
            <v>100</v>
          </cell>
          <cell r="H818" t="str">
            <v>NK</v>
          </cell>
          <cell r="I818" t="str">
            <v>NK CA</v>
          </cell>
          <cell r="J818" t="str">
            <v>CO110</v>
          </cell>
          <cell r="K818">
            <v>1</v>
          </cell>
          <cell r="N818">
            <v>4941.67</v>
          </cell>
          <cell r="P818" t="str">
            <v>X5132AGR</v>
          </cell>
          <cell r="Q818" t="str">
            <v>01Z01051502</v>
          </cell>
          <cell r="R818" t="str">
            <v>CA01</v>
          </cell>
          <cell r="S818">
            <v>5067.03</v>
          </cell>
        </row>
        <row r="819">
          <cell r="A819">
            <v>820938</v>
          </cell>
          <cell r="B819" t="str">
            <v>CRCO N53-W3   MR2     SPC CA</v>
          </cell>
          <cell r="C819">
            <v>25</v>
          </cell>
          <cell r="D819" t="str">
            <v>UN</v>
          </cell>
          <cell r="E819">
            <v>5812.01</v>
          </cell>
          <cell r="G819">
            <v>100</v>
          </cell>
          <cell r="H819" t="str">
            <v>NK</v>
          </cell>
          <cell r="I819" t="str">
            <v>NK CA</v>
          </cell>
          <cell r="J819" t="str">
            <v>CO110</v>
          </cell>
          <cell r="K819">
            <v>1</v>
          </cell>
          <cell r="N819">
            <v>5877.81</v>
          </cell>
          <cell r="P819" t="str">
            <v>X5132AGR</v>
          </cell>
          <cell r="Q819" t="str">
            <v>01Z01051502</v>
          </cell>
          <cell r="R819" t="str">
            <v>CA01</v>
          </cell>
          <cell r="S819">
            <v>5812.01</v>
          </cell>
        </row>
        <row r="820">
          <cell r="A820">
            <v>820938</v>
          </cell>
          <cell r="B820" t="str">
            <v>CRCO N53-W3   MR2     SPC CA</v>
          </cell>
          <cell r="C820">
            <v>25</v>
          </cell>
          <cell r="D820" t="str">
            <v>UN</v>
          </cell>
          <cell r="E820">
            <v>5812.01</v>
          </cell>
          <cell r="G820">
            <v>100</v>
          </cell>
          <cell r="H820" t="str">
            <v>NK</v>
          </cell>
          <cell r="I820" t="str">
            <v>NK CA</v>
          </cell>
          <cell r="J820" t="str">
            <v>CO110</v>
          </cell>
          <cell r="K820">
            <v>1</v>
          </cell>
          <cell r="N820">
            <v>5877.81</v>
          </cell>
          <cell r="P820" t="str">
            <v>X5132AGR</v>
          </cell>
          <cell r="Q820" t="str">
            <v>01Z01051502</v>
          </cell>
          <cell r="R820" t="str">
            <v>CA01</v>
          </cell>
          <cell r="S820">
            <v>5812.01</v>
          </cell>
        </row>
        <row r="821">
          <cell r="A821">
            <v>820983</v>
          </cell>
          <cell r="B821" t="str">
            <v>CRCO N53-W5    MF1     SPC CA</v>
          </cell>
          <cell r="C821">
            <v>40</v>
          </cell>
          <cell r="D821" t="str">
            <v>UN</v>
          </cell>
          <cell r="E821">
            <v>6387.96</v>
          </cell>
          <cell r="G821">
            <v>100</v>
          </cell>
          <cell r="H821" t="str">
            <v>NK</v>
          </cell>
          <cell r="I821" t="str">
            <v>NK CA</v>
          </cell>
          <cell r="J821" t="str">
            <v>CO110</v>
          </cell>
          <cell r="K821">
            <v>1</v>
          </cell>
          <cell r="N821">
            <v>6117.5</v>
          </cell>
          <cell r="P821" t="str">
            <v>X5132AHL</v>
          </cell>
          <cell r="Q821" t="str">
            <v>01Z010504AB</v>
          </cell>
          <cell r="R821" t="str">
            <v>CA01</v>
          </cell>
          <cell r="S821">
            <v>6387.96</v>
          </cell>
        </row>
        <row r="822">
          <cell r="A822">
            <v>820983</v>
          </cell>
          <cell r="B822" t="str">
            <v>CRCO N53-W5    MF1     SPC CA</v>
          </cell>
          <cell r="C822">
            <v>40</v>
          </cell>
          <cell r="D822" t="str">
            <v>UN</v>
          </cell>
          <cell r="E822">
            <v>6387.96</v>
          </cell>
          <cell r="G822">
            <v>100</v>
          </cell>
          <cell r="H822" t="str">
            <v>NK</v>
          </cell>
          <cell r="I822" t="str">
            <v>NK CA</v>
          </cell>
          <cell r="J822" t="str">
            <v>CO110</v>
          </cell>
          <cell r="K822">
            <v>1</v>
          </cell>
          <cell r="N822">
            <v>6117.5</v>
          </cell>
          <cell r="P822" t="str">
            <v>X5132AHL</v>
          </cell>
          <cell r="Q822" t="str">
            <v>01Z010504AB</v>
          </cell>
          <cell r="R822" t="str">
            <v>CA01</v>
          </cell>
          <cell r="S822">
            <v>6387.96</v>
          </cell>
        </row>
        <row r="823">
          <cell r="A823">
            <v>820985</v>
          </cell>
          <cell r="B823" t="str">
            <v>CRCO N53-W5   MF2     STD CA</v>
          </cell>
          <cell r="C823">
            <v>10</v>
          </cell>
          <cell r="D823" t="str">
            <v>UN</v>
          </cell>
          <cell r="E823">
            <v>5589.65</v>
          </cell>
          <cell r="G823">
            <v>100</v>
          </cell>
          <cell r="H823" t="str">
            <v>NK</v>
          </cell>
          <cell r="I823" t="str">
            <v>NK CA</v>
          </cell>
          <cell r="J823" t="str">
            <v>CO110</v>
          </cell>
          <cell r="K823">
            <v>1</v>
          </cell>
          <cell r="N823">
            <v>5150.5200000000004</v>
          </cell>
          <cell r="P823" t="str">
            <v>X5132AHL</v>
          </cell>
          <cell r="Q823" t="str">
            <v>01Z010504AB</v>
          </cell>
          <cell r="R823" t="str">
            <v>CA01</v>
          </cell>
          <cell r="S823">
            <v>5589.65</v>
          </cell>
        </row>
        <row r="824">
          <cell r="A824">
            <v>820985</v>
          </cell>
          <cell r="B824" t="str">
            <v>CRCO N53-W5   MF2     STD CA</v>
          </cell>
          <cell r="C824">
            <v>10</v>
          </cell>
          <cell r="D824" t="str">
            <v>UN</v>
          </cell>
          <cell r="E824">
            <v>5589.65</v>
          </cell>
          <cell r="G824">
            <v>100</v>
          </cell>
          <cell r="H824" t="str">
            <v>NK</v>
          </cell>
          <cell r="I824" t="str">
            <v>NK CA</v>
          </cell>
          <cell r="J824" t="str">
            <v>CO110</v>
          </cell>
          <cell r="K824">
            <v>1</v>
          </cell>
          <cell r="N824">
            <v>5150.5200000000004</v>
          </cell>
          <cell r="P824" t="str">
            <v>X5132AHL</v>
          </cell>
          <cell r="Q824" t="str">
            <v>01Z010504AB</v>
          </cell>
          <cell r="R824" t="str">
            <v>CA01</v>
          </cell>
          <cell r="S824">
            <v>5589.65</v>
          </cell>
        </row>
        <row r="825">
          <cell r="A825">
            <v>820987</v>
          </cell>
          <cell r="B825" t="str">
            <v>CRCO N53-W5    MF2     SPC CA</v>
          </cell>
          <cell r="C825">
            <v>95</v>
          </cell>
          <cell r="D825" t="str">
            <v>UN</v>
          </cell>
          <cell r="E825">
            <v>6387.96</v>
          </cell>
          <cell r="G825">
            <v>100</v>
          </cell>
          <cell r="H825" t="str">
            <v>NK</v>
          </cell>
          <cell r="I825" t="str">
            <v>NK CA</v>
          </cell>
          <cell r="J825" t="str">
            <v>CO110</v>
          </cell>
          <cell r="K825">
            <v>1</v>
          </cell>
          <cell r="N825">
            <v>6117.5</v>
          </cell>
          <cell r="P825" t="str">
            <v>X5132AHL</v>
          </cell>
          <cell r="Q825" t="str">
            <v>01Z010504AB</v>
          </cell>
          <cell r="R825" t="str">
            <v>CA01</v>
          </cell>
          <cell r="S825">
            <v>6387.96</v>
          </cell>
        </row>
        <row r="826">
          <cell r="A826">
            <v>820987</v>
          </cell>
          <cell r="B826" t="str">
            <v>CRCO N53-W5    MF2     SPC CA</v>
          </cell>
          <cell r="C826">
            <v>95</v>
          </cell>
          <cell r="D826" t="str">
            <v>UN</v>
          </cell>
          <cell r="E826">
            <v>6387.96</v>
          </cell>
          <cell r="G826">
            <v>100</v>
          </cell>
          <cell r="H826" t="str">
            <v>NK</v>
          </cell>
          <cell r="I826" t="str">
            <v>NK CA</v>
          </cell>
          <cell r="J826" t="str">
            <v>CO110</v>
          </cell>
          <cell r="K826">
            <v>1</v>
          </cell>
          <cell r="N826">
            <v>6117.5</v>
          </cell>
          <cell r="P826" t="str">
            <v>X5132AHL</v>
          </cell>
          <cell r="Q826" t="str">
            <v>01Z010504AB</v>
          </cell>
          <cell r="R826" t="str">
            <v>CA01</v>
          </cell>
          <cell r="S826">
            <v>6387.96</v>
          </cell>
        </row>
        <row r="827">
          <cell r="A827">
            <v>820993</v>
          </cell>
          <cell r="B827" t="str">
            <v>CRCO N53-W5   MR2     STD CA</v>
          </cell>
          <cell r="C827">
            <v>111</v>
          </cell>
          <cell r="D827" t="str">
            <v>UN</v>
          </cell>
          <cell r="E827">
            <v>5589.65</v>
          </cell>
          <cell r="G827">
            <v>100</v>
          </cell>
          <cell r="H827" t="str">
            <v>NK</v>
          </cell>
          <cell r="I827" t="str">
            <v>NK CA</v>
          </cell>
          <cell r="J827" t="str">
            <v>CO110</v>
          </cell>
          <cell r="K827">
            <v>1</v>
          </cell>
          <cell r="N827">
            <v>5150.5200000000004</v>
          </cell>
          <cell r="P827" t="str">
            <v>X5132AHL</v>
          </cell>
          <cell r="Q827" t="str">
            <v>01Z010504AB</v>
          </cell>
          <cell r="R827" t="str">
            <v>CA01</v>
          </cell>
          <cell r="S827">
            <v>5589.65</v>
          </cell>
        </row>
        <row r="828">
          <cell r="A828">
            <v>820993</v>
          </cell>
          <cell r="B828" t="str">
            <v>CRCO N53-W5   MR2     STD CA</v>
          </cell>
          <cell r="C828">
            <v>111</v>
          </cell>
          <cell r="D828" t="str">
            <v>UN</v>
          </cell>
          <cell r="E828">
            <v>5589.65</v>
          </cell>
          <cell r="G828">
            <v>100</v>
          </cell>
          <cell r="H828" t="str">
            <v>NK</v>
          </cell>
          <cell r="I828" t="str">
            <v>NK CA</v>
          </cell>
          <cell r="J828" t="str">
            <v>CO110</v>
          </cell>
          <cell r="K828">
            <v>1</v>
          </cell>
          <cell r="N828">
            <v>5150.5200000000004</v>
          </cell>
          <cell r="P828" t="str">
            <v>X5132AHL</v>
          </cell>
          <cell r="Q828" t="str">
            <v>01Z010504AB</v>
          </cell>
          <cell r="R828" t="str">
            <v>CA01</v>
          </cell>
          <cell r="S828">
            <v>5589.65</v>
          </cell>
        </row>
        <row r="829">
          <cell r="A829">
            <v>820995</v>
          </cell>
          <cell r="B829" t="str">
            <v>CRCO N53-W5    MR2     SPC CA</v>
          </cell>
          <cell r="C829">
            <v>325</v>
          </cell>
          <cell r="D829" t="str">
            <v>UN</v>
          </cell>
          <cell r="E829">
            <v>6387.96</v>
          </cell>
          <cell r="G829">
            <v>100</v>
          </cell>
          <cell r="H829" t="str">
            <v>NK</v>
          </cell>
          <cell r="I829" t="str">
            <v>NK CA</v>
          </cell>
          <cell r="J829" t="str">
            <v>CO110</v>
          </cell>
          <cell r="K829">
            <v>1</v>
          </cell>
          <cell r="N829">
            <v>6117.5</v>
          </cell>
          <cell r="P829" t="str">
            <v>X5132AHL</v>
          </cell>
          <cell r="Q829" t="str">
            <v>01Z010504AB</v>
          </cell>
          <cell r="R829" t="str">
            <v>CA01</v>
          </cell>
          <cell r="S829">
            <v>6387.96</v>
          </cell>
        </row>
        <row r="830">
          <cell r="A830">
            <v>820995</v>
          </cell>
          <cell r="B830" t="str">
            <v>CRCO N53-W5    MR2     SPC CA</v>
          </cell>
          <cell r="C830">
            <v>325</v>
          </cell>
          <cell r="D830" t="str">
            <v>UN</v>
          </cell>
          <cell r="E830">
            <v>6387.96</v>
          </cell>
          <cell r="G830">
            <v>100</v>
          </cell>
          <cell r="H830" t="str">
            <v>NK</v>
          </cell>
          <cell r="I830" t="str">
            <v>NK CA</v>
          </cell>
          <cell r="J830" t="str">
            <v>CO110</v>
          </cell>
          <cell r="K830">
            <v>1</v>
          </cell>
          <cell r="N830">
            <v>6117.5</v>
          </cell>
          <cell r="P830" t="str">
            <v>X5132AHL</v>
          </cell>
          <cell r="Q830" t="str">
            <v>01Z010504AB</v>
          </cell>
          <cell r="R830" t="str">
            <v>CA01</v>
          </cell>
          <cell r="S830">
            <v>6387.96</v>
          </cell>
        </row>
        <row r="831">
          <cell r="A831">
            <v>839155</v>
          </cell>
          <cell r="B831" t="str">
            <v>CRCO N64-Z5   MR2     STD CA</v>
          </cell>
          <cell r="C831">
            <v>41</v>
          </cell>
          <cell r="D831" t="str">
            <v>UN</v>
          </cell>
          <cell r="E831">
            <v>5335.32</v>
          </cell>
          <cell r="G831">
            <v>100</v>
          </cell>
          <cell r="H831" t="str">
            <v>NK</v>
          </cell>
          <cell r="I831" t="str">
            <v>NK CA</v>
          </cell>
          <cell r="J831" t="str">
            <v>CO110</v>
          </cell>
          <cell r="K831">
            <v>1</v>
          </cell>
          <cell r="N831">
            <v>4309.92</v>
          </cell>
          <cell r="P831" t="str">
            <v>X61476BB</v>
          </cell>
          <cell r="Q831" t="str">
            <v>01Z01060614</v>
          </cell>
          <cell r="R831" t="str">
            <v>CA01</v>
          </cell>
          <cell r="S831">
            <v>5335.32</v>
          </cell>
        </row>
        <row r="832">
          <cell r="A832">
            <v>839155</v>
          </cell>
          <cell r="B832" t="str">
            <v>CRCO N64-Z5   MR2     STD CA</v>
          </cell>
          <cell r="C832">
            <v>41</v>
          </cell>
          <cell r="D832" t="str">
            <v>UN</v>
          </cell>
          <cell r="E832">
            <v>5335.32</v>
          </cell>
          <cell r="G832">
            <v>100</v>
          </cell>
          <cell r="H832" t="str">
            <v>NK</v>
          </cell>
          <cell r="I832" t="str">
            <v>NK CA</v>
          </cell>
          <cell r="J832" t="str">
            <v>CO110</v>
          </cell>
          <cell r="K832">
            <v>1</v>
          </cell>
          <cell r="N832">
            <v>4309.92</v>
          </cell>
          <cell r="P832" t="str">
            <v>X61476BB</v>
          </cell>
          <cell r="Q832" t="str">
            <v>01Z01060614</v>
          </cell>
          <cell r="R832" t="str">
            <v>CA01</v>
          </cell>
          <cell r="S832">
            <v>5335.32</v>
          </cell>
        </row>
        <row r="833">
          <cell r="A833">
            <v>882528</v>
          </cell>
          <cell r="B833" t="str">
            <v>CRCO N15-A9  MR1   UNTR  CA</v>
          </cell>
          <cell r="C833">
            <v>322</v>
          </cell>
          <cell r="D833" t="str">
            <v>UN</v>
          </cell>
          <cell r="E833">
            <v>6146</v>
          </cell>
          <cell r="G833">
            <v>100</v>
          </cell>
          <cell r="H833" t="str">
            <v>NK</v>
          </cell>
          <cell r="I833" t="str">
            <v>NK CA</v>
          </cell>
          <cell r="J833" t="str">
            <v>CO110</v>
          </cell>
          <cell r="K833">
            <v>1</v>
          </cell>
          <cell r="N833">
            <v>3531.57</v>
          </cell>
          <cell r="P833" t="str">
            <v>X10246</v>
          </cell>
          <cell r="Q833" t="str">
            <v>01Z010101BO</v>
          </cell>
          <cell r="R833" t="str">
            <v>CA01</v>
          </cell>
          <cell r="S833">
            <v>6146</v>
          </cell>
        </row>
        <row r="834">
          <cell r="A834">
            <v>882528</v>
          </cell>
          <cell r="B834" t="str">
            <v>CRCO N15-A9  MR1   UNTR  CA</v>
          </cell>
          <cell r="C834">
            <v>322</v>
          </cell>
          <cell r="D834" t="str">
            <v>UN</v>
          </cell>
          <cell r="E834">
            <v>6146</v>
          </cell>
          <cell r="G834">
            <v>100</v>
          </cell>
          <cell r="H834" t="str">
            <v>NK</v>
          </cell>
          <cell r="I834" t="str">
            <v>NK CA</v>
          </cell>
          <cell r="J834" t="str">
            <v>CO110</v>
          </cell>
          <cell r="K834">
            <v>1</v>
          </cell>
          <cell r="N834">
            <v>3531.57</v>
          </cell>
          <cell r="P834" t="str">
            <v>X10246</v>
          </cell>
          <cell r="Q834" t="str">
            <v>01Z010101BO</v>
          </cell>
          <cell r="R834" t="str">
            <v>CA01</v>
          </cell>
          <cell r="S834">
            <v>6146</v>
          </cell>
        </row>
        <row r="835">
          <cell r="A835">
            <v>882529</v>
          </cell>
          <cell r="B835" t="str">
            <v>CRCO N15-A9  MR2   UNTR  CA</v>
          </cell>
          <cell r="C835">
            <v>2</v>
          </cell>
          <cell r="D835" t="str">
            <v>UN</v>
          </cell>
          <cell r="E835">
            <v>6146</v>
          </cell>
          <cell r="G835">
            <v>100</v>
          </cell>
          <cell r="H835" t="str">
            <v>NK</v>
          </cell>
          <cell r="I835" t="str">
            <v>NK CA</v>
          </cell>
          <cell r="J835" t="str">
            <v>CO110</v>
          </cell>
          <cell r="K835">
            <v>1</v>
          </cell>
          <cell r="N835">
            <v>3531.57</v>
          </cell>
          <cell r="P835" t="str">
            <v>X10246</v>
          </cell>
          <cell r="Q835" t="str">
            <v>01Z010101BO</v>
          </cell>
          <cell r="R835" t="str">
            <v>CA01</v>
          </cell>
          <cell r="S835">
            <v>6146</v>
          </cell>
        </row>
        <row r="836">
          <cell r="A836">
            <v>882529</v>
          </cell>
          <cell r="B836" t="str">
            <v>CRCO N15-A9  MR2   UNTR  CA</v>
          </cell>
          <cell r="C836">
            <v>2</v>
          </cell>
          <cell r="D836" t="str">
            <v>UN</v>
          </cell>
          <cell r="E836">
            <v>6146</v>
          </cell>
          <cell r="G836">
            <v>100</v>
          </cell>
          <cell r="H836" t="str">
            <v>NK</v>
          </cell>
          <cell r="I836" t="str">
            <v>NK CA</v>
          </cell>
          <cell r="J836" t="str">
            <v>CO110</v>
          </cell>
          <cell r="K836">
            <v>1</v>
          </cell>
          <cell r="N836">
            <v>3531.57</v>
          </cell>
          <cell r="P836" t="str">
            <v>X10246</v>
          </cell>
          <cell r="Q836" t="str">
            <v>01Z010101BO</v>
          </cell>
          <cell r="R836" t="str">
            <v>CA01</v>
          </cell>
          <cell r="S836">
            <v>6146</v>
          </cell>
        </row>
        <row r="837">
          <cell r="A837">
            <v>890433</v>
          </cell>
          <cell r="B837" t="str">
            <v>TRT FUNGICIDE DYNASTY LITER CA</v>
          </cell>
          <cell r="C837">
            <v>273.90499999999997</v>
          </cell>
          <cell r="D837" t="str">
            <v>L</v>
          </cell>
          <cell r="E837">
            <v>302.39999999999998</v>
          </cell>
          <cell r="G837">
            <v>1</v>
          </cell>
          <cell r="H837" t="str">
            <v>SC Syngenta</v>
          </cell>
          <cell r="I837" t="str">
            <v>SC SYNGENTA</v>
          </cell>
          <cell r="J837" t="str">
            <v>CPROT</v>
          </cell>
          <cell r="K837">
            <v>1</v>
          </cell>
          <cell r="N837">
            <v>0.01</v>
          </cell>
          <cell r="P837" t="str">
            <v>NON SEEDS</v>
          </cell>
          <cell r="Q837" t="str">
            <v>ZZ</v>
          </cell>
          <cell r="R837" t="str">
            <v>CA01</v>
          </cell>
        </row>
        <row r="838">
          <cell r="A838">
            <v>890433</v>
          </cell>
          <cell r="B838" t="str">
            <v>TRT FUNGICIDE DYNASTY LITER CA</v>
          </cell>
          <cell r="C838">
            <v>273.90499999999997</v>
          </cell>
          <cell r="D838" t="str">
            <v>L</v>
          </cell>
          <cell r="E838">
            <v>302.39999999999998</v>
          </cell>
          <cell r="G838">
            <v>1</v>
          </cell>
          <cell r="H838" t="str">
            <v>SC Syngenta</v>
          </cell>
          <cell r="I838" t="str">
            <v>SC SYNGENTA</v>
          </cell>
          <cell r="J838" t="str">
            <v>CPROT</v>
          </cell>
          <cell r="K838">
            <v>1</v>
          </cell>
          <cell r="N838">
            <v>0.01</v>
          </cell>
          <cell r="P838" t="str">
            <v>NON SEEDS</v>
          </cell>
          <cell r="Q838" t="str">
            <v>ZZ</v>
          </cell>
          <cell r="R838" t="str">
            <v>CA01</v>
          </cell>
        </row>
        <row r="839">
          <cell r="A839">
            <v>895123</v>
          </cell>
          <cell r="B839" t="str">
            <v>CRBS NP2133GT21     STD    KG</v>
          </cell>
          <cell r="C839">
            <v>0</v>
          </cell>
          <cell r="D839" t="str">
            <v>KG</v>
          </cell>
          <cell r="E839">
            <v>683.73</v>
          </cell>
          <cell r="G839">
            <v>100</v>
          </cell>
          <cell r="H839" t="str">
            <v>SC Syngenta</v>
          </cell>
          <cell r="I839" t="str">
            <v>SC SYNGENTA</v>
          </cell>
          <cell r="J839" t="str">
            <v>BA090</v>
          </cell>
          <cell r="K839">
            <v>1</v>
          </cell>
          <cell r="N839">
            <v>0.01</v>
          </cell>
          <cell r="P839" t="str">
            <v>NP2133GT21</v>
          </cell>
          <cell r="Q839" t="str">
            <v>01Z01ZZ1502</v>
          </cell>
          <cell r="R839" t="str">
            <v>CA01</v>
          </cell>
        </row>
        <row r="840">
          <cell r="A840">
            <v>895123</v>
          </cell>
          <cell r="B840" t="str">
            <v>CRBS NP2133GT21     STD    KG</v>
          </cell>
          <cell r="C840">
            <v>0</v>
          </cell>
          <cell r="D840" t="str">
            <v>KG</v>
          </cell>
          <cell r="E840">
            <v>683.73</v>
          </cell>
          <cell r="G840">
            <v>100</v>
          </cell>
          <cell r="H840" t="str">
            <v>SC Syngenta</v>
          </cell>
          <cell r="I840" t="str">
            <v>SC SYNGENTA</v>
          </cell>
          <cell r="J840" t="str">
            <v>BA090</v>
          </cell>
          <cell r="K840">
            <v>1</v>
          </cell>
          <cell r="N840">
            <v>0.01</v>
          </cell>
          <cell r="P840" t="str">
            <v>NP2133GT21</v>
          </cell>
          <cell r="Q840" t="str">
            <v>01Z01ZZ1502</v>
          </cell>
          <cell r="R840" t="str">
            <v>CA01</v>
          </cell>
        </row>
        <row r="841">
          <cell r="A841">
            <v>895147</v>
          </cell>
          <cell r="B841" t="str">
            <v>CRBS NP2171GT21     STD    KG</v>
          </cell>
          <cell r="C841">
            <v>87.54</v>
          </cell>
          <cell r="D841" t="str">
            <v>KG</v>
          </cell>
          <cell r="E841">
            <v>683.73</v>
          </cell>
          <cell r="G841">
            <v>100</v>
          </cell>
          <cell r="H841" t="str">
            <v>SC Syngenta</v>
          </cell>
          <cell r="I841" t="str">
            <v>SC SYNGENTA</v>
          </cell>
          <cell r="J841" t="str">
            <v>BA090</v>
          </cell>
          <cell r="K841">
            <v>1</v>
          </cell>
          <cell r="N841">
            <v>0.01</v>
          </cell>
          <cell r="P841" t="str">
            <v>NP2171GT21</v>
          </cell>
          <cell r="Q841" t="str">
            <v>01Z01ZZ1503</v>
          </cell>
          <cell r="R841" t="str">
            <v>CA01</v>
          </cell>
        </row>
        <row r="842">
          <cell r="A842">
            <v>895147</v>
          </cell>
          <cell r="B842" t="str">
            <v>CRBS NP2171GT21     STD    KG</v>
          </cell>
          <cell r="C842">
            <v>87.54</v>
          </cell>
          <cell r="D842" t="str">
            <v>KG</v>
          </cell>
          <cell r="E842">
            <v>683.73</v>
          </cell>
          <cell r="G842">
            <v>100</v>
          </cell>
          <cell r="H842" t="str">
            <v>SC Syngenta</v>
          </cell>
          <cell r="I842" t="str">
            <v>SC SYNGENTA</v>
          </cell>
          <cell r="J842" t="str">
            <v>BA090</v>
          </cell>
          <cell r="K842">
            <v>1</v>
          </cell>
          <cell r="N842">
            <v>0.01</v>
          </cell>
          <cell r="P842" t="str">
            <v>NP2171GT21</v>
          </cell>
          <cell r="Q842" t="str">
            <v>01Z01ZZ1503</v>
          </cell>
          <cell r="R842" t="str">
            <v>CA01</v>
          </cell>
        </row>
        <row r="843">
          <cell r="A843">
            <v>895453</v>
          </cell>
          <cell r="B843" t="str">
            <v>CRBS NPAA2359Bt11     STD    KG</v>
          </cell>
          <cell r="C843">
            <v>90.72</v>
          </cell>
          <cell r="D843" t="str">
            <v>KG</v>
          </cell>
          <cell r="E843">
            <v>683.73</v>
          </cell>
          <cell r="G843">
            <v>100</v>
          </cell>
          <cell r="H843" t="str">
            <v>SC Syngenta</v>
          </cell>
          <cell r="I843" t="str">
            <v>SC SYNGENTA</v>
          </cell>
          <cell r="J843" t="str">
            <v>BA090</v>
          </cell>
          <cell r="K843">
            <v>1</v>
          </cell>
          <cell r="N843">
            <v>0.01</v>
          </cell>
          <cell r="P843" t="str">
            <v>NPAA2359BT11</v>
          </cell>
          <cell r="Q843" t="str">
            <v>01Z01ZZ0634</v>
          </cell>
          <cell r="R843" t="str">
            <v>CA01</v>
          </cell>
        </row>
        <row r="844">
          <cell r="A844">
            <v>895453</v>
          </cell>
          <cell r="B844" t="str">
            <v>CRBS NPAA2359Bt11     STD    KG</v>
          </cell>
          <cell r="C844">
            <v>90.72</v>
          </cell>
          <cell r="D844" t="str">
            <v>KG</v>
          </cell>
          <cell r="E844">
            <v>683.73</v>
          </cell>
          <cell r="G844">
            <v>100</v>
          </cell>
          <cell r="H844" t="str">
            <v>SC Syngenta</v>
          </cell>
          <cell r="I844" t="str">
            <v>SC SYNGENTA</v>
          </cell>
          <cell r="J844" t="str">
            <v>BA090</v>
          </cell>
          <cell r="K844">
            <v>1</v>
          </cell>
          <cell r="N844">
            <v>0.01</v>
          </cell>
          <cell r="P844" t="str">
            <v>NPAA2359BT11</v>
          </cell>
          <cell r="Q844" t="str">
            <v>01Z01ZZ0634</v>
          </cell>
          <cell r="R844" t="str">
            <v>CA01</v>
          </cell>
        </row>
        <row r="845">
          <cell r="A845">
            <v>899701</v>
          </cell>
          <cell r="B845" t="str">
            <v>CRCO N51-T8   MF1     SPC CA</v>
          </cell>
          <cell r="C845">
            <v>125</v>
          </cell>
          <cell r="D845" t="str">
            <v>UN</v>
          </cell>
          <cell r="E845">
            <v>5036</v>
          </cell>
          <cell r="G845">
            <v>100</v>
          </cell>
          <cell r="H845" t="str">
            <v>NK</v>
          </cell>
          <cell r="I845" t="str">
            <v>NK CA</v>
          </cell>
          <cell r="J845" t="str">
            <v>CO110</v>
          </cell>
          <cell r="K845">
            <v>1</v>
          </cell>
          <cell r="N845">
            <v>5271</v>
          </cell>
          <cell r="P845" t="str">
            <v>X5369ABB</v>
          </cell>
          <cell r="Q845" t="str">
            <v>01Z010506BB</v>
          </cell>
          <cell r="R845" t="str">
            <v>CA01</v>
          </cell>
          <cell r="S845">
            <v>5036</v>
          </cell>
        </row>
        <row r="846">
          <cell r="A846">
            <v>899701</v>
          </cell>
          <cell r="B846" t="str">
            <v>CRCO N51-T8   MF1     SPC CA</v>
          </cell>
          <cell r="C846">
            <v>125</v>
          </cell>
          <cell r="D846" t="str">
            <v>UN</v>
          </cell>
          <cell r="E846">
            <v>5036</v>
          </cell>
          <cell r="G846">
            <v>100</v>
          </cell>
          <cell r="H846" t="str">
            <v>NK</v>
          </cell>
          <cell r="I846" t="str">
            <v>NK CA</v>
          </cell>
          <cell r="J846" t="str">
            <v>CO110</v>
          </cell>
          <cell r="K846">
            <v>1</v>
          </cell>
          <cell r="N846">
            <v>5271</v>
          </cell>
          <cell r="P846" t="str">
            <v>X5369ABB</v>
          </cell>
          <cell r="Q846" t="str">
            <v>01Z010506BB</v>
          </cell>
          <cell r="R846" t="str">
            <v>CA01</v>
          </cell>
          <cell r="S846">
            <v>5036</v>
          </cell>
        </row>
        <row r="847">
          <cell r="A847">
            <v>899703</v>
          </cell>
          <cell r="B847" t="str">
            <v>CRCO N51-T8    MF2     SPC CA</v>
          </cell>
          <cell r="C847">
            <v>3</v>
          </cell>
          <cell r="D847" t="str">
            <v>UN</v>
          </cell>
          <cell r="E847">
            <v>503600</v>
          </cell>
          <cell r="G847">
            <v>10000</v>
          </cell>
          <cell r="H847" t="str">
            <v>NK</v>
          </cell>
          <cell r="I847" t="str">
            <v>NK CA</v>
          </cell>
          <cell r="J847" t="str">
            <v>CO110</v>
          </cell>
          <cell r="K847">
            <v>1</v>
          </cell>
          <cell r="N847">
            <v>527100</v>
          </cell>
          <cell r="P847" t="str">
            <v>X5369ABB</v>
          </cell>
          <cell r="Q847" t="str">
            <v>01Z010506BB</v>
          </cell>
          <cell r="R847" t="str">
            <v>CA01</v>
          </cell>
          <cell r="S847">
            <v>503600</v>
          </cell>
        </row>
        <row r="848">
          <cell r="A848">
            <v>899703</v>
          </cell>
          <cell r="B848" t="str">
            <v>CRCO N51-T8    MF2     SPC CA</v>
          </cell>
          <cell r="C848">
            <v>3</v>
          </cell>
          <cell r="D848" t="str">
            <v>UN</v>
          </cell>
          <cell r="E848">
            <v>503600</v>
          </cell>
          <cell r="G848">
            <v>10000</v>
          </cell>
          <cell r="H848" t="str">
            <v>NK</v>
          </cell>
          <cell r="I848" t="str">
            <v>NK CA</v>
          </cell>
          <cell r="J848" t="str">
            <v>CO110</v>
          </cell>
          <cell r="K848">
            <v>1</v>
          </cell>
          <cell r="N848">
            <v>527100</v>
          </cell>
          <cell r="P848" t="str">
            <v>X5369ABB</v>
          </cell>
          <cell r="Q848" t="str">
            <v>01Z010506BB</v>
          </cell>
          <cell r="R848" t="str">
            <v>CA01</v>
          </cell>
          <cell r="S848">
            <v>503600</v>
          </cell>
        </row>
        <row r="849">
          <cell r="A849">
            <v>899705</v>
          </cell>
          <cell r="B849" t="str">
            <v>CRCO N51-T8    MR1     SPC CA</v>
          </cell>
          <cell r="C849">
            <v>0</v>
          </cell>
          <cell r="D849" t="str">
            <v>UN</v>
          </cell>
          <cell r="E849">
            <v>5036</v>
          </cell>
          <cell r="G849">
            <v>100</v>
          </cell>
          <cell r="H849" t="str">
            <v>NK</v>
          </cell>
          <cell r="I849" t="str">
            <v>NK CA</v>
          </cell>
          <cell r="J849" t="str">
            <v>CO110</v>
          </cell>
          <cell r="K849">
            <v>1</v>
          </cell>
          <cell r="N849">
            <v>5271</v>
          </cell>
          <cell r="P849" t="str">
            <v>X5369ABB</v>
          </cell>
          <cell r="Q849" t="str">
            <v>01Z010506BB</v>
          </cell>
          <cell r="R849" t="str">
            <v>CA01</v>
          </cell>
          <cell r="S849">
            <v>5036</v>
          </cell>
        </row>
        <row r="850">
          <cell r="A850">
            <v>899705</v>
          </cell>
          <cell r="B850" t="str">
            <v>CRCO N51-T8    MR1     SPC CA</v>
          </cell>
          <cell r="C850">
            <v>0</v>
          </cell>
          <cell r="D850" t="str">
            <v>UN</v>
          </cell>
          <cell r="E850">
            <v>5036</v>
          </cell>
          <cell r="G850">
            <v>100</v>
          </cell>
          <cell r="H850" t="str">
            <v>NK</v>
          </cell>
          <cell r="I850" t="str">
            <v>NK CA</v>
          </cell>
          <cell r="J850" t="str">
            <v>CO110</v>
          </cell>
          <cell r="K850">
            <v>1</v>
          </cell>
          <cell r="N850">
            <v>5271</v>
          </cell>
          <cell r="P850" t="str">
            <v>X5369ABB</v>
          </cell>
          <cell r="Q850" t="str">
            <v>01Z010506BB</v>
          </cell>
          <cell r="R850" t="str">
            <v>CA01</v>
          </cell>
          <cell r="S850">
            <v>5036</v>
          </cell>
        </row>
        <row r="851">
          <cell r="A851">
            <v>899707</v>
          </cell>
          <cell r="B851" t="str">
            <v>CRCO N51-T8    MR2     SPC CA</v>
          </cell>
          <cell r="C851">
            <v>0</v>
          </cell>
          <cell r="D851" t="str">
            <v>UN</v>
          </cell>
          <cell r="E851">
            <v>503600</v>
          </cell>
          <cell r="G851">
            <v>10000</v>
          </cell>
          <cell r="H851" t="str">
            <v>NK</v>
          </cell>
          <cell r="I851" t="str">
            <v>NK CA</v>
          </cell>
          <cell r="J851" t="str">
            <v>CO110</v>
          </cell>
          <cell r="K851">
            <v>1</v>
          </cell>
          <cell r="N851">
            <v>527100</v>
          </cell>
          <cell r="P851" t="str">
            <v>X5369ABB</v>
          </cell>
          <cell r="Q851" t="str">
            <v>01Z010506BB</v>
          </cell>
          <cell r="R851" t="str">
            <v>CA01</v>
          </cell>
          <cell r="S851">
            <v>503600</v>
          </cell>
        </row>
        <row r="852">
          <cell r="A852">
            <v>899707</v>
          </cell>
          <cell r="B852" t="str">
            <v>CRCO N51-T8    MR2     SPC CA</v>
          </cell>
          <cell r="C852">
            <v>0</v>
          </cell>
          <cell r="D852" t="str">
            <v>UN</v>
          </cell>
          <cell r="E852">
            <v>503600</v>
          </cell>
          <cell r="G852">
            <v>10000</v>
          </cell>
          <cell r="H852" t="str">
            <v>NK</v>
          </cell>
          <cell r="I852" t="str">
            <v>NK CA</v>
          </cell>
          <cell r="J852" t="str">
            <v>CO110</v>
          </cell>
          <cell r="K852">
            <v>1</v>
          </cell>
          <cell r="N852">
            <v>527100</v>
          </cell>
          <cell r="P852" t="str">
            <v>X5369ABB</v>
          </cell>
          <cell r="Q852" t="str">
            <v>01Z010506BB</v>
          </cell>
          <cell r="R852" t="str">
            <v>CA01</v>
          </cell>
          <cell r="S852">
            <v>503600</v>
          </cell>
        </row>
        <row r="853">
          <cell r="A853">
            <v>901178</v>
          </cell>
          <cell r="B853" t="str">
            <v>CRCO N64-Z5    LR70    SPC CA</v>
          </cell>
          <cell r="C853">
            <v>0</v>
          </cell>
          <cell r="D853" t="str">
            <v>UN</v>
          </cell>
          <cell r="E853">
            <v>6133.62</v>
          </cell>
          <cell r="G853">
            <v>100</v>
          </cell>
          <cell r="H853" t="str">
            <v>NK</v>
          </cell>
          <cell r="I853" t="str">
            <v>NK CA</v>
          </cell>
          <cell r="J853" t="str">
            <v>CO110</v>
          </cell>
          <cell r="K853">
            <v>1</v>
          </cell>
          <cell r="N853">
            <v>5253.42</v>
          </cell>
          <cell r="P853" t="str">
            <v>X61476BB</v>
          </cell>
          <cell r="Q853" t="str">
            <v>01Z01060614</v>
          </cell>
          <cell r="R853" t="str">
            <v>CA01</v>
          </cell>
          <cell r="S853">
            <v>6133.62</v>
          </cell>
        </row>
        <row r="854">
          <cell r="A854">
            <v>901178</v>
          </cell>
          <cell r="B854" t="str">
            <v>CRCO N64-Z5    LR70    SPC CA</v>
          </cell>
          <cell r="C854">
            <v>0</v>
          </cell>
          <cell r="D854" t="str">
            <v>UN</v>
          </cell>
          <cell r="E854">
            <v>6133.62</v>
          </cell>
          <cell r="G854">
            <v>100</v>
          </cell>
          <cell r="H854" t="str">
            <v>NK</v>
          </cell>
          <cell r="I854" t="str">
            <v>NK CA</v>
          </cell>
          <cell r="J854" t="str">
            <v>CO110</v>
          </cell>
          <cell r="K854">
            <v>1</v>
          </cell>
          <cell r="N854">
            <v>5253.42</v>
          </cell>
          <cell r="P854" t="str">
            <v>X61476BB</v>
          </cell>
          <cell r="Q854" t="str">
            <v>01Z01060614</v>
          </cell>
          <cell r="R854" t="str">
            <v>CA01</v>
          </cell>
          <cell r="S854">
            <v>6133.62</v>
          </cell>
        </row>
        <row r="855">
          <cell r="A855">
            <v>901180</v>
          </cell>
          <cell r="B855" t="str">
            <v>CRCO N64-Z5    MF2     SPC CA</v>
          </cell>
          <cell r="C855">
            <v>0</v>
          </cell>
          <cell r="D855" t="str">
            <v>UN</v>
          </cell>
          <cell r="E855">
            <v>6133.62</v>
          </cell>
          <cell r="G855">
            <v>100</v>
          </cell>
          <cell r="H855" t="str">
            <v>NK</v>
          </cell>
          <cell r="I855" t="str">
            <v>NK CA</v>
          </cell>
          <cell r="J855" t="str">
            <v>CO110</v>
          </cell>
          <cell r="K855">
            <v>1</v>
          </cell>
          <cell r="N855">
            <v>5253.42</v>
          </cell>
          <cell r="P855" t="str">
            <v>X61476BB</v>
          </cell>
          <cell r="Q855" t="str">
            <v>01Z01060614</v>
          </cell>
          <cell r="R855" t="str">
            <v>CA01</v>
          </cell>
          <cell r="S855">
            <v>6133.62</v>
          </cell>
        </row>
        <row r="856">
          <cell r="A856">
            <v>901180</v>
          </cell>
          <cell r="B856" t="str">
            <v>CRCO N64-Z5    MF2     SPC CA</v>
          </cell>
          <cell r="C856">
            <v>0</v>
          </cell>
          <cell r="D856" t="str">
            <v>UN</v>
          </cell>
          <cell r="E856">
            <v>6133.62</v>
          </cell>
          <cell r="G856">
            <v>100</v>
          </cell>
          <cell r="H856" t="str">
            <v>NK</v>
          </cell>
          <cell r="I856" t="str">
            <v>NK CA</v>
          </cell>
          <cell r="J856" t="str">
            <v>CO110</v>
          </cell>
          <cell r="K856">
            <v>1</v>
          </cell>
          <cell r="N856">
            <v>5253.42</v>
          </cell>
          <cell r="P856" t="str">
            <v>X61476BB</v>
          </cell>
          <cell r="Q856" t="str">
            <v>01Z01060614</v>
          </cell>
          <cell r="R856" t="str">
            <v>CA01</v>
          </cell>
          <cell r="S856">
            <v>6133.62</v>
          </cell>
        </row>
        <row r="857">
          <cell r="A857">
            <v>901182</v>
          </cell>
          <cell r="B857" t="str">
            <v>CRCO N64-Z5    MR2     SPC CA</v>
          </cell>
          <cell r="C857">
            <v>183</v>
          </cell>
          <cell r="D857" t="str">
            <v>UN</v>
          </cell>
          <cell r="E857">
            <v>6133.62</v>
          </cell>
          <cell r="G857">
            <v>100</v>
          </cell>
          <cell r="H857" t="str">
            <v>NK</v>
          </cell>
          <cell r="I857" t="str">
            <v>NK CA</v>
          </cell>
          <cell r="J857" t="str">
            <v>CO110</v>
          </cell>
          <cell r="K857">
            <v>1</v>
          </cell>
          <cell r="N857">
            <v>5253.42</v>
          </cell>
          <cell r="P857" t="str">
            <v>X61476BB</v>
          </cell>
          <cell r="Q857" t="str">
            <v>01Z01060614</v>
          </cell>
          <cell r="R857" t="str">
            <v>CA01</v>
          </cell>
          <cell r="S857">
            <v>6133.62</v>
          </cell>
        </row>
        <row r="858">
          <cell r="A858">
            <v>901182</v>
          </cell>
          <cell r="B858" t="str">
            <v>CRCO N64-Z5    MR2     SPC CA</v>
          </cell>
          <cell r="C858">
            <v>183</v>
          </cell>
          <cell r="D858" t="str">
            <v>UN</v>
          </cell>
          <cell r="E858">
            <v>6133.62</v>
          </cell>
          <cell r="G858">
            <v>100</v>
          </cell>
          <cell r="H858" t="str">
            <v>NK</v>
          </cell>
          <cell r="I858" t="str">
            <v>NK CA</v>
          </cell>
          <cell r="J858" t="str">
            <v>CO110</v>
          </cell>
          <cell r="K858">
            <v>1</v>
          </cell>
          <cell r="N858">
            <v>5253.42</v>
          </cell>
          <cell r="P858" t="str">
            <v>X61476BB</v>
          </cell>
          <cell r="Q858" t="str">
            <v>01Z01060614</v>
          </cell>
          <cell r="R858" t="str">
            <v>CA01</v>
          </cell>
          <cell r="S858">
            <v>6133.62</v>
          </cell>
        </row>
        <row r="859">
          <cell r="A859">
            <v>902177</v>
          </cell>
          <cell r="B859" t="str">
            <v>CRCO N14-D8    MF1     STD CA</v>
          </cell>
          <cell r="C859">
            <v>375</v>
          </cell>
          <cell r="D859" t="str">
            <v>UN</v>
          </cell>
          <cell r="E859">
            <v>4799</v>
          </cell>
          <cell r="G859">
            <v>100</v>
          </cell>
          <cell r="H859" t="str">
            <v>NK</v>
          </cell>
          <cell r="I859" t="str">
            <v>NK CA</v>
          </cell>
          <cell r="J859" t="str">
            <v>CO110</v>
          </cell>
          <cell r="K859">
            <v>1</v>
          </cell>
          <cell r="N859">
            <v>4952.1400000000003</v>
          </cell>
          <cell r="P859" t="str">
            <v>DELITOP = NX1480</v>
          </cell>
          <cell r="Q859" t="str">
            <v>01Z01011101</v>
          </cell>
          <cell r="R859" t="str">
            <v>CA01</v>
          </cell>
          <cell r="S859">
            <v>4799</v>
          </cell>
        </row>
        <row r="860">
          <cell r="A860">
            <v>902177</v>
          </cell>
          <cell r="B860" t="str">
            <v>CRCO N14-D8    MF1     STD CA</v>
          </cell>
          <cell r="C860">
            <v>375</v>
          </cell>
          <cell r="D860" t="str">
            <v>UN</v>
          </cell>
          <cell r="E860">
            <v>4799</v>
          </cell>
          <cell r="G860">
            <v>100</v>
          </cell>
          <cell r="H860" t="str">
            <v>NK</v>
          </cell>
          <cell r="I860" t="str">
            <v>NK CA</v>
          </cell>
          <cell r="J860" t="str">
            <v>CO110</v>
          </cell>
          <cell r="K860">
            <v>1</v>
          </cell>
          <cell r="N860">
            <v>4952.1400000000003</v>
          </cell>
          <cell r="P860" t="str">
            <v>DELITOP = NX1480</v>
          </cell>
          <cell r="Q860" t="str">
            <v>01Z01011101</v>
          </cell>
          <cell r="R860" t="str">
            <v>CA01</v>
          </cell>
          <cell r="S860">
            <v>4799</v>
          </cell>
        </row>
        <row r="861">
          <cell r="A861">
            <v>902178</v>
          </cell>
          <cell r="B861" t="str">
            <v>CRCO N14-D8    MF1     SPC CA</v>
          </cell>
          <cell r="C861">
            <v>1107</v>
          </cell>
          <cell r="D861" t="str">
            <v>UN</v>
          </cell>
          <cell r="E861">
            <v>5544</v>
          </cell>
          <cell r="G861">
            <v>100</v>
          </cell>
          <cell r="H861" t="str">
            <v>NK</v>
          </cell>
          <cell r="I861" t="str">
            <v>NK CA</v>
          </cell>
          <cell r="J861" t="str">
            <v>CO110</v>
          </cell>
          <cell r="K861">
            <v>1</v>
          </cell>
          <cell r="N861">
            <v>6113.24</v>
          </cell>
          <cell r="P861" t="str">
            <v>DELITOP = NX1480</v>
          </cell>
          <cell r="Q861" t="str">
            <v>01Z01011101</v>
          </cell>
          <cell r="R861" t="str">
            <v>CA01</v>
          </cell>
          <cell r="S861">
            <v>5544</v>
          </cell>
        </row>
        <row r="862">
          <cell r="A862">
            <v>902178</v>
          </cell>
          <cell r="B862" t="str">
            <v>CRCO N14-D8    MF1     SPC CA</v>
          </cell>
          <cell r="C862">
            <v>1107</v>
          </cell>
          <cell r="D862" t="str">
            <v>UN</v>
          </cell>
          <cell r="E862">
            <v>5544</v>
          </cell>
          <cell r="G862">
            <v>100</v>
          </cell>
          <cell r="H862" t="str">
            <v>NK</v>
          </cell>
          <cell r="I862" t="str">
            <v>NK CA</v>
          </cell>
          <cell r="J862" t="str">
            <v>CO110</v>
          </cell>
          <cell r="K862">
            <v>1</v>
          </cell>
          <cell r="N862">
            <v>6113.24</v>
          </cell>
          <cell r="P862" t="str">
            <v>DELITOP = NX1480</v>
          </cell>
          <cell r="Q862" t="str">
            <v>01Z01011101</v>
          </cell>
          <cell r="R862" t="str">
            <v>CA01</v>
          </cell>
          <cell r="S862">
            <v>5544</v>
          </cell>
        </row>
        <row r="863">
          <cell r="A863">
            <v>902183</v>
          </cell>
          <cell r="B863" t="str">
            <v>CRCO N14-D8    MR2     STD CA</v>
          </cell>
          <cell r="C863">
            <v>0</v>
          </cell>
          <cell r="D863" t="str">
            <v>UN</v>
          </cell>
          <cell r="E863">
            <v>4799</v>
          </cell>
          <cell r="G863">
            <v>100</v>
          </cell>
          <cell r="H863" t="str">
            <v>NK</v>
          </cell>
          <cell r="I863" t="str">
            <v>NK CA</v>
          </cell>
          <cell r="J863" t="str">
            <v>CO110</v>
          </cell>
          <cell r="K863">
            <v>1</v>
          </cell>
          <cell r="N863">
            <v>4952.1400000000003</v>
          </cell>
          <cell r="P863" t="str">
            <v>DELITOP = NX1480</v>
          </cell>
          <cell r="Q863" t="str">
            <v>01Z01011101</v>
          </cell>
          <cell r="R863" t="str">
            <v>CA01</v>
          </cell>
          <cell r="S863">
            <v>4799</v>
          </cell>
        </row>
        <row r="864">
          <cell r="A864">
            <v>902183</v>
          </cell>
          <cell r="B864" t="str">
            <v>CRCO N14-D8    MR2     STD CA</v>
          </cell>
          <cell r="C864">
            <v>0</v>
          </cell>
          <cell r="D864" t="str">
            <v>UN</v>
          </cell>
          <cell r="E864">
            <v>4799</v>
          </cell>
          <cell r="G864">
            <v>100</v>
          </cell>
          <cell r="H864" t="str">
            <v>NK</v>
          </cell>
          <cell r="I864" t="str">
            <v>NK CA</v>
          </cell>
          <cell r="J864" t="str">
            <v>CO110</v>
          </cell>
          <cell r="K864">
            <v>1</v>
          </cell>
          <cell r="N864">
            <v>4952.1400000000003</v>
          </cell>
          <cell r="P864" t="str">
            <v>DELITOP = NX1480</v>
          </cell>
          <cell r="Q864" t="str">
            <v>01Z01011101</v>
          </cell>
          <cell r="R864" t="str">
            <v>CA01</v>
          </cell>
          <cell r="S864">
            <v>4799</v>
          </cell>
        </row>
        <row r="865">
          <cell r="A865">
            <v>902184</v>
          </cell>
          <cell r="B865" t="str">
            <v>CRCO N14-D8    MR2     SPC CA</v>
          </cell>
          <cell r="C865">
            <v>325</v>
          </cell>
          <cell r="D865" t="str">
            <v>UN</v>
          </cell>
          <cell r="E865">
            <v>5544</v>
          </cell>
          <cell r="G865">
            <v>100</v>
          </cell>
          <cell r="H865" t="str">
            <v>NK</v>
          </cell>
          <cell r="I865" t="str">
            <v>NK CA</v>
          </cell>
          <cell r="J865" t="str">
            <v>CO110</v>
          </cell>
          <cell r="K865">
            <v>1</v>
          </cell>
          <cell r="N865">
            <v>6113.24</v>
          </cell>
          <cell r="P865" t="str">
            <v>DELITOP = NX1480</v>
          </cell>
          <cell r="Q865" t="str">
            <v>01Z01011101</v>
          </cell>
          <cell r="R865" t="str">
            <v>CA01</v>
          </cell>
          <cell r="S865">
            <v>5544</v>
          </cell>
        </row>
        <row r="866">
          <cell r="A866">
            <v>902184</v>
          </cell>
          <cell r="B866" t="str">
            <v>CRCO N14-D8    MR2     SPC CA</v>
          </cell>
          <cell r="C866">
            <v>325</v>
          </cell>
          <cell r="D866" t="str">
            <v>UN</v>
          </cell>
          <cell r="E866">
            <v>5544</v>
          </cell>
          <cell r="G866">
            <v>100</v>
          </cell>
          <cell r="H866" t="str">
            <v>NK</v>
          </cell>
          <cell r="I866" t="str">
            <v>NK CA</v>
          </cell>
          <cell r="J866" t="str">
            <v>CO110</v>
          </cell>
          <cell r="K866">
            <v>1</v>
          </cell>
          <cell r="N866">
            <v>6113.24</v>
          </cell>
          <cell r="P866" t="str">
            <v>DELITOP = NX1480</v>
          </cell>
          <cell r="Q866" t="str">
            <v>01Z01011101</v>
          </cell>
          <cell r="R866" t="str">
            <v>CA01</v>
          </cell>
          <cell r="S866">
            <v>5544</v>
          </cell>
        </row>
        <row r="867">
          <cell r="A867">
            <v>914458</v>
          </cell>
          <cell r="B867" t="str">
            <v>CRCO NX4137   SPC  FET   NK</v>
          </cell>
          <cell r="C867">
            <v>41</v>
          </cell>
          <cell r="D867" t="str">
            <v>D10</v>
          </cell>
          <cell r="E867">
            <v>1784</v>
          </cell>
          <cell r="G867">
            <v>100</v>
          </cell>
          <cell r="H867" t="str">
            <v>NK</v>
          </cell>
          <cell r="I867" t="str">
            <v>NK US</v>
          </cell>
          <cell r="J867" t="str">
            <v>CO110</v>
          </cell>
          <cell r="K867">
            <v>1</v>
          </cell>
          <cell r="N867">
            <v>0.01</v>
          </cell>
          <cell r="P867" t="str">
            <v>X32236BB</v>
          </cell>
          <cell r="Q867" t="str">
            <v>01Z01030639</v>
          </cell>
          <cell r="R867" t="str">
            <v>CA01</v>
          </cell>
        </row>
        <row r="868">
          <cell r="A868">
            <v>914458</v>
          </cell>
          <cell r="B868" t="str">
            <v>CRCO NX4137   SPC  FET   NK</v>
          </cell>
          <cell r="C868">
            <v>41</v>
          </cell>
          <cell r="D868" t="str">
            <v>D10</v>
          </cell>
          <cell r="E868">
            <v>1784</v>
          </cell>
          <cell r="G868">
            <v>100</v>
          </cell>
          <cell r="H868" t="str">
            <v>NK</v>
          </cell>
          <cell r="I868" t="str">
            <v>NK US</v>
          </cell>
          <cell r="J868" t="str">
            <v>CO110</v>
          </cell>
          <cell r="K868">
            <v>1</v>
          </cell>
          <cell r="N868">
            <v>0.01</v>
          </cell>
          <cell r="P868" t="str">
            <v>X32236BB</v>
          </cell>
          <cell r="Q868" t="str">
            <v>01Z01030639</v>
          </cell>
          <cell r="R868" t="str">
            <v>CA01</v>
          </cell>
        </row>
        <row r="869">
          <cell r="A869">
            <v>932331</v>
          </cell>
          <cell r="B869" t="str">
            <v>CRCO N11K-GT    MF1     STD CA</v>
          </cell>
          <cell r="C869">
            <v>240</v>
          </cell>
          <cell r="D869" t="str">
            <v>UN</v>
          </cell>
          <cell r="E869">
            <v>4822</v>
          </cell>
          <cell r="G869">
            <v>100</v>
          </cell>
          <cell r="H869" t="str">
            <v>NK</v>
          </cell>
          <cell r="I869" t="str">
            <v>NK CA</v>
          </cell>
          <cell r="J869" t="str">
            <v>CO110</v>
          </cell>
          <cell r="K869">
            <v>1</v>
          </cell>
          <cell r="N869">
            <v>4317.04</v>
          </cell>
          <cell r="P869" t="str">
            <v>X13066</v>
          </cell>
          <cell r="Q869" t="str">
            <v>01Z01011503</v>
          </cell>
          <cell r="R869" t="str">
            <v>CA01</v>
          </cell>
          <cell r="S869">
            <v>4822</v>
          </cell>
        </row>
        <row r="870">
          <cell r="A870">
            <v>932331</v>
          </cell>
          <cell r="B870" t="str">
            <v>CRCO N11K-GT    MF1     STD CA</v>
          </cell>
          <cell r="C870">
            <v>240</v>
          </cell>
          <cell r="D870" t="str">
            <v>UN</v>
          </cell>
          <cell r="E870">
            <v>4822</v>
          </cell>
          <cell r="G870">
            <v>100</v>
          </cell>
          <cell r="H870" t="str">
            <v>NK</v>
          </cell>
          <cell r="I870" t="str">
            <v>NK CA</v>
          </cell>
          <cell r="J870" t="str">
            <v>CO110</v>
          </cell>
          <cell r="K870">
            <v>1</v>
          </cell>
          <cell r="N870">
            <v>4317.04</v>
          </cell>
          <cell r="P870" t="str">
            <v>X13066</v>
          </cell>
          <cell r="Q870" t="str">
            <v>01Z01011503</v>
          </cell>
          <cell r="R870" t="str">
            <v>CA01</v>
          </cell>
          <cell r="S870">
            <v>4822</v>
          </cell>
        </row>
        <row r="871">
          <cell r="A871">
            <v>932335</v>
          </cell>
          <cell r="B871" t="str">
            <v>CRCO N11K-GT    MF1     SPC CA</v>
          </cell>
          <cell r="C871">
            <v>825</v>
          </cell>
          <cell r="D871" t="str">
            <v>UN</v>
          </cell>
          <cell r="E871">
            <v>5566</v>
          </cell>
          <cell r="G871">
            <v>100</v>
          </cell>
          <cell r="H871" t="str">
            <v>NK</v>
          </cell>
          <cell r="I871" t="str">
            <v>NK CA</v>
          </cell>
          <cell r="J871" t="str">
            <v>CO110</v>
          </cell>
          <cell r="K871">
            <v>1</v>
          </cell>
          <cell r="N871">
            <v>5253.17</v>
          </cell>
          <cell r="P871" t="str">
            <v>X13066</v>
          </cell>
          <cell r="Q871" t="str">
            <v>01Z01011503</v>
          </cell>
          <cell r="R871" t="str">
            <v>CA01</v>
          </cell>
          <cell r="S871">
            <v>5566</v>
          </cell>
        </row>
        <row r="872">
          <cell r="A872">
            <v>932335</v>
          </cell>
          <cell r="B872" t="str">
            <v>CRCO N11K-GT    MF1     SPC CA</v>
          </cell>
          <cell r="C872">
            <v>825</v>
          </cell>
          <cell r="D872" t="str">
            <v>UN</v>
          </cell>
          <cell r="E872">
            <v>5566</v>
          </cell>
          <cell r="G872">
            <v>100</v>
          </cell>
          <cell r="H872" t="str">
            <v>NK</v>
          </cell>
          <cell r="I872" t="str">
            <v>NK CA</v>
          </cell>
          <cell r="J872" t="str">
            <v>CO110</v>
          </cell>
          <cell r="K872">
            <v>1</v>
          </cell>
          <cell r="N872">
            <v>5253.17</v>
          </cell>
          <cell r="P872" t="str">
            <v>X13066</v>
          </cell>
          <cell r="Q872" t="str">
            <v>01Z01011503</v>
          </cell>
          <cell r="R872" t="str">
            <v>CA01</v>
          </cell>
          <cell r="S872">
            <v>5566</v>
          </cell>
        </row>
        <row r="873">
          <cell r="A873">
            <v>932356</v>
          </cell>
          <cell r="B873" t="str">
            <v>CRCO N11K-GT    MR2     STD CA</v>
          </cell>
          <cell r="C873">
            <v>357</v>
          </cell>
          <cell r="D873" t="str">
            <v>UN</v>
          </cell>
          <cell r="E873">
            <v>4822</v>
          </cell>
          <cell r="G873">
            <v>100</v>
          </cell>
          <cell r="H873" t="str">
            <v>NK</v>
          </cell>
          <cell r="I873" t="str">
            <v>NK CA</v>
          </cell>
          <cell r="J873" t="str">
            <v>CO110</v>
          </cell>
          <cell r="K873">
            <v>1</v>
          </cell>
          <cell r="N873">
            <v>4317.04</v>
          </cell>
          <cell r="P873" t="str">
            <v>X13066</v>
          </cell>
          <cell r="Q873" t="str">
            <v>01Z01011503</v>
          </cell>
          <cell r="R873" t="str">
            <v>CA01</v>
          </cell>
          <cell r="S873">
            <v>4822</v>
          </cell>
        </row>
        <row r="874">
          <cell r="A874">
            <v>932356</v>
          </cell>
          <cell r="B874" t="str">
            <v>CRCO N11K-GT    MR2     STD CA</v>
          </cell>
          <cell r="C874">
            <v>357</v>
          </cell>
          <cell r="D874" t="str">
            <v>UN</v>
          </cell>
          <cell r="E874">
            <v>4822</v>
          </cell>
          <cell r="G874">
            <v>100</v>
          </cell>
          <cell r="H874" t="str">
            <v>NK</v>
          </cell>
          <cell r="I874" t="str">
            <v>NK CA</v>
          </cell>
          <cell r="J874" t="str">
            <v>CO110</v>
          </cell>
          <cell r="K874">
            <v>1</v>
          </cell>
          <cell r="N874">
            <v>4317.04</v>
          </cell>
          <cell r="P874" t="str">
            <v>X13066</v>
          </cell>
          <cell r="Q874" t="str">
            <v>01Z01011503</v>
          </cell>
          <cell r="R874" t="str">
            <v>CA01</v>
          </cell>
          <cell r="S874">
            <v>4822</v>
          </cell>
        </row>
        <row r="875">
          <cell r="A875">
            <v>932359</v>
          </cell>
          <cell r="B875" t="str">
            <v>CRCO N11K-GT    MR2     SPC CA</v>
          </cell>
          <cell r="C875">
            <v>229</v>
          </cell>
          <cell r="D875" t="str">
            <v>UN</v>
          </cell>
          <cell r="E875">
            <v>5566</v>
          </cell>
          <cell r="G875">
            <v>100</v>
          </cell>
          <cell r="H875" t="str">
            <v>NK</v>
          </cell>
          <cell r="I875" t="str">
            <v>NK CA</v>
          </cell>
          <cell r="J875" t="str">
            <v>CO110</v>
          </cell>
          <cell r="K875">
            <v>1</v>
          </cell>
          <cell r="N875">
            <v>5253.17</v>
          </cell>
          <cell r="P875" t="str">
            <v>X13066</v>
          </cell>
          <cell r="Q875" t="str">
            <v>01Z01011503</v>
          </cell>
          <cell r="R875" t="str">
            <v>CA01</v>
          </cell>
          <cell r="S875">
            <v>5566</v>
          </cell>
        </row>
        <row r="876">
          <cell r="A876">
            <v>932359</v>
          </cell>
          <cell r="B876" t="str">
            <v>CRCO N11K-GT    MR2     SPC CA</v>
          </cell>
          <cell r="C876">
            <v>229</v>
          </cell>
          <cell r="D876" t="str">
            <v>UN</v>
          </cell>
          <cell r="E876">
            <v>5566</v>
          </cell>
          <cell r="G876">
            <v>100</v>
          </cell>
          <cell r="H876" t="str">
            <v>NK</v>
          </cell>
          <cell r="I876" t="str">
            <v>NK CA</v>
          </cell>
          <cell r="J876" t="str">
            <v>CO110</v>
          </cell>
          <cell r="K876">
            <v>1</v>
          </cell>
          <cell r="N876">
            <v>5253.17</v>
          </cell>
          <cell r="P876" t="str">
            <v>X13066</v>
          </cell>
          <cell r="Q876" t="str">
            <v>01Z01011503</v>
          </cell>
          <cell r="R876" t="str">
            <v>CA01</v>
          </cell>
          <cell r="S876">
            <v>5566</v>
          </cell>
        </row>
        <row r="877">
          <cell r="A877">
            <v>932407</v>
          </cell>
          <cell r="B877" t="str">
            <v>CRCO NX2256    MF2     SPC CA</v>
          </cell>
          <cell r="C877">
            <v>1</v>
          </cell>
          <cell r="D877" t="str">
            <v>UN</v>
          </cell>
          <cell r="E877">
            <v>5254.31</v>
          </cell>
          <cell r="G877">
            <v>100</v>
          </cell>
          <cell r="H877" t="str">
            <v>NK</v>
          </cell>
          <cell r="I877" t="str">
            <v>NK CA</v>
          </cell>
          <cell r="J877" t="str">
            <v>CO110</v>
          </cell>
          <cell r="K877">
            <v>1</v>
          </cell>
          <cell r="N877">
            <v>0.01</v>
          </cell>
          <cell r="P877" t="str">
            <v>X22276BB</v>
          </cell>
          <cell r="Q877" t="str">
            <v>01Z01020621</v>
          </cell>
          <cell r="R877" t="str">
            <v>CA01</v>
          </cell>
        </row>
        <row r="878">
          <cell r="A878">
            <v>932407</v>
          </cell>
          <cell r="B878" t="str">
            <v>CRCO NX2256    MF2     SPC CA</v>
          </cell>
          <cell r="C878">
            <v>1</v>
          </cell>
          <cell r="D878" t="str">
            <v>UN</v>
          </cell>
          <cell r="E878">
            <v>5254.31</v>
          </cell>
          <cell r="G878">
            <v>100</v>
          </cell>
          <cell r="H878" t="str">
            <v>NK</v>
          </cell>
          <cell r="I878" t="str">
            <v>NK CA</v>
          </cell>
          <cell r="J878" t="str">
            <v>CO110</v>
          </cell>
          <cell r="K878">
            <v>1</v>
          </cell>
          <cell r="N878">
            <v>0.01</v>
          </cell>
          <cell r="P878" t="str">
            <v>X22276BB</v>
          </cell>
          <cell r="Q878" t="str">
            <v>01Z01020621</v>
          </cell>
          <cell r="R878" t="str">
            <v>CA01</v>
          </cell>
        </row>
        <row r="879">
          <cell r="A879">
            <v>932575</v>
          </cell>
          <cell r="B879" t="str">
            <v>CRCO N50K-CB/LL    LR70    SPC CA</v>
          </cell>
          <cell r="C879">
            <v>305</v>
          </cell>
          <cell r="D879" t="str">
            <v>UN</v>
          </cell>
          <cell r="E879">
            <v>5517.76</v>
          </cell>
          <cell r="G879">
            <v>100</v>
          </cell>
          <cell r="H879" t="str">
            <v>NK</v>
          </cell>
          <cell r="I879" t="str">
            <v>NK CA</v>
          </cell>
          <cell r="J879" t="str">
            <v>CO110</v>
          </cell>
          <cell r="K879">
            <v>1</v>
          </cell>
          <cell r="N879">
            <v>5272.21</v>
          </cell>
          <cell r="P879" t="str">
            <v>X51916BB</v>
          </cell>
          <cell r="Q879" t="str">
            <v>01Z0105017A</v>
          </cell>
          <cell r="R879" t="str">
            <v>CA01</v>
          </cell>
          <cell r="S879">
            <v>5517.76</v>
          </cell>
        </row>
        <row r="880">
          <cell r="A880">
            <v>932575</v>
          </cell>
          <cell r="B880" t="str">
            <v>CRCO N50K-CB/LL    LR70    SPC CA</v>
          </cell>
          <cell r="C880">
            <v>305</v>
          </cell>
          <cell r="D880" t="str">
            <v>UN</v>
          </cell>
          <cell r="E880">
            <v>5517.76</v>
          </cell>
          <cell r="G880">
            <v>100</v>
          </cell>
          <cell r="H880" t="str">
            <v>NK</v>
          </cell>
          <cell r="I880" t="str">
            <v>NK CA</v>
          </cell>
          <cell r="J880" t="str">
            <v>CO110</v>
          </cell>
          <cell r="K880">
            <v>1</v>
          </cell>
          <cell r="N880">
            <v>5272.21</v>
          </cell>
          <cell r="P880" t="str">
            <v>X51916BB</v>
          </cell>
          <cell r="Q880" t="str">
            <v>01Z0105017A</v>
          </cell>
          <cell r="R880" t="str">
            <v>CA01</v>
          </cell>
          <cell r="S880">
            <v>5517.76</v>
          </cell>
        </row>
        <row r="881">
          <cell r="A881">
            <v>932587</v>
          </cell>
          <cell r="B881" t="str">
            <v>CRCO N50K-CB/LL    MF2     SPC CA</v>
          </cell>
          <cell r="C881">
            <v>206</v>
          </cell>
          <cell r="D881" t="str">
            <v>UN</v>
          </cell>
          <cell r="E881">
            <v>5517.76</v>
          </cell>
          <cell r="G881">
            <v>100</v>
          </cell>
          <cell r="H881" t="str">
            <v>NK</v>
          </cell>
          <cell r="I881" t="str">
            <v>NK CA</v>
          </cell>
          <cell r="J881" t="str">
            <v>CO110</v>
          </cell>
          <cell r="K881">
            <v>1</v>
          </cell>
          <cell r="N881">
            <v>5272.21</v>
          </cell>
          <cell r="P881" t="str">
            <v>X51916BB</v>
          </cell>
          <cell r="Q881" t="str">
            <v>01Z0105017A</v>
          </cell>
          <cell r="R881" t="str">
            <v>CA01</v>
          </cell>
          <cell r="S881">
            <v>5517.76</v>
          </cell>
        </row>
        <row r="882">
          <cell r="A882">
            <v>932587</v>
          </cell>
          <cell r="B882" t="str">
            <v>CRCO N50K-CB/LL    MF2     SPC CA</v>
          </cell>
          <cell r="C882">
            <v>206</v>
          </cell>
          <cell r="D882" t="str">
            <v>UN</v>
          </cell>
          <cell r="E882">
            <v>5517.76</v>
          </cell>
          <cell r="G882">
            <v>100</v>
          </cell>
          <cell r="H882" t="str">
            <v>NK</v>
          </cell>
          <cell r="I882" t="str">
            <v>NK CA</v>
          </cell>
          <cell r="J882" t="str">
            <v>CO110</v>
          </cell>
          <cell r="K882">
            <v>1</v>
          </cell>
          <cell r="N882">
            <v>5272.21</v>
          </cell>
          <cell r="P882" t="str">
            <v>X51916BB</v>
          </cell>
          <cell r="Q882" t="str">
            <v>01Z0105017A</v>
          </cell>
          <cell r="R882" t="str">
            <v>CA01</v>
          </cell>
          <cell r="S882">
            <v>5517.76</v>
          </cell>
        </row>
        <row r="883">
          <cell r="A883">
            <v>949154</v>
          </cell>
          <cell r="B883" t="str">
            <v>CRCO X0545AGB    DRYSH   KG</v>
          </cell>
          <cell r="C883">
            <v>0</v>
          </cell>
          <cell r="D883" t="str">
            <v>KG</v>
          </cell>
          <cell r="E883">
            <v>217.7</v>
          </cell>
          <cell r="G883">
            <v>100</v>
          </cell>
          <cell r="H883" t="str">
            <v>SC Syngenta</v>
          </cell>
          <cell r="I883" t="str">
            <v>SC SYNGENTA</v>
          </cell>
          <cell r="J883" t="str">
            <v>CO020</v>
          </cell>
          <cell r="K883">
            <v>1</v>
          </cell>
          <cell r="N883">
            <v>113.2</v>
          </cell>
          <cell r="P883" t="str">
            <v>X0545AGB</v>
          </cell>
          <cell r="Q883" t="str">
            <v>01Z01001501</v>
          </cell>
          <cell r="R883" t="str">
            <v>CA01</v>
          </cell>
        </row>
        <row r="884">
          <cell r="A884">
            <v>949154</v>
          </cell>
          <cell r="B884" t="str">
            <v>CRCO X0545AGB    DRYSH   KG</v>
          </cell>
          <cell r="C884">
            <v>0</v>
          </cell>
          <cell r="D884" t="str">
            <v>KG</v>
          </cell>
          <cell r="E884">
            <v>217.7</v>
          </cell>
          <cell r="G884">
            <v>100</v>
          </cell>
          <cell r="H884" t="str">
            <v>SC Syngenta</v>
          </cell>
          <cell r="I884" t="str">
            <v>SC SYNGENTA</v>
          </cell>
          <cell r="J884" t="str">
            <v>CO020</v>
          </cell>
          <cell r="K884">
            <v>1</v>
          </cell>
          <cell r="N884">
            <v>113.2</v>
          </cell>
          <cell r="P884" t="str">
            <v>X0545AGB</v>
          </cell>
          <cell r="Q884" t="str">
            <v>01Z01001501</v>
          </cell>
          <cell r="R884" t="str">
            <v>CA01</v>
          </cell>
        </row>
        <row r="885">
          <cell r="A885">
            <v>949192</v>
          </cell>
          <cell r="B885" t="str">
            <v>CRCO X00686GB    DRYSH   KG</v>
          </cell>
          <cell r="C885">
            <v>0</v>
          </cell>
          <cell r="D885" t="str">
            <v>KG</v>
          </cell>
          <cell r="E885">
            <v>170</v>
          </cell>
          <cell r="G885">
            <v>100</v>
          </cell>
          <cell r="H885" t="str">
            <v>SC Syngenta</v>
          </cell>
          <cell r="I885" t="str">
            <v>SC SYNGENTA</v>
          </cell>
          <cell r="J885" t="str">
            <v>CO020</v>
          </cell>
          <cell r="K885">
            <v>1</v>
          </cell>
          <cell r="N885">
            <v>113.2</v>
          </cell>
          <cell r="P885" t="str">
            <v>X00686GB</v>
          </cell>
          <cell r="Q885" t="str">
            <v>01Z01011506</v>
          </cell>
          <cell r="R885" t="str">
            <v>CA01</v>
          </cell>
        </row>
        <row r="886">
          <cell r="A886">
            <v>949192</v>
          </cell>
          <cell r="B886" t="str">
            <v>CRCO X00686GB    DRYSH   KG</v>
          </cell>
          <cell r="C886">
            <v>0</v>
          </cell>
          <cell r="D886" t="str">
            <v>KG</v>
          </cell>
          <cell r="E886">
            <v>170</v>
          </cell>
          <cell r="G886">
            <v>100</v>
          </cell>
          <cell r="H886" t="str">
            <v>SC Syngenta</v>
          </cell>
          <cell r="I886" t="str">
            <v>SC SYNGENTA</v>
          </cell>
          <cell r="J886" t="str">
            <v>CO020</v>
          </cell>
          <cell r="K886">
            <v>1</v>
          </cell>
          <cell r="N886">
            <v>113.2</v>
          </cell>
          <cell r="P886" t="str">
            <v>X00686GB</v>
          </cell>
          <cell r="Q886" t="str">
            <v>01Z01011506</v>
          </cell>
          <cell r="R886" t="str">
            <v>CA01</v>
          </cell>
        </row>
        <row r="887">
          <cell r="A887">
            <v>949194</v>
          </cell>
          <cell r="B887" t="str">
            <v>CRCO X10246GB   DRYSH   KG</v>
          </cell>
          <cell r="C887">
            <v>0</v>
          </cell>
          <cell r="D887" t="str">
            <v>KG</v>
          </cell>
          <cell r="E887">
            <v>170</v>
          </cell>
          <cell r="G887">
            <v>100</v>
          </cell>
          <cell r="H887" t="str">
            <v>SC Syngenta</v>
          </cell>
          <cell r="I887" t="str">
            <v>SC SYNGENTA</v>
          </cell>
          <cell r="J887" t="str">
            <v>CO020</v>
          </cell>
          <cell r="K887">
            <v>1</v>
          </cell>
          <cell r="N887">
            <v>113.2</v>
          </cell>
          <cell r="P887" t="str">
            <v>X10246GB</v>
          </cell>
          <cell r="Q887" t="str">
            <v>01Z01011507</v>
          </cell>
          <cell r="R887" t="str">
            <v>CA01</v>
          </cell>
        </row>
        <row r="888">
          <cell r="A888">
            <v>949194</v>
          </cell>
          <cell r="B888" t="str">
            <v>CRCO X10246GB   DRYSH   KG</v>
          </cell>
          <cell r="C888">
            <v>0</v>
          </cell>
          <cell r="D888" t="str">
            <v>KG</v>
          </cell>
          <cell r="E888">
            <v>170</v>
          </cell>
          <cell r="G888">
            <v>100</v>
          </cell>
          <cell r="H888" t="str">
            <v>SC Syngenta</v>
          </cell>
          <cell r="I888" t="str">
            <v>SC SYNGENTA</v>
          </cell>
          <cell r="J888" t="str">
            <v>CO020</v>
          </cell>
          <cell r="K888">
            <v>1</v>
          </cell>
          <cell r="N888">
            <v>113.2</v>
          </cell>
          <cell r="P888" t="str">
            <v>X10246GB</v>
          </cell>
          <cell r="Q888" t="str">
            <v>01Z01011507</v>
          </cell>
          <cell r="R888" t="str">
            <v>CA01</v>
          </cell>
        </row>
        <row r="889">
          <cell r="A889">
            <v>949202</v>
          </cell>
          <cell r="B889" t="str">
            <v>CRCO X1617AYT    DRYSH   KG</v>
          </cell>
          <cell r="C889">
            <v>0</v>
          </cell>
          <cell r="D889" t="str">
            <v>KG</v>
          </cell>
          <cell r="E889">
            <v>170</v>
          </cell>
          <cell r="G889">
            <v>100</v>
          </cell>
          <cell r="H889" t="str">
            <v>SC Syngenta</v>
          </cell>
          <cell r="I889" t="str">
            <v>SC SYNGENTA</v>
          </cell>
          <cell r="J889" t="str">
            <v>CO020</v>
          </cell>
          <cell r="K889">
            <v>1</v>
          </cell>
          <cell r="N889">
            <v>113.2</v>
          </cell>
          <cell r="P889" t="str">
            <v>X1617AYT</v>
          </cell>
          <cell r="Q889" t="str">
            <v>01Z01011601</v>
          </cell>
          <cell r="R889" t="str">
            <v>CA01</v>
          </cell>
        </row>
        <row r="890">
          <cell r="A890">
            <v>949202</v>
          </cell>
          <cell r="B890" t="str">
            <v>CRCO X1617AYT    DRYSH   KG</v>
          </cell>
          <cell r="C890">
            <v>0</v>
          </cell>
          <cell r="D890" t="str">
            <v>KG</v>
          </cell>
          <cell r="E890">
            <v>170</v>
          </cell>
          <cell r="G890">
            <v>100</v>
          </cell>
          <cell r="H890" t="str">
            <v>SC Syngenta</v>
          </cell>
          <cell r="I890" t="str">
            <v>SC SYNGENTA</v>
          </cell>
          <cell r="J890" t="str">
            <v>CO020</v>
          </cell>
          <cell r="K890">
            <v>1</v>
          </cell>
          <cell r="N890">
            <v>113.2</v>
          </cell>
          <cell r="P890" t="str">
            <v>X1617AYT</v>
          </cell>
          <cell r="Q890" t="str">
            <v>01Z01011601</v>
          </cell>
          <cell r="R890" t="str">
            <v>CA01</v>
          </cell>
        </row>
        <row r="891">
          <cell r="A891">
            <v>949213</v>
          </cell>
          <cell r="B891" t="str">
            <v>CRCO X22145GB       DRYSH   KG</v>
          </cell>
          <cell r="C891">
            <v>0</v>
          </cell>
          <cell r="D891" t="str">
            <v>KG</v>
          </cell>
          <cell r="E891">
            <v>113.25</v>
          </cell>
          <cell r="G891">
            <v>100</v>
          </cell>
          <cell r="H891" t="str">
            <v>SC Syngenta</v>
          </cell>
          <cell r="I891" t="str">
            <v>SC SYNGENTA</v>
          </cell>
          <cell r="J891" t="str">
            <v>CO020</v>
          </cell>
          <cell r="K891">
            <v>1</v>
          </cell>
          <cell r="N891">
            <v>113.25</v>
          </cell>
          <cell r="P891" t="str">
            <v>X22145GB</v>
          </cell>
          <cell r="Q891" t="str">
            <v>01Z010215AC</v>
          </cell>
          <cell r="R891" t="str">
            <v>CA01</v>
          </cell>
        </row>
        <row r="892">
          <cell r="A892">
            <v>949213</v>
          </cell>
          <cell r="B892" t="str">
            <v>CRCO X22145GB       DRYSH   KG</v>
          </cell>
          <cell r="C892">
            <v>0</v>
          </cell>
          <cell r="D892" t="str">
            <v>KG</v>
          </cell>
          <cell r="E892">
            <v>113.25</v>
          </cell>
          <cell r="G892">
            <v>100</v>
          </cell>
          <cell r="H892" t="str">
            <v>SC Syngenta</v>
          </cell>
          <cell r="I892" t="str">
            <v>SC SYNGENTA</v>
          </cell>
          <cell r="J892" t="str">
            <v>CO020</v>
          </cell>
          <cell r="K892">
            <v>1</v>
          </cell>
          <cell r="N892">
            <v>113.25</v>
          </cell>
          <cell r="P892" t="str">
            <v>X22145GB</v>
          </cell>
          <cell r="Q892" t="str">
            <v>01Z010215AC</v>
          </cell>
          <cell r="R892" t="str">
            <v>CA01</v>
          </cell>
        </row>
        <row r="893">
          <cell r="A893">
            <v>949216</v>
          </cell>
          <cell r="B893" t="str">
            <v>CRCO  X23114YT   DRYSH   KG</v>
          </cell>
          <cell r="C893">
            <v>0</v>
          </cell>
          <cell r="D893" t="str">
            <v>KG</v>
          </cell>
          <cell r="E893">
            <v>161.37</v>
          </cell>
          <cell r="G893">
            <v>100</v>
          </cell>
          <cell r="H893" t="str">
            <v>SC Syngenta</v>
          </cell>
          <cell r="I893" t="str">
            <v>SC SYNGENTA</v>
          </cell>
          <cell r="J893" t="str">
            <v>CO020</v>
          </cell>
          <cell r="K893">
            <v>1</v>
          </cell>
          <cell r="N893">
            <v>113.23</v>
          </cell>
          <cell r="P893" t="str">
            <v>X23114YT</v>
          </cell>
          <cell r="Q893" t="str">
            <v>01Z010216AE</v>
          </cell>
          <cell r="R893" t="str">
            <v>CA01</v>
          </cell>
        </row>
        <row r="894">
          <cell r="A894">
            <v>949216</v>
          </cell>
          <cell r="B894" t="str">
            <v>CRCO  X23114YT   DRYSH   KG</v>
          </cell>
          <cell r="C894">
            <v>0</v>
          </cell>
          <cell r="D894" t="str">
            <v>KG</v>
          </cell>
          <cell r="E894">
            <v>161.37</v>
          </cell>
          <cell r="G894">
            <v>100</v>
          </cell>
          <cell r="H894" t="str">
            <v>SC Syngenta</v>
          </cell>
          <cell r="I894" t="str">
            <v>SC SYNGENTA</v>
          </cell>
          <cell r="J894" t="str">
            <v>CO020</v>
          </cell>
          <cell r="K894">
            <v>1</v>
          </cell>
          <cell r="N894">
            <v>113.23</v>
          </cell>
          <cell r="P894" t="str">
            <v>X23114YT</v>
          </cell>
          <cell r="Q894" t="str">
            <v>01Z010216AE</v>
          </cell>
          <cell r="R894" t="str">
            <v>CA01</v>
          </cell>
        </row>
        <row r="895">
          <cell r="A895">
            <v>949222</v>
          </cell>
          <cell r="B895" t="str">
            <v>CRCO X23114WU    DRYSH   KG</v>
          </cell>
          <cell r="C895">
            <v>0</v>
          </cell>
          <cell r="D895" t="str">
            <v>KG</v>
          </cell>
          <cell r="E895">
            <v>170</v>
          </cell>
          <cell r="G895">
            <v>100</v>
          </cell>
          <cell r="H895" t="str">
            <v>SC Syngenta</v>
          </cell>
          <cell r="I895" t="str">
            <v>SC SYNGENTA</v>
          </cell>
          <cell r="J895" t="str">
            <v>CO020</v>
          </cell>
          <cell r="K895">
            <v>1</v>
          </cell>
          <cell r="N895">
            <v>113.25</v>
          </cell>
          <cell r="P895" t="str">
            <v>X23114WU</v>
          </cell>
          <cell r="Q895" t="str">
            <v>01Z01023902</v>
          </cell>
          <cell r="R895" t="str">
            <v>CA01</v>
          </cell>
        </row>
        <row r="896">
          <cell r="A896">
            <v>949222</v>
          </cell>
          <cell r="B896" t="str">
            <v>CRCO X23114WU    DRYSH   KG</v>
          </cell>
          <cell r="C896">
            <v>0</v>
          </cell>
          <cell r="D896" t="str">
            <v>KG</v>
          </cell>
          <cell r="E896">
            <v>170</v>
          </cell>
          <cell r="G896">
            <v>100</v>
          </cell>
          <cell r="H896" t="str">
            <v>SC Syngenta</v>
          </cell>
          <cell r="I896" t="str">
            <v>SC SYNGENTA</v>
          </cell>
          <cell r="J896" t="str">
            <v>CO020</v>
          </cell>
          <cell r="K896">
            <v>1</v>
          </cell>
          <cell r="N896">
            <v>113.25</v>
          </cell>
          <cell r="P896" t="str">
            <v>X23114WU</v>
          </cell>
          <cell r="Q896" t="str">
            <v>01Z01023902</v>
          </cell>
          <cell r="R896" t="str">
            <v>CA01</v>
          </cell>
        </row>
        <row r="897">
          <cell r="A897">
            <v>949295</v>
          </cell>
          <cell r="B897" t="str">
            <v>CRCO X4037AWG    DRYSH   KG</v>
          </cell>
          <cell r="C897">
            <v>0</v>
          </cell>
          <cell r="D897" t="str">
            <v>KG</v>
          </cell>
          <cell r="E897">
            <v>170</v>
          </cell>
          <cell r="G897">
            <v>100</v>
          </cell>
          <cell r="H897" t="str">
            <v>SC Syngenta</v>
          </cell>
          <cell r="I897" t="str">
            <v>SC SYNGENTA</v>
          </cell>
          <cell r="J897" t="str">
            <v>CO020</v>
          </cell>
          <cell r="K897">
            <v>1</v>
          </cell>
          <cell r="N897">
            <v>113.26</v>
          </cell>
          <cell r="P897" t="str">
            <v>X4037AWG</v>
          </cell>
          <cell r="Q897" t="str">
            <v>01Z010416AE</v>
          </cell>
          <cell r="R897" t="str">
            <v>CA01</v>
          </cell>
        </row>
        <row r="898">
          <cell r="A898">
            <v>949295</v>
          </cell>
          <cell r="B898" t="str">
            <v>CRCO X4037AWG    DRYSH   KG</v>
          </cell>
          <cell r="C898">
            <v>0</v>
          </cell>
          <cell r="D898" t="str">
            <v>KG</v>
          </cell>
          <cell r="E898">
            <v>170</v>
          </cell>
          <cell r="G898">
            <v>100</v>
          </cell>
          <cell r="H898" t="str">
            <v>SC Syngenta</v>
          </cell>
          <cell r="I898" t="str">
            <v>SC SYNGENTA</v>
          </cell>
          <cell r="J898" t="str">
            <v>CO020</v>
          </cell>
          <cell r="K898">
            <v>1</v>
          </cell>
          <cell r="N898">
            <v>113.26</v>
          </cell>
          <cell r="P898" t="str">
            <v>X4037AWG</v>
          </cell>
          <cell r="Q898" t="str">
            <v>01Z010416AE</v>
          </cell>
          <cell r="R898" t="str">
            <v>CA01</v>
          </cell>
        </row>
        <row r="899">
          <cell r="A899">
            <v>961861</v>
          </cell>
          <cell r="B899" t="str">
            <v>CRCO N45A-GT   MR2   CRW  NK</v>
          </cell>
          <cell r="C899">
            <v>0</v>
          </cell>
          <cell r="D899" t="str">
            <v>UN</v>
          </cell>
          <cell r="E899">
            <v>9322.43</v>
          </cell>
          <cell r="G899">
            <v>100</v>
          </cell>
          <cell r="H899" t="str">
            <v>NK</v>
          </cell>
          <cell r="I899" t="str">
            <v>NK US</v>
          </cell>
          <cell r="J899" t="str">
            <v>CO110</v>
          </cell>
          <cell r="K899">
            <v>1</v>
          </cell>
          <cell r="N899">
            <v>0.01</v>
          </cell>
          <cell r="P899" t="str">
            <v>X4555AGB</v>
          </cell>
          <cell r="Q899" t="str">
            <v>01Z010415AH</v>
          </cell>
          <cell r="R899" t="str">
            <v>CA01</v>
          </cell>
        </row>
        <row r="900">
          <cell r="A900">
            <v>961861</v>
          </cell>
          <cell r="B900" t="str">
            <v>CRCO N45A-GT   MR2   CRW  NK</v>
          </cell>
          <cell r="C900">
            <v>0</v>
          </cell>
          <cell r="D900" t="str">
            <v>UN</v>
          </cell>
          <cell r="E900">
            <v>9322.43</v>
          </cell>
          <cell r="G900">
            <v>100</v>
          </cell>
          <cell r="H900" t="str">
            <v>NK</v>
          </cell>
          <cell r="I900" t="str">
            <v>NK US</v>
          </cell>
          <cell r="J900" t="str">
            <v>CO110</v>
          </cell>
          <cell r="K900">
            <v>1</v>
          </cell>
          <cell r="N900">
            <v>0.01</v>
          </cell>
          <cell r="P900" t="str">
            <v>X4555AGB</v>
          </cell>
          <cell r="Q900" t="str">
            <v>01Z010415AH</v>
          </cell>
          <cell r="R900" t="str">
            <v>CA01</v>
          </cell>
        </row>
        <row r="901">
          <cell r="A901">
            <v>961910</v>
          </cell>
          <cell r="B901" t="str">
            <v>CRCO N45A-GT   MR2   SPC  NK</v>
          </cell>
          <cell r="C901">
            <v>0</v>
          </cell>
          <cell r="D901" t="str">
            <v>UN</v>
          </cell>
          <cell r="E901">
            <v>6333.21</v>
          </cell>
          <cell r="G901">
            <v>100</v>
          </cell>
          <cell r="H901" t="str">
            <v>NK</v>
          </cell>
          <cell r="I901" t="str">
            <v>NK US</v>
          </cell>
          <cell r="J901" t="str">
            <v>CO110</v>
          </cell>
          <cell r="K901">
            <v>1</v>
          </cell>
          <cell r="N901">
            <v>0.01</v>
          </cell>
          <cell r="P901" t="str">
            <v>X4555AGB</v>
          </cell>
          <cell r="Q901" t="str">
            <v>01Z010415AH</v>
          </cell>
          <cell r="R901" t="str">
            <v>CA01</v>
          </cell>
        </row>
        <row r="902">
          <cell r="A902">
            <v>961910</v>
          </cell>
          <cell r="B902" t="str">
            <v>CRCO N45A-GT   MR2   SPC  NK</v>
          </cell>
          <cell r="C902">
            <v>0</v>
          </cell>
          <cell r="D902" t="str">
            <v>UN</v>
          </cell>
          <cell r="E902">
            <v>6333.21</v>
          </cell>
          <cell r="G902">
            <v>100</v>
          </cell>
          <cell r="H902" t="str">
            <v>NK</v>
          </cell>
          <cell r="I902" t="str">
            <v>NK US</v>
          </cell>
          <cell r="J902" t="str">
            <v>CO110</v>
          </cell>
          <cell r="K902">
            <v>1</v>
          </cell>
          <cell r="N902">
            <v>0.01</v>
          </cell>
          <cell r="P902" t="str">
            <v>X4555AGB</v>
          </cell>
          <cell r="Q902" t="str">
            <v>01Z010415AH</v>
          </cell>
          <cell r="R902" t="str">
            <v>CA01</v>
          </cell>
        </row>
        <row r="903">
          <cell r="A903">
            <v>966433</v>
          </cell>
          <cell r="B903" t="str">
            <v>CRCO N53-H7    LR70    STD CA</v>
          </cell>
          <cell r="C903">
            <v>0</v>
          </cell>
          <cell r="D903" t="str">
            <v>UN</v>
          </cell>
          <cell r="E903">
            <v>507757</v>
          </cell>
          <cell r="G903">
            <v>10000</v>
          </cell>
          <cell r="H903" t="str">
            <v>NK</v>
          </cell>
          <cell r="I903" t="str">
            <v>NK CA</v>
          </cell>
          <cell r="J903" t="str">
            <v>CO110</v>
          </cell>
          <cell r="K903">
            <v>1</v>
          </cell>
          <cell r="N903">
            <v>416209.68</v>
          </cell>
          <cell r="P903" t="str">
            <v>X5132AXF</v>
          </cell>
          <cell r="Q903" t="str">
            <v>01Z01061806</v>
          </cell>
          <cell r="R903" t="str">
            <v>CA01</v>
          </cell>
          <cell r="S903">
            <v>507757</v>
          </cell>
        </row>
        <row r="904">
          <cell r="A904">
            <v>966433</v>
          </cell>
          <cell r="B904" t="str">
            <v>CRCO N53-H7    LR70    STD CA</v>
          </cell>
          <cell r="C904">
            <v>0</v>
          </cell>
          <cell r="D904" t="str">
            <v>UN</v>
          </cell>
          <cell r="E904">
            <v>507757</v>
          </cell>
          <cell r="G904">
            <v>10000</v>
          </cell>
          <cell r="H904" t="str">
            <v>NK</v>
          </cell>
          <cell r="I904" t="str">
            <v>NK CA</v>
          </cell>
          <cell r="J904" t="str">
            <v>CO110</v>
          </cell>
          <cell r="K904">
            <v>1</v>
          </cell>
          <cell r="N904">
            <v>416209.68</v>
          </cell>
          <cell r="P904" t="str">
            <v>X5132AXF</v>
          </cell>
          <cell r="Q904" t="str">
            <v>01Z01061806</v>
          </cell>
          <cell r="R904" t="str">
            <v>CA01</v>
          </cell>
          <cell r="S904">
            <v>507757</v>
          </cell>
        </row>
        <row r="905">
          <cell r="A905">
            <v>966435</v>
          </cell>
          <cell r="B905" t="str">
            <v>CRCO N53-H7    MF1     STD CA</v>
          </cell>
          <cell r="C905">
            <v>0</v>
          </cell>
          <cell r="D905" t="str">
            <v>UN</v>
          </cell>
          <cell r="E905">
            <v>507757</v>
          </cell>
          <cell r="G905">
            <v>10000</v>
          </cell>
          <cell r="H905" t="str">
            <v>NK</v>
          </cell>
          <cell r="I905" t="str">
            <v>NK CA</v>
          </cell>
          <cell r="J905" t="str">
            <v>CO110</v>
          </cell>
          <cell r="K905">
            <v>1</v>
          </cell>
          <cell r="N905">
            <v>416209.68</v>
          </cell>
          <cell r="P905" t="str">
            <v>X5132AXF</v>
          </cell>
          <cell r="Q905" t="str">
            <v>01Z01061806</v>
          </cell>
          <cell r="R905" t="str">
            <v>CA01</v>
          </cell>
          <cell r="S905">
            <v>507757</v>
          </cell>
        </row>
        <row r="906">
          <cell r="A906">
            <v>966435</v>
          </cell>
          <cell r="B906" t="str">
            <v>CRCO N53-H7    MF1     STD CA</v>
          </cell>
          <cell r="C906">
            <v>0</v>
          </cell>
          <cell r="D906" t="str">
            <v>UN</v>
          </cell>
          <cell r="E906">
            <v>507757</v>
          </cell>
          <cell r="G906">
            <v>10000</v>
          </cell>
          <cell r="H906" t="str">
            <v>NK</v>
          </cell>
          <cell r="I906" t="str">
            <v>NK CA</v>
          </cell>
          <cell r="J906" t="str">
            <v>CO110</v>
          </cell>
          <cell r="K906">
            <v>1</v>
          </cell>
          <cell r="N906">
            <v>416209.68</v>
          </cell>
          <cell r="P906" t="str">
            <v>X5132AXF</v>
          </cell>
          <cell r="Q906" t="str">
            <v>01Z01061806</v>
          </cell>
          <cell r="R906" t="str">
            <v>CA01</v>
          </cell>
          <cell r="S906">
            <v>507757</v>
          </cell>
        </row>
        <row r="907">
          <cell r="A907">
            <v>966437</v>
          </cell>
          <cell r="B907" t="str">
            <v>CRCO N53-H7    MF2     STD CA</v>
          </cell>
          <cell r="C907">
            <v>54</v>
          </cell>
          <cell r="D907" t="str">
            <v>UN</v>
          </cell>
          <cell r="E907">
            <v>507757</v>
          </cell>
          <cell r="G907">
            <v>10000</v>
          </cell>
          <cell r="H907" t="str">
            <v>NK</v>
          </cell>
          <cell r="I907" t="str">
            <v>NK CA</v>
          </cell>
          <cell r="J907" t="str">
            <v>CO110</v>
          </cell>
          <cell r="K907">
            <v>1</v>
          </cell>
          <cell r="N907">
            <v>416209.68</v>
          </cell>
          <cell r="P907" t="str">
            <v>X5132AXF</v>
          </cell>
          <cell r="Q907" t="str">
            <v>01Z01061806</v>
          </cell>
          <cell r="R907" t="str">
            <v>CA01</v>
          </cell>
          <cell r="S907">
            <v>507757</v>
          </cell>
        </row>
        <row r="908">
          <cell r="A908">
            <v>966437</v>
          </cell>
          <cell r="B908" t="str">
            <v>CRCO N53-H7    MF2     STD CA</v>
          </cell>
          <cell r="C908">
            <v>54</v>
          </cell>
          <cell r="D908" t="str">
            <v>UN</v>
          </cell>
          <cell r="E908">
            <v>507757</v>
          </cell>
          <cell r="G908">
            <v>10000</v>
          </cell>
          <cell r="H908" t="str">
            <v>NK</v>
          </cell>
          <cell r="I908" t="str">
            <v>NK CA</v>
          </cell>
          <cell r="J908" t="str">
            <v>CO110</v>
          </cell>
          <cell r="K908">
            <v>1</v>
          </cell>
          <cell r="N908">
            <v>416209.68</v>
          </cell>
          <cell r="P908" t="str">
            <v>X5132AXF</v>
          </cell>
          <cell r="Q908" t="str">
            <v>01Z01061806</v>
          </cell>
          <cell r="R908" t="str">
            <v>CA01</v>
          </cell>
          <cell r="S908">
            <v>507757</v>
          </cell>
        </row>
        <row r="909">
          <cell r="A909">
            <v>966441</v>
          </cell>
          <cell r="B909" t="str">
            <v>CRCO N53-H7    MR2     STD CA</v>
          </cell>
          <cell r="C909">
            <v>0</v>
          </cell>
          <cell r="D909" t="str">
            <v>UN</v>
          </cell>
          <cell r="E909">
            <v>507757</v>
          </cell>
          <cell r="G909">
            <v>10000</v>
          </cell>
          <cell r="H909" t="str">
            <v>NK</v>
          </cell>
          <cell r="I909" t="str">
            <v>NK CA</v>
          </cell>
          <cell r="J909" t="str">
            <v>CO110</v>
          </cell>
          <cell r="K909">
            <v>1</v>
          </cell>
          <cell r="N909">
            <v>416209.68</v>
          </cell>
          <cell r="P909" t="str">
            <v>X5132AXF</v>
          </cell>
          <cell r="Q909" t="str">
            <v>01Z01061806</v>
          </cell>
          <cell r="R909" t="str">
            <v>CA01</v>
          </cell>
          <cell r="S909">
            <v>507757</v>
          </cell>
        </row>
        <row r="910">
          <cell r="A910">
            <v>966441</v>
          </cell>
          <cell r="B910" t="str">
            <v>CRCO N53-H7    MR2     STD CA</v>
          </cell>
          <cell r="C910">
            <v>0</v>
          </cell>
          <cell r="D910" t="str">
            <v>UN</v>
          </cell>
          <cell r="E910">
            <v>507757</v>
          </cell>
          <cell r="G910">
            <v>10000</v>
          </cell>
          <cell r="H910" t="str">
            <v>NK</v>
          </cell>
          <cell r="I910" t="str">
            <v>NK CA</v>
          </cell>
          <cell r="J910" t="str">
            <v>CO110</v>
          </cell>
          <cell r="K910">
            <v>1</v>
          </cell>
          <cell r="N910">
            <v>416209.68</v>
          </cell>
          <cell r="P910" t="str">
            <v>X5132AXF</v>
          </cell>
          <cell r="Q910" t="str">
            <v>01Z01061806</v>
          </cell>
          <cell r="R910" t="str">
            <v>CA01</v>
          </cell>
          <cell r="S910">
            <v>507757</v>
          </cell>
        </row>
        <row r="911">
          <cell r="A911">
            <v>968229</v>
          </cell>
          <cell r="B911" t="str">
            <v>CRCO N14D-CB/LL    MF1     SPC CA</v>
          </cell>
          <cell r="C911">
            <v>2161</v>
          </cell>
          <cell r="D911" t="str">
            <v>UN</v>
          </cell>
          <cell r="E911">
            <v>5534</v>
          </cell>
          <cell r="G911">
            <v>100</v>
          </cell>
          <cell r="H911" t="str">
            <v>NK</v>
          </cell>
          <cell r="I911" t="str">
            <v>NK CA</v>
          </cell>
          <cell r="J911" t="str">
            <v>CO110</v>
          </cell>
          <cell r="K911">
            <v>1</v>
          </cell>
          <cell r="N911">
            <v>4751.12</v>
          </cell>
          <cell r="P911" t="str">
            <v>X17925BB</v>
          </cell>
          <cell r="Q911" t="str">
            <v>01Z010106AV</v>
          </cell>
          <cell r="R911" t="str">
            <v>CA01</v>
          </cell>
          <cell r="S911">
            <v>5534</v>
          </cell>
        </row>
        <row r="912">
          <cell r="A912">
            <v>968229</v>
          </cell>
          <cell r="B912" t="str">
            <v>CRCO N14D-CB/LL    MF1     SPC CA</v>
          </cell>
          <cell r="C912">
            <v>2161</v>
          </cell>
          <cell r="D912" t="str">
            <v>UN</v>
          </cell>
          <cell r="E912">
            <v>5534</v>
          </cell>
          <cell r="G912">
            <v>100</v>
          </cell>
          <cell r="H912" t="str">
            <v>NK</v>
          </cell>
          <cell r="I912" t="str">
            <v>NK CA</v>
          </cell>
          <cell r="J912" t="str">
            <v>CO110</v>
          </cell>
          <cell r="K912">
            <v>1</v>
          </cell>
          <cell r="N912">
            <v>4751.12</v>
          </cell>
          <cell r="P912" t="str">
            <v>X17925BB</v>
          </cell>
          <cell r="Q912" t="str">
            <v>01Z010106AV</v>
          </cell>
          <cell r="R912" t="str">
            <v>CA01</v>
          </cell>
          <cell r="S912">
            <v>5534</v>
          </cell>
        </row>
        <row r="913">
          <cell r="A913">
            <v>968241</v>
          </cell>
          <cell r="B913" t="str">
            <v>CRCO N14D-CB/LL    MR2     SPC CA</v>
          </cell>
          <cell r="C913">
            <v>11</v>
          </cell>
          <cell r="D913" t="str">
            <v>UN</v>
          </cell>
          <cell r="E913">
            <v>5534</v>
          </cell>
          <cell r="G913">
            <v>100</v>
          </cell>
          <cell r="H913" t="str">
            <v>NK</v>
          </cell>
          <cell r="I913" t="str">
            <v>NK CA</v>
          </cell>
          <cell r="J913" t="str">
            <v>CO110</v>
          </cell>
          <cell r="K913">
            <v>1</v>
          </cell>
          <cell r="N913">
            <v>4751.12</v>
          </cell>
          <cell r="P913" t="str">
            <v>X17925BB</v>
          </cell>
          <cell r="Q913" t="str">
            <v>01Z010106AV</v>
          </cell>
          <cell r="R913" t="str">
            <v>CA01</v>
          </cell>
          <cell r="S913">
            <v>5534</v>
          </cell>
        </row>
        <row r="914">
          <cell r="A914">
            <v>968241</v>
          </cell>
          <cell r="B914" t="str">
            <v>CRCO N14D-CB/LL    MR2     SPC CA</v>
          </cell>
          <cell r="C914">
            <v>11</v>
          </cell>
          <cell r="D914" t="str">
            <v>UN</v>
          </cell>
          <cell r="E914">
            <v>5534</v>
          </cell>
          <cell r="G914">
            <v>100</v>
          </cell>
          <cell r="H914" t="str">
            <v>NK</v>
          </cell>
          <cell r="I914" t="str">
            <v>NK CA</v>
          </cell>
          <cell r="J914" t="str">
            <v>CO110</v>
          </cell>
          <cell r="K914">
            <v>1</v>
          </cell>
          <cell r="N914">
            <v>4751.12</v>
          </cell>
          <cell r="P914" t="str">
            <v>X17925BB</v>
          </cell>
          <cell r="Q914" t="str">
            <v>01Z010106AV</v>
          </cell>
          <cell r="R914" t="str">
            <v>CA01</v>
          </cell>
          <cell r="S914">
            <v>5534</v>
          </cell>
        </row>
        <row r="915">
          <cell r="A915">
            <v>968269</v>
          </cell>
          <cell r="B915" t="str">
            <v>CRCO N16M-GT/CB/LL    MF1     STD CA</v>
          </cell>
          <cell r="C915">
            <v>0</v>
          </cell>
          <cell r="D915" t="str">
            <v>UN</v>
          </cell>
          <cell r="E915">
            <v>4789.16</v>
          </cell>
          <cell r="G915">
            <v>100</v>
          </cell>
          <cell r="H915" t="str">
            <v>NK</v>
          </cell>
          <cell r="I915" t="str">
            <v>NK CA</v>
          </cell>
          <cell r="J915" t="str">
            <v>CO110</v>
          </cell>
          <cell r="K915">
            <v>1</v>
          </cell>
          <cell r="N915">
            <v>3897.7</v>
          </cell>
          <cell r="P915" t="str">
            <v>X1617AYT</v>
          </cell>
          <cell r="Q915" t="str">
            <v>01Z01011601</v>
          </cell>
          <cell r="R915" t="str">
            <v>CA01</v>
          </cell>
          <cell r="S915">
            <v>4789.16</v>
          </cell>
        </row>
        <row r="916">
          <cell r="A916">
            <v>968269</v>
          </cell>
          <cell r="B916" t="str">
            <v>CRCO N16M-GT/CB/LL    MF1     STD CA</v>
          </cell>
          <cell r="C916">
            <v>0</v>
          </cell>
          <cell r="D916" t="str">
            <v>UN</v>
          </cell>
          <cell r="E916">
            <v>4789.16</v>
          </cell>
          <cell r="G916">
            <v>100</v>
          </cell>
          <cell r="H916" t="str">
            <v>NK</v>
          </cell>
          <cell r="I916" t="str">
            <v>NK CA</v>
          </cell>
          <cell r="J916" t="str">
            <v>CO110</v>
          </cell>
          <cell r="K916">
            <v>1</v>
          </cell>
          <cell r="N916">
            <v>3897.7</v>
          </cell>
          <cell r="P916" t="str">
            <v>X1617AYT</v>
          </cell>
          <cell r="Q916" t="str">
            <v>01Z01011601</v>
          </cell>
          <cell r="R916" t="str">
            <v>CA01</v>
          </cell>
          <cell r="S916">
            <v>4789.16</v>
          </cell>
        </row>
        <row r="917">
          <cell r="A917">
            <v>968271</v>
          </cell>
          <cell r="B917" t="str">
            <v>CRCO N16M-GT/CB/LL    MF1     SPC CA</v>
          </cell>
          <cell r="C917">
            <v>1105</v>
          </cell>
          <cell r="D917" t="str">
            <v>UN</v>
          </cell>
          <cell r="E917">
            <v>5491.1</v>
          </cell>
          <cell r="G917">
            <v>100</v>
          </cell>
          <cell r="H917" t="str">
            <v>NK</v>
          </cell>
          <cell r="I917" t="str">
            <v>NK CA</v>
          </cell>
          <cell r="J917" t="str">
            <v>CO110</v>
          </cell>
          <cell r="K917">
            <v>1</v>
          </cell>
          <cell r="N917">
            <v>4749.8999999999996</v>
          </cell>
          <cell r="P917" t="str">
            <v>X1617AYT</v>
          </cell>
          <cell r="Q917" t="str">
            <v>01Z01011601</v>
          </cell>
          <cell r="R917" t="str">
            <v>CA01</v>
          </cell>
          <cell r="S917">
            <v>5491.1</v>
          </cell>
        </row>
        <row r="918">
          <cell r="A918">
            <v>968271</v>
          </cell>
          <cell r="B918" t="str">
            <v>CRCO N16M-GT/CB/LL    MF1     SPC CA</v>
          </cell>
          <cell r="C918">
            <v>1105</v>
          </cell>
          <cell r="D918" t="str">
            <v>UN</v>
          </cell>
          <cell r="E918">
            <v>5491.1</v>
          </cell>
          <cell r="G918">
            <v>100</v>
          </cell>
          <cell r="H918" t="str">
            <v>NK</v>
          </cell>
          <cell r="I918" t="str">
            <v>NK CA</v>
          </cell>
          <cell r="J918" t="str">
            <v>CO110</v>
          </cell>
          <cell r="K918">
            <v>1</v>
          </cell>
          <cell r="N918">
            <v>4749.8999999999996</v>
          </cell>
          <cell r="P918" t="str">
            <v>X1617AYT</v>
          </cell>
          <cell r="Q918" t="str">
            <v>01Z01011601</v>
          </cell>
          <cell r="R918" t="str">
            <v>CA01</v>
          </cell>
          <cell r="S918">
            <v>5491.1</v>
          </cell>
        </row>
        <row r="919">
          <cell r="A919">
            <v>968273</v>
          </cell>
          <cell r="B919" t="str">
            <v>CRCO N16M-GT/CB/LL    MF2     STD CA</v>
          </cell>
          <cell r="C919">
            <v>5</v>
          </cell>
          <cell r="D919" t="str">
            <v>UN</v>
          </cell>
          <cell r="E919">
            <v>4789.16</v>
          </cell>
          <cell r="G919">
            <v>100</v>
          </cell>
          <cell r="H919" t="str">
            <v>NK</v>
          </cell>
          <cell r="I919" t="str">
            <v>NK CA</v>
          </cell>
          <cell r="J919" t="str">
            <v>CO110</v>
          </cell>
          <cell r="K919">
            <v>1</v>
          </cell>
          <cell r="N919">
            <v>3897.7</v>
          </cell>
          <cell r="P919" t="str">
            <v>X1617AYT</v>
          </cell>
          <cell r="Q919" t="str">
            <v>01Z01011601</v>
          </cell>
          <cell r="R919" t="str">
            <v>CA01</v>
          </cell>
          <cell r="S919">
            <v>4789.16</v>
          </cell>
        </row>
        <row r="920">
          <cell r="A920">
            <v>968273</v>
          </cell>
          <cell r="B920" t="str">
            <v>CRCO N16M-GT/CB/LL    MF2     STD CA</v>
          </cell>
          <cell r="C920">
            <v>5</v>
          </cell>
          <cell r="D920" t="str">
            <v>UN</v>
          </cell>
          <cell r="E920">
            <v>4789.16</v>
          </cell>
          <cell r="G920">
            <v>100</v>
          </cell>
          <cell r="H920" t="str">
            <v>NK</v>
          </cell>
          <cell r="I920" t="str">
            <v>NK CA</v>
          </cell>
          <cell r="J920" t="str">
            <v>CO110</v>
          </cell>
          <cell r="K920">
            <v>1</v>
          </cell>
          <cell r="N920">
            <v>3897.7</v>
          </cell>
          <cell r="P920" t="str">
            <v>X1617AYT</v>
          </cell>
          <cell r="Q920" t="str">
            <v>01Z01011601</v>
          </cell>
          <cell r="R920" t="str">
            <v>CA01</v>
          </cell>
          <cell r="S920">
            <v>4789.16</v>
          </cell>
        </row>
        <row r="921">
          <cell r="A921">
            <v>968275</v>
          </cell>
          <cell r="B921" t="str">
            <v>CRCO N16M-GT/CB/LL    MF2     SPC CA</v>
          </cell>
          <cell r="C921">
            <v>250</v>
          </cell>
          <cell r="D921" t="str">
            <v>UN</v>
          </cell>
          <cell r="E921">
            <v>5491.1</v>
          </cell>
          <cell r="G921">
            <v>100</v>
          </cell>
          <cell r="H921" t="str">
            <v>NK</v>
          </cell>
          <cell r="I921" t="str">
            <v>NK CA</v>
          </cell>
          <cell r="J921" t="str">
            <v>CO110</v>
          </cell>
          <cell r="K921">
            <v>1</v>
          </cell>
          <cell r="N921">
            <v>4749.8999999999996</v>
          </cell>
          <cell r="P921" t="str">
            <v>X1617AYT</v>
          </cell>
          <cell r="Q921" t="str">
            <v>01Z01011601</v>
          </cell>
          <cell r="R921" t="str">
            <v>CA01</v>
          </cell>
          <cell r="S921">
            <v>5491.1</v>
          </cell>
        </row>
        <row r="922">
          <cell r="A922">
            <v>968275</v>
          </cell>
          <cell r="B922" t="str">
            <v>CRCO N16M-GT/CB/LL    MF2     SPC CA</v>
          </cell>
          <cell r="C922">
            <v>250</v>
          </cell>
          <cell r="D922" t="str">
            <v>UN</v>
          </cell>
          <cell r="E922">
            <v>5491.1</v>
          </cell>
          <cell r="G922">
            <v>100</v>
          </cell>
          <cell r="H922" t="str">
            <v>NK</v>
          </cell>
          <cell r="I922" t="str">
            <v>NK CA</v>
          </cell>
          <cell r="J922" t="str">
            <v>CO110</v>
          </cell>
          <cell r="K922">
            <v>1</v>
          </cell>
          <cell r="N922">
            <v>4749.8999999999996</v>
          </cell>
          <cell r="P922" t="str">
            <v>X1617AYT</v>
          </cell>
          <cell r="Q922" t="str">
            <v>01Z01011601</v>
          </cell>
          <cell r="R922" t="str">
            <v>CA01</v>
          </cell>
          <cell r="S922">
            <v>5491.1</v>
          </cell>
        </row>
        <row r="923">
          <cell r="A923">
            <v>968279</v>
          </cell>
          <cell r="B923" t="str">
            <v>CRCO N16M-GT/CB/LL    MR1     SPC CA</v>
          </cell>
          <cell r="C923">
            <v>723</v>
          </cell>
          <cell r="D923" t="str">
            <v>UN</v>
          </cell>
          <cell r="E923">
            <v>4789.16</v>
          </cell>
          <cell r="G923">
            <v>100</v>
          </cell>
          <cell r="H923" t="str">
            <v>NK</v>
          </cell>
          <cell r="I923" t="str">
            <v>NK CA</v>
          </cell>
          <cell r="J923" t="str">
            <v>CO110</v>
          </cell>
          <cell r="K923">
            <v>1</v>
          </cell>
          <cell r="N923">
            <v>4749.8999999999996</v>
          </cell>
          <cell r="P923" t="str">
            <v>X1617AYT</v>
          </cell>
          <cell r="Q923" t="str">
            <v>01Z01011601</v>
          </cell>
          <cell r="R923" t="str">
            <v>CA01</v>
          </cell>
          <cell r="S923">
            <v>4789.16</v>
          </cell>
        </row>
        <row r="924">
          <cell r="A924">
            <v>968279</v>
          </cell>
          <cell r="B924" t="str">
            <v>CRCO N16M-GT/CB/LL    MR1     SPC CA</v>
          </cell>
          <cell r="C924">
            <v>723</v>
          </cell>
          <cell r="D924" t="str">
            <v>UN</v>
          </cell>
          <cell r="E924">
            <v>4789.16</v>
          </cell>
          <cell r="G924">
            <v>100</v>
          </cell>
          <cell r="H924" t="str">
            <v>NK</v>
          </cell>
          <cell r="I924" t="str">
            <v>NK CA</v>
          </cell>
          <cell r="J924" t="str">
            <v>CO110</v>
          </cell>
          <cell r="K924">
            <v>1</v>
          </cell>
          <cell r="N924">
            <v>4749.8999999999996</v>
          </cell>
          <cell r="P924" t="str">
            <v>X1617AYT</v>
          </cell>
          <cell r="Q924" t="str">
            <v>01Z01011601</v>
          </cell>
          <cell r="R924" t="str">
            <v>CA01</v>
          </cell>
          <cell r="S924">
            <v>4789.16</v>
          </cell>
        </row>
        <row r="925">
          <cell r="A925">
            <v>968281</v>
          </cell>
          <cell r="B925" t="str">
            <v>CRCO N16M-GT/CB/LL    MR2     STD CA</v>
          </cell>
          <cell r="C925">
            <v>17</v>
          </cell>
          <cell r="D925" t="str">
            <v>UN</v>
          </cell>
          <cell r="E925">
            <v>4789.16</v>
          </cell>
          <cell r="G925">
            <v>100</v>
          </cell>
          <cell r="H925" t="str">
            <v>NK</v>
          </cell>
          <cell r="I925" t="str">
            <v>NK CA</v>
          </cell>
          <cell r="J925" t="str">
            <v>CO110</v>
          </cell>
          <cell r="K925">
            <v>1</v>
          </cell>
          <cell r="N925">
            <v>3897.7</v>
          </cell>
          <cell r="P925" t="str">
            <v>X1617AYT</v>
          </cell>
          <cell r="Q925" t="str">
            <v>01Z01011601</v>
          </cell>
          <cell r="R925" t="str">
            <v>CA01</v>
          </cell>
          <cell r="S925">
            <v>4789.16</v>
          </cell>
        </row>
        <row r="926">
          <cell r="A926">
            <v>968281</v>
          </cell>
          <cell r="B926" t="str">
            <v>CRCO N16M-GT/CB/LL    MR2     STD CA</v>
          </cell>
          <cell r="C926">
            <v>17</v>
          </cell>
          <cell r="D926" t="str">
            <v>UN</v>
          </cell>
          <cell r="E926">
            <v>4789.16</v>
          </cell>
          <cell r="G926">
            <v>100</v>
          </cell>
          <cell r="H926" t="str">
            <v>NK</v>
          </cell>
          <cell r="I926" t="str">
            <v>NK CA</v>
          </cell>
          <cell r="J926" t="str">
            <v>CO110</v>
          </cell>
          <cell r="K926">
            <v>1</v>
          </cell>
          <cell r="N926">
            <v>3897.7</v>
          </cell>
          <cell r="P926" t="str">
            <v>X1617AYT</v>
          </cell>
          <cell r="Q926" t="str">
            <v>01Z01011601</v>
          </cell>
          <cell r="R926" t="str">
            <v>CA01</v>
          </cell>
          <cell r="S926">
            <v>4789.16</v>
          </cell>
        </row>
        <row r="927">
          <cell r="A927">
            <v>968283</v>
          </cell>
          <cell r="B927" t="str">
            <v>CRCO N16M-GT/CB/LL    MR2     SPC CA</v>
          </cell>
          <cell r="C927">
            <v>526</v>
          </cell>
          <cell r="D927" t="str">
            <v>UN</v>
          </cell>
          <cell r="E927">
            <v>5491.1</v>
          </cell>
          <cell r="G927">
            <v>100</v>
          </cell>
          <cell r="H927" t="str">
            <v>NK</v>
          </cell>
          <cell r="I927" t="str">
            <v>NK CA</v>
          </cell>
          <cell r="J927" t="str">
            <v>CO110</v>
          </cell>
          <cell r="K927">
            <v>1</v>
          </cell>
          <cell r="N927">
            <v>4749.8999999999996</v>
          </cell>
          <cell r="P927" t="str">
            <v>X1617AYT</v>
          </cell>
          <cell r="Q927" t="str">
            <v>01Z01011601</v>
          </cell>
          <cell r="R927" t="str">
            <v>CA01</v>
          </cell>
          <cell r="S927">
            <v>5491.1</v>
          </cell>
        </row>
        <row r="928">
          <cell r="A928">
            <v>968283</v>
          </cell>
          <cell r="B928" t="str">
            <v>CRCO N16M-GT/CB/LL    MR2     SPC CA</v>
          </cell>
          <cell r="C928">
            <v>526</v>
          </cell>
          <cell r="D928" t="str">
            <v>UN</v>
          </cell>
          <cell r="E928">
            <v>5491.1</v>
          </cell>
          <cell r="G928">
            <v>100</v>
          </cell>
          <cell r="H928" t="str">
            <v>NK</v>
          </cell>
          <cell r="I928" t="str">
            <v>NK CA</v>
          </cell>
          <cell r="J928" t="str">
            <v>CO110</v>
          </cell>
          <cell r="K928">
            <v>1</v>
          </cell>
          <cell r="N928">
            <v>4749.8999999999996</v>
          </cell>
          <cell r="P928" t="str">
            <v>X1617AYT</v>
          </cell>
          <cell r="Q928" t="str">
            <v>01Z01011601</v>
          </cell>
          <cell r="R928" t="str">
            <v>CA01</v>
          </cell>
          <cell r="S928">
            <v>5491.1</v>
          </cell>
        </row>
        <row r="929">
          <cell r="A929">
            <v>968311</v>
          </cell>
          <cell r="B929" t="str">
            <v>CRCO N25N-GT    MF1     STD CA</v>
          </cell>
          <cell r="C929">
            <v>626</v>
          </cell>
          <cell r="D929" t="str">
            <v>UN</v>
          </cell>
          <cell r="E929">
            <v>4789</v>
          </cell>
          <cell r="G929">
            <v>100</v>
          </cell>
          <cell r="H929" t="str">
            <v>NK</v>
          </cell>
          <cell r="I929" t="str">
            <v>NK CA</v>
          </cell>
          <cell r="J929" t="str">
            <v>CO110</v>
          </cell>
          <cell r="K929">
            <v>1</v>
          </cell>
          <cell r="N929">
            <v>3898.72</v>
          </cell>
          <cell r="P929" t="str">
            <v>X22145GB</v>
          </cell>
          <cell r="Q929" t="str">
            <v>01Z010215AC</v>
          </cell>
          <cell r="R929" t="str">
            <v>CA01</v>
          </cell>
          <cell r="S929">
            <v>4789</v>
          </cell>
        </row>
        <row r="930">
          <cell r="A930">
            <v>968311</v>
          </cell>
          <cell r="B930" t="str">
            <v>CRCO N25N-GT    MF1     STD CA</v>
          </cell>
          <cell r="C930">
            <v>626</v>
          </cell>
          <cell r="D930" t="str">
            <v>UN</v>
          </cell>
          <cell r="E930">
            <v>4789</v>
          </cell>
          <cell r="G930">
            <v>100</v>
          </cell>
          <cell r="H930" t="str">
            <v>NK</v>
          </cell>
          <cell r="I930" t="str">
            <v>NK CA</v>
          </cell>
          <cell r="J930" t="str">
            <v>CO110</v>
          </cell>
          <cell r="K930">
            <v>1</v>
          </cell>
          <cell r="N930">
            <v>3898.72</v>
          </cell>
          <cell r="P930" t="str">
            <v>X22145GB</v>
          </cell>
          <cell r="Q930" t="str">
            <v>01Z010215AC</v>
          </cell>
          <cell r="R930" t="str">
            <v>CA01</v>
          </cell>
          <cell r="S930">
            <v>4789</v>
          </cell>
        </row>
        <row r="931">
          <cell r="A931">
            <v>968313</v>
          </cell>
          <cell r="B931" t="str">
            <v>CRCO N25N-GT    MF1     SPC CA</v>
          </cell>
          <cell r="C931">
            <v>1644</v>
          </cell>
          <cell r="D931" t="str">
            <v>UN</v>
          </cell>
          <cell r="E931">
            <v>5533</v>
          </cell>
          <cell r="G931">
            <v>100</v>
          </cell>
          <cell r="H931" t="str">
            <v>NK</v>
          </cell>
          <cell r="I931" t="str">
            <v>NK CA</v>
          </cell>
          <cell r="J931" t="str">
            <v>CO110</v>
          </cell>
          <cell r="K931">
            <v>1</v>
          </cell>
          <cell r="N931">
            <v>4750.91</v>
          </cell>
          <cell r="P931" t="str">
            <v>X22145GB</v>
          </cell>
          <cell r="Q931" t="str">
            <v>01Z010215AC</v>
          </cell>
          <cell r="R931" t="str">
            <v>CA01</v>
          </cell>
          <cell r="S931">
            <v>5533</v>
          </cell>
        </row>
        <row r="932">
          <cell r="A932">
            <v>968313</v>
          </cell>
          <cell r="B932" t="str">
            <v>CRCO N25N-GT    MF1     SPC CA</v>
          </cell>
          <cell r="C932">
            <v>1644</v>
          </cell>
          <cell r="D932" t="str">
            <v>UN</v>
          </cell>
          <cell r="E932">
            <v>5533</v>
          </cell>
          <cell r="G932">
            <v>100</v>
          </cell>
          <cell r="H932" t="str">
            <v>NK</v>
          </cell>
          <cell r="I932" t="str">
            <v>NK CA</v>
          </cell>
          <cell r="J932" t="str">
            <v>CO110</v>
          </cell>
          <cell r="K932">
            <v>1</v>
          </cell>
          <cell r="N932">
            <v>4750.91</v>
          </cell>
          <cell r="P932" t="str">
            <v>X22145GB</v>
          </cell>
          <cell r="Q932" t="str">
            <v>01Z010215AC</v>
          </cell>
          <cell r="R932" t="str">
            <v>CA01</v>
          </cell>
          <cell r="S932">
            <v>5533</v>
          </cell>
        </row>
        <row r="933">
          <cell r="A933">
            <v>968321</v>
          </cell>
          <cell r="B933" t="str">
            <v>CRCO N25N-GT    MR1     SPC CA</v>
          </cell>
          <cell r="C933">
            <v>2287</v>
          </cell>
          <cell r="D933" t="str">
            <v>UN</v>
          </cell>
          <cell r="E933">
            <v>5533</v>
          </cell>
          <cell r="G933">
            <v>100</v>
          </cell>
          <cell r="H933" t="str">
            <v>NK</v>
          </cell>
          <cell r="I933" t="str">
            <v>NK CA</v>
          </cell>
          <cell r="J933" t="str">
            <v>CO110</v>
          </cell>
          <cell r="K933">
            <v>1</v>
          </cell>
          <cell r="N933">
            <v>4750.91</v>
          </cell>
          <cell r="P933" t="str">
            <v>X22145GB</v>
          </cell>
          <cell r="Q933" t="str">
            <v>01Z010215AC</v>
          </cell>
          <cell r="R933" t="str">
            <v>CA01</v>
          </cell>
          <cell r="S933">
            <v>5533</v>
          </cell>
        </row>
        <row r="934">
          <cell r="A934">
            <v>968321</v>
          </cell>
          <cell r="B934" t="str">
            <v>CRCO N25N-GT    MR1     SPC CA</v>
          </cell>
          <cell r="C934">
            <v>2287</v>
          </cell>
          <cell r="D934" t="str">
            <v>UN</v>
          </cell>
          <cell r="E934">
            <v>5533</v>
          </cell>
          <cell r="G934">
            <v>100</v>
          </cell>
          <cell r="H934" t="str">
            <v>NK</v>
          </cell>
          <cell r="I934" t="str">
            <v>NK CA</v>
          </cell>
          <cell r="J934" t="str">
            <v>CO110</v>
          </cell>
          <cell r="K934">
            <v>1</v>
          </cell>
          <cell r="N934">
            <v>4750.91</v>
          </cell>
          <cell r="P934" t="str">
            <v>X22145GB</v>
          </cell>
          <cell r="Q934" t="str">
            <v>01Z010215AC</v>
          </cell>
          <cell r="R934" t="str">
            <v>CA01</v>
          </cell>
          <cell r="S934">
            <v>5533</v>
          </cell>
        </row>
        <row r="935">
          <cell r="A935">
            <v>968323</v>
          </cell>
          <cell r="B935" t="str">
            <v>CRCO N25N-GT    MR2     STD CA</v>
          </cell>
          <cell r="C935">
            <v>11</v>
          </cell>
          <cell r="D935" t="str">
            <v>UN</v>
          </cell>
          <cell r="E935">
            <v>4789</v>
          </cell>
          <cell r="G935">
            <v>100</v>
          </cell>
          <cell r="H935" t="str">
            <v>NK</v>
          </cell>
          <cell r="I935" t="str">
            <v>NK CA</v>
          </cell>
          <cell r="J935" t="str">
            <v>CO110</v>
          </cell>
          <cell r="K935">
            <v>1</v>
          </cell>
          <cell r="N935">
            <v>3898.72</v>
          </cell>
          <cell r="P935" t="str">
            <v>X22145GB</v>
          </cell>
          <cell r="Q935" t="str">
            <v>01Z010215AC</v>
          </cell>
          <cell r="R935" t="str">
            <v>CA01</v>
          </cell>
          <cell r="S935">
            <v>4789</v>
          </cell>
        </row>
        <row r="936">
          <cell r="A936">
            <v>968323</v>
          </cell>
          <cell r="B936" t="str">
            <v>CRCO N25N-GT    MR2     STD CA</v>
          </cell>
          <cell r="C936">
            <v>11</v>
          </cell>
          <cell r="D936" t="str">
            <v>UN</v>
          </cell>
          <cell r="E936">
            <v>4789</v>
          </cell>
          <cell r="G936">
            <v>100</v>
          </cell>
          <cell r="H936" t="str">
            <v>NK</v>
          </cell>
          <cell r="I936" t="str">
            <v>NK CA</v>
          </cell>
          <cell r="J936" t="str">
            <v>CO110</v>
          </cell>
          <cell r="K936">
            <v>1</v>
          </cell>
          <cell r="N936">
            <v>3898.72</v>
          </cell>
          <cell r="P936" t="str">
            <v>X22145GB</v>
          </cell>
          <cell r="Q936" t="str">
            <v>01Z010215AC</v>
          </cell>
          <cell r="R936" t="str">
            <v>CA01</v>
          </cell>
          <cell r="S936">
            <v>4789</v>
          </cell>
        </row>
        <row r="937">
          <cell r="A937">
            <v>968325</v>
          </cell>
          <cell r="B937" t="str">
            <v>CRCO N25N-GT    MR2     SPC CA</v>
          </cell>
          <cell r="C937">
            <v>3</v>
          </cell>
          <cell r="D937" t="str">
            <v>UN</v>
          </cell>
          <cell r="E937">
            <v>5533</v>
          </cell>
          <cell r="G937">
            <v>100</v>
          </cell>
          <cell r="H937" t="str">
            <v>NK</v>
          </cell>
          <cell r="I937" t="str">
            <v>NK CA</v>
          </cell>
          <cell r="J937" t="str">
            <v>CO110</v>
          </cell>
          <cell r="K937">
            <v>1</v>
          </cell>
          <cell r="N937">
            <v>4750.91</v>
          </cell>
          <cell r="P937" t="str">
            <v>X22145GB</v>
          </cell>
          <cell r="Q937" t="str">
            <v>01Z010215AC</v>
          </cell>
          <cell r="R937" t="str">
            <v>CA01</v>
          </cell>
          <cell r="S937">
            <v>5533</v>
          </cell>
        </row>
        <row r="938">
          <cell r="A938">
            <v>968325</v>
          </cell>
          <cell r="B938" t="str">
            <v>CRCO N25N-GT    MR2     SPC CA</v>
          </cell>
          <cell r="C938">
            <v>3</v>
          </cell>
          <cell r="D938" t="str">
            <v>UN</v>
          </cell>
          <cell r="E938">
            <v>5533</v>
          </cell>
          <cell r="G938">
            <v>100</v>
          </cell>
          <cell r="H938" t="str">
            <v>NK</v>
          </cell>
          <cell r="I938" t="str">
            <v>NK CA</v>
          </cell>
          <cell r="J938" t="str">
            <v>CO110</v>
          </cell>
          <cell r="K938">
            <v>1</v>
          </cell>
          <cell r="N938">
            <v>4750.91</v>
          </cell>
          <cell r="P938" t="str">
            <v>X22145GB</v>
          </cell>
          <cell r="Q938" t="str">
            <v>01Z010215AC</v>
          </cell>
          <cell r="R938" t="str">
            <v>CA01</v>
          </cell>
          <cell r="S938">
            <v>5533</v>
          </cell>
        </row>
        <row r="939">
          <cell r="A939">
            <v>968329</v>
          </cell>
          <cell r="B939" t="str">
            <v>CRCO N25N-GT    SF90    SPC CA</v>
          </cell>
          <cell r="C939">
            <v>351</v>
          </cell>
          <cell r="D939" t="str">
            <v>UN</v>
          </cell>
          <cell r="E939">
            <v>5533</v>
          </cell>
          <cell r="G939">
            <v>100</v>
          </cell>
          <cell r="H939" t="str">
            <v>NK</v>
          </cell>
          <cell r="I939" t="str">
            <v>NK CA</v>
          </cell>
          <cell r="J939" t="str">
            <v>CO110</v>
          </cell>
          <cell r="K939">
            <v>1</v>
          </cell>
          <cell r="N939">
            <v>4750.91</v>
          </cell>
          <cell r="P939" t="str">
            <v>X22145GB</v>
          </cell>
          <cell r="Q939" t="str">
            <v>01Z010215AC</v>
          </cell>
          <cell r="R939" t="str">
            <v>CA01</v>
          </cell>
          <cell r="S939">
            <v>5533</v>
          </cell>
        </row>
        <row r="940">
          <cell r="A940">
            <v>968329</v>
          </cell>
          <cell r="B940" t="str">
            <v>CRCO N25N-GT    SF90    SPC CA</v>
          </cell>
          <cell r="C940">
            <v>351</v>
          </cell>
          <cell r="D940" t="str">
            <v>UN</v>
          </cell>
          <cell r="E940">
            <v>5533</v>
          </cell>
          <cell r="G940">
            <v>100</v>
          </cell>
          <cell r="H940" t="str">
            <v>NK</v>
          </cell>
          <cell r="I940" t="str">
            <v>NK CA</v>
          </cell>
          <cell r="J940" t="str">
            <v>CO110</v>
          </cell>
          <cell r="K940">
            <v>1</v>
          </cell>
          <cell r="N940">
            <v>4750.91</v>
          </cell>
          <cell r="P940" t="str">
            <v>X22145GB</v>
          </cell>
          <cell r="Q940" t="str">
            <v>01Z010215AC</v>
          </cell>
          <cell r="R940" t="str">
            <v>CA01</v>
          </cell>
          <cell r="S940">
            <v>5533</v>
          </cell>
        </row>
        <row r="941">
          <cell r="A941">
            <v>968363</v>
          </cell>
          <cell r="B941" t="str">
            <v>CRCO N25N-GT/CB/LL    MR1     SPC CA</v>
          </cell>
          <cell r="C941">
            <v>798</v>
          </cell>
          <cell r="D941" t="str">
            <v>UN</v>
          </cell>
          <cell r="E941">
            <v>5329.49</v>
          </cell>
          <cell r="G941">
            <v>100</v>
          </cell>
          <cell r="H941" t="str">
            <v>NK</v>
          </cell>
          <cell r="I941" t="str">
            <v>NK CA</v>
          </cell>
          <cell r="J941" t="str">
            <v>CO110</v>
          </cell>
          <cell r="K941">
            <v>1</v>
          </cell>
          <cell r="N941">
            <v>5223.5</v>
          </cell>
          <cell r="P941" t="str">
            <v>X22145YT</v>
          </cell>
          <cell r="Q941" t="str">
            <v>01Z010216AD</v>
          </cell>
          <cell r="R941" t="str">
            <v>CA01</v>
          </cell>
          <cell r="S941">
            <v>5329.49</v>
          </cell>
        </row>
        <row r="942">
          <cell r="A942">
            <v>968363</v>
          </cell>
          <cell r="B942" t="str">
            <v>CRCO N25N-GT/CB/LL    MR1     SPC CA</v>
          </cell>
          <cell r="C942">
            <v>798</v>
          </cell>
          <cell r="D942" t="str">
            <v>UN</v>
          </cell>
          <cell r="E942">
            <v>5329.49</v>
          </cell>
          <cell r="G942">
            <v>100</v>
          </cell>
          <cell r="H942" t="str">
            <v>NK</v>
          </cell>
          <cell r="I942" t="str">
            <v>NK CA</v>
          </cell>
          <cell r="J942" t="str">
            <v>CO110</v>
          </cell>
          <cell r="K942">
            <v>1</v>
          </cell>
          <cell r="N942">
            <v>5223.5</v>
          </cell>
          <cell r="P942" t="str">
            <v>X22145YT</v>
          </cell>
          <cell r="Q942" t="str">
            <v>01Z010216AD</v>
          </cell>
          <cell r="R942" t="str">
            <v>CA01</v>
          </cell>
          <cell r="S942">
            <v>5329.49</v>
          </cell>
        </row>
        <row r="943">
          <cell r="A943">
            <v>968369</v>
          </cell>
          <cell r="B943" t="str">
            <v>CRCO N25N-GT/CB/LL    SF90    STD CA</v>
          </cell>
          <cell r="C943">
            <v>24</v>
          </cell>
          <cell r="D943" t="str">
            <v>UN</v>
          </cell>
          <cell r="E943">
            <v>4585.34</v>
          </cell>
          <cell r="G943">
            <v>100</v>
          </cell>
          <cell r="H943" t="str">
            <v>NK</v>
          </cell>
          <cell r="I943" t="str">
            <v>NK CA</v>
          </cell>
          <cell r="J943" t="str">
            <v>CO110</v>
          </cell>
          <cell r="K943">
            <v>1</v>
          </cell>
          <cell r="N943">
            <v>4365.05</v>
          </cell>
          <cell r="P943" t="str">
            <v>X22145YT</v>
          </cell>
          <cell r="Q943" t="str">
            <v>01Z010216AD</v>
          </cell>
          <cell r="R943" t="str">
            <v>CA01</v>
          </cell>
          <cell r="S943">
            <v>4585.34</v>
          </cell>
        </row>
        <row r="944">
          <cell r="A944">
            <v>968369</v>
          </cell>
          <cell r="B944" t="str">
            <v>CRCO N25N-GT/CB/LL    SF90    STD CA</v>
          </cell>
          <cell r="C944">
            <v>24</v>
          </cell>
          <cell r="D944" t="str">
            <v>UN</v>
          </cell>
          <cell r="E944">
            <v>4585.34</v>
          </cell>
          <cell r="G944">
            <v>100</v>
          </cell>
          <cell r="H944" t="str">
            <v>NK</v>
          </cell>
          <cell r="I944" t="str">
            <v>NK CA</v>
          </cell>
          <cell r="J944" t="str">
            <v>CO110</v>
          </cell>
          <cell r="K944">
            <v>1</v>
          </cell>
          <cell r="N944">
            <v>4365.05</v>
          </cell>
          <cell r="P944" t="str">
            <v>X22145YT</v>
          </cell>
          <cell r="Q944" t="str">
            <v>01Z010216AD</v>
          </cell>
          <cell r="R944" t="str">
            <v>CA01</v>
          </cell>
          <cell r="S944">
            <v>4585.34</v>
          </cell>
        </row>
        <row r="945">
          <cell r="A945">
            <v>968371</v>
          </cell>
          <cell r="B945" t="str">
            <v>CRCO N25N-GT/CB/LL    SF90    SPC CA</v>
          </cell>
          <cell r="C945">
            <v>6</v>
          </cell>
          <cell r="D945" t="str">
            <v>UN</v>
          </cell>
          <cell r="E945">
            <v>5329.49</v>
          </cell>
          <cell r="G945">
            <v>100</v>
          </cell>
          <cell r="H945" t="str">
            <v>NK</v>
          </cell>
          <cell r="I945" t="str">
            <v>NK CA</v>
          </cell>
          <cell r="J945" t="str">
            <v>CO110</v>
          </cell>
          <cell r="K945">
            <v>1</v>
          </cell>
          <cell r="N945">
            <v>5223.5</v>
          </cell>
          <cell r="P945" t="str">
            <v>X22145YT</v>
          </cell>
          <cell r="Q945" t="str">
            <v>01Z010216AD</v>
          </cell>
          <cell r="R945" t="str">
            <v>CA01</v>
          </cell>
          <cell r="S945">
            <v>5329.49</v>
          </cell>
        </row>
        <row r="946">
          <cell r="A946">
            <v>968371</v>
          </cell>
          <cell r="B946" t="str">
            <v>CRCO N25N-GT/CB/LL    SF90    SPC CA</v>
          </cell>
          <cell r="C946">
            <v>6</v>
          </cell>
          <cell r="D946" t="str">
            <v>UN</v>
          </cell>
          <cell r="E946">
            <v>5329.49</v>
          </cell>
          <cell r="G946">
            <v>100</v>
          </cell>
          <cell r="H946" t="str">
            <v>NK</v>
          </cell>
          <cell r="I946" t="str">
            <v>NK CA</v>
          </cell>
          <cell r="J946" t="str">
            <v>CO110</v>
          </cell>
          <cell r="K946">
            <v>1</v>
          </cell>
          <cell r="N946">
            <v>5223.5</v>
          </cell>
          <cell r="P946" t="str">
            <v>X22145YT</v>
          </cell>
          <cell r="Q946" t="str">
            <v>01Z010216AD</v>
          </cell>
          <cell r="R946" t="str">
            <v>CA01</v>
          </cell>
          <cell r="S946">
            <v>5329.49</v>
          </cell>
        </row>
        <row r="947">
          <cell r="A947">
            <v>968393</v>
          </cell>
          <cell r="B947" t="str">
            <v>CRCO N27B-GT/CB/LL    LR70    SPC CA</v>
          </cell>
          <cell r="C947">
            <v>5294</v>
          </cell>
          <cell r="D947" t="str">
            <v>UN</v>
          </cell>
          <cell r="E947">
            <v>5098</v>
          </cell>
          <cell r="G947">
            <v>100</v>
          </cell>
          <cell r="H947" t="str">
            <v>NK</v>
          </cell>
          <cell r="I947" t="str">
            <v>NK CA</v>
          </cell>
          <cell r="J947" t="str">
            <v>CO110</v>
          </cell>
          <cell r="K947">
            <v>1</v>
          </cell>
          <cell r="N947">
            <v>5021.45</v>
          </cell>
          <cell r="P947" t="str">
            <v>X23155YT</v>
          </cell>
          <cell r="Q947" t="str">
            <v>01Z01021600</v>
          </cell>
          <cell r="R947" t="str">
            <v>CA01</v>
          </cell>
          <cell r="S947">
            <v>5098</v>
          </cell>
        </row>
        <row r="948">
          <cell r="A948">
            <v>968393</v>
          </cell>
          <cell r="B948" t="str">
            <v>CRCO N27B-GT/CB/LL    LR70    SPC CA</v>
          </cell>
          <cell r="C948">
            <v>5294</v>
          </cell>
          <cell r="D948" t="str">
            <v>UN</v>
          </cell>
          <cell r="E948">
            <v>5098</v>
          </cell>
          <cell r="G948">
            <v>100</v>
          </cell>
          <cell r="H948" t="str">
            <v>NK</v>
          </cell>
          <cell r="I948" t="str">
            <v>NK CA</v>
          </cell>
          <cell r="J948" t="str">
            <v>CO110</v>
          </cell>
          <cell r="K948">
            <v>1</v>
          </cell>
          <cell r="N948">
            <v>5021.45</v>
          </cell>
          <cell r="P948" t="str">
            <v>X23155YT</v>
          </cell>
          <cell r="Q948" t="str">
            <v>01Z01021600</v>
          </cell>
          <cell r="R948" t="str">
            <v>CA01</v>
          </cell>
          <cell r="S948">
            <v>5098</v>
          </cell>
        </row>
        <row r="949">
          <cell r="A949">
            <v>968395</v>
          </cell>
          <cell r="B949" t="str">
            <v>CRCO N27B-GT/CB/LL    MF1     STD CA</v>
          </cell>
          <cell r="C949">
            <v>0</v>
          </cell>
          <cell r="D949" t="str">
            <v>UN</v>
          </cell>
          <cell r="E949">
            <v>4354</v>
          </cell>
          <cell r="G949">
            <v>100</v>
          </cell>
          <cell r="H949" t="str">
            <v>NK</v>
          </cell>
          <cell r="I949" t="str">
            <v>NK CA</v>
          </cell>
          <cell r="J949" t="str">
            <v>CO110</v>
          </cell>
          <cell r="K949">
            <v>1</v>
          </cell>
          <cell r="N949">
            <v>4163</v>
          </cell>
          <cell r="P949" t="str">
            <v>X23155YT</v>
          </cell>
          <cell r="Q949" t="str">
            <v>01Z01021600</v>
          </cell>
          <cell r="R949" t="str">
            <v>CA01</v>
          </cell>
          <cell r="S949">
            <v>4354</v>
          </cell>
        </row>
        <row r="950">
          <cell r="A950">
            <v>968395</v>
          </cell>
          <cell r="B950" t="str">
            <v>CRCO N27B-GT/CB/LL    MF1     STD CA</v>
          </cell>
          <cell r="C950">
            <v>0</v>
          </cell>
          <cell r="D950" t="str">
            <v>UN</v>
          </cell>
          <cell r="E950">
            <v>4354</v>
          </cell>
          <cell r="G950">
            <v>100</v>
          </cell>
          <cell r="H950" t="str">
            <v>NK</v>
          </cell>
          <cell r="I950" t="str">
            <v>NK CA</v>
          </cell>
          <cell r="J950" t="str">
            <v>CO110</v>
          </cell>
          <cell r="K950">
            <v>1</v>
          </cell>
          <cell r="N950">
            <v>4163</v>
          </cell>
          <cell r="P950" t="str">
            <v>X23155YT</v>
          </cell>
          <cell r="Q950" t="str">
            <v>01Z01021600</v>
          </cell>
          <cell r="R950" t="str">
            <v>CA01</v>
          </cell>
          <cell r="S950">
            <v>4354</v>
          </cell>
        </row>
        <row r="951">
          <cell r="A951">
            <v>968397</v>
          </cell>
          <cell r="B951" t="str">
            <v>CRCO N27B-GT/CB/LL    MF1     SPC CA</v>
          </cell>
          <cell r="C951">
            <v>7</v>
          </cell>
          <cell r="D951" t="str">
            <v>UN</v>
          </cell>
          <cell r="E951">
            <v>5098</v>
          </cell>
          <cell r="G951">
            <v>100</v>
          </cell>
          <cell r="H951" t="str">
            <v>NK</v>
          </cell>
          <cell r="I951" t="str">
            <v>NK CA</v>
          </cell>
          <cell r="J951" t="str">
            <v>CO110</v>
          </cell>
          <cell r="K951">
            <v>1</v>
          </cell>
          <cell r="N951">
            <v>5021.45</v>
          </cell>
          <cell r="P951" t="str">
            <v>X23155YT</v>
          </cell>
          <cell r="Q951" t="str">
            <v>01Z01021600</v>
          </cell>
          <cell r="R951" t="str">
            <v>CA01</v>
          </cell>
          <cell r="S951">
            <v>5098</v>
          </cell>
        </row>
        <row r="952">
          <cell r="A952">
            <v>968397</v>
          </cell>
          <cell r="B952" t="str">
            <v>CRCO N27B-GT/CB/LL    MF1     SPC CA</v>
          </cell>
          <cell r="C952">
            <v>7</v>
          </cell>
          <cell r="D952" t="str">
            <v>UN</v>
          </cell>
          <cell r="E952">
            <v>5098</v>
          </cell>
          <cell r="G952">
            <v>100</v>
          </cell>
          <cell r="H952" t="str">
            <v>NK</v>
          </cell>
          <cell r="I952" t="str">
            <v>NK CA</v>
          </cell>
          <cell r="J952" t="str">
            <v>CO110</v>
          </cell>
          <cell r="K952">
            <v>1</v>
          </cell>
          <cell r="N952">
            <v>5021.45</v>
          </cell>
          <cell r="P952" t="str">
            <v>X23155YT</v>
          </cell>
          <cell r="Q952" t="str">
            <v>01Z01021600</v>
          </cell>
          <cell r="R952" t="str">
            <v>CA01</v>
          </cell>
          <cell r="S952">
            <v>5098</v>
          </cell>
        </row>
        <row r="953">
          <cell r="A953">
            <v>968399</v>
          </cell>
          <cell r="B953" t="str">
            <v>CRCO N27B-GT/CB/LL    MF2     STD CA</v>
          </cell>
          <cell r="C953">
            <v>12</v>
          </cell>
          <cell r="D953" t="str">
            <v>UN</v>
          </cell>
          <cell r="E953">
            <v>4354</v>
          </cell>
          <cell r="G953">
            <v>100</v>
          </cell>
          <cell r="H953" t="str">
            <v>NK</v>
          </cell>
          <cell r="I953" t="str">
            <v>NK CA</v>
          </cell>
          <cell r="J953" t="str">
            <v>CO110</v>
          </cell>
          <cell r="K953">
            <v>1</v>
          </cell>
          <cell r="N953">
            <v>4163</v>
          </cell>
          <cell r="P953" t="str">
            <v>X23155YT</v>
          </cell>
          <cell r="Q953" t="str">
            <v>01Z01021600</v>
          </cell>
          <cell r="R953" t="str">
            <v>CA01</v>
          </cell>
          <cell r="S953">
            <v>4354</v>
          </cell>
        </row>
        <row r="954">
          <cell r="A954">
            <v>968399</v>
          </cell>
          <cell r="B954" t="str">
            <v>CRCO N27B-GT/CB/LL    MF2     STD CA</v>
          </cell>
          <cell r="C954">
            <v>12</v>
          </cell>
          <cell r="D954" t="str">
            <v>UN</v>
          </cell>
          <cell r="E954">
            <v>4354</v>
          </cell>
          <cell r="G954">
            <v>100</v>
          </cell>
          <cell r="H954" t="str">
            <v>NK</v>
          </cell>
          <cell r="I954" t="str">
            <v>NK CA</v>
          </cell>
          <cell r="J954" t="str">
            <v>CO110</v>
          </cell>
          <cell r="K954">
            <v>1</v>
          </cell>
          <cell r="N954">
            <v>4163</v>
          </cell>
          <cell r="P954" t="str">
            <v>X23155YT</v>
          </cell>
          <cell r="Q954" t="str">
            <v>01Z01021600</v>
          </cell>
          <cell r="R954" t="str">
            <v>CA01</v>
          </cell>
          <cell r="S954">
            <v>4354</v>
          </cell>
        </row>
        <row r="955">
          <cell r="A955">
            <v>968401</v>
          </cell>
          <cell r="B955" t="str">
            <v>CRCO N27B-GT/CB/LL    MF2     SPC CA</v>
          </cell>
          <cell r="C955">
            <v>3720</v>
          </cell>
          <cell r="D955" t="str">
            <v>UN</v>
          </cell>
          <cell r="E955">
            <v>5098</v>
          </cell>
          <cell r="G955">
            <v>100</v>
          </cell>
          <cell r="H955" t="str">
            <v>NK</v>
          </cell>
          <cell r="I955" t="str">
            <v>NK CA</v>
          </cell>
          <cell r="J955" t="str">
            <v>CO110</v>
          </cell>
          <cell r="K955">
            <v>1</v>
          </cell>
          <cell r="N955">
            <v>5021.45</v>
          </cell>
          <cell r="P955" t="str">
            <v>X23155YT</v>
          </cell>
          <cell r="Q955" t="str">
            <v>01Z01021600</v>
          </cell>
          <cell r="R955" t="str">
            <v>CA01</v>
          </cell>
          <cell r="S955">
            <v>5098</v>
          </cell>
        </row>
        <row r="956">
          <cell r="A956">
            <v>968401</v>
          </cell>
          <cell r="B956" t="str">
            <v>CRCO N27B-GT/CB/LL    MF2     SPC CA</v>
          </cell>
          <cell r="C956">
            <v>3720</v>
          </cell>
          <cell r="D956" t="str">
            <v>UN</v>
          </cell>
          <cell r="E956">
            <v>5098</v>
          </cell>
          <cell r="G956">
            <v>100</v>
          </cell>
          <cell r="H956" t="str">
            <v>NK</v>
          </cell>
          <cell r="I956" t="str">
            <v>NK CA</v>
          </cell>
          <cell r="J956" t="str">
            <v>CO110</v>
          </cell>
          <cell r="K956">
            <v>1</v>
          </cell>
          <cell r="N956">
            <v>5021.45</v>
          </cell>
          <cell r="P956" t="str">
            <v>X23155YT</v>
          </cell>
          <cell r="Q956" t="str">
            <v>01Z01021600</v>
          </cell>
          <cell r="R956" t="str">
            <v>CA01</v>
          </cell>
          <cell r="S956">
            <v>5098</v>
          </cell>
        </row>
        <row r="957">
          <cell r="A957">
            <v>968403</v>
          </cell>
          <cell r="B957" t="str">
            <v>CRCO N27B-GT/CB/LL    MR1     STD CA</v>
          </cell>
          <cell r="C957">
            <v>0</v>
          </cell>
          <cell r="D957" t="str">
            <v>UN</v>
          </cell>
          <cell r="E957">
            <v>4354</v>
          </cell>
          <cell r="G957">
            <v>100</v>
          </cell>
          <cell r="H957" t="str">
            <v>NK</v>
          </cell>
          <cell r="I957" t="str">
            <v>NK CA</v>
          </cell>
          <cell r="J957" t="str">
            <v>CO110</v>
          </cell>
          <cell r="K957">
            <v>1</v>
          </cell>
          <cell r="N957">
            <v>4163</v>
          </cell>
          <cell r="P957" t="str">
            <v>X23155YT</v>
          </cell>
          <cell r="Q957" t="str">
            <v>01Z01021600</v>
          </cell>
          <cell r="R957" t="str">
            <v>CA01</v>
          </cell>
          <cell r="S957">
            <v>4354</v>
          </cell>
        </row>
        <row r="958">
          <cell r="A958">
            <v>968403</v>
          </cell>
          <cell r="B958" t="str">
            <v>CRCO N27B-GT/CB/LL    MR1     STD CA</v>
          </cell>
          <cell r="C958">
            <v>0</v>
          </cell>
          <cell r="D958" t="str">
            <v>UN</v>
          </cell>
          <cell r="E958">
            <v>4354</v>
          </cell>
          <cell r="G958">
            <v>100</v>
          </cell>
          <cell r="H958" t="str">
            <v>NK</v>
          </cell>
          <cell r="I958" t="str">
            <v>NK CA</v>
          </cell>
          <cell r="J958" t="str">
            <v>CO110</v>
          </cell>
          <cell r="K958">
            <v>1</v>
          </cell>
          <cell r="N958">
            <v>4163</v>
          </cell>
          <cell r="P958" t="str">
            <v>X23155YT</v>
          </cell>
          <cell r="Q958" t="str">
            <v>01Z01021600</v>
          </cell>
          <cell r="R958" t="str">
            <v>CA01</v>
          </cell>
          <cell r="S958">
            <v>4354</v>
          </cell>
        </row>
        <row r="959">
          <cell r="A959">
            <v>968405</v>
          </cell>
          <cell r="B959" t="str">
            <v>CRCO N27B-GT/CB/LL    MR1     SPC CA</v>
          </cell>
          <cell r="C959">
            <v>13</v>
          </cell>
          <cell r="D959" t="str">
            <v>UN</v>
          </cell>
          <cell r="E959">
            <v>5098</v>
          </cell>
          <cell r="G959">
            <v>100</v>
          </cell>
          <cell r="H959" t="str">
            <v>NK</v>
          </cell>
          <cell r="I959" t="str">
            <v>NK CA</v>
          </cell>
          <cell r="J959" t="str">
            <v>CO110</v>
          </cell>
          <cell r="K959">
            <v>1</v>
          </cell>
          <cell r="N959">
            <v>5021.45</v>
          </cell>
          <cell r="P959" t="str">
            <v>X23155YT</v>
          </cell>
          <cell r="Q959" t="str">
            <v>01Z01021600</v>
          </cell>
          <cell r="R959" t="str">
            <v>CA01</v>
          </cell>
          <cell r="S959">
            <v>5098</v>
          </cell>
        </row>
        <row r="960">
          <cell r="A960">
            <v>968405</v>
          </cell>
          <cell r="B960" t="str">
            <v>CRCO N27B-GT/CB/LL    MR1     SPC CA</v>
          </cell>
          <cell r="C960">
            <v>13</v>
          </cell>
          <cell r="D960" t="str">
            <v>UN</v>
          </cell>
          <cell r="E960">
            <v>5098</v>
          </cell>
          <cell r="G960">
            <v>100</v>
          </cell>
          <cell r="H960" t="str">
            <v>NK</v>
          </cell>
          <cell r="I960" t="str">
            <v>NK CA</v>
          </cell>
          <cell r="J960" t="str">
            <v>CO110</v>
          </cell>
          <cell r="K960">
            <v>1</v>
          </cell>
          <cell r="N960">
            <v>5021.45</v>
          </cell>
          <cell r="P960" t="str">
            <v>X23155YT</v>
          </cell>
          <cell r="Q960" t="str">
            <v>01Z01021600</v>
          </cell>
          <cell r="R960" t="str">
            <v>CA01</v>
          </cell>
          <cell r="S960">
            <v>5098</v>
          </cell>
        </row>
        <row r="961">
          <cell r="A961">
            <v>968407</v>
          </cell>
          <cell r="B961" t="str">
            <v>CRCO N27B-GT/CB/LL    MR2     STD CA</v>
          </cell>
          <cell r="C961">
            <v>48</v>
          </cell>
          <cell r="D961" t="str">
            <v>UN</v>
          </cell>
          <cell r="E961">
            <v>4354</v>
          </cell>
          <cell r="G961">
            <v>100</v>
          </cell>
          <cell r="H961" t="str">
            <v>NK</v>
          </cell>
          <cell r="I961" t="str">
            <v>NK CA</v>
          </cell>
          <cell r="J961" t="str">
            <v>CO110</v>
          </cell>
          <cell r="K961">
            <v>1</v>
          </cell>
          <cell r="N961">
            <v>4163</v>
          </cell>
          <cell r="P961" t="str">
            <v>X23155YT</v>
          </cell>
          <cell r="Q961" t="str">
            <v>01Z01021600</v>
          </cell>
          <cell r="R961" t="str">
            <v>CA01</v>
          </cell>
          <cell r="S961">
            <v>4354</v>
          </cell>
        </row>
        <row r="962">
          <cell r="A962">
            <v>968407</v>
          </cell>
          <cell r="B962" t="str">
            <v>CRCO N27B-GT/CB/LL    MR2     STD CA</v>
          </cell>
          <cell r="C962">
            <v>48</v>
          </cell>
          <cell r="D962" t="str">
            <v>UN</v>
          </cell>
          <cell r="E962">
            <v>4354</v>
          </cell>
          <cell r="G962">
            <v>100</v>
          </cell>
          <cell r="H962" t="str">
            <v>NK</v>
          </cell>
          <cell r="I962" t="str">
            <v>NK CA</v>
          </cell>
          <cell r="J962" t="str">
            <v>CO110</v>
          </cell>
          <cell r="K962">
            <v>1</v>
          </cell>
          <cell r="N962">
            <v>4163</v>
          </cell>
          <cell r="P962" t="str">
            <v>X23155YT</v>
          </cell>
          <cell r="Q962" t="str">
            <v>01Z01021600</v>
          </cell>
          <cell r="R962" t="str">
            <v>CA01</v>
          </cell>
          <cell r="S962">
            <v>4354</v>
          </cell>
        </row>
        <row r="963">
          <cell r="A963">
            <v>968409</v>
          </cell>
          <cell r="B963" t="str">
            <v>CRCO N27B-GT/CB/LL    MR2     SPC CA</v>
          </cell>
          <cell r="C963">
            <v>4223</v>
          </cell>
          <cell r="D963" t="str">
            <v>UN</v>
          </cell>
          <cell r="E963">
            <v>5098</v>
          </cell>
          <cell r="G963">
            <v>100</v>
          </cell>
          <cell r="H963" t="str">
            <v>NK</v>
          </cell>
          <cell r="I963" t="str">
            <v>NK CA</v>
          </cell>
          <cell r="J963" t="str">
            <v>CO110</v>
          </cell>
          <cell r="K963">
            <v>1</v>
          </cell>
          <cell r="N963">
            <v>5021.45</v>
          </cell>
          <cell r="P963" t="str">
            <v>X23155YT</v>
          </cell>
          <cell r="Q963" t="str">
            <v>01Z01021600</v>
          </cell>
          <cell r="R963" t="str">
            <v>CA01</v>
          </cell>
          <cell r="S963">
            <v>5098</v>
          </cell>
        </row>
        <row r="964">
          <cell r="A964">
            <v>968409</v>
          </cell>
          <cell r="B964" t="str">
            <v>CRCO N27B-GT/CB/LL    MR2     SPC CA</v>
          </cell>
          <cell r="C964">
            <v>4223</v>
          </cell>
          <cell r="D964" t="str">
            <v>UN</v>
          </cell>
          <cell r="E964">
            <v>5098</v>
          </cell>
          <cell r="G964">
            <v>100</v>
          </cell>
          <cell r="H964" t="str">
            <v>NK</v>
          </cell>
          <cell r="I964" t="str">
            <v>NK CA</v>
          </cell>
          <cell r="J964" t="str">
            <v>CO110</v>
          </cell>
          <cell r="K964">
            <v>1</v>
          </cell>
          <cell r="N964">
            <v>5021.45</v>
          </cell>
          <cell r="P964" t="str">
            <v>X23155YT</v>
          </cell>
          <cell r="Q964" t="str">
            <v>01Z01021600</v>
          </cell>
          <cell r="R964" t="str">
            <v>CA01</v>
          </cell>
          <cell r="S964">
            <v>5098</v>
          </cell>
        </row>
        <row r="965">
          <cell r="A965">
            <v>968577</v>
          </cell>
          <cell r="B965" t="str">
            <v>CRCO N29A-GT/CB/LL    MR2     SPC CA</v>
          </cell>
          <cell r="C965">
            <v>2252</v>
          </cell>
          <cell r="D965" t="str">
            <v>UN</v>
          </cell>
          <cell r="E965">
            <v>5533</v>
          </cell>
          <cell r="G965">
            <v>100</v>
          </cell>
          <cell r="H965" t="str">
            <v>NK</v>
          </cell>
          <cell r="I965" t="str">
            <v>NK CA</v>
          </cell>
          <cell r="J965" t="str">
            <v>CO110</v>
          </cell>
          <cell r="K965">
            <v>1</v>
          </cell>
          <cell r="N965">
            <v>5012.8999999999996</v>
          </cell>
          <cell r="P965" t="str">
            <v>X29204YT</v>
          </cell>
          <cell r="Q965" t="str">
            <v>01Z010216AG</v>
          </cell>
          <cell r="R965" t="str">
            <v>CA01</v>
          </cell>
          <cell r="S965">
            <v>5533</v>
          </cell>
        </row>
        <row r="966">
          <cell r="A966">
            <v>968577</v>
          </cell>
          <cell r="B966" t="str">
            <v>CRCO N29A-GT/CB/LL    MR2     SPC CA</v>
          </cell>
          <cell r="C966">
            <v>2252</v>
          </cell>
          <cell r="D966" t="str">
            <v>UN</v>
          </cell>
          <cell r="E966">
            <v>5533</v>
          </cell>
          <cell r="G966">
            <v>100</v>
          </cell>
          <cell r="H966" t="str">
            <v>NK</v>
          </cell>
          <cell r="I966" t="str">
            <v>NK CA</v>
          </cell>
          <cell r="J966" t="str">
            <v>CO110</v>
          </cell>
          <cell r="K966">
            <v>1</v>
          </cell>
          <cell r="N966">
            <v>5012.8999999999996</v>
          </cell>
          <cell r="P966" t="str">
            <v>X29204YT</v>
          </cell>
          <cell r="Q966" t="str">
            <v>01Z010216AG</v>
          </cell>
          <cell r="R966" t="str">
            <v>CA01</v>
          </cell>
          <cell r="S966">
            <v>5533</v>
          </cell>
        </row>
        <row r="967">
          <cell r="A967">
            <v>968619</v>
          </cell>
          <cell r="B967" t="str">
            <v>CRCO N34F-GT    MF1     STD CA</v>
          </cell>
          <cell r="C967">
            <v>188</v>
          </cell>
          <cell r="D967" t="str">
            <v>UN</v>
          </cell>
          <cell r="E967">
            <v>3773</v>
          </cell>
          <cell r="G967">
            <v>100</v>
          </cell>
          <cell r="H967" t="str">
            <v>NK</v>
          </cell>
          <cell r="I967" t="str">
            <v>NK CA</v>
          </cell>
          <cell r="J967" t="str">
            <v>CO110</v>
          </cell>
          <cell r="K967">
            <v>1</v>
          </cell>
          <cell r="N967">
            <v>4154.22</v>
          </cell>
          <cell r="P967" t="str">
            <v>X31085GR</v>
          </cell>
          <cell r="Q967" t="str">
            <v>01Z010315AD</v>
          </cell>
          <cell r="R967" t="str">
            <v>CA01</v>
          </cell>
          <cell r="S967">
            <v>3773</v>
          </cell>
        </row>
        <row r="968">
          <cell r="A968">
            <v>968619</v>
          </cell>
          <cell r="B968" t="str">
            <v>CRCO N34F-GT    MF1     STD CA</v>
          </cell>
          <cell r="C968">
            <v>188</v>
          </cell>
          <cell r="D968" t="str">
            <v>UN</v>
          </cell>
          <cell r="E968">
            <v>3773</v>
          </cell>
          <cell r="G968">
            <v>100</v>
          </cell>
          <cell r="H968" t="str">
            <v>NK</v>
          </cell>
          <cell r="I968" t="str">
            <v>NK CA</v>
          </cell>
          <cell r="J968" t="str">
            <v>CO110</v>
          </cell>
          <cell r="K968">
            <v>1</v>
          </cell>
          <cell r="N968">
            <v>4154.22</v>
          </cell>
          <cell r="P968" t="str">
            <v>X31085GR</v>
          </cell>
          <cell r="Q968" t="str">
            <v>01Z010315AD</v>
          </cell>
          <cell r="R968" t="str">
            <v>CA01</v>
          </cell>
          <cell r="S968">
            <v>3773</v>
          </cell>
        </row>
        <row r="969">
          <cell r="A969">
            <v>968620</v>
          </cell>
          <cell r="B969" t="str">
            <v>CRCO N31P-GT    MF2     STD CA</v>
          </cell>
          <cell r="C969">
            <v>3</v>
          </cell>
          <cell r="D969" t="str">
            <v>UN</v>
          </cell>
          <cell r="E969">
            <v>4788</v>
          </cell>
          <cell r="G969">
            <v>100</v>
          </cell>
          <cell r="H969" t="str">
            <v>NK</v>
          </cell>
          <cell r="I969" t="str">
            <v>NK CA</v>
          </cell>
          <cell r="J969" t="str">
            <v>CO110</v>
          </cell>
          <cell r="K969">
            <v>1</v>
          </cell>
          <cell r="N969">
            <v>4153.1000000000004</v>
          </cell>
          <cell r="P969" t="str">
            <v>X3191AGL</v>
          </cell>
          <cell r="Q969" t="str">
            <v>01Z010415AJ</v>
          </cell>
          <cell r="R969" t="str">
            <v>CA01</v>
          </cell>
          <cell r="S969">
            <v>4788</v>
          </cell>
        </row>
        <row r="970">
          <cell r="A970">
            <v>968620</v>
          </cell>
          <cell r="B970" t="str">
            <v>CRCO N31P-GT    MF2     STD CA</v>
          </cell>
          <cell r="C970">
            <v>3</v>
          </cell>
          <cell r="D970" t="str">
            <v>UN</v>
          </cell>
          <cell r="E970">
            <v>4788</v>
          </cell>
          <cell r="G970">
            <v>100</v>
          </cell>
          <cell r="H970" t="str">
            <v>NK</v>
          </cell>
          <cell r="I970" t="str">
            <v>NK CA</v>
          </cell>
          <cell r="J970" t="str">
            <v>CO110</v>
          </cell>
          <cell r="K970">
            <v>1</v>
          </cell>
          <cell r="N970">
            <v>4153.1000000000004</v>
          </cell>
          <cell r="P970" t="str">
            <v>X3191AGL</v>
          </cell>
          <cell r="Q970" t="str">
            <v>01Z010415AJ</v>
          </cell>
          <cell r="R970" t="str">
            <v>CA01</v>
          </cell>
          <cell r="S970">
            <v>4788</v>
          </cell>
        </row>
        <row r="971">
          <cell r="A971">
            <v>968623</v>
          </cell>
          <cell r="B971" t="str">
            <v>CRCO N34F-GT    MF1     SPC CA</v>
          </cell>
          <cell r="C971">
            <v>573</v>
          </cell>
          <cell r="D971" t="str">
            <v>UN</v>
          </cell>
          <cell r="E971">
            <v>4517</v>
          </cell>
          <cell r="G971">
            <v>100</v>
          </cell>
          <cell r="H971" t="str">
            <v>NK</v>
          </cell>
          <cell r="I971" t="str">
            <v>NK CA</v>
          </cell>
          <cell r="J971" t="str">
            <v>CO110</v>
          </cell>
          <cell r="K971">
            <v>1</v>
          </cell>
          <cell r="N971">
            <v>5012.67</v>
          </cell>
          <cell r="P971" t="str">
            <v>X31085GR</v>
          </cell>
          <cell r="Q971" t="str">
            <v>01Z010315AD</v>
          </cell>
          <cell r="R971" t="str">
            <v>CA01</v>
          </cell>
          <cell r="S971">
            <v>4517</v>
          </cell>
        </row>
        <row r="972">
          <cell r="A972">
            <v>968623</v>
          </cell>
          <cell r="B972" t="str">
            <v>CRCO N34F-GT    MF1     SPC CA</v>
          </cell>
          <cell r="C972">
            <v>573</v>
          </cell>
          <cell r="D972" t="str">
            <v>UN</v>
          </cell>
          <cell r="E972">
            <v>4517</v>
          </cell>
          <cell r="G972">
            <v>100</v>
          </cell>
          <cell r="H972" t="str">
            <v>NK</v>
          </cell>
          <cell r="I972" t="str">
            <v>NK CA</v>
          </cell>
          <cell r="J972" t="str">
            <v>CO110</v>
          </cell>
          <cell r="K972">
            <v>1</v>
          </cell>
          <cell r="N972">
            <v>5012.67</v>
          </cell>
          <cell r="P972" t="str">
            <v>X31085GR</v>
          </cell>
          <cell r="Q972" t="str">
            <v>01Z010315AD</v>
          </cell>
          <cell r="R972" t="str">
            <v>CA01</v>
          </cell>
          <cell r="S972">
            <v>4517</v>
          </cell>
        </row>
        <row r="973">
          <cell r="A973">
            <v>968624</v>
          </cell>
          <cell r="B973" t="str">
            <v>CRCO N31P-GT    MF2     SPC CA</v>
          </cell>
          <cell r="C973">
            <v>16</v>
          </cell>
          <cell r="D973" t="str">
            <v>UN</v>
          </cell>
          <cell r="E973">
            <v>5532</v>
          </cell>
          <cell r="G973">
            <v>100</v>
          </cell>
          <cell r="H973" t="str">
            <v>NK</v>
          </cell>
          <cell r="I973" t="str">
            <v>NK CA</v>
          </cell>
          <cell r="J973" t="str">
            <v>CO110</v>
          </cell>
          <cell r="K973">
            <v>1</v>
          </cell>
          <cell r="N973">
            <v>5011.55</v>
          </cell>
          <cell r="P973" t="str">
            <v>X3191AGL</v>
          </cell>
          <cell r="Q973" t="str">
            <v>01Z010415AJ</v>
          </cell>
          <cell r="R973" t="str">
            <v>CA01</v>
          </cell>
          <cell r="S973">
            <v>5532</v>
          </cell>
        </row>
        <row r="974">
          <cell r="A974">
            <v>968624</v>
          </cell>
          <cell r="B974" t="str">
            <v>CRCO N31P-GT    MF2     SPC CA</v>
          </cell>
          <cell r="C974">
            <v>16</v>
          </cell>
          <cell r="D974" t="str">
            <v>UN</v>
          </cell>
          <cell r="E974">
            <v>5532</v>
          </cell>
          <cell r="G974">
            <v>100</v>
          </cell>
          <cell r="H974" t="str">
            <v>NK</v>
          </cell>
          <cell r="I974" t="str">
            <v>NK CA</v>
          </cell>
          <cell r="J974" t="str">
            <v>CO110</v>
          </cell>
          <cell r="K974">
            <v>1</v>
          </cell>
          <cell r="N974">
            <v>5011.55</v>
          </cell>
          <cell r="P974" t="str">
            <v>X3191AGL</v>
          </cell>
          <cell r="Q974" t="str">
            <v>01Z010415AJ</v>
          </cell>
          <cell r="R974" t="str">
            <v>CA01</v>
          </cell>
          <cell r="S974">
            <v>5532</v>
          </cell>
        </row>
        <row r="975">
          <cell r="A975">
            <v>968628</v>
          </cell>
          <cell r="B975" t="str">
            <v>CRCO N34F-GT    MF2     STD CA</v>
          </cell>
          <cell r="C975">
            <v>139</v>
          </cell>
          <cell r="D975" t="str">
            <v>UN</v>
          </cell>
          <cell r="E975">
            <v>3773</v>
          </cell>
          <cell r="G975">
            <v>100</v>
          </cell>
          <cell r="H975" t="str">
            <v>NK</v>
          </cell>
          <cell r="I975" t="str">
            <v>NK CA</v>
          </cell>
          <cell r="J975" t="str">
            <v>CO110</v>
          </cell>
          <cell r="K975">
            <v>1</v>
          </cell>
          <cell r="N975">
            <v>4154.22</v>
          </cell>
          <cell r="P975" t="str">
            <v>X31085GR</v>
          </cell>
          <cell r="Q975" t="str">
            <v>01Z010315AD</v>
          </cell>
          <cell r="R975" t="str">
            <v>CA01</v>
          </cell>
          <cell r="S975">
            <v>3773</v>
          </cell>
        </row>
        <row r="976">
          <cell r="A976">
            <v>968628</v>
          </cell>
          <cell r="B976" t="str">
            <v>CRCO N34F-GT    MF2     STD CA</v>
          </cell>
          <cell r="C976">
            <v>139</v>
          </cell>
          <cell r="D976" t="str">
            <v>UN</v>
          </cell>
          <cell r="E976">
            <v>3773</v>
          </cell>
          <cell r="G976">
            <v>100</v>
          </cell>
          <cell r="H976" t="str">
            <v>NK</v>
          </cell>
          <cell r="I976" t="str">
            <v>NK CA</v>
          </cell>
          <cell r="J976" t="str">
            <v>CO110</v>
          </cell>
          <cell r="K976">
            <v>1</v>
          </cell>
          <cell r="N976">
            <v>4154.22</v>
          </cell>
          <cell r="P976" t="str">
            <v>X31085GR</v>
          </cell>
          <cell r="Q976" t="str">
            <v>01Z010315AD</v>
          </cell>
          <cell r="R976" t="str">
            <v>CA01</v>
          </cell>
          <cell r="S976">
            <v>3773</v>
          </cell>
        </row>
        <row r="977">
          <cell r="A977">
            <v>968632</v>
          </cell>
          <cell r="B977" t="str">
            <v>CRCO N34F-GT    MF2     SPC CA</v>
          </cell>
          <cell r="C977">
            <v>402</v>
          </cell>
          <cell r="D977" t="str">
            <v>UN</v>
          </cell>
          <cell r="E977">
            <v>4517</v>
          </cell>
          <cell r="G977">
            <v>100</v>
          </cell>
          <cell r="H977" t="str">
            <v>NK</v>
          </cell>
          <cell r="I977" t="str">
            <v>NK CA</v>
          </cell>
          <cell r="J977" t="str">
            <v>CO110</v>
          </cell>
          <cell r="K977">
            <v>1</v>
          </cell>
          <cell r="N977">
            <v>5012.67</v>
          </cell>
          <cell r="P977" t="str">
            <v>X31085GR</v>
          </cell>
          <cell r="Q977" t="str">
            <v>01Z010315AD</v>
          </cell>
          <cell r="R977" t="str">
            <v>CA01</v>
          </cell>
          <cell r="S977">
            <v>4517</v>
          </cell>
        </row>
        <row r="978">
          <cell r="A978">
            <v>968632</v>
          </cell>
          <cell r="B978" t="str">
            <v>CRCO N34F-GT    MF2     SPC CA</v>
          </cell>
          <cell r="C978">
            <v>402</v>
          </cell>
          <cell r="D978" t="str">
            <v>UN</v>
          </cell>
          <cell r="E978">
            <v>4517</v>
          </cell>
          <cell r="G978">
            <v>100</v>
          </cell>
          <cell r="H978" t="str">
            <v>NK</v>
          </cell>
          <cell r="I978" t="str">
            <v>NK CA</v>
          </cell>
          <cell r="J978" t="str">
            <v>CO110</v>
          </cell>
          <cell r="K978">
            <v>1</v>
          </cell>
          <cell r="N978">
            <v>5012.67</v>
          </cell>
          <cell r="P978" t="str">
            <v>X31085GR</v>
          </cell>
          <cell r="Q978" t="str">
            <v>01Z010315AD</v>
          </cell>
          <cell r="R978" t="str">
            <v>CA01</v>
          </cell>
          <cell r="S978">
            <v>4517</v>
          </cell>
        </row>
        <row r="979">
          <cell r="A979">
            <v>968635</v>
          </cell>
          <cell r="B979" t="str">
            <v>CRCO N31P-GT    MR2     STD CA</v>
          </cell>
          <cell r="C979">
            <v>0</v>
          </cell>
          <cell r="D979" t="str">
            <v>UN</v>
          </cell>
          <cell r="E979">
            <v>4788</v>
          </cell>
          <cell r="G979">
            <v>100</v>
          </cell>
          <cell r="H979" t="str">
            <v>NK</v>
          </cell>
          <cell r="I979" t="str">
            <v>NK CA</v>
          </cell>
          <cell r="J979" t="str">
            <v>CO110</v>
          </cell>
          <cell r="K979">
            <v>1</v>
          </cell>
          <cell r="N979">
            <v>4153.1000000000004</v>
          </cell>
          <cell r="P979" t="str">
            <v>X3191AGL</v>
          </cell>
          <cell r="Q979" t="str">
            <v>01Z010415AJ</v>
          </cell>
          <cell r="R979" t="str">
            <v>CA01</v>
          </cell>
          <cell r="S979">
            <v>4788</v>
          </cell>
        </row>
        <row r="980">
          <cell r="A980">
            <v>968635</v>
          </cell>
          <cell r="B980" t="str">
            <v>CRCO N31P-GT    MR2     STD CA</v>
          </cell>
          <cell r="C980">
            <v>0</v>
          </cell>
          <cell r="D980" t="str">
            <v>UN</v>
          </cell>
          <cell r="E980">
            <v>4788</v>
          </cell>
          <cell r="G980">
            <v>100</v>
          </cell>
          <cell r="H980" t="str">
            <v>NK</v>
          </cell>
          <cell r="I980" t="str">
            <v>NK CA</v>
          </cell>
          <cell r="J980" t="str">
            <v>CO110</v>
          </cell>
          <cell r="K980">
            <v>1</v>
          </cell>
          <cell r="N980">
            <v>4153.1000000000004</v>
          </cell>
          <cell r="P980" t="str">
            <v>X3191AGL</v>
          </cell>
          <cell r="Q980" t="str">
            <v>01Z010415AJ</v>
          </cell>
          <cell r="R980" t="str">
            <v>CA01</v>
          </cell>
          <cell r="S980">
            <v>4788</v>
          </cell>
        </row>
        <row r="981">
          <cell r="A981">
            <v>968636</v>
          </cell>
          <cell r="B981" t="str">
            <v>CRCO N34F-GT    MR1     STD CA</v>
          </cell>
          <cell r="C981">
            <v>19</v>
          </cell>
          <cell r="D981" t="str">
            <v>UN</v>
          </cell>
          <cell r="E981">
            <v>3773</v>
          </cell>
          <cell r="G981">
            <v>100</v>
          </cell>
          <cell r="H981" t="str">
            <v>NK</v>
          </cell>
          <cell r="I981" t="str">
            <v>NK CA</v>
          </cell>
          <cell r="J981" t="str">
            <v>CO110</v>
          </cell>
          <cell r="K981">
            <v>1</v>
          </cell>
          <cell r="N981">
            <v>4154.22</v>
          </cell>
          <cell r="P981" t="str">
            <v>X31085GR</v>
          </cell>
          <cell r="Q981" t="str">
            <v>01Z010315AD</v>
          </cell>
          <cell r="R981" t="str">
            <v>CA01</v>
          </cell>
          <cell r="S981">
            <v>3773</v>
          </cell>
        </row>
        <row r="982">
          <cell r="A982">
            <v>968636</v>
          </cell>
          <cell r="B982" t="str">
            <v>CRCO N34F-GT    MR1     STD CA</v>
          </cell>
          <cell r="C982">
            <v>19</v>
          </cell>
          <cell r="D982" t="str">
            <v>UN</v>
          </cell>
          <cell r="E982">
            <v>3773</v>
          </cell>
          <cell r="G982">
            <v>100</v>
          </cell>
          <cell r="H982" t="str">
            <v>NK</v>
          </cell>
          <cell r="I982" t="str">
            <v>NK CA</v>
          </cell>
          <cell r="J982" t="str">
            <v>CO110</v>
          </cell>
          <cell r="K982">
            <v>1</v>
          </cell>
          <cell r="N982">
            <v>4154.22</v>
          </cell>
          <cell r="P982" t="str">
            <v>X31085GR</v>
          </cell>
          <cell r="Q982" t="str">
            <v>01Z010315AD</v>
          </cell>
          <cell r="R982" t="str">
            <v>CA01</v>
          </cell>
          <cell r="S982">
            <v>3773</v>
          </cell>
        </row>
        <row r="983">
          <cell r="A983">
            <v>968639</v>
          </cell>
          <cell r="B983" t="str">
            <v>CRCO N31P-GT    MR2     SPC CA</v>
          </cell>
          <cell r="C983">
            <v>268</v>
          </cell>
          <cell r="D983" t="str">
            <v>UN</v>
          </cell>
          <cell r="E983">
            <v>5532</v>
          </cell>
          <cell r="G983">
            <v>100</v>
          </cell>
          <cell r="H983" t="str">
            <v>NK</v>
          </cell>
          <cell r="I983" t="str">
            <v>NK CA</v>
          </cell>
          <cell r="J983" t="str">
            <v>CO110</v>
          </cell>
          <cell r="K983">
            <v>1</v>
          </cell>
          <cell r="N983">
            <v>5011.55</v>
          </cell>
          <cell r="P983" t="str">
            <v>X3191AGL</v>
          </cell>
          <cell r="Q983" t="str">
            <v>01Z010415AJ</v>
          </cell>
          <cell r="R983" t="str">
            <v>CA01</v>
          </cell>
          <cell r="S983">
            <v>5532</v>
          </cell>
        </row>
        <row r="984">
          <cell r="A984">
            <v>968639</v>
          </cell>
          <cell r="B984" t="str">
            <v>CRCO N31P-GT    MR2     SPC CA</v>
          </cell>
          <cell r="C984">
            <v>268</v>
          </cell>
          <cell r="D984" t="str">
            <v>UN</v>
          </cell>
          <cell r="E984">
            <v>5532</v>
          </cell>
          <cell r="G984">
            <v>100</v>
          </cell>
          <cell r="H984" t="str">
            <v>NK</v>
          </cell>
          <cell r="I984" t="str">
            <v>NK CA</v>
          </cell>
          <cell r="J984" t="str">
            <v>CO110</v>
          </cell>
          <cell r="K984">
            <v>1</v>
          </cell>
          <cell r="N984">
            <v>5011.55</v>
          </cell>
          <cell r="P984" t="str">
            <v>X3191AGL</v>
          </cell>
          <cell r="Q984" t="str">
            <v>01Z010415AJ</v>
          </cell>
          <cell r="R984" t="str">
            <v>CA01</v>
          </cell>
          <cell r="S984">
            <v>5532</v>
          </cell>
        </row>
        <row r="985">
          <cell r="A985">
            <v>968640</v>
          </cell>
          <cell r="B985" t="str">
            <v>CRCO N34F-GT    MR1     SPC CA</v>
          </cell>
          <cell r="C985">
            <v>30</v>
          </cell>
          <cell r="D985" t="str">
            <v>UN</v>
          </cell>
          <cell r="E985">
            <v>4517</v>
          </cell>
          <cell r="G985">
            <v>100</v>
          </cell>
          <cell r="H985" t="str">
            <v>NK</v>
          </cell>
          <cell r="I985" t="str">
            <v>NK CA</v>
          </cell>
          <cell r="J985" t="str">
            <v>CO110</v>
          </cell>
          <cell r="K985">
            <v>1</v>
          </cell>
          <cell r="N985">
            <v>5012.67</v>
          </cell>
          <cell r="P985" t="str">
            <v>X31085GR</v>
          </cell>
          <cell r="Q985" t="str">
            <v>01Z010315AD</v>
          </cell>
          <cell r="R985" t="str">
            <v>CA01</v>
          </cell>
          <cell r="S985">
            <v>4517</v>
          </cell>
        </row>
        <row r="986">
          <cell r="A986">
            <v>968640</v>
          </cell>
          <cell r="B986" t="str">
            <v>CRCO N34F-GT    MR1     SPC CA</v>
          </cell>
          <cell r="C986">
            <v>30</v>
          </cell>
          <cell r="D986" t="str">
            <v>UN</v>
          </cell>
          <cell r="E986">
            <v>4517</v>
          </cell>
          <cell r="G986">
            <v>100</v>
          </cell>
          <cell r="H986" t="str">
            <v>NK</v>
          </cell>
          <cell r="I986" t="str">
            <v>NK CA</v>
          </cell>
          <cell r="J986" t="str">
            <v>CO110</v>
          </cell>
          <cell r="K986">
            <v>1</v>
          </cell>
          <cell r="N986">
            <v>5012.67</v>
          </cell>
          <cell r="P986" t="str">
            <v>X31085GR</v>
          </cell>
          <cell r="Q986" t="str">
            <v>01Z010315AD</v>
          </cell>
          <cell r="R986" t="str">
            <v>CA01</v>
          </cell>
          <cell r="S986">
            <v>4517</v>
          </cell>
        </row>
        <row r="987">
          <cell r="A987">
            <v>968644</v>
          </cell>
          <cell r="B987" t="str">
            <v>CRCO N34F-GT    MR2     STD CA</v>
          </cell>
          <cell r="C987">
            <v>6</v>
          </cell>
          <cell r="D987" t="str">
            <v>UN</v>
          </cell>
          <cell r="E987">
            <v>3773</v>
          </cell>
          <cell r="G987">
            <v>100</v>
          </cell>
          <cell r="H987" t="str">
            <v>NK</v>
          </cell>
          <cell r="I987" t="str">
            <v>NK CA</v>
          </cell>
          <cell r="J987" t="str">
            <v>CO110</v>
          </cell>
          <cell r="K987">
            <v>1</v>
          </cell>
          <cell r="N987">
            <v>4154.22</v>
          </cell>
          <cell r="P987" t="str">
            <v>X31085GR</v>
          </cell>
          <cell r="Q987" t="str">
            <v>01Z010315AD</v>
          </cell>
          <cell r="R987" t="str">
            <v>CA01</v>
          </cell>
          <cell r="S987">
            <v>3773</v>
          </cell>
        </row>
        <row r="988">
          <cell r="A988">
            <v>968644</v>
          </cell>
          <cell r="B988" t="str">
            <v>CRCO N34F-GT    MR2     STD CA</v>
          </cell>
          <cell r="C988">
            <v>6</v>
          </cell>
          <cell r="D988" t="str">
            <v>UN</v>
          </cell>
          <cell r="E988">
            <v>3773</v>
          </cell>
          <cell r="G988">
            <v>100</v>
          </cell>
          <cell r="H988" t="str">
            <v>NK</v>
          </cell>
          <cell r="I988" t="str">
            <v>NK CA</v>
          </cell>
          <cell r="J988" t="str">
            <v>CO110</v>
          </cell>
          <cell r="K988">
            <v>1</v>
          </cell>
          <cell r="N988">
            <v>4154.22</v>
          </cell>
          <cell r="P988" t="str">
            <v>X31085GR</v>
          </cell>
          <cell r="Q988" t="str">
            <v>01Z010315AD</v>
          </cell>
          <cell r="R988" t="str">
            <v>CA01</v>
          </cell>
          <cell r="S988">
            <v>3773</v>
          </cell>
        </row>
        <row r="989">
          <cell r="A989">
            <v>968648</v>
          </cell>
          <cell r="B989" t="str">
            <v>CRCO N34F-GT    MR2     SPC CA</v>
          </cell>
          <cell r="C989">
            <v>176</v>
          </cell>
          <cell r="D989" t="str">
            <v>UN</v>
          </cell>
          <cell r="E989">
            <v>4517</v>
          </cell>
          <cell r="G989">
            <v>100</v>
          </cell>
          <cell r="H989" t="str">
            <v>NK</v>
          </cell>
          <cell r="I989" t="str">
            <v>NK CA</v>
          </cell>
          <cell r="J989" t="str">
            <v>CO110</v>
          </cell>
          <cell r="K989">
            <v>1</v>
          </cell>
          <cell r="N989">
            <v>5012.67</v>
          </cell>
          <cell r="P989" t="str">
            <v>X31085GR</v>
          </cell>
          <cell r="Q989" t="str">
            <v>01Z010315AD</v>
          </cell>
          <cell r="R989" t="str">
            <v>CA01</v>
          </cell>
          <cell r="S989">
            <v>4517</v>
          </cell>
        </row>
        <row r="990">
          <cell r="A990">
            <v>968648</v>
          </cell>
          <cell r="B990" t="str">
            <v>CRCO N34F-GT    MR2     SPC CA</v>
          </cell>
          <cell r="C990">
            <v>176</v>
          </cell>
          <cell r="D990" t="str">
            <v>UN</v>
          </cell>
          <cell r="E990">
            <v>4517</v>
          </cell>
          <cell r="G990">
            <v>100</v>
          </cell>
          <cell r="H990" t="str">
            <v>NK</v>
          </cell>
          <cell r="I990" t="str">
            <v>NK CA</v>
          </cell>
          <cell r="J990" t="str">
            <v>CO110</v>
          </cell>
          <cell r="K990">
            <v>1</v>
          </cell>
          <cell r="N990">
            <v>5012.67</v>
          </cell>
          <cell r="P990" t="str">
            <v>X31085GR</v>
          </cell>
          <cell r="Q990" t="str">
            <v>01Z010315AD</v>
          </cell>
          <cell r="R990" t="str">
            <v>CA01</v>
          </cell>
          <cell r="S990">
            <v>4517</v>
          </cell>
        </row>
        <row r="991">
          <cell r="A991">
            <v>968691</v>
          </cell>
          <cell r="B991" t="str">
            <v>CRCO N41C-GT/CB/LL    MF1     SPC CA</v>
          </cell>
          <cell r="C991">
            <v>501</v>
          </cell>
          <cell r="D991" t="str">
            <v>UN</v>
          </cell>
          <cell r="E991">
            <v>4783</v>
          </cell>
          <cell r="G991">
            <v>100</v>
          </cell>
          <cell r="H991" t="str">
            <v>NK</v>
          </cell>
          <cell r="I991" t="str">
            <v>NK CA</v>
          </cell>
          <cell r="J991" t="str">
            <v>CO110</v>
          </cell>
          <cell r="K991">
            <v>1</v>
          </cell>
          <cell r="N991">
            <v>5012.8999999999996</v>
          </cell>
          <cell r="P991" t="str">
            <v>X4037AWG</v>
          </cell>
          <cell r="Q991" t="str">
            <v>01Z010416AE</v>
          </cell>
          <cell r="R991" t="str">
            <v>CA01</v>
          </cell>
          <cell r="S991">
            <v>4783</v>
          </cell>
        </row>
        <row r="992">
          <cell r="A992">
            <v>968691</v>
          </cell>
          <cell r="B992" t="str">
            <v>CRCO N41C-GT/CB/LL    MF1     SPC CA</v>
          </cell>
          <cell r="C992">
            <v>501</v>
          </cell>
          <cell r="D992" t="str">
            <v>UN</v>
          </cell>
          <cell r="E992">
            <v>4783</v>
          </cell>
          <cell r="G992">
            <v>100</v>
          </cell>
          <cell r="H992" t="str">
            <v>NK</v>
          </cell>
          <cell r="I992" t="str">
            <v>NK CA</v>
          </cell>
          <cell r="J992" t="str">
            <v>CO110</v>
          </cell>
          <cell r="K992">
            <v>1</v>
          </cell>
          <cell r="N992">
            <v>5012.8999999999996</v>
          </cell>
          <cell r="P992" t="str">
            <v>X4037AWG</v>
          </cell>
          <cell r="Q992" t="str">
            <v>01Z010416AE</v>
          </cell>
          <cell r="R992" t="str">
            <v>CA01</v>
          </cell>
          <cell r="S992">
            <v>4783</v>
          </cell>
        </row>
        <row r="993">
          <cell r="A993">
            <v>968695</v>
          </cell>
          <cell r="B993" t="str">
            <v>CRCO N41C-GT/CB/LL    MF2     SPC CA</v>
          </cell>
          <cell r="C993">
            <v>108</v>
          </cell>
          <cell r="D993" t="str">
            <v>UN</v>
          </cell>
          <cell r="E993">
            <v>4783</v>
          </cell>
          <cell r="G993">
            <v>100</v>
          </cell>
          <cell r="H993" t="str">
            <v>NK</v>
          </cell>
          <cell r="I993" t="str">
            <v>NK CA</v>
          </cell>
          <cell r="J993" t="str">
            <v>CO110</v>
          </cell>
          <cell r="K993">
            <v>1</v>
          </cell>
          <cell r="N993">
            <v>5012.8999999999996</v>
          </cell>
          <cell r="P993" t="str">
            <v>X4037AWG</v>
          </cell>
          <cell r="Q993" t="str">
            <v>01Z010416AE</v>
          </cell>
          <cell r="R993" t="str">
            <v>CA01</v>
          </cell>
          <cell r="S993">
            <v>4783</v>
          </cell>
        </row>
        <row r="994">
          <cell r="A994">
            <v>968695</v>
          </cell>
          <cell r="B994" t="str">
            <v>CRCO N41C-GT/CB/LL    MF2     SPC CA</v>
          </cell>
          <cell r="C994">
            <v>108</v>
          </cell>
          <cell r="D994" t="str">
            <v>UN</v>
          </cell>
          <cell r="E994">
            <v>4783</v>
          </cell>
          <cell r="G994">
            <v>100</v>
          </cell>
          <cell r="H994" t="str">
            <v>NK</v>
          </cell>
          <cell r="I994" t="str">
            <v>NK CA</v>
          </cell>
          <cell r="J994" t="str">
            <v>CO110</v>
          </cell>
          <cell r="K994">
            <v>1</v>
          </cell>
          <cell r="N994">
            <v>5012.8999999999996</v>
          </cell>
          <cell r="P994" t="str">
            <v>X4037AWG</v>
          </cell>
          <cell r="Q994" t="str">
            <v>01Z010416AE</v>
          </cell>
          <cell r="R994" t="str">
            <v>CA01</v>
          </cell>
          <cell r="S994">
            <v>4783</v>
          </cell>
        </row>
        <row r="995">
          <cell r="A995">
            <v>970939</v>
          </cell>
          <cell r="B995" t="str">
            <v>CRCO N45A-GT/CB/LL    LR70    STD CA</v>
          </cell>
          <cell r="C995">
            <v>543</v>
          </cell>
          <cell r="D995" t="str">
            <v>UN</v>
          </cell>
          <cell r="E995">
            <v>4799</v>
          </cell>
          <cell r="G995">
            <v>100</v>
          </cell>
          <cell r="H995" t="str">
            <v>NK</v>
          </cell>
          <cell r="I995" t="str">
            <v>NK CA</v>
          </cell>
          <cell r="J995" t="str">
            <v>CO110</v>
          </cell>
          <cell r="K995">
            <v>1</v>
          </cell>
          <cell r="N995">
            <v>3905.84</v>
          </cell>
          <cell r="P995" t="str">
            <v>X4555AYT</v>
          </cell>
          <cell r="Q995" t="str">
            <v>01Z01031600</v>
          </cell>
          <cell r="R995" t="str">
            <v>CA01</v>
          </cell>
          <cell r="S995">
            <v>4799</v>
          </cell>
        </row>
        <row r="996">
          <cell r="A996">
            <v>970939</v>
          </cell>
          <cell r="B996" t="str">
            <v>CRCO N45A-GT/CB/LL    LR70    STD CA</v>
          </cell>
          <cell r="C996">
            <v>543</v>
          </cell>
          <cell r="D996" t="str">
            <v>UN</v>
          </cell>
          <cell r="E996">
            <v>4799</v>
          </cell>
          <cell r="G996">
            <v>100</v>
          </cell>
          <cell r="H996" t="str">
            <v>NK</v>
          </cell>
          <cell r="I996" t="str">
            <v>NK CA</v>
          </cell>
          <cell r="J996" t="str">
            <v>CO110</v>
          </cell>
          <cell r="K996">
            <v>1</v>
          </cell>
          <cell r="N996">
            <v>3905.84</v>
          </cell>
          <cell r="P996" t="str">
            <v>X4555AYT</v>
          </cell>
          <cell r="Q996" t="str">
            <v>01Z01031600</v>
          </cell>
          <cell r="R996" t="str">
            <v>CA01</v>
          </cell>
          <cell r="S996">
            <v>4799</v>
          </cell>
        </row>
        <row r="997">
          <cell r="A997">
            <v>970940</v>
          </cell>
          <cell r="B997" t="str">
            <v>CRCO N45A-GT/CB/LL    MF1     STD CA</v>
          </cell>
          <cell r="C997">
            <v>324</v>
          </cell>
          <cell r="D997" t="str">
            <v>UN</v>
          </cell>
          <cell r="E997">
            <v>4799</v>
          </cell>
          <cell r="G997">
            <v>100</v>
          </cell>
          <cell r="H997" t="str">
            <v>NK</v>
          </cell>
          <cell r="I997" t="str">
            <v>NK CA</v>
          </cell>
          <cell r="J997" t="str">
            <v>CO110</v>
          </cell>
          <cell r="K997">
            <v>1</v>
          </cell>
          <cell r="N997">
            <v>3905.84</v>
          </cell>
          <cell r="P997" t="str">
            <v>X4555AYT</v>
          </cell>
          <cell r="Q997" t="str">
            <v>01Z01031600</v>
          </cell>
          <cell r="R997" t="str">
            <v>CA01</v>
          </cell>
          <cell r="S997">
            <v>4799</v>
          </cell>
        </row>
        <row r="998">
          <cell r="A998">
            <v>970940</v>
          </cell>
          <cell r="B998" t="str">
            <v>CRCO N45A-GT/CB/LL    MF1     STD CA</v>
          </cell>
          <cell r="C998">
            <v>324</v>
          </cell>
          <cell r="D998" t="str">
            <v>UN</v>
          </cell>
          <cell r="E998">
            <v>4799</v>
          </cell>
          <cell r="G998">
            <v>100</v>
          </cell>
          <cell r="H998" t="str">
            <v>NK</v>
          </cell>
          <cell r="I998" t="str">
            <v>NK CA</v>
          </cell>
          <cell r="J998" t="str">
            <v>CO110</v>
          </cell>
          <cell r="K998">
            <v>1</v>
          </cell>
          <cell r="N998">
            <v>3905.84</v>
          </cell>
          <cell r="P998" t="str">
            <v>X4555AYT</v>
          </cell>
          <cell r="Q998" t="str">
            <v>01Z01031600</v>
          </cell>
          <cell r="R998" t="str">
            <v>CA01</v>
          </cell>
          <cell r="S998">
            <v>4799</v>
          </cell>
        </row>
        <row r="999">
          <cell r="A999">
            <v>970941</v>
          </cell>
          <cell r="B999" t="str">
            <v>CRCO N45A-GT/CB/LL    MF2     STD CA</v>
          </cell>
          <cell r="C999">
            <v>660</v>
          </cell>
          <cell r="D999" t="str">
            <v>UN</v>
          </cell>
          <cell r="E999">
            <v>4799</v>
          </cell>
          <cell r="G999">
            <v>100</v>
          </cell>
          <cell r="H999" t="str">
            <v>NK</v>
          </cell>
          <cell r="I999" t="str">
            <v>NK CA</v>
          </cell>
          <cell r="J999" t="str">
            <v>CO110</v>
          </cell>
          <cell r="K999">
            <v>1</v>
          </cell>
          <cell r="N999">
            <v>3905.84</v>
          </cell>
          <cell r="P999" t="str">
            <v>X4555AYT</v>
          </cell>
          <cell r="Q999" t="str">
            <v>01Z01031600</v>
          </cell>
          <cell r="R999" t="str">
            <v>CA01</v>
          </cell>
          <cell r="S999">
            <v>4799</v>
          </cell>
        </row>
        <row r="1000">
          <cell r="A1000">
            <v>970941</v>
          </cell>
          <cell r="B1000" t="str">
            <v>CRCO N45A-GT/CB/LL    MF2     STD CA</v>
          </cell>
          <cell r="C1000">
            <v>660</v>
          </cell>
          <cell r="D1000" t="str">
            <v>UN</v>
          </cell>
          <cell r="E1000">
            <v>4799</v>
          </cell>
          <cell r="G1000">
            <v>100</v>
          </cell>
          <cell r="H1000" t="str">
            <v>NK</v>
          </cell>
          <cell r="I1000" t="str">
            <v>NK CA</v>
          </cell>
          <cell r="J1000" t="str">
            <v>CO110</v>
          </cell>
          <cell r="K1000">
            <v>1</v>
          </cell>
          <cell r="N1000">
            <v>3905.84</v>
          </cell>
          <cell r="P1000" t="str">
            <v>X4555AYT</v>
          </cell>
          <cell r="Q1000" t="str">
            <v>01Z01031600</v>
          </cell>
          <cell r="R1000" t="str">
            <v>CA01</v>
          </cell>
          <cell r="S1000">
            <v>4799</v>
          </cell>
        </row>
        <row r="1001">
          <cell r="A1001">
            <v>970943</v>
          </cell>
          <cell r="B1001" t="str">
            <v>CRCO N45A-GT/CB/LL    MR2     STD CA</v>
          </cell>
          <cell r="C1001">
            <v>0</v>
          </cell>
          <cell r="D1001" t="str">
            <v>UN</v>
          </cell>
          <cell r="E1001">
            <v>4799</v>
          </cell>
          <cell r="G1001">
            <v>100</v>
          </cell>
          <cell r="H1001" t="str">
            <v>NK</v>
          </cell>
          <cell r="I1001" t="str">
            <v>NK CA</v>
          </cell>
          <cell r="J1001" t="str">
            <v>CO110</v>
          </cell>
          <cell r="K1001">
            <v>1</v>
          </cell>
          <cell r="N1001">
            <v>3905.84</v>
          </cell>
          <cell r="P1001" t="str">
            <v>X4555AYT</v>
          </cell>
          <cell r="Q1001" t="str">
            <v>01Z01031600</v>
          </cell>
          <cell r="R1001" t="str">
            <v>CA01</v>
          </cell>
          <cell r="S1001">
            <v>4799</v>
          </cell>
        </row>
        <row r="1002">
          <cell r="A1002">
            <v>970943</v>
          </cell>
          <cell r="B1002" t="str">
            <v>CRCO N45A-GT/CB/LL    MR2     STD CA</v>
          </cell>
          <cell r="C1002">
            <v>0</v>
          </cell>
          <cell r="D1002" t="str">
            <v>UN</v>
          </cell>
          <cell r="E1002">
            <v>4799</v>
          </cell>
          <cell r="G1002">
            <v>100</v>
          </cell>
          <cell r="H1002" t="str">
            <v>NK</v>
          </cell>
          <cell r="I1002" t="str">
            <v>NK CA</v>
          </cell>
          <cell r="J1002" t="str">
            <v>CO110</v>
          </cell>
          <cell r="K1002">
            <v>1</v>
          </cell>
          <cell r="N1002">
            <v>3905.84</v>
          </cell>
          <cell r="P1002" t="str">
            <v>X4555AYT</v>
          </cell>
          <cell r="Q1002" t="str">
            <v>01Z01031600</v>
          </cell>
          <cell r="R1002" t="str">
            <v>CA01</v>
          </cell>
          <cell r="S1002">
            <v>4799</v>
          </cell>
        </row>
        <row r="1003">
          <cell r="A1003">
            <v>970948</v>
          </cell>
          <cell r="B1003" t="str">
            <v>CRCO N48G-CB/LL    MF1     STD CA</v>
          </cell>
          <cell r="C1003">
            <v>0</v>
          </cell>
          <cell r="D1003" t="str">
            <v>UN</v>
          </cell>
          <cell r="E1003">
            <v>4814</v>
          </cell>
          <cell r="G1003">
            <v>100</v>
          </cell>
          <cell r="H1003" t="str">
            <v>NK</v>
          </cell>
          <cell r="I1003" t="str">
            <v>NK CA</v>
          </cell>
          <cell r="J1003" t="str">
            <v>CO110</v>
          </cell>
          <cell r="K1003">
            <v>1</v>
          </cell>
          <cell r="N1003">
            <v>4176.05</v>
          </cell>
          <cell r="P1003" t="str">
            <v>X46435BB</v>
          </cell>
          <cell r="Q1003" t="str">
            <v>01Z01040644</v>
          </cell>
          <cell r="R1003" t="str">
            <v>CA01</v>
          </cell>
          <cell r="S1003">
            <v>4814</v>
          </cell>
        </row>
        <row r="1004">
          <cell r="A1004">
            <v>970948</v>
          </cell>
          <cell r="B1004" t="str">
            <v>CRCO N48G-CB/LL    MF1     STD CA</v>
          </cell>
          <cell r="C1004">
            <v>0</v>
          </cell>
          <cell r="D1004" t="str">
            <v>UN</v>
          </cell>
          <cell r="E1004">
            <v>4814</v>
          </cell>
          <cell r="G1004">
            <v>100</v>
          </cell>
          <cell r="H1004" t="str">
            <v>NK</v>
          </cell>
          <cell r="I1004" t="str">
            <v>NK CA</v>
          </cell>
          <cell r="J1004" t="str">
            <v>CO110</v>
          </cell>
          <cell r="K1004">
            <v>1</v>
          </cell>
          <cell r="N1004">
            <v>4176.05</v>
          </cell>
          <cell r="P1004" t="str">
            <v>X46435BB</v>
          </cell>
          <cell r="Q1004" t="str">
            <v>01Z01040644</v>
          </cell>
          <cell r="R1004" t="str">
            <v>CA01</v>
          </cell>
          <cell r="S1004">
            <v>4814</v>
          </cell>
        </row>
        <row r="1005">
          <cell r="A1005">
            <v>970952</v>
          </cell>
          <cell r="B1005" t="str">
            <v>CRCO N48G-CB/LL    SF90    STD CA</v>
          </cell>
          <cell r="C1005">
            <v>0</v>
          </cell>
          <cell r="D1005" t="str">
            <v>UN</v>
          </cell>
          <cell r="E1005">
            <v>4814</v>
          </cell>
          <cell r="G1005">
            <v>100</v>
          </cell>
          <cell r="H1005" t="str">
            <v>NK</v>
          </cell>
          <cell r="I1005" t="str">
            <v>NK CA</v>
          </cell>
          <cell r="J1005" t="str">
            <v>CO110</v>
          </cell>
          <cell r="K1005">
            <v>1</v>
          </cell>
          <cell r="N1005">
            <v>4176.04</v>
          </cell>
          <cell r="P1005" t="str">
            <v>X46435BB</v>
          </cell>
          <cell r="Q1005" t="str">
            <v>01Z01040644</v>
          </cell>
          <cell r="R1005" t="str">
            <v>CA01</v>
          </cell>
          <cell r="S1005">
            <v>4814</v>
          </cell>
        </row>
        <row r="1006">
          <cell r="A1006">
            <v>970952</v>
          </cell>
          <cell r="B1006" t="str">
            <v>CRCO N48G-CB/LL    SF90    STD CA</v>
          </cell>
          <cell r="C1006">
            <v>0</v>
          </cell>
          <cell r="D1006" t="str">
            <v>UN</v>
          </cell>
          <cell r="E1006">
            <v>4814</v>
          </cell>
          <cell r="G1006">
            <v>100</v>
          </cell>
          <cell r="H1006" t="str">
            <v>NK</v>
          </cell>
          <cell r="I1006" t="str">
            <v>NK CA</v>
          </cell>
          <cell r="J1006" t="str">
            <v>CO110</v>
          </cell>
          <cell r="K1006">
            <v>1</v>
          </cell>
          <cell r="N1006">
            <v>4176.04</v>
          </cell>
          <cell r="P1006" t="str">
            <v>X46435BB</v>
          </cell>
          <cell r="Q1006" t="str">
            <v>01Z01040644</v>
          </cell>
          <cell r="R1006" t="str">
            <v>CA01</v>
          </cell>
          <cell r="S1006">
            <v>4814</v>
          </cell>
        </row>
        <row r="1007">
          <cell r="A1007">
            <v>970959</v>
          </cell>
          <cell r="B1007" t="str">
            <v>CRCO N51T-GT/CB/LL    MR2     STD CA</v>
          </cell>
          <cell r="C1007">
            <v>106</v>
          </cell>
          <cell r="D1007" t="str">
            <v>UN</v>
          </cell>
          <cell r="E1007">
            <v>4567</v>
          </cell>
          <cell r="G1007">
            <v>100</v>
          </cell>
          <cell r="H1007" t="str">
            <v>NK</v>
          </cell>
          <cell r="I1007" t="str">
            <v>NK CA</v>
          </cell>
          <cell r="J1007" t="str">
            <v>CO110</v>
          </cell>
          <cell r="K1007">
            <v>1</v>
          </cell>
          <cell r="N1007">
            <v>4162.1000000000004</v>
          </cell>
          <cell r="P1007" t="str">
            <v>X5369AWG</v>
          </cell>
          <cell r="Q1007" t="str">
            <v>01Z01051601</v>
          </cell>
          <cell r="R1007" t="str">
            <v>CA01</v>
          </cell>
          <cell r="S1007">
            <v>4567</v>
          </cell>
        </row>
        <row r="1008">
          <cell r="A1008">
            <v>970959</v>
          </cell>
          <cell r="B1008" t="str">
            <v>CRCO N51T-GT/CB/LL    MR2     STD CA</v>
          </cell>
          <cell r="C1008">
            <v>106</v>
          </cell>
          <cell r="D1008" t="str">
            <v>UN</v>
          </cell>
          <cell r="E1008">
            <v>4567</v>
          </cell>
          <cell r="G1008">
            <v>100</v>
          </cell>
          <cell r="H1008" t="str">
            <v>NK</v>
          </cell>
          <cell r="I1008" t="str">
            <v>NK CA</v>
          </cell>
          <cell r="J1008" t="str">
            <v>CO110</v>
          </cell>
          <cell r="K1008">
            <v>1</v>
          </cell>
          <cell r="N1008">
            <v>4162.1000000000004</v>
          </cell>
          <cell r="P1008" t="str">
            <v>X5369AWG</v>
          </cell>
          <cell r="Q1008" t="str">
            <v>01Z01051601</v>
          </cell>
          <cell r="R1008" t="str">
            <v>CA01</v>
          </cell>
          <cell r="S1008">
            <v>4567</v>
          </cell>
        </row>
        <row r="1009">
          <cell r="A1009">
            <v>970963</v>
          </cell>
          <cell r="B1009" t="str">
            <v>CRCO N64Z-00    LR70    STD CA</v>
          </cell>
          <cell r="C1009">
            <v>193</v>
          </cell>
          <cell r="D1009" t="str">
            <v>UN</v>
          </cell>
          <cell r="E1009">
            <v>4560</v>
          </cell>
          <cell r="G1009">
            <v>100</v>
          </cell>
          <cell r="H1009" t="str">
            <v>NK</v>
          </cell>
          <cell r="I1009" t="str">
            <v>NK CA</v>
          </cell>
          <cell r="J1009" t="str">
            <v>CO110</v>
          </cell>
          <cell r="K1009">
            <v>1</v>
          </cell>
          <cell r="N1009">
            <v>4162.1000000000004</v>
          </cell>
          <cell r="P1009" t="str">
            <v>X61476</v>
          </cell>
          <cell r="Q1009" t="str">
            <v>01Z0106011B</v>
          </cell>
          <cell r="R1009" t="str">
            <v>CA01</v>
          </cell>
          <cell r="S1009">
            <v>4560</v>
          </cell>
        </row>
        <row r="1010">
          <cell r="A1010">
            <v>970963</v>
          </cell>
          <cell r="B1010" t="str">
            <v>CRCO N64Z-00    LR70    STD CA</v>
          </cell>
          <cell r="C1010">
            <v>193</v>
          </cell>
          <cell r="D1010" t="str">
            <v>UN</v>
          </cell>
          <cell r="E1010">
            <v>4560</v>
          </cell>
          <cell r="G1010">
            <v>100</v>
          </cell>
          <cell r="H1010" t="str">
            <v>NK</v>
          </cell>
          <cell r="I1010" t="str">
            <v>NK CA</v>
          </cell>
          <cell r="J1010" t="str">
            <v>CO110</v>
          </cell>
          <cell r="K1010">
            <v>1</v>
          </cell>
          <cell r="N1010">
            <v>4162.1000000000004</v>
          </cell>
          <cell r="P1010" t="str">
            <v>X61476</v>
          </cell>
          <cell r="Q1010" t="str">
            <v>01Z0106011B</v>
          </cell>
          <cell r="R1010" t="str">
            <v>CA01</v>
          </cell>
          <cell r="S1010">
            <v>4560</v>
          </cell>
        </row>
        <row r="1011">
          <cell r="A1011">
            <v>970967</v>
          </cell>
          <cell r="B1011" t="str">
            <v>CRCO N64Z-00    MR2     STD CA</v>
          </cell>
          <cell r="C1011">
            <v>211</v>
          </cell>
          <cell r="D1011" t="str">
            <v>UN</v>
          </cell>
          <cell r="E1011">
            <v>4560</v>
          </cell>
          <cell r="G1011">
            <v>100</v>
          </cell>
          <cell r="H1011" t="str">
            <v>NK</v>
          </cell>
          <cell r="I1011" t="str">
            <v>NK CA</v>
          </cell>
          <cell r="J1011" t="str">
            <v>CO110</v>
          </cell>
          <cell r="K1011">
            <v>1</v>
          </cell>
          <cell r="N1011">
            <v>4162.1000000000004</v>
          </cell>
          <cell r="P1011" t="str">
            <v>X61476</v>
          </cell>
          <cell r="Q1011" t="str">
            <v>01Z0106011B</v>
          </cell>
          <cell r="R1011" t="str">
            <v>CA01</v>
          </cell>
          <cell r="S1011">
            <v>4560</v>
          </cell>
        </row>
        <row r="1012">
          <cell r="A1012">
            <v>970967</v>
          </cell>
          <cell r="B1012" t="str">
            <v>CRCO N64Z-00    MR2     STD CA</v>
          </cell>
          <cell r="C1012">
            <v>211</v>
          </cell>
          <cell r="D1012" t="str">
            <v>UN</v>
          </cell>
          <cell r="E1012">
            <v>4560</v>
          </cell>
          <cell r="G1012">
            <v>100</v>
          </cell>
          <cell r="H1012" t="str">
            <v>NK</v>
          </cell>
          <cell r="I1012" t="str">
            <v>NK CA</v>
          </cell>
          <cell r="J1012" t="str">
            <v>CO110</v>
          </cell>
          <cell r="K1012">
            <v>1</v>
          </cell>
          <cell r="N1012">
            <v>4162.1000000000004</v>
          </cell>
          <cell r="P1012" t="str">
            <v>X61476</v>
          </cell>
          <cell r="Q1012" t="str">
            <v>01Z0106011B</v>
          </cell>
          <cell r="R1012" t="str">
            <v>CA01</v>
          </cell>
          <cell r="S1012">
            <v>4560</v>
          </cell>
        </row>
        <row r="1013">
          <cell r="A1013">
            <v>971005</v>
          </cell>
          <cell r="B1013" t="str">
            <v>CRCO N41C-3000GT    MF2     STD CA</v>
          </cell>
          <cell r="C1013">
            <v>12</v>
          </cell>
          <cell r="D1013" t="str">
            <v>UN</v>
          </cell>
          <cell r="E1013">
            <v>3836.27</v>
          </cell>
          <cell r="G1013">
            <v>100</v>
          </cell>
          <cell r="H1013" t="str">
            <v>NK</v>
          </cell>
          <cell r="I1013" t="str">
            <v>NK CA</v>
          </cell>
          <cell r="J1013" t="str">
            <v>CO110</v>
          </cell>
          <cell r="K1013">
            <v>1</v>
          </cell>
          <cell r="N1013">
            <v>4154.45</v>
          </cell>
          <cell r="P1013" t="str">
            <v>X4037AWP</v>
          </cell>
          <cell r="Q1013" t="str">
            <v>01Z01043901</v>
          </cell>
          <cell r="R1013" t="str">
            <v>CA01</v>
          </cell>
          <cell r="S1013">
            <v>3836.27</v>
          </cell>
        </row>
        <row r="1014">
          <cell r="A1014">
            <v>971005</v>
          </cell>
          <cell r="B1014" t="str">
            <v>CRCO N41C-3000GT    MF2     STD CA</v>
          </cell>
          <cell r="C1014">
            <v>12</v>
          </cell>
          <cell r="D1014" t="str">
            <v>UN</v>
          </cell>
          <cell r="E1014">
            <v>3836.27</v>
          </cell>
          <cell r="G1014">
            <v>100</v>
          </cell>
          <cell r="H1014" t="str">
            <v>NK</v>
          </cell>
          <cell r="I1014" t="str">
            <v>NK CA</v>
          </cell>
          <cell r="J1014" t="str">
            <v>CO110</v>
          </cell>
          <cell r="K1014">
            <v>1</v>
          </cell>
          <cell r="N1014">
            <v>4154.45</v>
          </cell>
          <cell r="P1014" t="str">
            <v>X4037AWP</v>
          </cell>
          <cell r="Q1014" t="str">
            <v>01Z01043901</v>
          </cell>
          <cell r="R1014" t="str">
            <v>CA01</v>
          </cell>
          <cell r="S1014">
            <v>3836.27</v>
          </cell>
        </row>
        <row r="1015">
          <cell r="A1015">
            <v>971022</v>
          </cell>
          <cell r="B1015" t="str">
            <v>CRCO N45A-LL    MR1     STD CA</v>
          </cell>
          <cell r="C1015">
            <v>300</v>
          </cell>
          <cell r="D1015" t="str">
            <v>UN</v>
          </cell>
          <cell r="E1015">
            <v>4787</v>
          </cell>
          <cell r="G1015">
            <v>100</v>
          </cell>
          <cell r="H1015" t="str">
            <v>NK</v>
          </cell>
          <cell r="I1015" t="str">
            <v>NK CA</v>
          </cell>
          <cell r="J1015" t="str">
            <v>CO110</v>
          </cell>
          <cell r="K1015">
            <v>1</v>
          </cell>
          <cell r="N1015">
            <v>4151.97</v>
          </cell>
          <cell r="P1015" t="str">
            <v>X4555AHI</v>
          </cell>
          <cell r="Q1015" t="str">
            <v>01Z010410AF</v>
          </cell>
          <cell r="R1015" t="str">
            <v>CA01</v>
          </cell>
          <cell r="S1015">
            <v>4787</v>
          </cell>
        </row>
        <row r="1016">
          <cell r="A1016">
            <v>971022</v>
          </cell>
          <cell r="B1016" t="str">
            <v>CRCO N45A-LL    MR1     STD CA</v>
          </cell>
          <cell r="C1016">
            <v>300</v>
          </cell>
          <cell r="D1016" t="str">
            <v>UN</v>
          </cell>
          <cell r="E1016">
            <v>4787</v>
          </cell>
          <cell r="G1016">
            <v>100</v>
          </cell>
          <cell r="H1016" t="str">
            <v>NK</v>
          </cell>
          <cell r="I1016" t="str">
            <v>NK CA</v>
          </cell>
          <cell r="J1016" t="str">
            <v>CO110</v>
          </cell>
          <cell r="K1016">
            <v>1</v>
          </cell>
          <cell r="N1016">
            <v>4151.97</v>
          </cell>
          <cell r="P1016" t="str">
            <v>X4555AHI</v>
          </cell>
          <cell r="Q1016" t="str">
            <v>01Z010410AF</v>
          </cell>
          <cell r="R1016" t="str">
            <v>CA01</v>
          </cell>
          <cell r="S1016">
            <v>4787</v>
          </cell>
        </row>
        <row r="1017">
          <cell r="A1017">
            <v>971027</v>
          </cell>
          <cell r="B1017" t="str">
            <v>CRCO N23F-GT/CB/LL    LR70    STD CA</v>
          </cell>
          <cell r="C1017">
            <v>105</v>
          </cell>
          <cell r="D1017" t="str">
            <v>UN</v>
          </cell>
          <cell r="E1017">
            <v>478900</v>
          </cell>
          <cell r="G1017">
            <v>10000</v>
          </cell>
          <cell r="H1017" t="str">
            <v>NK</v>
          </cell>
          <cell r="I1017" t="str">
            <v>NK CA</v>
          </cell>
          <cell r="J1017" t="str">
            <v>CO110</v>
          </cell>
          <cell r="K1017">
            <v>1</v>
          </cell>
          <cell r="N1017">
            <v>415377.18</v>
          </cell>
          <cell r="P1017" t="str">
            <v>X23114YT</v>
          </cell>
          <cell r="Q1017" t="str">
            <v>01Z010216AE</v>
          </cell>
          <cell r="R1017" t="str">
            <v>CA01</v>
          </cell>
          <cell r="S1017">
            <v>478900</v>
          </cell>
        </row>
        <row r="1018">
          <cell r="A1018">
            <v>971027</v>
          </cell>
          <cell r="B1018" t="str">
            <v>CRCO N23F-GT/CB/LL    LR70    STD CA</v>
          </cell>
          <cell r="C1018">
            <v>105</v>
          </cell>
          <cell r="D1018" t="str">
            <v>UN</v>
          </cell>
          <cell r="E1018">
            <v>478900</v>
          </cell>
          <cell r="G1018">
            <v>10000</v>
          </cell>
          <cell r="H1018" t="str">
            <v>NK</v>
          </cell>
          <cell r="I1018" t="str">
            <v>NK CA</v>
          </cell>
          <cell r="J1018" t="str">
            <v>CO110</v>
          </cell>
          <cell r="K1018">
            <v>1</v>
          </cell>
          <cell r="N1018">
            <v>415377.18</v>
          </cell>
          <cell r="P1018" t="str">
            <v>X23114YT</v>
          </cell>
          <cell r="Q1018" t="str">
            <v>01Z010216AE</v>
          </cell>
          <cell r="R1018" t="str">
            <v>CA01</v>
          </cell>
          <cell r="S1018">
            <v>478900</v>
          </cell>
        </row>
        <row r="1019">
          <cell r="A1019">
            <v>971028</v>
          </cell>
          <cell r="B1019" t="str">
            <v>CRCO N23F-GT/CB/LL    MF1     STD CA</v>
          </cell>
          <cell r="C1019">
            <v>76</v>
          </cell>
          <cell r="D1019" t="str">
            <v>UN</v>
          </cell>
          <cell r="E1019">
            <v>478900</v>
          </cell>
          <cell r="G1019">
            <v>10000</v>
          </cell>
          <cell r="H1019" t="str">
            <v>NK</v>
          </cell>
          <cell r="I1019" t="str">
            <v>NK CA</v>
          </cell>
          <cell r="J1019" t="str">
            <v>CO110</v>
          </cell>
          <cell r="K1019">
            <v>1</v>
          </cell>
          <cell r="N1019">
            <v>415377.18</v>
          </cell>
          <cell r="P1019" t="str">
            <v>X23114YT</v>
          </cell>
          <cell r="Q1019" t="str">
            <v>01Z010216AE</v>
          </cell>
          <cell r="R1019" t="str">
            <v>CA01</v>
          </cell>
          <cell r="S1019">
            <v>478900</v>
          </cell>
        </row>
        <row r="1020">
          <cell r="A1020">
            <v>971028</v>
          </cell>
          <cell r="B1020" t="str">
            <v>CRCO N23F-GT/CB/LL    MF1     STD CA</v>
          </cell>
          <cell r="C1020">
            <v>76</v>
          </cell>
          <cell r="D1020" t="str">
            <v>UN</v>
          </cell>
          <cell r="E1020">
            <v>478900</v>
          </cell>
          <cell r="G1020">
            <v>10000</v>
          </cell>
          <cell r="H1020" t="str">
            <v>NK</v>
          </cell>
          <cell r="I1020" t="str">
            <v>NK CA</v>
          </cell>
          <cell r="J1020" t="str">
            <v>CO110</v>
          </cell>
          <cell r="K1020">
            <v>1</v>
          </cell>
          <cell r="N1020">
            <v>415377.18</v>
          </cell>
          <cell r="P1020" t="str">
            <v>X23114YT</v>
          </cell>
          <cell r="Q1020" t="str">
            <v>01Z010216AE</v>
          </cell>
          <cell r="R1020" t="str">
            <v>CA01</v>
          </cell>
          <cell r="S1020">
            <v>478900</v>
          </cell>
        </row>
        <row r="1021">
          <cell r="A1021">
            <v>971029</v>
          </cell>
          <cell r="B1021" t="str">
            <v>CRCO N23F-GT/CB/LL    MF2     STD CA</v>
          </cell>
          <cell r="C1021">
            <v>0</v>
          </cell>
          <cell r="D1021" t="str">
            <v>UN</v>
          </cell>
          <cell r="E1021">
            <v>478900</v>
          </cell>
          <cell r="G1021">
            <v>10000</v>
          </cell>
          <cell r="H1021" t="str">
            <v>NK</v>
          </cell>
          <cell r="I1021" t="str">
            <v>NK CA</v>
          </cell>
          <cell r="J1021" t="str">
            <v>CO110</v>
          </cell>
          <cell r="K1021">
            <v>1</v>
          </cell>
          <cell r="N1021">
            <v>415377.18</v>
          </cell>
          <cell r="P1021" t="str">
            <v>X23114YT</v>
          </cell>
          <cell r="Q1021" t="str">
            <v>01Z010216AE</v>
          </cell>
          <cell r="R1021" t="str">
            <v>CA01</v>
          </cell>
          <cell r="S1021">
            <v>478900</v>
          </cell>
        </row>
        <row r="1022">
          <cell r="A1022">
            <v>971029</v>
          </cell>
          <cell r="B1022" t="str">
            <v>CRCO N23F-GT/CB/LL    MF2     STD CA</v>
          </cell>
          <cell r="C1022">
            <v>0</v>
          </cell>
          <cell r="D1022" t="str">
            <v>UN</v>
          </cell>
          <cell r="E1022">
            <v>478900</v>
          </cell>
          <cell r="G1022">
            <v>10000</v>
          </cell>
          <cell r="H1022" t="str">
            <v>NK</v>
          </cell>
          <cell r="I1022" t="str">
            <v>NK CA</v>
          </cell>
          <cell r="J1022" t="str">
            <v>CO110</v>
          </cell>
          <cell r="K1022">
            <v>1</v>
          </cell>
          <cell r="N1022">
            <v>415377.18</v>
          </cell>
          <cell r="P1022" t="str">
            <v>X23114YT</v>
          </cell>
          <cell r="Q1022" t="str">
            <v>01Z010216AE</v>
          </cell>
          <cell r="R1022" t="str">
            <v>CA01</v>
          </cell>
          <cell r="S1022">
            <v>478900</v>
          </cell>
        </row>
        <row r="1023">
          <cell r="A1023">
            <v>971031</v>
          </cell>
          <cell r="B1023" t="str">
            <v>CRCO N23F-GT/CB/LL    MR2     STD CA</v>
          </cell>
          <cell r="C1023">
            <v>10</v>
          </cell>
          <cell r="D1023" t="str">
            <v>UN</v>
          </cell>
          <cell r="E1023">
            <v>478900</v>
          </cell>
          <cell r="G1023">
            <v>10000</v>
          </cell>
          <cell r="H1023" t="str">
            <v>NK</v>
          </cell>
          <cell r="I1023" t="str">
            <v>NK CA</v>
          </cell>
          <cell r="J1023" t="str">
            <v>CO110</v>
          </cell>
          <cell r="K1023">
            <v>1</v>
          </cell>
          <cell r="N1023">
            <v>415377.18</v>
          </cell>
          <cell r="P1023" t="str">
            <v>X23114YT</v>
          </cell>
          <cell r="Q1023" t="str">
            <v>01Z010216AE</v>
          </cell>
          <cell r="R1023" t="str">
            <v>CA01</v>
          </cell>
          <cell r="S1023">
            <v>478900</v>
          </cell>
        </row>
        <row r="1024">
          <cell r="A1024">
            <v>971031</v>
          </cell>
          <cell r="B1024" t="str">
            <v>CRCO N23F-GT/CB/LL    MR2     STD CA</v>
          </cell>
          <cell r="C1024">
            <v>10</v>
          </cell>
          <cell r="D1024" t="str">
            <v>UN</v>
          </cell>
          <cell r="E1024">
            <v>478900</v>
          </cell>
          <cell r="G1024">
            <v>10000</v>
          </cell>
          <cell r="H1024" t="str">
            <v>NK</v>
          </cell>
          <cell r="I1024" t="str">
            <v>NK CA</v>
          </cell>
          <cell r="J1024" t="str">
            <v>CO110</v>
          </cell>
          <cell r="K1024">
            <v>1</v>
          </cell>
          <cell r="N1024">
            <v>415377.18</v>
          </cell>
          <cell r="P1024" t="str">
            <v>X23114YT</v>
          </cell>
          <cell r="Q1024" t="str">
            <v>01Z010216AE</v>
          </cell>
          <cell r="R1024" t="str">
            <v>CA01</v>
          </cell>
          <cell r="S1024">
            <v>478900</v>
          </cell>
        </row>
        <row r="1025">
          <cell r="A1025">
            <v>971035</v>
          </cell>
          <cell r="B1025" t="str">
            <v>CRCO N45A-GT    MF1     STD CA</v>
          </cell>
          <cell r="C1025">
            <v>108</v>
          </cell>
          <cell r="D1025" t="str">
            <v>UN</v>
          </cell>
          <cell r="E1025">
            <v>4788.71</v>
          </cell>
          <cell r="G1025">
            <v>100</v>
          </cell>
          <cell r="H1025" t="str">
            <v>NK</v>
          </cell>
          <cell r="I1025" t="str">
            <v>NK CA</v>
          </cell>
          <cell r="J1025" t="str">
            <v>CO110</v>
          </cell>
          <cell r="K1025">
            <v>1</v>
          </cell>
          <cell r="N1025">
            <v>4154.22</v>
          </cell>
          <cell r="P1025" t="str">
            <v>X4555AGB</v>
          </cell>
          <cell r="Q1025" t="str">
            <v>01Z010415AH</v>
          </cell>
          <cell r="R1025" t="str">
            <v>CA01</v>
          </cell>
          <cell r="S1025">
            <v>4788.71</v>
          </cell>
        </row>
        <row r="1026">
          <cell r="A1026">
            <v>971035</v>
          </cell>
          <cell r="B1026" t="str">
            <v>CRCO N45A-GT    MF1     STD CA</v>
          </cell>
          <cell r="C1026">
            <v>108</v>
          </cell>
          <cell r="D1026" t="str">
            <v>UN</v>
          </cell>
          <cell r="E1026">
            <v>4788.71</v>
          </cell>
          <cell r="G1026">
            <v>100</v>
          </cell>
          <cell r="H1026" t="str">
            <v>NK</v>
          </cell>
          <cell r="I1026" t="str">
            <v>NK CA</v>
          </cell>
          <cell r="J1026" t="str">
            <v>CO110</v>
          </cell>
          <cell r="K1026">
            <v>1</v>
          </cell>
          <cell r="N1026">
            <v>4154.22</v>
          </cell>
          <cell r="P1026" t="str">
            <v>X4555AGB</v>
          </cell>
          <cell r="Q1026" t="str">
            <v>01Z010415AH</v>
          </cell>
          <cell r="R1026" t="str">
            <v>CA01</v>
          </cell>
          <cell r="S1026">
            <v>4788.71</v>
          </cell>
        </row>
        <row r="1027">
          <cell r="A1027">
            <v>971037</v>
          </cell>
          <cell r="B1027" t="str">
            <v>CRCO N45A-GT    MF2     STD CA</v>
          </cell>
          <cell r="C1027">
            <v>98</v>
          </cell>
          <cell r="D1027" t="str">
            <v>UN</v>
          </cell>
          <cell r="E1027">
            <v>4788.71</v>
          </cell>
          <cell r="G1027">
            <v>100</v>
          </cell>
          <cell r="H1027" t="str">
            <v>NK</v>
          </cell>
          <cell r="I1027" t="str">
            <v>NK CA</v>
          </cell>
          <cell r="J1027" t="str">
            <v>CO110</v>
          </cell>
          <cell r="K1027">
            <v>1</v>
          </cell>
          <cell r="N1027">
            <v>4154.22</v>
          </cell>
          <cell r="P1027" t="str">
            <v>X4555AGB</v>
          </cell>
          <cell r="Q1027" t="str">
            <v>01Z010415AH</v>
          </cell>
          <cell r="R1027" t="str">
            <v>CA01</v>
          </cell>
          <cell r="S1027">
            <v>4788.71</v>
          </cell>
        </row>
        <row r="1028">
          <cell r="A1028">
            <v>971037</v>
          </cell>
          <cell r="B1028" t="str">
            <v>CRCO N45A-GT    MF2     STD CA</v>
          </cell>
          <cell r="C1028">
            <v>98</v>
          </cell>
          <cell r="D1028" t="str">
            <v>UN</v>
          </cell>
          <cell r="E1028">
            <v>4788.71</v>
          </cell>
          <cell r="G1028">
            <v>100</v>
          </cell>
          <cell r="H1028" t="str">
            <v>NK</v>
          </cell>
          <cell r="I1028" t="str">
            <v>NK CA</v>
          </cell>
          <cell r="J1028" t="str">
            <v>CO110</v>
          </cell>
          <cell r="K1028">
            <v>1</v>
          </cell>
          <cell r="N1028">
            <v>4154.22</v>
          </cell>
          <cell r="P1028" t="str">
            <v>X4555AGB</v>
          </cell>
          <cell r="Q1028" t="str">
            <v>01Z010415AH</v>
          </cell>
          <cell r="R1028" t="str">
            <v>CA01</v>
          </cell>
          <cell r="S1028">
            <v>4788.71</v>
          </cell>
        </row>
        <row r="1029">
          <cell r="A1029">
            <v>971039</v>
          </cell>
          <cell r="B1029" t="str">
            <v>CRCO N45A-GT    MR2     STD CA</v>
          </cell>
          <cell r="C1029">
            <v>182</v>
          </cell>
          <cell r="D1029" t="str">
            <v>UN</v>
          </cell>
          <cell r="E1029">
            <v>4788.71</v>
          </cell>
          <cell r="G1029">
            <v>100</v>
          </cell>
          <cell r="H1029" t="str">
            <v>NK</v>
          </cell>
          <cell r="I1029" t="str">
            <v>NK CA</v>
          </cell>
          <cell r="J1029" t="str">
            <v>CO110</v>
          </cell>
          <cell r="K1029">
            <v>1</v>
          </cell>
          <cell r="N1029">
            <v>4154.22</v>
          </cell>
          <cell r="P1029" t="str">
            <v>X4555AGB</v>
          </cell>
          <cell r="Q1029" t="str">
            <v>01Z010415AH</v>
          </cell>
          <cell r="R1029" t="str">
            <v>CA01</v>
          </cell>
          <cell r="S1029">
            <v>4788.71</v>
          </cell>
        </row>
        <row r="1030">
          <cell r="A1030">
            <v>971039</v>
          </cell>
          <cell r="B1030" t="str">
            <v>CRCO N45A-GT    MR2     STD CA</v>
          </cell>
          <cell r="C1030">
            <v>182</v>
          </cell>
          <cell r="D1030" t="str">
            <v>UN</v>
          </cell>
          <cell r="E1030">
            <v>4788.71</v>
          </cell>
          <cell r="G1030">
            <v>100</v>
          </cell>
          <cell r="H1030" t="str">
            <v>NK</v>
          </cell>
          <cell r="I1030" t="str">
            <v>NK CA</v>
          </cell>
          <cell r="J1030" t="str">
            <v>CO110</v>
          </cell>
          <cell r="K1030">
            <v>1</v>
          </cell>
          <cell r="N1030">
            <v>4154.22</v>
          </cell>
          <cell r="P1030" t="str">
            <v>X4555AGB</v>
          </cell>
          <cell r="Q1030" t="str">
            <v>01Z010415AH</v>
          </cell>
          <cell r="R1030" t="str">
            <v>CA01</v>
          </cell>
          <cell r="S1030">
            <v>4788.71</v>
          </cell>
        </row>
        <row r="1031">
          <cell r="A1031">
            <v>971285</v>
          </cell>
          <cell r="B1031" t="str">
            <v>CRCO N45A-GT    MF1     SPC CA</v>
          </cell>
          <cell r="C1031">
            <v>222</v>
          </cell>
          <cell r="D1031" t="str">
            <v>UN</v>
          </cell>
          <cell r="E1031">
            <v>5532.86</v>
          </cell>
          <cell r="G1031">
            <v>100</v>
          </cell>
          <cell r="H1031" t="str">
            <v>NK</v>
          </cell>
          <cell r="I1031" t="str">
            <v>NK CA</v>
          </cell>
          <cell r="J1031" t="str">
            <v>CO110</v>
          </cell>
          <cell r="K1031">
            <v>1</v>
          </cell>
          <cell r="N1031">
            <v>5012.67</v>
          </cell>
          <cell r="P1031" t="str">
            <v>X4555AGB</v>
          </cell>
          <cell r="Q1031" t="str">
            <v>01Z010415AH</v>
          </cell>
          <cell r="R1031" t="str">
            <v>CA01</v>
          </cell>
          <cell r="S1031">
            <v>5532.86</v>
          </cell>
        </row>
        <row r="1032">
          <cell r="A1032">
            <v>971285</v>
          </cell>
          <cell r="B1032" t="str">
            <v>CRCO N45A-GT    MF1     SPC CA</v>
          </cell>
          <cell r="C1032">
            <v>222</v>
          </cell>
          <cell r="D1032" t="str">
            <v>UN</v>
          </cell>
          <cell r="E1032">
            <v>5532.86</v>
          </cell>
          <cell r="G1032">
            <v>100</v>
          </cell>
          <cell r="H1032" t="str">
            <v>NK</v>
          </cell>
          <cell r="I1032" t="str">
            <v>NK CA</v>
          </cell>
          <cell r="J1032" t="str">
            <v>CO110</v>
          </cell>
          <cell r="K1032">
            <v>1</v>
          </cell>
          <cell r="N1032">
            <v>5012.67</v>
          </cell>
          <cell r="P1032" t="str">
            <v>X4555AGB</v>
          </cell>
          <cell r="Q1032" t="str">
            <v>01Z010415AH</v>
          </cell>
          <cell r="R1032" t="str">
            <v>CA01</v>
          </cell>
          <cell r="S1032">
            <v>5532.86</v>
          </cell>
        </row>
        <row r="1033">
          <cell r="A1033">
            <v>971288</v>
          </cell>
          <cell r="B1033" t="str">
            <v>CRCO N45A-GT    MF2     SPC CA</v>
          </cell>
          <cell r="C1033">
            <v>190</v>
          </cell>
          <cell r="D1033" t="str">
            <v>UN</v>
          </cell>
          <cell r="E1033">
            <v>5532.86</v>
          </cell>
          <cell r="G1033">
            <v>100</v>
          </cell>
          <cell r="H1033" t="str">
            <v>NK</v>
          </cell>
          <cell r="I1033" t="str">
            <v>NK CA</v>
          </cell>
          <cell r="J1033" t="str">
            <v>CO110</v>
          </cell>
          <cell r="K1033">
            <v>1</v>
          </cell>
          <cell r="N1033">
            <v>5012.67</v>
          </cell>
          <cell r="P1033" t="str">
            <v>X4555AGB</v>
          </cell>
          <cell r="Q1033" t="str">
            <v>01Z010415AH</v>
          </cell>
          <cell r="R1033" t="str">
            <v>CA01</v>
          </cell>
          <cell r="S1033">
            <v>5532.86</v>
          </cell>
        </row>
        <row r="1034">
          <cell r="A1034">
            <v>971288</v>
          </cell>
          <cell r="B1034" t="str">
            <v>CRCO N45A-GT    MF2     SPC CA</v>
          </cell>
          <cell r="C1034">
            <v>190</v>
          </cell>
          <cell r="D1034" t="str">
            <v>UN</v>
          </cell>
          <cell r="E1034">
            <v>5532.86</v>
          </cell>
          <cell r="G1034">
            <v>100</v>
          </cell>
          <cell r="H1034" t="str">
            <v>NK</v>
          </cell>
          <cell r="I1034" t="str">
            <v>NK CA</v>
          </cell>
          <cell r="J1034" t="str">
            <v>CO110</v>
          </cell>
          <cell r="K1034">
            <v>1</v>
          </cell>
          <cell r="N1034">
            <v>5012.67</v>
          </cell>
          <cell r="P1034" t="str">
            <v>X4555AGB</v>
          </cell>
          <cell r="Q1034" t="str">
            <v>01Z010415AH</v>
          </cell>
          <cell r="R1034" t="str">
            <v>CA01</v>
          </cell>
          <cell r="S1034">
            <v>5532.86</v>
          </cell>
        </row>
        <row r="1035">
          <cell r="A1035">
            <v>971294</v>
          </cell>
          <cell r="B1035" t="str">
            <v>CRCO N45A-GT    MR2     SPC CA</v>
          </cell>
          <cell r="C1035">
            <v>415</v>
          </cell>
          <cell r="D1035" t="str">
            <v>UN</v>
          </cell>
          <cell r="E1035">
            <v>5532.86</v>
          </cell>
          <cell r="G1035">
            <v>100</v>
          </cell>
          <cell r="H1035" t="str">
            <v>NK</v>
          </cell>
          <cell r="I1035" t="str">
            <v>NK CA</v>
          </cell>
          <cell r="J1035" t="str">
            <v>CO110</v>
          </cell>
          <cell r="K1035">
            <v>1</v>
          </cell>
          <cell r="N1035">
            <v>5012.67</v>
          </cell>
          <cell r="P1035" t="str">
            <v>X4555AGB</v>
          </cell>
          <cell r="Q1035" t="str">
            <v>01Z010415AH</v>
          </cell>
          <cell r="R1035" t="str">
            <v>CA01</v>
          </cell>
          <cell r="S1035">
            <v>5532.86</v>
          </cell>
        </row>
        <row r="1036">
          <cell r="A1036">
            <v>971294</v>
          </cell>
          <cell r="B1036" t="str">
            <v>CRCO N45A-GT    MR2     SPC CA</v>
          </cell>
          <cell r="C1036">
            <v>415</v>
          </cell>
          <cell r="D1036" t="str">
            <v>UN</v>
          </cell>
          <cell r="E1036">
            <v>5532.86</v>
          </cell>
          <cell r="G1036">
            <v>100</v>
          </cell>
          <cell r="H1036" t="str">
            <v>NK</v>
          </cell>
          <cell r="I1036" t="str">
            <v>NK CA</v>
          </cell>
          <cell r="J1036" t="str">
            <v>CO110</v>
          </cell>
          <cell r="K1036">
            <v>1</v>
          </cell>
          <cell r="N1036">
            <v>5012.67</v>
          </cell>
          <cell r="P1036" t="str">
            <v>X4555AGB</v>
          </cell>
          <cell r="Q1036" t="str">
            <v>01Z010415AH</v>
          </cell>
          <cell r="R1036" t="str">
            <v>CA01</v>
          </cell>
          <cell r="S1036">
            <v>5532.86</v>
          </cell>
        </row>
        <row r="1037">
          <cell r="A1037">
            <v>971318</v>
          </cell>
          <cell r="B1037" t="str">
            <v>CRCO N45A-GT/CB/LL    LR70    SPC CA</v>
          </cell>
          <cell r="C1037">
            <v>1037</v>
          </cell>
          <cell r="D1037" t="str">
            <v>UN</v>
          </cell>
          <cell r="E1037">
            <v>5543</v>
          </cell>
          <cell r="G1037">
            <v>100</v>
          </cell>
          <cell r="H1037" t="str">
            <v>NK</v>
          </cell>
          <cell r="I1037" t="str">
            <v>NK CA</v>
          </cell>
          <cell r="J1037" t="str">
            <v>CO110</v>
          </cell>
          <cell r="K1037">
            <v>1</v>
          </cell>
          <cell r="N1037">
            <v>4758.03</v>
          </cell>
          <cell r="P1037" t="str">
            <v>X4555AYT</v>
          </cell>
          <cell r="Q1037" t="str">
            <v>01Z01031600</v>
          </cell>
          <cell r="R1037" t="str">
            <v>CA01</v>
          </cell>
          <cell r="S1037">
            <v>5543</v>
          </cell>
        </row>
        <row r="1038">
          <cell r="A1038">
            <v>971318</v>
          </cell>
          <cell r="B1038" t="str">
            <v>CRCO N45A-GT/CB/LL    LR70    SPC CA</v>
          </cell>
          <cell r="C1038">
            <v>1037</v>
          </cell>
          <cell r="D1038" t="str">
            <v>UN</v>
          </cell>
          <cell r="E1038">
            <v>5543</v>
          </cell>
          <cell r="G1038">
            <v>100</v>
          </cell>
          <cell r="H1038" t="str">
            <v>NK</v>
          </cell>
          <cell r="I1038" t="str">
            <v>NK CA</v>
          </cell>
          <cell r="J1038" t="str">
            <v>CO110</v>
          </cell>
          <cell r="K1038">
            <v>1</v>
          </cell>
          <cell r="N1038">
            <v>4758.03</v>
          </cell>
          <cell r="P1038" t="str">
            <v>X4555AYT</v>
          </cell>
          <cell r="Q1038" t="str">
            <v>01Z01031600</v>
          </cell>
          <cell r="R1038" t="str">
            <v>CA01</v>
          </cell>
          <cell r="S1038">
            <v>5543</v>
          </cell>
        </row>
        <row r="1039">
          <cell r="A1039">
            <v>971321</v>
          </cell>
          <cell r="B1039" t="str">
            <v>CRCO N45A-GT/CB/LL    MF1     SPC CA</v>
          </cell>
          <cell r="C1039">
            <v>723</v>
          </cell>
          <cell r="D1039" t="str">
            <v>UN</v>
          </cell>
          <cell r="E1039">
            <v>5543</v>
          </cell>
          <cell r="G1039">
            <v>100</v>
          </cell>
          <cell r="H1039" t="str">
            <v>NK</v>
          </cell>
          <cell r="I1039" t="str">
            <v>NK CA</v>
          </cell>
          <cell r="J1039" t="str">
            <v>CO110</v>
          </cell>
          <cell r="K1039">
            <v>1</v>
          </cell>
          <cell r="N1039">
            <v>4758.03</v>
          </cell>
          <cell r="P1039" t="str">
            <v>X4555AYT</v>
          </cell>
          <cell r="Q1039" t="str">
            <v>01Z01031600</v>
          </cell>
          <cell r="R1039" t="str">
            <v>CA01</v>
          </cell>
          <cell r="S1039">
            <v>5543</v>
          </cell>
        </row>
        <row r="1040">
          <cell r="A1040">
            <v>971321</v>
          </cell>
          <cell r="B1040" t="str">
            <v>CRCO N45A-GT/CB/LL    MF1     SPC CA</v>
          </cell>
          <cell r="C1040">
            <v>723</v>
          </cell>
          <cell r="D1040" t="str">
            <v>UN</v>
          </cell>
          <cell r="E1040">
            <v>5543</v>
          </cell>
          <cell r="G1040">
            <v>100</v>
          </cell>
          <cell r="H1040" t="str">
            <v>NK</v>
          </cell>
          <cell r="I1040" t="str">
            <v>NK CA</v>
          </cell>
          <cell r="J1040" t="str">
            <v>CO110</v>
          </cell>
          <cell r="K1040">
            <v>1</v>
          </cell>
          <cell r="N1040">
            <v>4758.03</v>
          </cell>
          <cell r="P1040" t="str">
            <v>X4555AYT</v>
          </cell>
          <cell r="Q1040" t="str">
            <v>01Z01031600</v>
          </cell>
          <cell r="R1040" t="str">
            <v>CA01</v>
          </cell>
          <cell r="S1040">
            <v>5543</v>
          </cell>
        </row>
        <row r="1041">
          <cell r="A1041">
            <v>971324</v>
          </cell>
          <cell r="B1041" t="str">
            <v>CRCO N45A-GT/CB/LL    MF2     SPC CA</v>
          </cell>
          <cell r="C1041">
            <v>644</v>
          </cell>
          <cell r="D1041" t="str">
            <v>UN</v>
          </cell>
          <cell r="E1041">
            <v>5543</v>
          </cell>
          <cell r="G1041">
            <v>100</v>
          </cell>
          <cell r="H1041" t="str">
            <v>NK</v>
          </cell>
          <cell r="I1041" t="str">
            <v>NK CA</v>
          </cell>
          <cell r="J1041" t="str">
            <v>CO110</v>
          </cell>
          <cell r="K1041">
            <v>1</v>
          </cell>
          <cell r="N1041">
            <v>4758.03</v>
          </cell>
          <cell r="P1041" t="str">
            <v>X4555AYT</v>
          </cell>
          <cell r="Q1041" t="str">
            <v>01Z01031600</v>
          </cell>
          <cell r="R1041" t="str">
            <v>CA01</v>
          </cell>
          <cell r="S1041">
            <v>5543</v>
          </cell>
        </row>
        <row r="1042">
          <cell r="A1042">
            <v>971324</v>
          </cell>
          <cell r="B1042" t="str">
            <v>CRCO N45A-GT/CB/LL    MF2     SPC CA</v>
          </cell>
          <cell r="C1042">
            <v>644</v>
          </cell>
          <cell r="D1042" t="str">
            <v>UN</v>
          </cell>
          <cell r="E1042">
            <v>5543</v>
          </cell>
          <cell r="G1042">
            <v>100</v>
          </cell>
          <cell r="H1042" t="str">
            <v>NK</v>
          </cell>
          <cell r="I1042" t="str">
            <v>NK CA</v>
          </cell>
          <cell r="J1042" t="str">
            <v>CO110</v>
          </cell>
          <cell r="K1042">
            <v>1</v>
          </cell>
          <cell r="N1042">
            <v>4758.03</v>
          </cell>
          <cell r="P1042" t="str">
            <v>X4555AYT</v>
          </cell>
          <cell r="Q1042" t="str">
            <v>01Z01031600</v>
          </cell>
          <cell r="R1042" t="str">
            <v>CA01</v>
          </cell>
          <cell r="S1042">
            <v>5543</v>
          </cell>
        </row>
        <row r="1043">
          <cell r="A1043">
            <v>971330</v>
          </cell>
          <cell r="B1043" t="str">
            <v>CRCO N45A-GT/CB/LL    MR2     SPC CA</v>
          </cell>
          <cell r="C1043">
            <v>209</v>
          </cell>
          <cell r="D1043" t="str">
            <v>UN</v>
          </cell>
          <cell r="E1043">
            <v>5543</v>
          </cell>
          <cell r="G1043">
            <v>100</v>
          </cell>
          <cell r="H1043" t="str">
            <v>NK</v>
          </cell>
          <cell r="I1043" t="str">
            <v>NK CA</v>
          </cell>
          <cell r="J1043" t="str">
            <v>CO110</v>
          </cell>
          <cell r="K1043">
            <v>1</v>
          </cell>
          <cell r="N1043">
            <v>4758.03</v>
          </cell>
          <cell r="P1043" t="str">
            <v>X4555AYT</v>
          </cell>
          <cell r="Q1043" t="str">
            <v>01Z01031600</v>
          </cell>
          <cell r="R1043" t="str">
            <v>CA01</v>
          </cell>
          <cell r="S1043">
            <v>5543</v>
          </cell>
        </row>
        <row r="1044">
          <cell r="A1044">
            <v>971330</v>
          </cell>
          <cell r="B1044" t="str">
            <v>CRCO N45A-GT/CB/LL    MR2     SPC CA</v>
          </cell>
          <cell r="C1044">
            <v>209</v>
          </cell>
          <cell r="D1044" t="str">
            <v>UN</v>
          </cell>
          <cell r="E1044">
            <v>5543</v>
          </cell>
          <cell r="G1044">
            <v>100</v>
          </cell>
          <cell r="H1044" t="str">
            <v>NK</v>
          </cell>
          <cell r="I1044" t="str">
            <v>NK CA</v>
          </cell>
          <cell r="J1044" t="str">
            <v>CO110</v>
          </cell>
          <cell r="K1044">
            <v>1</v>
          </cell>
          <cell r="N1044">
            <v>4758.03</v>
          </cell>
          <cell r="P1044" t="str">
            <v>X4555AYT</v>
          </cell>
          <cell r="Q1044" t="str">
            <v>01Z01031600</v>
          </cell>
          <cell r="R1044" t="str">
            <v>CA01</v>
          </cell>
          <cell r="S1044">
            <v>5543</v>
          </cell>
        </row>
        <row r="1045">
          <cell r="A1045">
            <v>971443</v>
          </cell>
          <cell r="B1045" t="str">
            <v>CRCO N48G-CB/LL    SF90    SPC CA</v>
          </cell>
          <cell r="C1045">
            <v>114</v>
          </cell>
          <cell r="D1045" t="str">
            <v>UN</v>
          </cell>
          <cell r="E1045">
            <v>5558</v>
          </cell>
          <cell r="G1045">
            <v>100</v>
          </cell>
          <cell r="H1045" t="str">
            <v>NK</v>
          </cell>
          <cell r="I1045" t="str">
            <v>NK CA</v>
          </cell>
          <cell r="J1045" t="str">
            <v>CO110</v>
          </cell>
          <cell r="K1045">
            <v>1</v>
          </cell>
          <cell r="N1045">
            <v>5034.5</v>
          </cell>
          <cell r="P1045" t="str">
            <v>X46435BB</v>
          </cell>
          <cell r="Q1045" t="str">
            <v>01Z01040644</v>
          </cell>
          <cell r="R1045" t="str">
            <v>CA01</v>
          </cell>
          <cell r="S1045">
            <v>5558</v>
          </cell>
        </row>
        <row r="1046">
          <cell r="A1046">
            <v>971443</v>
          </cell>
          <cell r="B1046" t="str">
            <v>CRCO N48G-CB/LL    SF90    SPC CA</v>
          </cell>
          <cell r="C1046">
            <v>114</v>
          </cell>
          <cell r="D1046" t="str">
            <v>UN</v>
          </cell>
          <cell r="E1046">
            <v>5558</v>
          </cell>
          <cell r="G1046">
            <v>100</v>
          </cell>
          <cell r="H1046" t="str">
            <v>NK</v>
          </cell>
          <cell r="I1046" t="str">
            <v>NK CA</v>
          </cell>
          <cell r="J1046" t="str">
            <v>CO110</v>
          </cell>
          <cell r="K1046">
            <v>1</v>
          </cell>
          <cell r="N1046">
            <v>5034.5</v>
          </cell>
          <cell r="P1046" t="str">
            <v>X46435BB</v>
          </cell>
          <cell r="Q1046" t="str">
            <v>01Z01040644</v>
          </cell>
          <cell r="R1046" t="str">
            <v>CA01</v>
          </cell>
          <cell r="S1046">
            <v>5558</v>
          </cell>
        </row>
        <row r="1047">
          <cell r="A1047">
            <v>971471</v>
          </cell>
          <cell r="B1047" t="str">
            <v>CRCO N51T-GT/CB/LL    MR1     SPC CA</v>
          </cell>
          <cell r="C1047">
            <v>27</v>
          </cell>
          <cell r="D1047" t="str">
            <v>UN</v>
          </cell>
          <cell r="E1047">
            <v>5269</v>
          </cell>
          <cell r="G1047">
            <v>100</v>
          </cell>
          <cell r="H1047" t="str">
            <v>NK</v>
          </cell>
          <cell r="I1047" t="str">
            <v>NK CA</v>
          </cell>
          <cell r="J1047" t="str">
            <v>CO110</v>
          </cell>
          <cell r="K1047">
            <v>1</v>
          </cell>
          <cell r="N1047">
            <v>5020.55</v>
          </cell>
          <cell r="P1047" t="str">
            <v>X5369AWG</v>
          </cell>
          <cell r="Q1047" t="str">
            <v>01Z01051601</v>
          </cell>
          <cell r="R1047" t="str">
            <v>CA01</v>
          </cell>
          <cell r="S1047">
            <v>5269</v>
          </cell>
        </row>
        <row r="1048">
          <cell r="A1048">
            <v>971471</v>
          </cell>
          <cell r="B1048" t="str">
            <v>CRCO N51T-GT/CB/LL    MR1     SPC CA</v>
          </cell>
          <cell r="C1048">
            <v>27</v>
          </cell>
          <cell r="D1048" t="str">
            <v>UN</v>
          </cell>
          <cell r="E1048">
            <v>5269</v>
          </cell>
          <cell r="G1048">
            <v>100</v>
          </cell>
          <cell r="H1048" t="str">
            <v>NK</v>
          </cell>
          <cell r="I1048" t="str">
            <v>NK CA</v>
          </cell>
          <cell r="J1048" t="str">
            <v>CO110</v>
          </cell>
          <cell r="K1048">
            <v>1</v>
          </cell>
          <cell r="N1048">
            <v>5020.55</v>
          </cell>
          <cell r="P1048" t="str">
            <v>X5369AWG</v>
          </cell>
          <cell r="Q1048" t="str">
            <v>01Z01051601</v>
          </cell>
          <cell r="R1048" t="str">
            <v>CA01</v>
          </cell>
          <cell r="S1048">
            <v>5269</v>
          </cell>
        </row>
        <row r="1049">
          <cell r="A1049">
            <v>971502</v>
          </cell>
          <cell r="B1049" t="str">
            <v>CRCO N41C-3000GT    MF2     SPC CA</v>
          </cell>
          <cell r="C1049">
            <v>320</v>
          </cell>
          <cell r="D1049" t="str">
            <v>UN</v>
          </cell>
          <cell r="E1049">
            <v>4539.07</v>
          </cell>
          <cell r="G1049">
            <v>100</v>
          </cell>
          <cell r="H1049" t="str">
            <v>NK</v>
          </cell>
          <cell r="I1049" t="str">
            <v>NK CA</v>
          </cell>
          <cell r="J1049" t="str">
            <v>CO110</v>
          </cell>
          <cell r="K1049">
            <v>1</v>
          </cell>
          <cell r="N1049">
            <v>5012.8999999999996</v>
          </cell>
          <cell r="P1049" t="str">
            <v>X4037AWP</v>
          </cell>
          <cell r="Q1049" t="str">
            <v>01Z01043901</v>
          </cell>
          <cell r="R1049" t="str">
            <v>CA01</v>
          </cell>
          <cell r="S1049">
            <v>4539.07</v>
          </cell>
        </row>
        <row r="1050">
          <cell r="A1050">
            <v>971502</v>
          </cell>
          <cell r="B1050" t="str">
            <v>CRCO N41C-3000GT    MF2     SPC CA</v>
          </cell>
          <cell r="C1050">
            <v>320</v>
          </cell>
          <cell r="D1050" t="str">
            <v>UN</v>
          </cell>
          <cell r="E1050">
            <v>4539.07</v>
          </cell>
          <cell r="G1050">
            <v>100</v>
          </cell>
          <cell r="H1050" t="str">
            <v>NK</v>
          </cell>
          <cell r="I1050" t="str">
            <v>NK CA</v>
          </cell>
          <cell r="J1050" t="str">
            <v>CO110</v>
          </cell>
          <cell r="K1050">
            <v>1</v>
          </cell>
          <cell r="N1050">
            <v>5012.8999999999996</v>
          </cell>
          <cell r="P1050" t="str">
            <v>X4037AWP</v>
          </cell>
          <cell r="Q1050" t="str">
            <v>01Z01043901</v>
          </cell>
          <cell r="R1050" t="str">
            <v>CA01</v>
          </cell>
          <cell r="S1050">
            <v>4539.07</v>
          </cell>
        </row>
        <row r="1051">
          <cell r="A1051">
            <v>972027</v>
          </cell>
          <cell r="B1051" t="str">
            <v>CRCO NX0997   SPC  FET   NK</v>
          </cell>
          <cell r="C1051">
            <v>5</v>
          </cell>
          <cell r="D1051" t="str">
            <v>D10</v>
          </cell>
          <cell r="E1051">
            <v>1950</v>
          </cell>
          <cell r="G1051">
            <v>100</v>
          </cell>
          <cell r="H1051" t="str">
            <v>NK</v>
          </cell>
          <cell r="I1051" t="str">
            <v>NK US</v>
          </cell>
          <cell r="J1051" t="str">
            <v>CO110</v>
          </cell>
          <cell r="K1051">
            <v>1</v>
          </cell>
          <cell r="N1051">
            <v>0.01</v>
          </cell>
          <cell r="P1051" t="str">
            <v>X08097BB</v>
          </cell>
          <cell r="Q1051" t="str">
            <v>01Z010006AF</v>
          </cell>
          <cell r="R1051" t="str">
            <v>CA01</v>
          </cell>
        </row>
        <row r="1052">
          <cell r="A1052">
            <v>972027</v>
          </cell>
          <cell r="B1052" t="str">
            <v>CRCO NX0997   SPC  FET   NK</v>
          </cell>
          <cell r="C1052">
            <v>5</v>
          </cell>
          <cell r="D1052" t="str">
            <v>D10</v>
          </cell>
          <cell r="E1052">
            <v>1950</v>
          </cell>
          <cell r="G1052">
            <v>100</v>
          </cell>
          <cell r="H1052" t="str">
            <v>NK</v>
          </cell>
          <cell r="I1052" t="str">
            <v>NK US</v>
          </cell>
          <cell r="J1052" t="str">
            <v>CO110</v>
          </cell>
          <cell r="K1052">
            <v>1</v>
          </cell>
          <cell r="N1052">
            <v>0.01</v>
          </cell>
          <cell r="P1052" t="str">
            <v>X08097BB</v>
          </cell>
          <cell r="Q1052" t="str">
            <v>01Z010006AF</v>
          </cell>
          <cell r="R1052" t="str">
            <v>CA01</v>
          </cell>
        </row>
        <row r="1053">
          <cell r="A1053">
            <v>972049</v>
          </cell>
          <cell r="B1053" t="str">
            <v>CRCO NX3567   SPC  FET   NK</v>
          </cell>
          <cell r="C1053">
            <v>47</v>
          </cell>
          <cell r="D1053" t="str">
            <v>D10</v>
          </cell>
          <cell r="E1053">
            <v>1950</v>
          </cell>
          <cell r="G1053">
            <v>100</v>
          </cell>
          <cell r="H1053" t="str">
            <v>NK</v>
          </cell>
          <cell r="I1053" t="str">
            <v>NK US</v>
          </cell>
          <cell r="J1053" t="str">
            <v>CO110</v>
          </cell>
          <cell r="K1053">
            <v>1</v>
          </cell>
          <cell r="N1053">
            <v>0.01</v>
          </cell>
          <cell r="P1053" t="str">
            <v>X36967BB</v>
          </cell>
          <cell r="Q1053" t="str">
            <v>01Z010406BY</v>
          </cell>
          <cell r="R1053" t="str">
            <v>CA01</v>
          </cell>
        </row>
        <row r="1054">
          <cell r="A1054">
            <v>972049</v>
          </cell>
          <cell r="B1054" t="str">
            <v>CRCO NX3567   SPC  FET   NK</v>
          </cell>
          <cell r="C1054">
            <v>47</v>
          </cell>
          <cell r="D1054" t="str">
            <v>D10</v>
          </cell>
          <cell r="E1054">
            <v>1950</v>
          </cell>
          <cell r="G1054">
            <v>100</v>
          </cell>
          <cell r="H1054" t="str">
            <v>NK</v>
          </cell>
          <cell r="I1054" t="str">
            <v>NK US</v>
          </cell>
          <cell r="J1054" t="str">
            <v>CO110</v>
          </cell>
          <cell r="K1054">
            <v>1</v>
          </cell>
          <cell r="N1054">
            <v>0.01</v>
          </cell>
          <cell r="P1054" t="str">
            <v>X36967BB</v>
          </cell>
          <cell r="Q1054" t="str">
            <v>01Z010406BY</v>
          </cell>
          <cell r="R1054" t="str">
            <v>CA01</v>
          </cell>
        </row>
        <row r="1055">
          <cell r="A1055">
            <v>972120</v>
          </cell>
          <cell r="B1055" t="str">
            <v>CRCO NX1847   SPC  FET   NK</v>
          </cell>
          <cell r="C1055">
            <v>29</v>
          </cell>
          <cell r="D1055" t="str">
            <v>D10</v>
          </cell>
          <cell r="E1055">
            <v>1950</v>
          </cell>
          <cell r="G1055">
            <v>100</v>
          </cell>
          <cell r="H1055" t="str">
            <v>NK</v>
          </cell>
          <cell r="I1055" t="str">
            <v>NK US</v>
          </cell>
          <cell r="J1055" t="str">
            <v>CO110</v>
          </cell>
          <cell r="K1055">
            <v>1</v>
          </cell>
          <cell r="N1055">
            <v>0.01</v>
          </cell>
          <cell r="P1055" t="str">
            <v>X17147BB</v>
          </cell>
          <cell r="Q1055" t="str">
            <v>01Z010106AW</v>
          </cell>
          <cell r="R1055" t="str">
            <v>CA01</v>
          </cell>
        </row>
        <row r="1056">
          <cell r="A1056">
            <v>972120</v>
          </cell>
          <cell r="B1056" t="str">
            <v>CRCO NX1847   SPC  FET   NK</v>
          </cell>
          <cell r="C1056">
            <v>29</v>
          </cell>
          <cell r="D1056" t="str">
            <v>D10</v>
          </cell>
          <cell r="E1056">
            <v>1950</v>
          </cell>
          <cell r="G1056">
            <v>100</v>
          </cell>
          <cell r="H1056" t="str">
            <v>NK</v>
          </cell>
          <cell r="I1056" t="str">
            <v>NK US</v>
          </cell>
          <cell r="J1056" t="str">
            <v>CO110</v>
          </cell>
          <cell r="K1056">
            <v>1</v>
          </cell>
          <cell r="N1056">
            <v>0.01</v>
          </cell>
          <cell r="P1056" t="str">
            <v>X17147BB</v>
          </cell>
          <cell r="Q1056" t="str">
            <v>01Z010106AW</v>
          </cell>
          <cell r="R1056" t="str">
            <v>CA01</v>
          </cell>
        </row>
        <row r="1057">
          <cell r="A1057">
            <v>972146</v>
          </cell>
          <cell r="B1057" t="str">
            <v>CRCO NX1947   SPC  FET   NK</v>
          </cell>
          <cell r="C1057">
            <v>27</v>
          </cell>
          <cell r="D1057" t="str">
            <v>D10</v>
          </cell>
          <cell r="E1057">
            <v>1950</v>
          </cell>
          <cell r="G1057">
            <v>100</v>
          </cell>
          <cell r="H1057" t="str">
            <v>NK</v>
          </cell>
          <cell r="I1057" t="str">
            <v>NK US</v>
          </cell>
          <cell r="J1057" t="str">
            <v>CO110</v>
          </cell>
          <cell r="K1057">
            <v>1</v>
          </cell>
          <cell r="N1057">
            <v>0.01</v>
          </cell>
          <cell r="P1057" t="str">
            <v>X17247BB</v>
          </cell>
          <cell r="Q1057" t="str">
            <v>01Z010106AX</v>
          </cell>
          <cell r="R1057" t="str">
            <v>CA01</v>
          </cell>
        </row>
        <row r="1058">
          <cell r="A1058">
            <v>972146</v>
          </cell>
          <cell r="B1058" t="str">
            <v>CRCO NX1947   SPC  FET   NK</v>
          </cell>
          <cell r="C1058">
            <v>27</v>
          </cell>
          <cell r="D1058" t="str">
            <v>D10</v>
          </cell>
          <cell r="E1058">
            <v>1950</v>
          </cell>
          <cell r="G1058">
            <v>100</v>
          </cell>
          <cell r="H1058" t="str">
            <v>NK</v>
          </cell>
          <cell r="I1058" t="str">
            <v>NK US</v>
          </cell>
          <cell r="J1058" t="str">
            <v>CO110</v>
          </cell>
          <cell r="K1058">
            <v>1</v>
          </cell>
          <cell r="N1058">
            <v>0.01</v>
          </cell>
          <cell r="P1058" t="str">
            <v>X17247BB</v>
          </cell>
          <cell r="Q1058" t="str">
            <v>01Z010106AX</v>
          </cell>
          <cell r="R1058" t="str">
            <v>CA01</v>
          </cell>
        </row>
        <row r="1059">
          <cell r="A1059">
            <v>972282</v>
          </cell>
          <cell r="B1059" t="str">
            <v>CRCO NX1917   SPC  FET   NK</v>
          </cell>
          <cell r="C1059">
            <v>28</v>
          </cell>
          <cell r="D1059" t="str">
            <v>D10</v>
          </cell>
          <cell r="E1059">
            <v>1950</v>
          </cell>
          <cell r="G1059">
            <v>100</v>
          </cell>
          <cell r="H1059" t="str">
            <v>NK</v>
          </cell>
          <cell r="I1059" t="str">
            <v>NK US</v>
          </cell>
          <cell r="J1059" t="str">
            <v>CO110</v>
          </cell>
          <cell r="K1059">
            <v>1</v>
          </cell>
          <cell r="N1059">
            <v>0.01</v>
          </cell>
          <cell r="P1059" t="str">
            <v>X23917</v>
          </cell>
          <cell r="Q1059" t="str">
            <v>01Z010206BK</v>
          </cell>
          <cell r="R1059" t="str">
            <v>CA01</v>
          </cell>
        </row>
        <row r="1060">
          <cell r="A1060">
            <v>972282</v>
          </cell>
          <cell r="B1060" t="str">
            <v>CRCO NX1917   SPC  FET   NK</v>
          </cell>
          <cell r="C1060">
            <v>28</v>
          </cell>
          <cell r="D1060" t="str">
            <v>D10</v>
          </cell>
          <cell r="E1060">
            <v>1950</v>
          </cell>
          <cell r="G1060">
            <v>100</v>
          </cell>
          <cell r="H1060" t="str">
            <v>NK</v>
          </cell>
          <cell r="I1060" t="str">
            <v>NK US</v>
          </cell>
          <cell r="J1060" t="str">
            <v>CO110</v>
          </cell>
          <cell r="K1060">
            <v>1</v>
          </cell>
          <cell r="N1060">
            <v>0.01</v>
          </cell>
          <cell r="P1060" t="str">
            <v>X23917</v>
          </cell>
          <cell r="Q1060" t="str">
            <v>01Z010206BK</v>
          </cell>
          <cell r="R1060" t="str">
            <v>CA01</v>
          </cell>
        </row>
        <row r="1061">
          <cell r="A1061">
            <v>982805</v>
          </cell>
          <cell r="B1061" t="str">
            <v>CRCO N64Z-00    LR70    SPC CA</v>
          </cell>
          <cell r="C1061">
            <v>92</v>
          </cell>
          <cell r="D1061" t="str">
            <v>UN</v>
          </cell>
          <cell r="E1061">
            <v>530400</v>
          </cell>
          <cell r="G1061">
            <v>10000</v>
          </cell>
          <cell r="H1061" t="str">
            <v>NK</v>
          </cell>
          <cell r="I1061" t="str">
            <v>NK CA</v>
          </cell>
          <cell r="J1061" t="str">
            <v>CO110</v>
          </cell>
          <cell r="K1061">
            <v>1</v>
          </cell>
          <cell r="N1061">
            <v>503285.31</v>
          </cell>
          <cell r="P1061" t="str">
            <v>X61476</v>
          </cell>
          <cell r="Q1061" t="str">
            <v>01Z0106011B</v>
          </cell>
          <cell r="R1061" t="str">
            <v>CA01</v>
          </cell>
          <cell r="S1061">
            <v>530400</v>
          </cell>
        </row>
        <row r="1062">
          <cell r="A1062">
            <v>982805</v>
          </cell>
          <cell r="B1062" t="str">
            <v>CRCO N64Z-00    LR70    SPC CA</v>
          </cell>
          <cell r="C1062">
            <v>92</v>
          </cell>
          <cell r="D1062" t="str">
            <v>UN</v>
          </cell>
          <cell r="E1062">
            <v>530400</v>
          </cell>
          <cell r="G1062">
            <v>10000</v>
          </cell>
          <cell r="H1062" t="str">
            <v>NK</v>
          </cell>
          <cell r="I1062" t="str">
            <v>NK CA</v>
          </cell>
          <cell r="J1062" t="str">
            <v>CO110</v>
          </cell>
          <cell r="K1062">
            <v>1</v>
          </cell>
          <cell r="N1062">
            <v>503285.31</v>
          </cell>
          <cell r="P1062" t="str">
            <v>X61476</v>
          </cell>
          <cell r="Q1062" t="str">
            <v>01Z0106011B</v>
          </cell>
          <cell r="R1062" t="str">
            <v>CA01</v>
          </cell>
          <cell r="S1062">
            <v>530400</v>
          </cell>
        </row>
        <row r="1063">
          <cell r="A1063">
            <v>982817</v>
          </cell>
          <cell r="B1063" t="str">
            <v>CRCO N64Z-00    MR2     SPC CA</v>
          </cell>
          <cell r="C1063">
            <v>287</v>
          </cell>
          <cell r="D1063" t="str">
            <v>UN</v>
          </cell>
          <cell r="E1063">
            <v>530400</v>
          </cell>
          <cell r="G1063">
            <v>10000</v>
          </cell>
          <cell r="H1063" t="str">
            <v>NK</v>
          </cell>
          <cell r="I1063" t="str">
            <v>NK CA</v>
          </cell>
          <cell r="J1063" t="str">
            <v>CO110</v>
          </cell>
          <cell r="K1063">
            <v>1</v>
          </cell>
          <cell r="N1063">
            <v>503285.31</v>
          </cell>
          <cell r="P1063" t="str">
            <v>X61476</v>
          </cell>
          <cell r="Q1063" t="str">
            <v>01Z0106011B</v>
          </cell>
          <cell r="R1063" t="str">
            <v>CA01</v>
          </cell>
          <cell r="S1063">
            <v>530400</v>
          </cell>
        </row>
        <row r="1064">
          <cell r="A1064">
            <v>982817</v>
          </cell>
          <cell r="B1064" t="str">
            <v>CRCO N64Z-00    MR2     SPC CA</v>
          </cell>
          <cell r="C1064">
            <v>287</v>
          </cell>
          <cell r="D1064" t="str">
            <v>UN</v>
          </cell>
          <cell r="E1064">
            <v>530400</v>
          </cell>
          <cell r="G1064">
            <v>10000</v>
          </cell>
          <cell r="H1064" t="str">
            <v>NK</v>
          </cell>
          <cell r="I1064" t="str">
            <v>NK CA</v>
          </cell>
          <cell r="J1064" t="str">
            <v>CO110</v>
          </cell>
          <cell r="K1064">
            <v>1</v>
          </cell>
          <cell r="N1064">
            <v>503285.31</v>
          </cell>
          <cell r="P1064" t="str">
            <v>X61476</v>
          </cell>
          <cell r="Q1064" t="str">
            <v>01Z0106011B</v>
          </cell>
          <cell r="R1064" t="str">
            <v>CA01</v>
          </cell>
          <cell r="S1064">
            <v>530400</v>
          </cell>
        </row>
        <row r="1065">
          <cell r="A1065">
            <v>982841</v>
          </cell>
          <cell r="B1065" t="str">
            <v>CRCO N23F-GT/CB/LL    LR70    SPC CA</v>
          </cell>
          <cell r="C1065">
            <v>1528</v>
          </cell>
          <cell r="D1065" t="str">
            <v>UN</v>
          </cell>
          <cell r="E1065">
            <v>553300</v>
          </cell>
          <cell r="G1065">
            <v>10000</v>
          </cell>
          <cell r="H1065" t="str">
            <v>NK</v>
          </cell>
          <cell r="I1065" t="str">
            <v>NK CA</v>
          </cell>
          <cell r="J1065" t="str">
            <v>CO110</v>
          </cell>
          <cell r="K1065">
            <v>1</v>
          </cell>
          <cell r="N1065">
            <v>501222.21</v>
          </cell>
          <cell r="P1065" t="str">
            <v>X23114YT</v>
          </cell>
          <cell r="Q1065" t="str">
            <v>01Z010216AE</v>
          </cell>
          <cell r="R1065" t="str">
            <v>CA01</v>
          </cell>
          <cell r="S1065">
            <v>553300</v>
          </cell>
        </row>
        <row r="1066">
          <cell r="A1066">
            <v>982841</v>
          </cell>
          <cell r="B1066" t="str">
            <v>CRCO N23F-GT/CB/LL    LR70    SPC CA</v>
          </cell>
          <cell r="C1066">
            <v>1528</v>
          </cell>
          <cell r="D1066" t="str">
            <v>UN</v>
          </cell>
          <cell r="E1066">
            <v>553300</v>
          </cell>
          <cell r="G1066">
            <v>10000</v>
          </cell>
          <cell r="H1066" t="str">
            <v>NK</v>
          </cell>
          <cell r="I1066" t="str">
            <v>NK CA</v>
          </cell>
          <cell r="J1066" t="str">
            <v>CO110</v>
          </cell>
          <cell r="K1066">
            <v>1</v>
          </cell>
          <cell r="N1066">
            <v>501222.21</v>
          </cell>
          <cell r="P1066" t="str">
            <v>X23114YT</v>
          </cell>
          <cell r="Q1066" t="str">
            <v>01Z010216AE</v>
          </cell>
          <cell r="R1066" t="str">
            <v>CA01</v>
          </cell>
          <cell r="S1066">
            <v>553300</v>
          </cell>
        </row>
        <row r="1067">
          <cell r="A1067">
            <v>982847</v>
          </cell>
          <cell r="B1067" t="str">
            <v>CRCO N23F-GT/CB/LL    MF1     SPC CA</v>
          </cell>
          <cell r="C1067">
            <v>29</v>
          </cell>
          <cell r="D1067" t="str">
            <v>UN</v>
          </cell>
          <cell r="E1067">
            <v>553300</v>
          </cell>
          <cell r="G1067">
            <v>10000</v>
          </cell>
          <cell r="H1067" t="str">
            <v>NK</v>
          </cell>
          <cell r="I1067" t="str">
            <v>NK CA</v>
          </cell>
          <cell r="J1067" t="str">
            <v>CO110</v>
          </cell>
          <cell r="K1067">
            <v>1</v>
          </cell>
          <cell r="N1067">
            <v>501222.21</v>
          </cell>
          <cell r="P1067" t="str">
            <v>X23114YT</v>
          </cell>
          <cell r="Q1067" t="str">
            <v>01Z010216AE</v>
          </cell>
          <cell r="R1067" t="str">
            <v>CA01</v>
          </cell>
          <cell r="S1067">
            <v>553300</v>
          </cell>
        </row>
        <row r="1068">
          <cell r="A1068">
            <v>982847</v>
          </cell>
          <cell r="B1068" t="str">
            <v>CRCO N23F-GT/CB/LL    MF1     SPC CA</v>
          </cell>
          <cell r="C1068">
            <v>29</v>
          </cell>
          <cell r="D1068" t="str">
            <v>UN</v>
          </cell>
          <cell r="E1068">
            <v>553300</v>
          </cell>
          <cell r="G1068">
            <v>10000</v>
          </cell>
          <cell r="H1068" t="str">
            <v>NK</v>
          </cell>
          <cell r="I1068" t="str">
            <v>NK CA</v>
          </cell>
          <cell r="J1068" t="str">
            <v>CO110</v>
          </cell>
          <cell r="K1068">
            <v>1</v>
          </cell>
          <cell r="N1068">
            <v>501222.21</v>
          </cell>
          <cell r="P1068" t="str">
            <v>X23114YT</v>
          </cell>
          <cell r="Q1068" t="str">
            <v>01Z010216AE</v>
          </cell>
          <cell r="R1068" t="str">
            <v>CA01</v>
          </cell>
          <cell r="S1068">
            <v>553300</v>
          </cell>
        </row>
        <row r="1069">
          <cell r="A1069">
            <v>982853</v>
          </cell>
          <cell r="B1069" t="str">
            <v>CRCO N23F-GT/CB/LL    MF2     SPC CA</v>
          </cell>
          <cell r="C1069">
            <v>471</v>
          </cell>
          <cell r="D1069" t="str">
            <v>UN</v>
          </cell>
          <cell r="E1069">
            <v>553300</v>
          </cell>
          <cell r="G1069">
            <v>10000</v>
          </cell>
          <cell r="H1069" t="str">
            <v>NK</v>
          </cell>
          <cell r="I1069" t="str">
            <v>NK CA</v>
          </cell>
          <cell r="J1069" t="str">
            <v>CO110</v>
          </cell>
          <cell r="K1069">
            <v>1</v>
          </cell>
          <cell r="N1069">
            <v>501222.21</v>
          </cell>
          <cell r="P1069" t="str">
            <v>X23114YT</v>
          </cell>
          <cell r="Q1069" t="str">
            <v>01Z010216AE</v>
          </cell>
          <cell r="R1069" t="str">
            <v>CA01</v>
          </cell>
          <cell r="S1069">
            <v>553300</v>
          </cell>
        </row>
        <row r="1070">
          <cell r="A1070">
            <v>982853</v>
          </cell>
          <cell r="B1070" t="str">
            <v>CRCO N23F-GT/CB/LL    MF2     SPC CA</v>
          </cell>
          <cell r="C1070">
            <v>471</v>
          </cell>
          <cell r="D1070" t="str">
            <v>UN</v>
          </cell>
          <cell r="E1070">
            <v>553300</v>
          </cell>
          <cell r="G1070">
            <v>10000</v>
          </cell>
          <cell r="H1070" t="str">
            <v>NK</v>
          </cell>
          <cell r="I1070" t="str">
            <v>NK CA</v>
          </cell>
          <cell r="J1070" t="str">
            <v>CO110</v>
          </cell>
          <cell r="K1070">
            <v>1</v>
          </cell>
          <cell r="N1070">
            <v>501222.21</v>
          </cell>
          <cell r="P1070" t="str">
            <v>X23114YT</v>
          </cell>
          <cell r="Q1070" t="str">
            <v>01Z010216AE</v>
          </cell>
          <cell r="R1070" t="str">
            <v>CA01</v>
          </cell>
          <cell r="S1070">
            <v>553300</v>
          </cell>
        </row>
        <row r="1071">
          <cell r="A1071">
            <v>982865</v>
          </cell>
          <cell r="B1071" t="str">
            <v>CRCO N23F-GT/CB/LL    MR2     SPC CA</v>
          </cell>
          <cell r="C1071">
            <v>935</v>
          </cell>
          <cell r="D1071" t="str">
            <v>UN</v>
          </cell>
          <cell r="E1071">
            <v>553300</v>
          </cell>
          <cell r="G1071">
            <v>10000</v>
          </cell>
          <cell r="H1071" t="str">
            <v>NK</v>
          </cell>
          <cell r="I1071" t="str">
            <v>NK CA</v>
          </cell>
          <cell r="J1071" t="str">
            <v>CO110</v>
          </cell>
          <cell r="K1071">
            <v>1</v>
          </cell>
          <cell r="N1071">
            <v>501222.21</v>
          </cell>
          <cell r="P1071" t="str">
            <v>X23114YT</v>
          </cell>
          <cell r="Q1071" t="str">
            <v>01Z010216AE</v>
          </cell>
          <cell r="R1071" t="str">
            <v>CA01</v>
          </cell>
          <cell r="S1071">
            <v>553300</v>
          </cell>
        </row>
        <row r="1072">
          <cell r="A1072">
            <v>982865</v>
          </cell>
          <cell r="B1072" t="str">
            <v>CRCO N23F-GT/CB/LL    MR2     SPC CA</v>
          </cell>
          <cell r="C1072">
            <v>935</v>
          </cell>
          <cell r="D1072" t="str">
            <v>UN</v>
          </cell>
          <cell r="E1072">
            <v>553300</v>
          </cell>
          <cell r="G1072">
            <v>10000</v>
          </cell>
          <cell r="H1072" t="str">
            <v>NK</v>
          </cell>
          <cell r="I1072" t="str">
            <v>NK CA</v>
          </cell>
          <cell r="J1072" t="str">
            <v>CO110</v>
          </cell>
          <cell r="K1072">
            <v>1</v>
          </cell>
          <cell r="N1072">
            <v>501222.21</v>
          </cell>
          <cell r="P1072" t="str">
            <v>X23114YT</v>
          </cell>
          <cell r="Q1072" t="str">
            <v>01Z010216AE</v>
          </cell>
          <cell r="R1072" t="str">
            <v>CA01</v>
          </cell>
          <cell r="S1072">
            <v>553300</v>
          </cell>
        </row>
        <row r="1073">
          <cell r="A1073">
            <v>982941</v>
          </cell>
          <cell r="B1073" t="str">
            <v>CRCO N53-H7    LR70    SPC CA</v>
          </cell>
          <cell r="C1073">
            <v>57</v>
          </cell>
          <cell r="D1073" t="str">
            <v>UN</v>
          </cell>
          <cell r="E1073">
            <v>582172</v>
          </cell>
          <cell r="G1073">
            <v>10000</v>
          </cell>
          <cell r="H1073" t="str">
            <v>NK</v>
          </cell>
          <cell r="I1073" t="str">
            <v>NK CA</v>
          </cell>
          <cell r="J1073" t="str">
            <v>CO110</v>
          </cell>
          <cell r="K1073">
            <v>1</v>
          </cell>
          <cell r="N1073">
            <v>502054.71</v>
          </cell>
          <cell r="P1073" t="str">
            <v>X5132AXF</v>
          </cell>
          <cell r="Q1073" t="str">
            <v>01Z01061806</v>
          </cell>
          <cell r="R1073" t="str">
            <v>CA01</v>
          </cell>
          <cell r="S1073">
            <v>582172</v>
          </cell>
        </row>
        <row r="1074">
          <cell r="A1074">
            <v>982941</v>
          </cell>
          <cell r="B1074" t="str">
            <v>CRCO N53-H7    LR70    SPC CA</v>
          </cell>
          <cell r="C1074">
            <v>57</v>
          </cell>
          <cell r="D1074" t="str">
            <v>UN</v>
          </cell>
          <cell r="E1074">
            <v>582172</v>
          </cell>
          <cell r="G1074">
            <v>10000</v>
          </cell>
          <cell r="H1074" t="str">
            <v>NK</v>
          </cell>
          <cell r="I1074" t="str">
            <v>NK CA</v>
          </cell>
          <cell r="J1074" t="str">
            <v>CO110</v>
          </cell>
          <cell r="K1074">
            <v>1</v>
          </cell>
          <cell r="N1074">
            <v>502054.71</v>
          </cell>
          <cell r="P1074" t="str">
            <v>X5132AXF</v>
          </cell>
          <cell r="Q1074" t="str">
            <v>01Z01061806</v>
          </cell>
          <cell r="R1074" t="str">
            <v>CA01</v>
          </cell>
          <cell r="S1074">
            <v>582172</v>
          </cell>
        </row>
        <row r="1075">
          <cell r="A1075">
            <v>982949</v>
          </cell>
          <cell r="B1075" t="str">
            <v>CRCO N53-H7    MF1     SPC CA</v>
          </cell>
          <cell r="C1075">
            <v>0</v>
          </cell>
          <cell r="D1075" t="str">
            <v>UN</v>
          </cell>
          <cell r="E1075">
            <v>582172</v>
          </cell>
          <cell r="G1075">
            <v>10000</v>
          </cell>
          <cell r="H1075" t="str">
            <v>NK</v>
          </cell>
          <cell r="I1075" t="str">
            <v>NK CA</v>
          </cell>
          <cell r="J1075" t="str">
            <v>CO110</v>
          </cell>
          <cell r="K1075">
            <v>1</v>
          </cell>
          <cell r="N1075">
            <v>502054.71</v>
          </cell>
          <cell r="P1075" t="str">
            <v>X5132AXF</v>
          </cell>
          <cell r="Q1075" t="str">
            <v>01Z01061806</v>
          </cell>
          <cell r="R1075" t="str">
            <v>CA01</v>
          </cell>
          <cell r="S1075">
            <v>582172</v>
          </cell>
        </row>
        <row r="1076">
          <cell r="A1076">
            <v>982949</v>
          </cell>
          <cell r="B1076" t="str">
            <v>CRCO N53-H7    MF1     SPC CA</v>
          </cell>
          <cell r="C1076">
            <v>0</v>
          </cell>
          <cell r="D1076" t="str">
            <v>UN</v>
          </cell>
          <cell r="E1076">
            <v>582172</v>
          </cell>
          <cell r="G1076">
            <v>10000</v>
          </cell>
          <cell r="H1076" t="str">
            <v>NK</v>
          </cell>
          <cell r="I1076" t="str">
            <v>NK CA</v>
          </cell>
          <cell r="J1076" t="str">
            <v>CO110</v>
          </cell>
          <cell r="K1076">
            <v>1</v>
          </cell>
          <cell r="N1076">
            <v>502054.71</v>
          </cell>
          <cell r="P1076" t="str">
            <v>X5132AXF</v>
          </cell>
          <cell r="Q1076" t="str">
            <v>01Z01061806</v>
          </cell>
          <cell r="R1076" t="str">
            <v>CA01</v>
          </cell>
          <cell r="S1076">
            <v>582172</v>
          </cell>
        </row>
        <row r="1077">
          <cell r="A1077">
            <v>982955</v>
          </cell>
          <cell r="B1077" t="str">
            <v>CRCO N53-H7    MF2     SPC CA</v>
          </cell>
          <cell r="C1077">
            <v>41</v>
          </cell>
          <cell r="D1077" t="str">
            <v>UN</v>
          </cell>
          <cell r="E1077">
            <v>582172</v>
          </cell>
          <cell r="G1077">
            <v>10000</v>
          </cell>
          <cell r="H1077" t="str">
            <v>NK</v>
          </cell>
          <cell r="I1077" t="str">
            <v>NK CA</v>
          </cell>
          <cell r="J1077" t="str">
            <v>CO110</v>
          </cell>
          <cell r="K1077">
            <v>1</v>
          </cell>
          <cell r="N1077">
            <v>502054.71</v>
          </cell>
          <cell r="P1077" t="str">
            <v>X5132AXF</v>
          </cell>
          <cell r="Q1077" t="str">
            <v>01Z01061806</v>
          </cell>
          <cell r="R1077" t="str">
            <v>CA01</v>
          </cell>
          <cell r="S1077">
            <v>582172</v>
          </cell>
        </row>
        <row r="1078">
          <cell r="A1078">
            <v>982955</v>
          </cell>
          <cell r="B1078" t="str">
            <v>CRCO N53-H7    MF2     SPC CA</v>
          </cell>
          <cell r="C1078">
            <v>41</v>
          </cell>
          <cell r="D1078" t="str">
            <v>UN</v>
          </cell>
          <cell r="E1078">
            <v>582172</v>
          </cell>
          <cell r="G1078">
            <v>10000</v>
          </cell>
          <cell r="H1078" t="str">
            <v>NK</v>
          </cell>
          <cell r="I1078" t="str">
            <v>NK CA</v>
          </cell>
          <cell r="J1078" t="str">
            <v>CO110</v>
          </cell>
          <cell r="K1078">
            <v>1</v>
          </cell>
          <cell r="N1078">
            <v>502054.71</v>
          </cell>
          <cell r="P1078" t="str">
            <v>X5132AXF</v>
          </cell>
          <cell r="Q1078" t="str">
            <v>01Z01061806</v>
          </cell>
          <cell r="R1078" t="str">
            <v>CA01</v>
          </cell>
          <cell r="S1078">
            <v>582172</v>
          </cell>
        </row>
        <row r="1079">
          <cell r="A1079">
            <v>982962</v>
          </cell>
          <cell r="B1079" t="str">
            <v>CRCO N53-H7    MR2     SPC CA</v>
          </cell>
          <cell r="C1079">
            <v>47</v>
          </cell>
          <cell r="D1079" t="str">
            <v>UN</v>
          </cell>
          <cell r="E1079">
            <v>582172</v>
          </cell>
          <cell r="G1079">
            <v>10000</v>
          </cell>
          <cell r="H1079" t="str">
            <v>NK</v>
          </cell>
          <cell r="I1079" t="str">
            <v>NK CA</v>
          </cell>
          <cell r="J1079" t="str">
            <v>CO110</v>
          </cell>
          <cell r="K1079">
            <v>1</v>
          </cell>
          <cell r="N1079">
            <v>502054.71</v>
          </cell>
          <cell r="P1079" t="str">
            <v>X5132AXF</v>
          </cell>
          <cell r="Q1079" t="str">
            <v>01Z01061806</v>
          </cell>
          <cell r="R1079" t="str">
            <v>CA01</v>
          </cell>
          <cell r="S1079">
            <v>582172</v>
          </cell>
        </row>
        <row r="1080">
          <cell r="A1080">
            <v>982962</v>
          </cell>
          <cell r="B1080" t="str">
            <v>CRCO N53-H7    MR2     SPC CA</v>
          </cell>
          <cell r="C1080">
            <v>47</v>
          </cell>
          <cell r="D1080" t="str">
            <v>UN</v>
          </cell>
          <cell r="E1080">
            <v>582172</v>
          </cell>
          <cell r="G1080">
            <v>10000</v>
          </cell>
          <cell r="H1080" t="str">
            <v>NK</v>
          </cell>
          <cell r="I1080" t="str">
            <v>NK CA</v>
          </cell>
          <cell r="J1080" t="str">
            <v>CO110</v>
          </cell>
          <cell r="K1080">
            <v>1</v>
          </cell>
          <cell r="N1080">
            <v>502054.71</v>
          </cell>
          <cell r="P1080" t="str">
            <v>X5132AXF</v>
          </cell>
          <cell r="Q1080" t="str">
            <v>01Z01061806</v>
          </cell>
          <cell r="R1080" t="str">
            <v>CA01</v>
          </cell>
          <cell r="S1080">
            <v>582172</v>
          </cell>
        </row>
        <row r="1081">
          <cell r="A1081">
            <v>988686</v>
          </cell>
          <cell r="B1081" t="str">
            <v>CRCO N51-T6    MR1     SPC CA</v>
          </cell>
          <cell r="C1081">
            <v>129</v>
          </cell>
          <cell r="D1081" t="str">
            <v>UN</v>
          </cell>
          <cell r="E1081">
            <v>524100</v>
          </cell>
          <cell r="G1081">
            <v>10000</v>
          </cell>
          <cell r="H1081" t="str">
            <v>NK</v>
          </cell>
          <cell r="I1081" t="str">
            <v>NK CA</v>
          </cell>
          <cell r="J1081" t="str">
            <v>CO110</v>
          </cell>
          <cell r="K1081">
            <v>1</v>
          </cell>
          <cell r="N1081">
            <v>502054.71</v>
          </cell>
          <cell r="P1081" t="str">
            <v>X5369AYD</v>
          </cell>
          <cell r="Q1081" t="str">
            <v>01Z01053200</v>
          </cell>
          <cell r="R1081" t="str">
            <v>CA01</v>
          </cell>
          <cell r="S1081">
            <v>524100</v>
          </cell>
        </row>
        <row r="1082">
          <cell r="A1082">
            <v>988686</v>
          </cell>
          <cell r="B1082" t="str">
            <v>CRCO N51-T6    MR1     SPC CA</v>
          </cell>
          <cell r="C1082">
            <v>129</v>
          </cell>
          <cell r="D1082" t="str">
            <v>UN</v>
          </cell>
          <cell r="E1082">
            <v>524100</v>
          </cell>
          <cell r="G1082">
            <v>10000</v>
          </cell>
          <cell r="H1082" t="str">
            <v>NK</v>
          </cell>
          <cell r="I1082" t="str">
            <v>NK CA</v>
          </cell>
          <cell r="J1082" t="str">
            <v>CO110</v>
          </cell>
          <cell r="K1082">
            <v>1</v>
          </cell>
          <cell r="N1082">
            <v>502054.71</v>
          </cell>
          <cell r="P1082" t="str">
            <v>X5369AYD</v>
          </cell>
          <cell r="Q1082" t="str">
            <v>01Z01053200</v>
          </cell>
          <cell r="R1082" t="str">
            <v>CA01</v>
          </cell>
          <cell r="S1082">
            <v>524100</v>
          </cell>
        </row>
        <row r="1083">
          <cell r="A1083">
            <v>1009750</v>
          </cell>
          <cell r="B1083" t="str">
            <v>CRCO NX3346   SPC  FET   NK</v>
          </cell>
          <cell r="C1083">
            <v>0</v>
          </cell>
          <cell r="D1083" t="str">
            <v>D10</v>
          </cell>
          <cell r="E1083">
            <v>2038</v>
          </cell>
          <cell r="G1083">
            <v>100</v>
          </cell>
          <cell r="H1083" t="str">
            <v>NK</v>
          </cell>
          <cell r="I1083" t="str">
            <v>NK US</v>
          </cell>
          <cell r="J1083" t="str">
            <v>CO110</v>
          </cell>
          <cell r="K1083">
            <v>1</v>
          </cell>
          <cell r="N1083">
            <v>0.01</v>
          </cell>
          <cell r="P1083" t="str">
            <v>X3129AYD</v>
          </cell>
          <cell r="Q1083" t="str">
            <v>01Z01033209</v>
          </cell>
          <cell r="R1083" t="str">
            <v>CA01</v>
          </cell>
        </row>
        <row r="1084">
          <cell r="A1084">
            <v>1009750</v>
          </cell>
          <cell r="B1084" t="str">
            <v>CRCO NX3346   SPC  FET   NK</v>
          </cell>
          <cell r="C1084">
            <v>0</v>
          </cell>
          <cell r="D1084" t="str">
            <v>D10</v>
          </cell>
          <cell r="E1084">
            <v>2038</v>
          </cell>
          <cell r="G1084">
            <v>100</v>
          </cell>
          <cell r="H1084" t="str">
            <v>NK</v>
          </cell>
          <cell r="I1084" t="str">
            <v>NK US</v>
          </cell>
          <cell r="J1084" t="str">
            <v>CO110</v>
          </cell>
          <cell r="K1084">
            <v>1</v>
          </cell>
          <cell r="N1084">
            <v>0.01</v>
          </cell>
          <cell r="P1084" t="str">
            <v>X3129AYD</v>
          </cell>
          <cell r="Q1084" t="str">
            <v>01Z01033209</v>
          </cell>
          <cell r="R1084" t="str">
            <v>CA01</v>
          </cell>
        </row>
        <row r="1085">
          <cell r="A1085">
            <v>1009844</v>
          </cell>
          <cell r="B1085" t="str">
            <v>CRCO NX3346   MR2   SPC  NK</v>
          </cell>
          <cell r="C1085">
            <v>30</v>
          </cell>
          <cell r="D1085" t="str">
            <v>UN</v>
          </cell>
          <cell r="E1085">
            <v>6032</v>
          </cell>
          <cell r="G1085">
            <v>100</v>
          </cell>
          <cell r="H1085" t="str">
            <v>NK</v>
          </cell>
          <cell r="I1085" t="str">
            <v>NK US</v>
          </cell>
          <cell r="J1085" t="str">
            <v>CO110</v>
          </cell>
          <cell r="K1085">
            <v>1</v>
          </cell>
          <cell r="N1085">
            <v>0.01</v>
          </cell>
          <cell r="P1085" t="str">
            <v>X3129AYD</v>
          </cell>
          <cell r="Q1085" t="str">
            <v>01Z01033209</v>
          </cell>
          <cell r="R1085" t="str">
            <v>CA01</v>
          </cell>
        </row>
        <row r="1086">
          <cell r="A1086">
            <v>1009844</v>
          </cell>
          <cell r="B1086" t="str">
            <v>CRCO NX3346   MR2   SPC  NK</v>
          </cell>
          <cell r="C1086">
            <v>30</v>
          </cell>
          <cell r="D1086" t="str">
            <v>UN</v>
          </cell>
          <cell r="E1086">
            <v>6032</v>
          </cell>
          <cell r="G1086">
            <v>100</v>
          </cell>
          <cell r="H1086" t="str">
            <v>NK</v>
          </cell>
          <cell r="I1086" t="str">
            <v>NK US</v>
          </cell>
          <cell r="J1086" t="str">
            <v>CO110</v>
          </cell>
          <cell r="K1086">
            <v>1</v>
          </cell>
          <cell r="N1086">
            <v>0.01</v>
          </cell>
          <cell r="P1086" t="str">
            <v>X3129AYD</v>
          </cell>
          <cell r="Q1086" t="str">
            <v>01Z01033209</v>
          </cell>
          <cell r="R1086" t="str">
            <v>CA01</v>
          </cell>
        </row>
        <row r="1087">
          <cell r="A1087">
            <v>1016011</v>
          </cell>
          <cell r="B1087" t="str">
            <v>CRCO N64Z-CB/LL/RW    LR70QBP SPC CA</v>
          </cell>
          <cell r="C1087">
            <v>0</v>
          </cell>
          <cell r="D1087" t="str">
            <v>UN</v>
          </cell>
          <cell r="E1087">
            <v>611700</v>
          </cell>
          <cell r="G1087">
            <v>10000</v>
          </cell>
          <cell r="H1087" t="str">
            <v>NK</v>
          </cell>
          <cell r="I1087" t="str">
            <v>NK CA</v>
          </cell>
          <cell r="J1087" t="str">
            <v>CO110</v>
          </cell>
          <cell r="K1087">
            <v>1</v>
          </cell>
          <cell r="N1087">
            <v>521290.91</v>
          </cell>
          <cell r="P1087" t="str">
            <v>X61476YD</v>
          </cell>
          <cell r="Q1087" t="str">
            <v>01Z01063209</v>
          </cell>
          <cell r="R1087" t="str">
            <v>CA01</v>
          </cell>
          <cell r="S1087">
            <v>611700</v>
          </cell>
        </row>
        <row r="1088">
          <cell r="A1088">
            <v>1016011</v>
          </cell>
          <cell r="B1088" t="str">
            <v>CRCO N64Z-CB/LL/RW    LR70QBP SPC CA</v>
          </cell>
          <cell r="C1088">
            <v>0</v>
          </cell>
          <cell r="D1088" t="str">
            <v>UN</v>
          </cell>
          <cell r="E1088">
            <v>611700</v>
          </cell>
          <cell r="G1088">
            <v>10000</v>
          </cell>
          <cell r="H1088" t="str">
            <v>NK</v>
          </cell>
          <cell r="I1088" t="str">
            <v>NK CA</v>
          </cell>
          <cell r="J1088" t="str">
            <v>CO110</v>
          </cell>
          <cell r="K1088">
            <v>1</v>
          </cell>
          <cell r="N1088">
            <v>521290.91</v>
          </cell>
          <cell r="P1088" t="str">
            <v>X61476YD</v>
          </cell>
          <cell r="Q1088" t="str">
            <v>01Z01063209</v>
          </cell>
          <cell r="R1088" t="str">
            <v>CA01</v>
          </cell>
          <cell r="S1088">
            <v>611700</v>
          </cell>
        </row>
        <row r="1089">
          <cell r="A1089">
            <v>1056216</v>
          </cell>
          <cell r="B1089" t="str">
            <v>CRCO N29T-CB/LL    MF1     SPC CA</v>
          </cell>
          <cell r="C1089">
            <v>0</v>
          </cell>
          <cell r="D1089" t="str">
            <v>UN</v>
          </cell>
          <cell r="E1089">
            <v>553336</v>
          </cell>
          <cell r="G1089">
            <v>10000</v>
          </cell>
          <cell r="H1089" t="str">
            <v>NK</v>
          </cell>
          <cell r="I1089" t="str">
            <v>NK CA</v>
          </cell>
          <cell r="J1089" t="str">
            <v>CO110</v>
          </cell>
          <cell r="K1089">
            <v>1</v>
          </cell>
          <cell r="N1089">
            <v>0.01</v>
          </cell>
          <cell r="P1089" t="str">
            <v>X30576BB.1</v>
          </cell>
          <cell r="Q1089" t="str">
            <v>01Z01030641</v>
          </cell>
          <cell r="R1089" t="str">
            <v>CA01</v>
          </cell>
          <cell r="S1089">
            <v>553336</v>
          </cell>
        </row>
        <row r="1090">
          <cell r="A1090">
            <v>1056216</v>
          </cell>
          <cell r="B1090" t="str">
            <v>CRCO N29T-CB/LL    MF1     SPC CA</v>
          </cell>
          <cell r="C1090">
            <v>0</v>
          </cell>
          <cell r="D1090" t="str">
            <v>UN</v>
          </cell>
          <cell r="E1090">
            <v>553336</v>
          </cell>
          <cell r="G1090">
            <v>10000</v>
          </cell>
          <cell r="H1090" t="str">
            <v>NK</v>
          </cell>
          <cell r="I1090" t="str">
            <v>NK CA</v>
          </cell>
          <cell r="J1090" t="str">
            <v>CO110</v>
          </cell>
          <cell r="K1090">
            <v>1</v>
          </cell>
          <cell r="N1090">
            <v>0.01</v>
          </cell>
          <cell r="P1090" t="str">
            <v>X30576BB.1</v>
          </cell>
          <cell r="Q1090" t="str">
            <v>01Z01030641</v>
          </cell>
          <cell r="R1090" t="str">
            <v>CA01</v>
          </cell>
          <cell r="S1090">
            <v>553336</v>
          </cell>
        </row>
        <row r="1091">
          <cell r="A1091">
            <v>1056280</v>
          </cell>
          <cell r="B1091" t="str">
            <v>CRCO NX0587    MF2     SPC CA</v>
          </cell>
          <cell r="C1091">
            <v>0</v>
          </cell>
          <cell r="D1091" t="str">
            <v>UN</v>
          </cell>
          <cell r="E1091">
            <v>510657.18</v>
          </cell>
          <cell r="G1091">
            <v>10000</v>
          </cell>
          <cell r="H1091" t="str">
            <v>NK</v>
          </cell>
          <cell r="I1091" t="str">
            <v>NK CA</v>
          </cell>
          <cell r="J1091" t="str">
            <v>CO110</v>
          </cell>
          <cell r="K1091">
            <v>1</v>
          </cell>
          <cell r="N1091">
            <v>0.01</v>
          </cell>
          <cell r="P1091" t="str">
            <v>X07587BB</v>
          </cell>
          <cell r="Q1091" t="str">
            <v>01Z010006AE</v>
          </cell>
          <cell r="R1091" t="str">
            <v>CA01</v>
          </cell>
        </row>
        <row r="1092">
          <cell r="A1092">
            <v>1056280</v>
          </cell>
          <cell r="B1092" t="str">
            <v>CRCO NX0587    MF2     SPC CA</v>
          </cell>
          <cell r="C1092">
            <v>0</v>
          </cell>
          <cell r="D1092" t="str">
            <v>UN</v>
          </cell>
          <cell r="E1092">
            <v>510657.18</v>
          </cell>
          <cell r="G1092">
            <v>10000</v>
          </cell>
          <cell r="H1092" t="str">
            <v>NK</v>
          </cell>
          <cell r="I1092" t="str">
            <v>NK CA</v>
          </cell>
          <cell r="J1092" t="str">
            <v>CO110</v>
          </cell>
          <cell r="K1092">
            <v>1</v>
          </cell>
          <cell r="N1092">
            <v>0.01</v>
          </cell>
          <cell r="P1092" t="str">
            <v>X07587BB</v>
          </cell>
          <cell r="Q1092" t="str">
            <v>01Z010006AE</v>
          </cell>
          <cell r="R1092" t="str">
            <v>CA01</v>
          </cell>
        </row>
        <row r="1093">
          <cell r="A1093">
            <v>1056290</v>
          </cell>
          <cell r="B1093" t="str">
            <v>CRCO N29T-CB/LL    MF2     SPC CA</v>
          </cell>
          <cell r="C1093">
            <v>0</v>
          </cell>
          <cell r="D1093" t="str">
            <v>UN</v>
          </cell>
          <cell r="E1093">
            <v>553336</v>
          </cell>
          <cell r="G1093">
            <v>10000</v>
          </cell>
          <cell r="H1093" t="str">
            <v>NK</v>
          </cell>
          <cell r="I1093" t="str">
            <v>NK CA</v>
          </cell>
          <cell r="J1093" t="str">
            <v>CO110</v>
          </cell>
          <cell r="K1093">
            <v>1</v>
          </cell>
          <cell r="N1093">
            <v>0.01</v>
          </cell>
          <cell r="P1093" t="str">
            <v>X30576BB.1</v>
          </cell>
          <cell r="Q1093" t="str">
            <v>01Z01030641</v>
          </cell>
          <cell r="R1093" t="str">
            <v>CA01</v>
          </cell>
          <cell r="S1093">
            <v>553336</v>
          </cell>
        </row>
        <row r="1094">
          <cell r="A1094">
            <v>1056290</v>
          </cell>
          <cell r="B1094" t="str">
            <v>CRCO N29T-CB/LL    MF2     SPC CA</v>
          </cell>
          <cell r="C1094">
            <v>0</v>
          </cell>
          <cell r="D1094" t="str">
            <v>UN</v>
          </cell>
          <cell r="E1094">
            <v>553336</v>
          </cell>
          <cell r="G1094">
            <v>10000</v>
          </cell>
          <cell r="H1094" t="str">
            <v>NK</v>
          </cell>
          <cell r="I1094" t="str">
            <v>NK CA</v>
          </cell>
          <cell r="J1094" t="str">
            <v>CO110</v>
          </cell>
          <cell r="K1094">
            <v>1</v>
          </cell>
          <cell r="N1094">
            <v>0.01</v>
          </cell>
          <cell r="P1094" t="str">
            <v>X30576BB.1</v>
          </cell>
          <cell r="Q1094" t="str">
            <v>01Z01030641</v>
          </cell>
          <cell r="R1094" t="str">
            <v>CA01</v>
          </cell>
          <cell r="S1094">
            <v>553336</v>
          </cell>
        </row>
        <row r="1095">
          <cell r="A1095">
            <v>1056461</v>
          </cell>
          <cell r="B1095" t="str">
            <v>CRCO N29T-CB/LL    MR2     SPC CA</v>
          </cell>
          <cell r="C1095">
            <v>0</v>
          </cell>
          <cell r="D1095" t="str">
            <v>UN</v>
          </cell>
          <cell r="E1095">
            <v>553336</v>
          </cell>
          <cell r="G1095">
            <v>10000</v>
          </cell>
          <cell r="H1095" t="str">
            <v>NK</v>
          </cell>
          <cell r="I1095" t="str">
            <v>NK CA</v>
          </cell>
          <cell r="J1095" t="str">
            <v>CO110</v>
          </cell>
          <cell r="K1095">
            <v>1</v>
          </cell>
          <cell r="N1095">
            <v>0.01</v>
          </cell>
          <cell r="P1095" t="str">
            <v>X30576BB.1</v>
          </cell>
          <cell r="Q1095" t="str">
            <v>01Z01030641</v>
          </cell>
          <cell r="R1095" t="str">
            <v>CA01</v>
          </cell>
          <cell r="S1095">
            <v>553336</v>
          </cell>
        </row>
        <row r="1096">
          <cell r="A1096">
            <v>1056461</v>
          </cell>
          <cell r="B1096" t="str">
            <v>CRCO N29T-CB/LL    MR2     SPC CA</v>
          </cell>
          <cell r="C1096">
            <v>0</v>
          </cell>
          <cell r="D1096" t="str">
            <v>UN</v>
          </cell>
          <cell r="E1096">
            <v>553336</v>
          </cell>
          <cell r="G1096">
            <v>10000</v>
          </cell>
          <cell r="H1096" t="str">
            <v>NK</v>
          </cell>
          <cell r="I1096" t="str">
            <v>NK CA</v>
          </cell>
          <cell r="J1096" t="str">
            <v>CO110</v>
          </cell>
          <cell r="K1096">
            <v>1</v>
          </cell>
          <cell r="N1096">
            <v>0.01</v>
          </cell>
          <cell r="P1096" t="str">
            <v>X30576BB.1</v>
          </cell>
          <cell r="Q1096" t="str">
            <v>01Z01030641</v>
          </cell>
          <cell r="R1096" t="str">
            <v>CA01</v>
          </cell>
          <cell r="S1096">
            <v>553336</v>
          </cell>
        </row>
        <row r="1097">
          <cell r="A1097">
            <v>1056601</v>
          </cell>
          <cell r="B1097" t="str">
            <v>CRCO N46Q-CB/LL/RW    SF90    SPC CA</v>
          </cell>
          <cell r="C1097">
            <v>43</v>
          </cell>
          <cell r="D1097" t="str">
            <v>UN</v>
          </cell>
          <cell r="E1097">
            <v>491518</v>
          </cell>
          <cell r="G1097">
            <v>10000</v>
          </cell>
          <cell r="H1097" t="str">
            <v>NK</v>
          </cell>
          <cell r="I1097" t="str">
            <v>NK CA</v>
          </cell>
          <cell r="J1097" t="str">
            <v>CO110</v>
          </cell>
          <cell r="K1097">
            <v>1</v>
          </cell>
          <cell r="N1097">
            <v>0.01</v>
          </cell>
          <cell r="P1097" t="str">
            <v>X51556YD</v>
          </cell>
          <cell r="Q1097" t="str">
            <v>01Z01053207</v>
          </cell>
          <cell r="R1097" t="str">
            <v>CA01</v>
          </cell>
          <cell r="S1097">
            <v>491518</v>
          </cell>
        </row>
        <row r="1098">
          <cell r="A1098">
            <v>1056601</v>
          </cell>
          <cell r="B1098" t="str">
            <v>CRCO N46Q-CB/LL/RW    SF90    SPC CA</v>
          </cell>
          <cell r="C1098">
            <v>43</v>
          </cell>
          <cell r="D1098" t="str">
            <v>UN</v>
          </cell>
          <cell r="E1098">
            <v>491518</v>
          </cell>
          <cell r="G1098">
            <v>10000</v>
          </cell>
          <cell r="H1098" t="str">
            <v>NK</v>
          </cell>
          <cell r="I1098" t="str">
            <v>NK CA</v>
          </cell>
          <cell r="J1098" t="str">
            <v>CO110</v>
          </cell>
          <cell r="K1098">
            <v>1</v>
          </cell>
          <cell r="N1098">
            <v>0.01</v>
          </cell>
          <cell r="P1098" t="str">
            <v>X51556YD</v>
          </cell>
          <cell r="Q1098" t="str">
            <v>01Z01053207</v>
          </cell>
          <cell r="R1098" t="str">
            <v>CA01</v>
          </cell>
          <cell r="S1098">
            <v>491518</v>
          </cell>
        </row>
        <row r="1099">
          <cell r="A1099">
            <v>1056685</v>
          </cell>
          <cell r="B1099" t="str">
            <v>CRCO N46Q-CB/LL/RW    SR90    SPC CA</v>
          </cell>
          <cell r="C1099">
            <v>10</v>
          </cell>
          <cell r="D1099" t="str">
            <v>UN</v>
          </cell>
          <cell r="E1099">
            <v>491518</v>
          </cell>
          <cell r="G1099">
            <v>10000</v>
          </cell>
          <cell r="H1099" t="str">
            <v>NK</v>
          </cell>
          <cell r="I1099" t="str">
            <v>NK CA</v>
          </cell>
          <cell r="J1099" t="str">
            <v>CO110</v>
          </cell>
          <cell r="K1099">
            <v>1</v>
          </cell>
          <cell r="N1099">
            <v>0.01</v>
          </cell>
          <cell r="P1099" t="str">
            <v>X51556YD</v>
          </cell>
          <cell r="Q1099" t="str">
            <v>01Z01053207</v>
          </cell>
          <cell r="R1099" t="str">
            <v>CA01</v>
          </cell>
          <cell r="S1099">
            <v>491518</v>
          </cell>
        </row>
        <row r="1100">
          <cell r="A1100">
            <v>1056685</v>
          </cell>
          <cell r="B1100" t="str">
            <v>CRCO N46Q-CB/LL/RW    SR90    SPC CA</v>
          </cell>
          <cell r="C1100">
            <v>10</v>
          </cell>
          <cell r="D1100" t="str">
            <v>UN</v>
          </cell>
          <cell r="E1100">
            <v>491518</v>
          </cell>
          <cell r="G1100">
            <v>10000</v>
          </cell>
          <cell r="H1100" t="str">
            <v>NK</v>
          </cell>
          <cell r="I1100" t="str">
            <v>NK CA</v>
          </cell>
          <cell r="J1100" t="str">
            <v>CO110</v>
          </cell>
          <cell r="K1100">
            <v>1</v>
          </cell>
          <cell r="N1100">
            <v>0.01</v>
          </cell>
          <cell r="P1100" t="str">
            <v>X51556YD</v>
          </cell>
          <cell r="Q1100" t="str">
            <v>01Z01053207</v>
          </cell>
          <cell r="R1100" t="str">
            <v>CA01</v>
          </cell>
          <cell r="S1100">
            <v>491518</v>
          </cell>
        </row>
        <row r="1101">
          <cell r="A1101">
            <v>1056771</v>
          </cell>
          <cell r="B1101" t="str">
            <v>CRCO NX2937    MF2     SPC CA</v>
          </cell>
          <cell r="C1101">
            <v>0</v>
          </cell>
          <cell r="D1101" t="str">
            <v>UN</v>
          </cell>
          <cell r="E1101">
            <v>553151</v>
          </cell>
          <cell r="G1101">
            <v>10000</v>
          </cell>
          <cell r="H1101" t="str">
            <v>NK</v>
          </cell>
          <cell r="I1101" t="str">
            <v>NK CA</v>
          </cell>
          <cell r="J1101" t="str">
            <v>CO110</v>
          </cell>
          <cell r="K1101">
            <v>1</v>
          </cell>
          <cell r="N1101">
            <v>0.01</v>
          </cell>
          <cell r="P1101" t="str">
            <v>X30838BB</v>
          </cell>
          <cell r="Q1101" t="str">
            <v>01Z010306BS</v>
          </cell>
          <cell r="R1101" t="str">
            <v>CA01</v>
          </cell>
          <cell r="S1101">
            <v>553151</v>
          </cell>
        </row>
        <row r="1102">
          <cell r="A1102">
            <v>1056771</v>
          </cell>
          <cell r="B1102" t="str">
            <v>CRCO NX2937    MF2     SPC CA</v>
          </cell>
          <cell r="C1102">
            <v>0</v>
          </cell>
          <cell r="D1102" t="str">
            <v>UN</v>
          </cell>
          <cell r="E1102">
            <v>553151</v>
          </cell>
          <cell r="G1102">
            <v>10000</v>
          </cell>
          <cell r="H1102" t="str">
            <v>NK</v>
          </cell>
          <cell r="I1102" t="str">
            <v>NK CA</v>
          </cell>
          <cell r="J1102" t="str">
            <v>CO110</v>
          </cell>
          <cell r="K1102">
            <v>1</v>
          </cell>
          <cell r="N1102">
            <v>0.01</v>
          </cell>
          <cell r="P1102" t="str">
            <v>X30838BB</v>
          </cell>
          <cell r="Q1102" t="str">
            <v>01Z010306BS</v>
          </cell>
          <cell r="R1102" t="str">
            <v>CA01</v>
          </cell>
          <cell r="S1102">
            <v>553151</v>
          </cell>
        </row>
        <row r="1103">
          <cell r="A1103">
            <v>1056871</v>
          </cell>
          <cell r="B1103" t="str">
            <v>CRCO NX3447    MF2     SPC CA</v>
          </cell>
          <cell r="C1103">
            <v>85</v>
          </cell>
          <cell r="D1103" t="str">
            <v>UN</v>
          </cell>
          <cell r="E1103">
            <v>673900</v>
          </cell>
          <cell r="G1103">
            <v>10000</v>
          </cell>
          <cell r="H1103" t="str">
            <v>NK</v>
          </cell>
          <cell r="I1103" t="str">
            <v>NK CA</v>
          </cell>
          <cell r="J1103" t="str">
            <v>CO110</v>
          </cell>
          <cell r="K1103">
            <v>1</v>
          </cell>
          <cell r="N1103">
            <v>0.01</v>
          </cell>
          <cell r="P1103" t="str">
            <v>X34247BB</v>
          </cell>
          <cell r="Q1103" t="str">
            <v>01Z010406BX</v>
          </cell>
          <cell r="R1103" t="str">
            <v>CA01</v>
          </cell>
          <cell r="S1103">
            <v>673900</v>
          </cell>
        </row>
        <row r="1104">
          <cell r="A1104">
            <v>1056871</v>
          </cell>
          <cell r="B1104" t="str">
            <v>CRCO NX3447    MF2     SPC CA</v>
          </cell>
          <cell r="C1104">
            <v>85</v>
          </cell>
          <cell r="D1104" t="str">
            <v>UN</v>
          </cell>
          <cell r="E1104">
            <v>673900</v>
          </cell>
          <cell r="G1104">
            <v>10000</v>
          </cell>
          <cell r="H1104" t="str">
            <v>NK</v>
          </cell>
          <cell r="I1104" t="str">
            <v>NK CA</v>
          </cell>
          <cell r="J1104" t="str">
            <v>CO110</v>
          </cell>
          <cell r="K1104">
            <v>1</v>
          </cell>
          <cell r="N1104">
            <v>0.01</v>
          </cell>
          <cell r="P1104" t="str">
            <v>X34247BB</v>
          </cell>
          <cell r="Q1104" t="str">
            <v>01Z010406BX</v>
          </cell>
          <cell r="R1104" t="str">
            <v>CA01</v>
          </cell>
          <cell r="S1104">
            <v>673900</v>
          </cell>
        </row>
        <row r="1105">
          <cell r="A1105">
            <v>1057848</v>
          </cell>
          <cell r="B1105" t="str">
            <v>CRCO NX1737   SPC  FET   NK</v>
          </cell>
          <cell r="C1105">
            <v>28</v>
          </cell>
          <cell r="D1105" t="str">
            <v>D10</v>
          </cell>
          <cell r="E1105">
            <v>1869</v>
          </cell>
          <cell r="G1105">
            <v>100</v>
          </cell>
          <cell r="H1105" t="str">
            <v>NK</v>
          </cell>
          <cell r="I1105" t="str">
            <v>NK US</v>
          </cell>
          <cell r="J1105" t="str">
            <v>CO110</v>
          </cell>
          <cell r="K1105">
            <v>1</v>
          </cell>
          <cell r="N1105">
            <v>0.01</v>
          </cell>
          <cell r="P1105" t="str">
            <v>X19638BB</v>
          </cell>
          <cell r="Q1105" t="str">
            <v>01Z01010615</v>
          </cell>
          <cell r="R1105" t="str">
            <v>CA01</v>
          </cell>
        </row>
        <row r="1106">
          <cell r="A1106">
            <v>1057848</v>
          </cell>
          <cell r="B1106" t="str">
            <v>CRCO NX1737   SPC  FET   NK</v>
          </cell>
          <cell r="C1106">
            <v>28</v>
          </cell>
          <cell r="D1106" t="str">
            <v>D10</v>
          </cell>
          <cell r="E1106">
            <v>1869</v>
          </cell>
          <cell r="G1106">
            <v>100</v>
          </cell>
          <cell r="H1106" t="str">
            <v>NK</v>
          </cell>
          <cell r="I1106" t="str">
            <v>NK US</v>
          </cell>
          <cell r="J1106" t="str">
            <v>CO110</v>
          </cell>
          <cell r="K1106">
            <v>1</v>
          </cell>
          <cell r="N1106">
            <v>0.01</v>
          </cell>
          <cell r="P1106" t="str">
            <v>X19638BB</v>
          </cell>
          <cell r="Q1106" t="str">
            <v>01Z01010615</v>
          </cell>
          <cell r="R1106" t="str">
            <v>CA01</v>
          </cell>
        </row>
        <row r="1107">
          <cell r="A1107">
            <v>1057854</v>
          </cell>
          <cell r="B1107" t="str">
            <v>CRCO NX1667   SPC  FET   NK</v>
          </cell>
          <cell r="C1107">
            <v>31</v>
          </cell>
          <cell r="D1107" t="str">
            <v>D10</v>
          </cell>
          <cell r="E1107">
            <v>1950</v>
          </cell>
          <cell r="G1107">
            <v>100</v>
          </cell>
          <cell r="H1107" t="str">
            <v>NK</v>
          </cell>
          <cell r="I1107" t="str">
            <v>NK US</v>
          </cell>
          <cell r="J1107" t="str">
            <v>CO110</v>
          </cell>
          <cell r="K1107">
            <v>1</v>
          </cell>
          <cell r="N1107">
            <v>0.01</v>
          </cell>
          <cell r="P1107" t="str">
            <v>X11568BB</v>
          </cell>
          <cell r="Q1107" t="str">
            <v>01Z01010616</v>
          </cell>
          <cell r="R1107" t="str">
            <v>CA01</v>
          </cell>
        </row>
        <row r="1108">
          <cell r="A1108">
            <v>1057854</v>
          </cell>
          <cell r="B1108" t="str">
            <v>CRCO NX1667   SPC  FET   NK</v>
          </cell>
          <cell r="C1108">
            <v>31</v>
          </cell>
          <cell r="D1108" t="str">
            <v>D10</v>
          </cell>
          <cell r="E1108">
            <v>1950</v>
          </cell>
          <cell r="G1108">
            <v>100</v>
          </cell>
          <cell r="H1108" t="str">
            <v>NK</v>
          </cell>
          <cell r="I1108" t="str">
            <v>NK US</v>
          </cell>
          <cell r="J1108" t="str">
            <v>CO110</v>
          </cell>
          <cell r="K1108">
            <v>1</v>
          </cell>
          <cell r="N1108">
            <v>0.01</v>
          </cell>
          <cell r="P1108" t="str">
            <v>X11568BB</v>
          </cell>
          <cell r="Q1108" t="str">
            <v>01Z01010616</v>
          </cell>
          <cell r="R1108" t="str">
            <v>CA01</v>
          </cell>
        </row>
        <row r="1109">
          <cell r="A1109">
            <v>1057917</v>
          </cell>
          <cell r="B1109" t="str">
            <v>CRCO N29R-CB/LL   SPC  FET   NK</v>
          </cell>
          <cell r="C1109">
            <v>0</v>
          </cell>
          <cell r="D1109" t="str">
            <v>D10</v>
          </cell>
          <cell r="E1109">
            <v>1869</v>
          </cell>
          <cell r="G1109">
            <v>100</v>
          </cell>
          <cell r="H1109" t="str">
            <v>NK</v>
          </cell>
          <cell r="I1109" t="str">
            <v>NK US</v>
          </cell>
          <cell r="J1109" t="str">
            <v>CO110</v>
          </cell>
          <cell r="K1109">
            <v>1</v>
          </cell>
          <cell r="N1109">
            <v>0.01</v>
          </cell>
          <cell r="P1109" t="str">
            <v>X29178BB</v>
          </cell>
          <cell r="Q1109" t="str">
            <v>01Z01020628</v>
          </cell>
          <cell r="R1109" t="str">
            <v>CA01</v>
          </cell>
        </row>
        <row r="1110">
          <cell r="A1110">
            <v>1057917</v>
          </cell>
          <cell r="B1110" t="str">
            <v>CRCO N29R-CB/LL   SPC  FET   NK</v>
          </cell>
          <cell r="C1110">
            <v>0</v>
          </cell>
          <cell r="D1110" t="str">
            <v>D10</v>
          </cell>
          <cell r="E1110">
            <v>1869</v>
          </cell>
          <cell r="G1110">
            <v>100</v>
          </cell>
          <cell r="H1110" t="str">
            <v>NK</v>
          </cell>
          <cell r="I1110" t="str">
            <v>NK US</v>
          </cell>
          <cell r="J1110" t="str">
            <v>CO110</v>
          </cell>
          <cell r="K1110">
            <v>1</v>
          </cell>
          <cell r="N1110">
            <v>0.01</v>
          </cell>
          <cell r="P1110" t="str">
            <v>X29178BB</v>
          </cell>
          <cell r="Q1110" t="str">
            <v>01Z01020628</v>
          </cell>
          <cell r="R1110" t="str">
            <v>CA01</v>
          </cell>
        </row>
        <row r="1111">
          <cell r="A1111">
            <v>1057954</v>
          </cell>
          <cell r="B1111" t="str">
            <v>CRCO NX2457   SPC  FET   NK</v>
          </cell>
          <cell r="C1111">
            <v>3</v>
          </cell>
          <cell r="D1111" t="str">
            <v>D10</v>
          </cell>
          <cell r="E1111">
            <v>1869</v>
          </cell>
          <cell r="G1111">
            <v>100</v>
          </cell>
          <cell r="H1111" t="str">
            <v>NK</v>
          </cell>
          <cell r="I1111" t="str">
            <v>NK US</v>
          </cell>
          <cell r="J1111" t="str">
            <v>CO110</v>
          </cell>
          <cell r="K1111">
            <v>1</v>
          </cell>
          <cell r="N1111">
            <v>0.01</v>
          </cell>
          <cell r="P1111" t="str">
            <v>X24357BB</v>
          </cell>
          <cell r="Q1111" t="str">
            <v>01Z01020631</v>
          </cell>
          <cell r="R1111" t="str">
            <v>CA01</v>
          </cell>
        </row>
        <row r="1112">
          <cell r="A1112">
            <v>1057954</v>
          </cell>
          <cell r="B1112" t="str">
            <v>CRCO NX2457   SPC  FET   NK</v>
          </cell>
          <cell r="C1112">
            <v>3</v>
          </cell>
          <cell r="D1112" t="str">
            <v>D10</v>
          </cell>
          <cell r="E1112">
            <v>1869</v>
          </cell>
          <cell r="G1112">
            <v>100</v>
          </cell>
          <cell r="H1112" t="str">
            <v>NK</v>
          </cell>
          <cell r="I1112" t="str">
            <v>NK US</v>
          </cell>
          <cell r="J1112" t="str">
            <v>CO110</v>
          </cell>
          <cell r="K1112">
            <v>1</v>
          </cell>
          <cell r="N1112">
            <v>0.01</v>
          </cell>
          <cell r="P1112" t="str">
            <v>X24357BB</v>
          </cell>
          <cell r="Q1112" t="str">
            <v>01Z01020631</v>
          </cell>
          <cell r="R1112" t="str">
            <v>CA01</v>
          </cell>
        </row>
        <row r="1113">
          <cell r="A1113">
            <v>1058014</v>
          </cell>
          <cell r="B1113" t="str">
            <v>CRCO NX4357   SPC  FET   NK</v>
          </cell>
          <cell r="C1113">
            <v>19</v>
          </cell>
          <cell r="D1113" t="str">
            <v>D10</v>
          </cell>
          <cell r="E1113">
            <v>1950</v>
          </cell>
          <cell r="G1113">
            <v>100</v>
          </cell>
          <cell r="H1113" t="str">
            <v>NK</v>
          </cell>
          <cell r="I1113" t="str">
            <v>NK US</v>
          </cell>
          <cell r="J1113" t="str">
            <v>CO110</v>
          </cell>
          <cell r="K1113">
            <v>1</v>
          </cell>
          <cell r="N1113">
            <v>0.01</v>
          </cell>
          <cell r="P1113" t="str">
            <v>X42157BB</v>
          </cell>
          <cell r="Q1113" t="str">
            <v>01Z010306BQ</v>
          </cell>
          <cell r="R1113" t="str">
            <v>CA01</v>
          </cell>
        </row>
        <row r="1114">
          <cell r="A1114">
            <v>1058014</v>
          </cell>
          <cell r="B1114" t="str">
            <v>CRCO NX4357   SPC  FET   NK</v>
          </cell>
          <cell r="C1114">
            <v>19</v>
          </cell>
          <cell r="D1114" t="str">
            <v>D10</v>
          </cell>
          <cell r="E1114">
            <v>1950</v>
          </cell>
          <cell r="G1114">
            <v>100</v>
          </cell>
          <cell r="H1114" t="str">
            <v>NK</v>
          </cell>
          <cell r="I1114" t="str">
            <v>NK US</v>
          </cell>
          <cell r="J1114" t="str">
            <v>CO110</v>
          </cell>
          <cell r="K1114">
            <v>1</v>
          </cell>
          <cell r="N1114">
            <v>0.01</v>
          </cell>
          <cell r="P1114" t="str">
            <v>X42157BB</v>
          </cell>
          <cell r="Q1114" t="str">
            <v>01Z010306BQ</v>
          </cell>
          <cell r="R1114" t="str">
            <v>CA01</v>
          </cell>
        </row>
        <row r="1115">
          <cell r="A1115">
            <v>1058632</v>
          </cell>
          <cell r="B1115" t="str">
            <v>CRCO NX3297   SPC  FET   NK</v>
          </cell>
          <cell r="C1115">
            <v>56</v>
          </cell>
          <cell r="D1115" t="str">
            <v>D10</v>
          </cell>
          <cell r="E1115">
            <v>2038</v>
          </cell>
          <cell r="G1115">
            <v>100</v>
          </cell>
          <cell r="H1115" t="str">
            <v>NK</v>
          </cell>
          <cell r="I1115" t="str">
            <v>NK US</v>
          </cell>
          <cell r="J1115" t="str">
            <v>CO110</v>
          </cell>
          <cell r="K1115">
            <v>1</v>
          </cell>
          <cell r="N1115">
            <v>0.01</v>
          </cell>
          <cell r="P1115" t="str">
            <v>X36998YD</v>
          </cell>
          <cell r="Q1115" t="str">
            <v>01Z01033214</v>
          </cell>
          <cell r="R1115" t="str">
            <v>CA01</v>
          </cell>
        </row>
        <row r="1116">
          <cell r="A1116">
            <v>1058632</v>
          </cell>
          <cell r="B1116" t="str">
            <v>CRCO NX3297   SPC  FET   NK</v>
          </cell>
          <cell r="C1116">
            <v>56</v>
          </cell>
          <cell r="D1116" t="str">
            <v>D10</v>
          </cell>
          <cell r="E1116">
            <v>2038</v>
          </cell>
          <cell r="G1116">
            <v>100</v>
          </cell>
          <cell r="H1116" t="str">
            <v>NK</v>
          </cell>
          <cell r="I1116" t="str">
            <v>NK US</v>
          </cell>
          <cell r="J1116" t="str">
            <v>CO110</v>
          </cell>
          <cell r="K1116">
            <v>1</v>
          </cell>
          <cell r="N1116">
            <v>0.01</v>
          </cell>
          <cell r="P1116" t="str">
            <v>X36998YD</v>
          </cell>
          <cell r="Q1116" t="str">
            <v>01Z01033214</v>
          </cell>
          <cell r="R1116" t="str">
            <v>CA01</v>
          </cell>
        </row>
        <row r="1117">
          <cell r="A1117">
            <v>1059156</v>
          </cell>
          <cell r="B1117" t="str">
            <v>CRCO NX4907   SPC  FET   NK</v>
          </cell>
          <cell r="C1117">
            <v>14</v>
          </cell>
          <cell r="D1117" t="str">
            <v>D10</v>
          </cell>
          <cell r="E1117">
            <v>1950</v>
          </cell>
          <cell r="G1117">
            <v>100</v>
          </cell>
          <cell r="H1117" t="str">
            <v>NK</v>
          </cell>
          <cell r="I1117" t="str">
            <v>NK US</v>
          </cell>
          <cell r="J1117" t="str">
            <v>CO110</v>
          </cell>
          <cell r="K1117">
            <v>1</v>
          </cell>
          <cell r="N1117">
            <v>0.01</v>
          </cell>
          <cell r="P1117" t="str">
            <v>X48608BB</v>
          </cell>
          <cell r="Q1117" t="str">
            <v>01Z010406CG</v>
          </cell>
          <cell r="R1117" t="str">
            <v>CA01</v>
          </cell>
        </row>
        <row r="1118">
          <cell r="A1118">
            <v>1059156</v>
          </cell>
          <cell r="B1118" t="str">
            <v>CRCO NX4907   SPC  FET   NK</v>
          </cell>
          <cell r="C1118">
            <v>14</v>
          </cell>
          <cell r="D1118" t="str">
            <v>D10</v>
          </cell>
          <cell r="E1118">
            <v>1950</v>
          </cell>
          <cell r="G1118">
            <v>100</v>
          </cell>
          <cell r="H1118" t="str">
            <v>NK</v>
          </cell>
          <cell r="I1118" t="str">
            <v>NK US</v>
          </cell>
          <cell r="J1118" t="str">
            <v>CO110</v>
          </cell>
          <cell r="K1118">
            <v>1</v>
          </cell>
          <cell r="N1118">
            <v>0.01</v>
          </cell>
          <cell r="P1118" t="str">
            <v>X48608BB</v>
          </cell>
          <cell r="Q1118" t="str">
            <v>01Z010406CG</v>
          </cell>
          <cell r="R1118" t="str">
            <v>CA01</v>
          </cell>
        </row>
        <row r="1119">
          <cell r="A1119">
            <v>1059160</v>
          </cell>
          <cell r="B1119" t="str">
            <v>CRCO NX4877   SPC  FET   NK</v>
          </cell>
          <cell r="C1119">
            <v>31</v>
          </cell>
          <cell r="D1119" t="str">
            <v>D10</v>
          </cell>
          <cell r="E1119">
            <v>1950</v>
          </cell>
          <cell r="G1119">
            <v>100</v>
          </cell>
          <cell r="H1119" t="str">
            <v>NK</v>
          </cell>
          <cell r="I1119" t="str">
            <v>NK US</v>
          </cell>
          <cell r="J1119" t="str">
            <v>CO110</v>
          </cell>
          <cell r="K1119">
            <v>1</v>
          </cell>
          <cell r="N1119">
            <v>0.01</v>
          </cell>
          <cell r="P1119" t="str">
            <v>X48478BB</v>
          </cell>
          <cell r="Q1119" t="str">
            <v>01Z010406CI</v>
          </cell>
          <cell r="R1119" t="str">
            <v>CA01</v>
          </cell>
        </row>
        <row r="1120">
          <cell r="A1120">
            <v>1059160</v>
          </cell>
          <cell r="B1120" t="str">
            <v>CRCO NX4877   SPC  FET   NK</v>
          </cell>
          <cell r="C1120">
            <v>31</v>
          </cell>
          <cell r="D1120" t="str">
            <v>D10</v>
          </cell>
          <cell r="E1120">
            <v>1950</v>
          </cell>
          <cell r="G1120">
            <v>100</v>
          </cell>
          <cell r="H1120" t="str">
            <v>NK</v>
          </cell>
          <cell r="I1120" t="str">
            <v>NK US</v>
          </cell>
          <cell r="J1120" t="str">
            <v>CO110</v>
          </cell>
          <cell r="K1120">
            <v>1</v>
          </cell>
          <cell r="N1120">
            <v>0.01</v>
          </cell>
          <cell r="P1120" t="str">
            <v>X48478BB</v>
          </cell>
          <cell r="Q1120" t="str">
            <v>01Z010406CI</v>
          </cell>
          <cell r="R1120" t="str">
            <v>CA01</v>
          </cell>
        </row>
        <row r="1121">
          <cell r="A1121">
            <v>1059198</v>
          </cell>
          <cell r="B1121" t="str">
            <v>CRCO NX4797   SPC  FET   NK</v>
          </cell>
          <cell r="C1121">
            <v>29</v>
          </cell>
          <cell r="D1121" t="str">
            <v>D10</v>
          </cell>
          <cell r="E1121">
            <v>1950</v>
          </cell>
          <cell r="G1121">
            <v>100</v>
          </cell>
          <cell r="H1121" t="str">
            <v>NK</v>
          </cell>
          <cell r="I1121" t="str">
            <v>NK US</v>
          </cell>
          <cell r="J1121" t="str">
            <v>CO110</v>
          </cell>
          <cell r="K1121">
            <v>1</v>
          </cell>
          <cell r="N1121">
            <v>0.01</v>
          </cell>
          <cell r="P1121" t="str">
            <v>X48798YD</v>
          </cell>
          <cell r="Q1121" t="str">
            <v>01Z01043209</v>
          </cell>
          <cell r="R1121" t="str">
            <v>CA01</v>
          </cell>
        </row>
        <row r="1122">
          <cell r="A1122">
            <v>1059198</v>
          </cell>
          <cell r="B1122" t="str">
            <v>CRCO NX4797   SPC  FET   NK</v>
          </cell>
          <cell r="C1122">
            <v>29</v>
          </cell>
          <cell r="D1122" t="str">
            <v>D10</v>
          </cell>
          <cell r="E1122">
            <v>1950</v>
          </cell>
          <cell r="G1122">
            <v>100</v>
          </cell>
          <cell r="H1122" t="str">
            <v>NK</v>
          </cell>
          <cell r="I1122" t="str">
            <v>NK US</v>
          </cell>
          <cell r="J1122" t="str">
            <v>CO110</v>
          </cell>
          <cell r="K1122">
            <v>1</v>
          </cell>
          <cell r="N1122">
            <v>0.01</v>
          </cell>
          <cell r="P1122" t="str">
            <v>X48798YD</v>
          </cell>
          <cell r="Q1122" t="str">
            <v>01Z01043209</v>
          </cell>
          <cell r="R1122" t="str">
            <v>CA01</v>
          </cell>
        </row>
        <row r="1123">
          <cell r="A1123">
            <v>1059291</v>
          </cell>
          <cell r="B1123" t="str">
            <v>CRCO NX5547   SPC  FET   NK</v>
          </cell>
          <cell r="C1123">
            <v>20</v>
          </cell>
          <cell r="D1123" t="str">
            <v>D10</v>
          </cell>
          <cell r="E1123">
            <v>1950</v>
          </cell>
          <cell r="G1123">
            <v>100</v>
          </cell>
          <cell r="H1123" t="str">
            <v>NK</v>
          </cell>
          <cell r="I1123" t="str">
            <v>NK US</v>
          </cell>
          <cell r="J1123" t="str">
            <v>CO110</v>
          </cell>
          <cell r="K1123">
            <v>1</v>
          </cell>
          <cell r="N1123">
            <v>0.01</v>
          </cell>
          <cell r="P1123" t="str">
            <v>X58945WP</v>
          </cell>
          <cell r="Q1123" t="str">
            <v>01Z01053908</v>
          </cell>
          <cell r="R1123" t="str">
            <v>CA01</v>
          </cell>
        </row>
        <row r="1124">
          <cell r="A1124">
            <v>1059291</v>
          </cell>
          <cell r="B1124" t="str">
            <v>CRCO NX5547   SPC  FET   NK</v>
          </cell>
          <cell r="C1124">
            <v>20</v>
          </cell>
          <cell r="D1124" t="str">
            <v>D10</v>
          </cell>
          <cell r="E1124">
            <v>1950</v>
          </cell>
          <cell r="G1124">
            <v>100</v>
          </cell>
          <cell r="H1124" t="str">
            <v>NK</v>
          </cell>
          <cell r="I1124" t="str">
            <v>NK US</v>
          </cell>
          <cell r="J1124" t="str">
            <v>CO110</v>
          </cell>
          <cell r="K1124">
            <v>1</v>
          </cell>
          <cell r="N1124">
            <v>0.01</v>
          </cell>
          <cell r="P1124" t="str">
            <v>X58945WP</v>
          </cell>
          <cell r="Q1124" t="str">
            <v>01Z01053908</v>
          </cell>
          <cell r="R1124" t="str">
            <v>CA01</v>
          </cell>
        </row>
        <row r="1125">
          <cell r="A1125">
            <v>1061130</v>
          </cell>
          <cell r="B1125" t="str">
            <v>CRCO NX3887   SPC  FET   NK</v>
          </cell>
          <cell r="C1125">
            <v>11</v>
          </cell>
          <cell r="D1125" t="str">
            <v>D10</v>
          </cell>
          <cell r="E1125">
            <v>1950</v>
          </cell>
          <cell r="G1125">
            <v>100</v>
          </cell>
          <cell r="H1125" t="str">
            <v>NK</v>
          </cell>
          <cell r="I1125" t="str">
            <v>NK US</v>
          </cell>
          <cell r="J1125" t="str">
            <v>CO110</v>
          </cell>
          <cell r="K1125">
            <v>1</v>
          </cell>
          <cell r="N1125">
            <v>0.01</v>
          </cell>
          <cell r="P1125" t="str">
            <v>X38987WZ</v>
          </cell>
          <cell r="Q1125" t="str">
            <v>01Z0103B103</v>
          </cell>
          <cell r="R1125" t="str">
            <v>CA01</v>
          </cell>
        </row>
        <row r="1126">
          <cell r="A1126">
            <v>1061130</v>
          </cell>
          <cell r="B1126" t="str">
            <v>CRCO NX3887   SPC  FET   NK</v>
          </cell>
          <cell r="C1126">
            <v>11</v>
          </cell>
          <cell r="D1126" t="str">
            <v>D10</v>
          </cell>
          <cell r="E1126">
            <v>1950</v>
          </cell>
          <cell r="G1126">
            <v>100</v>
          </cell>
          <cell r="H1126" t="str">
            <v>NK</v>
          </cell>
          <cell r="I1126" t="str">
            <v>NK US</v>
          </cell>
          <cell r="J1126" t="str">
            <v>CO110</v>
          </cell>
          <cell r="K1126">
            <v>1</v>
          </cell>
          <cell r="N1126">
            <v>0.01</v>
          </cell>
          <cell r="P1126" t="str">
            <v>X38987WZ</v>
          </cell>
          <cell r="Q1126" t="str">
            <v>01Z0103B103</v>
          </cell>
          <cell r="R1126" t="str">
            <v>CA01</v>
          </cell>
        </row>
        <row r="1127">
          <cell r="A1127">
            <v>1127249</v>
          </cell>
          <cell r="B1127" t="str">
            <v>BAG 14X3X33 EUROPEAN HYBRID CORN</v>
          </cell>
          <cell r="C1127">
            <v>36832</v>
          </cell>
          <cell r="D1127" t="str">
            <v>PC</v>
          </cell>
          <cell r="E1127">
            <v>48.2</v>
          </cell>
          <cell r="G1127">
            <v>100</v>
          </cell>
          <cell r="H1127" t="str">
            <v>SC Syngenta</v>
          </cell>
          <cell r="I1127" t="str">
            <v>SC SYNGENTA</v>
          </cell>
          <cell r="J1127" t="str">
            <v>PACKS</v>
          </cell>
          <cell r="K1127">
            <v>1</v>
          </cell>
          <cell r="N1127">
            <v>0.01</v>
          </cell>
          <cell r="P1127" t="str">
            <v>NON SEEDS</v>
          </cell>
          <cell r="Q1127" t="str">
            <v>ZZ</v>
          </cell>
          <cell r="R1127" t="str">
            <v>CA01</v>
          </cell>
        </row>
        <row r="1128">
          <cell r="A1128">
            <v>1127250</v>
          </cell>
          <cell r="B1128" t="str">
            <v>BAG 15X3X33 EUROPEAN HYBRID CORN</v>
          </cell>
          <cell r="C1128">
            <v>41143</v>
          </cell>
          <cell r="D1128" t="str">
            <v>PC</v>
          </cell>
          <cell r="E1128">
            <v>49.7</v>
          </cell>
          <cell r="G1128">
            <v>100</v>
          </cell>
          <cell r="H1128" t="str">
            <v>SC Syngenta</v>
          </cell>
          <cell r="I1128" t="str">
            <v>SC SYNGENTA</v>
          </cell>
          <cell r="J1128" t="str">
            <v>PACKS</v>
          </cell>
          <cell r="K1128">
            <v>1</v>
          </cell>
          <cell r="N1128">
            <v>0.01</v>
          </cell>
          <cell r="P1128" t="str">
            <v>NON SEEDS</v>
          </cell>
          <cell r="Q1128" t="str">
            <v>ZZ</v>
          </cell>
          <cell r="R1128" t="str">
            <v>CA01</v>
          </cell>
        </row>
      </sheetData>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YTD CP NCP pivot"/>
      <sheetName val="dwnld - US 3001500930 YTD 0309"/>
      <sheetName val="usdesc"/>
      <sheetName val="lookup us"/>
      <sheetName val="CA YTD CP NCP pivot"/>
      <sheetName val="dwnld - CA 3001500930 YTD 0309"/>
      <sheetName val="cadesc"/>
      <sheetName val="lookup ca"/>
    </sheetNames>
    <sheetDataSet>
      <sheetData sheetId="0" refreshError="1"/>
      <sheetData sheetId="1" refreshError="1"/>
      <sheetData sheetId="2">
        <row r="1">
          <cell r="A1" t="str">
            <v>Material</v>
          </cell>
        </row>
      </sheetData>
      <sheetData sheetId="3">
        <row r="1">
          <cell r="A1" t="str">
            <v>Material Number</v>
          </cell>
          <cell r="B1" t="str">
            <v>CP/NCP</v>
          </cell>
        </row>
        <row r="2">
          <cell r="A2">
            <v>223060</v>
          </cell>
          <cell r="B2" t="str">
            <v>NCP</v>
          </cell>
        </row>
        <row r="3">
          <cell r="A3">
            <v>223312</v>
          </cell>
          <cell r="B3" t="str">
            <v>NCP</v>
          </cell>
        </row>
        <row r="4">
          <cell r="A4">
            <v>223512</v>
          </cell>
          <cell r="B4" t="str">
            <v>NCP</v>
          </cell>
        </row>
        <row r="5">
          <cell r="A5">
            <v>223513</v>
          </cell>
          <cell r="B5" t="str">
            <v>NCP</v>
          </cell>
        </row>
        <row r="6">
          <cell r="A6">
            <v>223514</v>
          </cell>
          <cell r="B6" t="str">
            <v>NCP</v>
          </cell>
        </row>
        <row r="7">
          <cell r="A7">
            <v>223665</v>
          </cell>
          <cell r="B7" t="str">
            <v>NCP</v>
          </cell>
        </row>
        <row r="8">
          <cell r="A8">
            <v>223666</v>
          </cell>
          <cell r="B8" t="str">
            <v>NCP</v>
          </cell>
        </row>
        <row r="9">
          <cell r="A9">
            <v>225220</v>
          </cell>
          <cell r="B9" t="str">
            <v>NCP</v>
          </cell>
        </row>
        <row r="10">
          <cell r="A10">
            <v>229016</v>
          </cell>
          <cell r="B10" t="str">
            <v>NCP</v>
          </cell>
        </row>
        <row r="11">
          <cell r="A11">
            <v>229043</v>
          </cell>
          <cell r="B11" t="str">
            <v>NCP</v>
          </cell>
        </row>
        <row r="12">
          <cell r="A12">
            <v>229834</v>
          </cell>
          <cell r="B12" t="str">
            <v>NCP</v>
          </cell>
        </row>
        <row r="13">
          <cell r="A13">
            <v>233786</v>
          </cell>
          <cell r="B13" t="str">
            <v>CP</v>
          </cell>
        </row>
        <row r="14">
          <cell r="A14">
            <v>233907</v>
          </cell>
          <cell r="B14" t="str">
            <v>NCP</v>
          </cell>
        </row>
        <row r="15">
          <cell r="A15">
            <v>223921</v>
          </cell>
          <cell r="B15" t="str">
            <v>CP</v>
          </cell>
        </row>
        <row r="16">
          <cell r="A16">
            <v>233930</v>
          </cell>
          <cell r="B16" t="str">
            <v>CP</v>
          </cell>
        </row>
        <row r="17">
          <cell r="A17">
            <v>236476</v>
          </cell>
          <cell r="B17" t="str">
            <v>NCP</v>
          </cell>
        </row>
        <row r="18">
          <cell r="A18">
            <v>318688</v>
          </cell>
          <cell r="B18" t="str">
            <v>CP</v>
          </cell>
        </row>
        <row r="19">
          <cell r="A19">
            <v>361850</v>
          </cell>
          <cell r="B19" t="str">
            <v>CP</v>
          </cell>
        </row>
        <row r="20">
          <cell r="A20">
            <v>432266</v>
          </cell>
          <cell r="B20" t="str">
            <v>CP</v>
          </cell>
        </row>
        <row r="21">
          <cell r="A21">
            <v>1157278</v>
          </cell>
          <cell r="B21" t="str">
            <v>CP</v>
          </cell>
        </row>
        <row r="22">
          <cell r="A22">
            <v>655469</v>
          </cell>
          <cell r="B22" t="str">
            <v>NCP</v>
          </cell>
        </row>
        <row r="23">
          <cell r="A23">
            <v>655470</v>
          </cell>
          <cell r="B23" t="str">
            <v>NCP</v>
          </cell>
        </row>
        <row r="24">
          <cell r="A24">
            <v>677393</v>
          </cell>
          <cell r="B24" t="str">
            <v>NCP</v>
          </cell>
        </row>
        <row r="25">
          <cell r="A25">
            <v>677398</v>
          </cell>
          <cell r="B25" t="str">
            <v>NCP</v>
          </cell>
        </row>
        <row r="26">
          <cell r="A26">
            <v>677401</v>
          </cell>
          <cell r="B26" t="str">
            <v>NCP</v>
          </cell>
        </row>
        <row r="27">
          <cell r="A27">
            <v>678441</v>
          </cell>
          <cell r="B27" t="str">
            <v>CP</v>
          </cell>
        </row>
        <row r="28">
          <cell r="A28">
            <v>678442</v>
          </cell>
          <cell r="B28" t="str">
            <v>NCP</v>
          </cell>
        </row>
        <row r="29">
          <cell r="A29">
            <v>678443</v>
          </cell>
          <cell r="B29" t="str">
            <v>NCP</v>
          </cell>
        </row>
        <row r="30">
          <cell r="A30">
            <v>679626</v>
          </cell>
          <cell r="B30" t="str">
            <v>NCP</v>
          </cell>
        </row>
        <row r="31">
          <cell r="A31">
            <v>681859</v>
          </cell>
          <cell r="B31" t="str">
            <v>NCP</v>
          </cell>
        </row>
        <row r="32">
          <cell r="A32">
            <v>681860</v>
          </cell>
          <cell r="B32" t="str">
            <v>NCP</v>
          </cell>
        </row>
        <row r="33">
          <cell r="A33">
            <v>681862</v>
          </cell>
          <cell r="B33" t="str">
            <v>NCP</v>
          </cell>
        </row>
        <row r="34">
          <cell r="A34">
            <v>1157278</v>
          </cell>
          <cell r="B34" t="str">
            <v>CP</v>
          </cell>
        </row>
        <row r="35">
          <cell r="A35">
            <v>1177709</v>
          </cell>
          <cell r="B35" t="str">
            <v>NCP</v>
          </cell>
        </row>
        <row r="36">
          <cell r="A36">
            <v>735031</v>
          </cell>
          <cell r="B36" t="str">
            <v>NCP</v>
          </cell>
        </row>
      </sheetData>
      <sheetData sheetId="4" refreshError="1"/>
      <sheetData sheetId="5" refreshError="1"/>
      <sheetData sheetId="6">
        <row r="1">
          <cell r="A1" t="str">
            <v>Material</v>
          </cell>
          <cell r="B1" t="str">
            <v>Material Description</v>
          </cell>
          <cell r="C1" t="str">
            <v>Total stock</v>
          </cell>
          <cell r="D1" t="str">
            <v>BUn</v>
          </cell>
          <cell r="E1" t="str">
            <v>Standard Price</v>
          </cell>
          <cell r="F1" t="str">
            <v>Crcy</v>
          </cell>
          <cell r="G1" t="str">
            <v xml:space="preserve">    per</v>
          </cell>
          <cell r="H1" t="str">
            <v>Basic Material</v>
          </cell>
          <cell r="I1" t="str">
            <v>Ext. material grp</v>
          </cell>
          <cell r="J1" t="str">
            <v>Matl group</v>
          </cell>
          <cell r="K1" t="str">
            <v>Dv</v>
          </cell>
          <cell r="L1" t="str">
            <v>Fut.plnd price</v>
          </cell>
          <cell r="M1" t="str">
            <v>Crcy</v>
          </cell>
          <cell r="N1" t="str">
            <v>Standard price</v>
          </cell>
          <cell r="O1" t="str">
            <v>Crcy</v>
          </cell>
          <cell r="P1" t="str">
            <v>Product hierarchy</v>
          </cell>
          <cell r="Q1" t="str">
            <v>Product hierarchy</v>
          </cell>
          <cell r="R1" t="str">
            <v>ValA</v>
          </cell>
          <cell r="S1" t="str">
            <v xml:space="preserve">  Future price</v>
          </cell>
        </row>
        <row r="2">
          <cell r="A2">
            <v>233786</v>
          </cell>
          <cell r="B2" t="str">
            <v>TRT  FUNGICIDE, APRON XL  100-799</v>
          </cell>
          <cell r="C2">
            <v>54.32</v>
          </cell>
          <cell r="D2" t="str">
            <v>L</v>
          </cell>
          <cell r="E2">
            <v>186.15</v>
          </cell>
          <cell r="G2">
            <v>1</v>
          </cell>
          <cell r="H2" t="str">
            <v>SC Syngenta</v>
          </cell>
          <cell r="I2" t="str">
            <v>SC SYNGENTA</v>
          </cell>
          <cell r="J2" t="str">
            <v>CPROT</v>
          </cell>
          <cell r="K2">
            <v>1</v>
          </cell>
          <cell r="N2">
            <v>182.33</v>
          </cell>
          <cell r="P2" t="str">
            <v>NON SEEDS</v>
          </cell>
          <cell r="Q2" t="str">
            <v>ZZ</v>
          </cell>
          <cell r="R2" t="str">
            <v>CA01</v>
          </cell>
          <cell r="S2">
            <v>186.15</v>
          </cell>
        </row>
        <row r="3">
          <cell r="A3">
            <v>233786</v>
          </cell>
          <cell r="B3" t="str">
            <v>TRT  FUNGICIDE, APRON XL  100-799</v>
          </cell>
          <cell r="C3">
            <v>54.32</v>
          </cell>
          <cell r="D3" t="str">
            <v>L</v>
          </cell>
          <cell r="E3">
            <v>186.15</v>
          </cell>
          <cell r="G3">
            <v>1</v>
          </cell>
          <cell r="H3" t="str">
            <v>SC Syngenta</v>
          </cell>
          <cell r="I3" t="str">
            <v>SC SYNGENTA</v>
          </cell>
          <cell r="J3" t="str">
            <v>CPROT</v>
          </cell>
          <cell r="K3">
            <v>1</v>
          </cell>
          <cell r="N3">
            <v>182.33</v>
          </cell>
          <cell r="P3" t="str">
            <v>NON SEEDS</v>
          </cell>
          <cell r="Q3" t="str">
            <v>ZZ</v>
          </cell>
          <cell r="R3" t="str">
            <v>CA01</v>
          </cell>
          <cell r="S3">
            <v>186.15</v>
          </cell>
        </row>
        <row r="4">
          <cell r="A4">
            <v>233786</v>
          </cell>
          <cell r="B4" t="str">
            <v>TRT  FUNGICIDE, APRON XL  100-799</v>
          </cell>
          <cell r="C4">
            <v>54.32</v>
          </cell>
          <cell r="D4" t="str">
            <v>L</v>
          </cell>
          <cell r="E4">
            <v>186.15</v>
          </cell>
          <cell r="G4">
            <v>1</v>
          </cell>
          <cell r="H4" t="str">
            <v>SC Syngenta</v>
          </cell>
          <cell r="I4" t="str">
            <v>SC SYNGENTA</v>
          </cell>
          <cell r="J4" t="str">
            <v>CPROT</v>
          </cell>
          <cell r="K4">
            <v>1</v>
          </cell>
          <cell r="N4">
            <v>182.33</v>
          </cell>
          <cell r="P4" t="str">
            <v>NON SEEDS</v>
          </cell>
          <cell r="Q4" t="str">
            <v>ZZ</v>
          </cell>
          <cell r="R4" t="str">
            <v>CA01</v>
          </cell>
          <cell r="S4">
            <v>186.15</v>
          </cell>
        </row>
        <row r="5">
          <cell r="A5">
            <v>233930</v>
          </cell>
          <cell r="B5" t="str">
            <v>TRT  FUNGICIDE, MAXIM XL  100-916</v>
          </cell>
          <cell r="C5">
            <v>52.521999999999998</v>
          </cell>
          <cell r="D5" t="str">
            <v>GAL</v>
          </cell>
          <cell r="E5">
            <v>119799.03999999999</v>
          </cell>
          <cell r="G5">
            <v>100</v>
          </cell>
          <cell r="H5" t="str">
            <v>SC Syngenta</v>
          </cell>
          <cell r="I5" t="str">
            <v>SC SYNGENTA</v>
          </cell>
          <cell r="J5" t="str">
            <v>CPROT</v>
          </cell>
          <cell r="K5">
            <v>1</v>
          </cell>
          <cell r="N5">
            <v>111960</v>
          </cell>
          <cell r="P5" t="str">
            <v>NON SEEDS</v>
          </cell>
          <cell r="Q5" t="str">
            <v>ZZ</v>
          </cell>
          <cell r="R5" t="str">
            <v>CA01</v>
          </cell>
        </row>
        <row r="6">
          <cell r="A6">
            <v>233930</v>
          </cell>
          <cell r="B6" t="str">
            <v>TRT  FUNGICIDE, MAXIM XL  100-916</v>
          </cell>
          <cell r="C6">
            <v>52.521999999999998</v>
          </cell>
          <cell r="D6" t="str">
            <v>GAL</v>
          </cell>
          <cell r="E6">
            <v>119799.03999999999</v>
          </cell>
          <cell r="G6">
            <v>100</v>
          </cell>
          <cell r="H6" t="str">
            <v>SC Syngenta</v>
          </cell>
          <cell r="I6" t="str">
            <v>SC SYNGENTA</v>
          </cell>
          <cell r="J6" t="str">
            <v>CPROT</v>
          </cell>
          <cell r="K6">
            <v>1</v>
          </cell>
          <cell r="N6">
            <v>111960</v>
          </cell>
          <cell r="P6" t="str">
            <v>NON SEEDS</v>
          </cell>
          <cell r="Q6" t="str">
            <v>ZZ</v>
          </cell>
          <cell r="R6" t="str">
            <v>CA01</v>
          </cell>
        </row>
        <row r="7">
          <cell r="A7">
            <v>542496</v>
          </cell>
          <cell r="B7" t="str">
            <v>CRCO N29-G7    MF1     SPC CA</v>
          </cell>
          <cell r="C7">
            <v>85</v>
          </cell>
          <cell r="D7" t="str">
            <v>UN</v>
          </cell>
          <cell r="E7">
            <v>4733.38</v>
          </cell>
          <cell r="G7">
            <v>100</v>
          </cell>
          <cell r="H7" t="str">
            <v>NK</v>
          </cell>
          <cell r="I7" t="str">
            <v>NK CA</v>
          </cell>
          <cell r="J7" t="str">
            <v>CO110</v>
          </cell>
          <cell r="K7">
            <v>1</v>
          </cell>
          <cell r="N7">
            <v>4858.25</v>
          </cell>
          <cell r="P7" t="str">
            <v>X29204HI</v>
          </cell>
          <cell r="Q7" t="str">
            <v>01Z010310AG</v>
          </cell>
          <cell r="R7" t="str">
            <v>CA01</v>
          </cell>
          <cell r="S7">
            <v>4733.38</v>
          </cell>
        </row>
        <row r="8">
          <cell r="A8">
            <v>542496</v>
          </cell>
          <cell r="B8" t="str">
            <v>CRCO N29-G7    MF1     SPC CA</v>
          </cell>
          <cell r="C8">
            <v>85</v>
          </cell>
          <cell r="D8" t="str">
            <v>UN</v>
          </cell>
          <cell r="E8">
            <v>4733.38</v>
          </cell>
          <cell r="G8">
            <v>100</v>
          </cell>
          <cell r="H8" t="str">
            <v>NK</v>
          </cell>
          <cell r="I8" t="str">
            <v>NK CA</v>
          </cell>
          <cell r="J8" t="str">
            <v>CO110</v>
          </cell>
          <cell r="K8">
            <v>1</v>
          </cell>
          <cell r="N8">
            <v>4858.25</v>
          </cell>
          <cell r="P8" t="str">
            <v>X29204HI</v>
          </cell>
          <cell r="Q8" t="str">
            <v>01Z010310AG</v>
          </cell>
          <cell r="R8" t="str">
            <v>CA01</v>
          </cell>
          <cell r="S8">
            <v>4733.38</v>
          </cell>
        </row>
        <row r="9">
          <cell r="A9">
            <v>542502</v>
          </cell>
          <cell r="B9" t="str">
            <v>CRCO N29-G7    MF2     SPC CA</v>
          </cell>
          <cell r="C9">
            <v>405</v>
          </cell>
          <cell r="D9" t="str">
            <v>UN</v>
          </cell>
          <cell r="E9">
            <v>4733.38</v>
          </cell>
          <cell r="G9">
            <v>100</v>
          </cell>
          <cell r="H9" t="str">
            <v>NK</v>
          </cell>
          <cell r="I9" t="str">
            <v>NK CA</v>
          </cell>
          <cell r="J9" t="str">
            <v>CO110</v>
          </cell>
          <cell r="K9">
            <v>1</v>
          </cell>
          <cell r="N9">
            <v>4858.25</v>
          </cell>
          <cell r="P9" t="str">
            <v>X29204HI</v>
          </cell>
          <cell r="Q9" t="str">
            <v>01Z010310AG</v>
          </cell>
          <cell r="R9" t="str">
            <v>CA01</v>
          </cell>
          <cell r="S9">
            <v>4733.38</v>
          </cell>
        </row>
        <row r="10">
          <cell r="A10">
            <v>542502</v>
          </cell>
          <cell r="B10" t="str">
            <v>CRCO N29-G7    MF2     SPC CA</v>
          </cell>
          <cell r="C10">
            <v>405</v>
          </cell>
          <cell r="D10" t="str">
            <v>UN</v>
          </cell>
          <cell r="E10">
            <v>4733.38</v>
          </cell>
          <cell r="G10">
            <v>100</v>
          </cell>
          <cell r="H10" t="str">
            <v>NK</v>
          </cell>
          <cell r="I10" t="str">
            <v>NK CA</v>
          </cell>
          <cell r="J10" t="str">
            <v>CO110</v>
          </cell>
          <cell r="K10">
            <v>1</v>
          </cell>
          <cell r="N10">
            <v>4858.25</v>
          </cell>
          <cell r="P10" t="str">
            <v>X29204HI</v>
          </cell>
          <cell r="Q10" t="str">
            <v>01Z010310AG</v>
          </cell>
          <cell r="R10" t="str">
            <v>CA01</v>
          </cell>
          <cell r="S10">
            <v>4733.38</v>
          </cell>
        </row>
        <row r="11">
          <cell r="A11">
            <v>542508</v>
          </cell>
          <cell r="B11" t="str">
            <v>CRCO N29-G7    MR1     SPC CA</v>
          </cell>
          <cell r="C11">
            <v>17</v>
          </cell>
          <cell r="D11" t="str">
            <v>UN</v>
          </cell>
          <cell r="E11">
            <v>4733.38</v>
          </cell>
          <cell r="G11">
            <v>100</v>
          </cell>
          <cell r="H11" t="str">
            <v>NK</v>
          </cell>
          <cell r="I11" t="str">
            <v>NK CA</v>
          </cell>
          <cell r="J11" t="str">
            <v>CO110</v>
          </cell>
          <cell r="K11">
            <v>1</v>
          </cell>
          <cell r="N11">
            <v>4858.25</v>
          </cell>
          <cell r="P11" t="str">
            <v>X29204HI</v>
          </cell>
          <cell r="Q11" t="str">
            <v>01Z010310AG</v>
          </cell>
          <cell r="R11" t="str">
            <v>CA01</v>
          </cell>
          <cell r="S11">
            <v>4733.38</v>
          </cell>
        </row>
        <row r="12">
          <cell r="A12">
            <v>542508</v>
          </cell>
          <cell r="B12" t="str">
            <v>CRCO N29-G7    MR1     SPC CA</v>
          </cell>
          <cell r="C12">
            <v>17</v>
          </cell>
          <cell r="D12" t="str">
            <v>UN</v>
          </cell>
          <cell r="E12">
            <v>4733.38</v>
          </cell>
          <cell r="G12">
            <v>100</v>
          </cell>
          <cell r="H12" t="str">
            <v>NK</v>
          </cell>
          <cell r="I12" t="str">
            <v>NK CA</v>
          </cell>
          <cell r="J12" t="str">
            <v>CO110</v>
          </cell>
          <cell r="K12">
            <v>1</v>
          </cell>
          <cell r="N12">
            <v>4858.25</v>
          </cell>
          <cell r="P12" t="str">
            <v>X29204HI</v>
          </cell>
          <cell r="Q12" t="str">
            <v>01Z010310AG</v>
          </cell>
          <cell r="R12" t="str">
            <v>CA01</v>
          </cell>
          <cell r="S12">
            <v>4733.38</v>
          </cell>
        </row>
        <row r="13">
          <cell r="A13">
            <v>542514</v>
          </cell>
          <cell r="B13" t="str">
            <v>CRCO N29-G7    MR2     SPC CA</v>
          </cell>
          <cell r="C13">
            <v>6</v>
          </cell>
          <cell r="D13" t="str">
            <v>UN</v>
          </cell>
          <cell r="E13">
            <v>4733.38</v>
          </cell>
          <cell r="G13">
            <v>100</v>
          </cell>
          <cell r="H13" t="str">
            <v>NK</v>
          </cell>
          <cell r="I13" t="str">
            <v>NK CA</v>
          </cell>
          <cell r="J13" t="str">
            <v>CO110</v>
          </cell>
          <cell r="K13">
            <v>1</v>
          </cell>
          <cell r="N13">
            <v>4858.25</v>
          </cell>
          <cell r="P13" t="str">
            <v>X29204HI</v>
          </cell>
          <cell r="Q13" t="str">
            <v>01Z010310AG</v>
          </cell>
          <cell r="R13" t="str">
            <v>CA01</v>
          </cell>
          <cell r="S13">
            <v>4733.38</v>
          </cell>
        </row>
        <row r="14">
          <cell r="A14">
            <v>542514</v>
          </cell>
          <cell r="B14" t="str">
            <v>CRCO N29-G7    MR2     SPC CA</v>
          </cell>
          <cell r="C14">
            <v>6</v>
          </cell>
          <cell r="D14" t="str">
            <v>UN</v>
          </cell>
          <cell r="E14">
            <v>4733.38</v>
          </cell>
          <cell r="G14">
            <v>100</v>
          </cell>
          <cell r="H14" t="str">
            <v>NK</v>
          </cell>
          <cell r="I14" t="str">
            <v>NK CA</v>
          </cell>
          <cell r="J14" t="str">
            <v>CO110</v>
          </cell>
          <cell r="K14">
            <v>1</v>
          </cell>
          <cell r="N14">
            <v>4858.25</v>
          </cell>
          <cell r="P14" t="str">
            <v>X29204HI</v>
          </cell>
          <cell r="Q14" t="str">
            <v>01Z010310AG</v>
          </cell>
          <cell r="R14" t="str">
            <v>CA01</v>
          </cell>
          <cell r="S14">
            <v>4733.38</v>
          </cell>
        </row>
        <row r="15">
          <cell r="A15">
            <v>543018</v>
          </cell>
          <cell r="B15" t="str">
            <v>CRCO N15-A9    LR70    SPC CA</v>
          </cell>
          <cell r="C15">
            <v>126</v>
          </cell>
          <cell r="D15" t="str">
            <v>UN</v>
          </cell>
          <cell r="E15">
            <v>6950</v>
          </cell>
          <cell r="G15">
            <v>100</v>
          </cell>
          <cell r="H15" t="str">
            <v>NK</v>
          </cell>
          <cell r="I15" t="str">
            <v>NK CA</v>
          </cell>
          <cell r="J15" t="str">
            <v>CO110</v>
          </cell>
          <cell r="K15">
            <v>1</v>
          </cell>
          <cell r="N15">
            <v>4490.3</v>
          </cell>
          <cell r="P15" t="str">
            <v>X10246</v>
          </cell>
          <cell r="Q15" t="str">
            <v>01Z010101BO</v>
          </cell>
          <cell r="R15" t="str">
            <v>CA01</v>
          </cell>
          <cell r="S15">
            <v>6950</v>
          </cell>
        </row>
        <row r="16">
          <cell r="A16">
            <v>543018</v>
          </cell>
          <cell r="B16" t="str">
            <v>CRCO N15-A9    LR70    SPC CA</v>
          </cell>
          <cell r="C16">
            <v>126</v>
          </cell>
          <cell r="D16" t="str">
            <v>UN</v>
          </cell>
          <cell r="E16">
            <v>6950</v>
          </cell>
          <cell r="G16">
            <v>100</v>
          </cell>
          <cell r="H16" t="str">
            <v>NK</v>
          </cell>
          <cell r="I16" t="str">
            <v>NK CA</v>
          </cell>
          <cell r="J16" t="str">
            <v>CO110</v>
          </cell>
          <cell r="K16">
            <v>1</v>
          </cell>
          <cell r="N16">
            <v>4490.3</v>
          </cell>
          <cell r="P16" t="str">
            <v>X10246</v>
          </cell>
          <cell r="Q16" t="str">
            <v>01Z010101BO</v>
          </cell>
          <cell r="R16" t="str">
            <v>CA01</v>
          </cell>
          <cell r="S16">
            <v>6950</v>
          </cell>
        </row>
        <row r="17">
          <cell r="A17">
            <v>543024</v>
          </cell>
          <cell r="B17" t="str">
            <v>CRCO N15-A9    MF1     SPC CA</v>
          </cell>
          <cell r="C17">
            <v>111</v>
          </cell>
          <cell r="D17" t="str">
            <v>UN</v>
          </cell>
          <cell r="E17">
            <v>6950</v>
          </cell>
          <cell r="G17">
            <v>100</v>
          </cell>
          <cell r="H17" t="str">
            <v>NK</v>
          </cell>
          <cell r="I17" t="str">
            <v>NK CA</v>
          </cell>
          <cell r="J17" t="str">
            <v>CO110</v>
          </cell>
          <cell r="K17">
            <v>1</v>
          </cell>
          <cell r="N17">
            <v>4490.3</v>
          </cell>
          <cell r="P17" t="str">
            <v>X10246</v>
          </cell>
          <cell r="Q17" t="str">
            <v>01Z010101BO</v>
          </cell>
          <cell r="R17" t="str">
            <v>CA01</v>
          </cell>
          <cell r="S17">
            <v>6950</v>
          </cell>
        </row>
        <row r="18">
          <cell r="A18">
            <v>543024</v>
          </cell>
          <cell r="B18" t="str">
            <v>CRCO N15-A9    MF1     SPC CA</v>
          </cell>
          <cell r="C18">
            <v>111</v>
          </cell>
          <cell r="D18" t="str">
            <v>UN</v>
          </cell>
          <cell r="E18">
            <v>6950</v>
          </cell>
          <cell r="G18">
            <v>100</v>
          </cell>
          <cell r="H18" t="str">
            <v>NK</v>
          </cell>
          <cell r="I18" t="str">
            <v>NK CA</v>
          </cell>
          <cell r="J18" t="str">
            <v>CO110</v>
          </cell>
          <cell r="K18">
            <v>1</v>
          </cell>
          <cell r="N18">
            <v>4490.3</v>
          </cell>
          <cell r="P18" t="str">
            <v>X10246</v>
          </cell>
          <cell r="Q18" t="str">
            <v>01Z010101BO</v>
          </cell>
          <cell r="R18" t="str">
            <v>CA01</v>
          </cell>
          <cell r="S18">
            <v>6950</v>
          </cell>
        </row>
        <row r="19">
          <cell r="A19">
            <v>543030</v>
          </cell>
          <cell r="B19" t="str">
            <v>CRCO N15-A9    MF2     SPC CA</v>
          </cell>
          <cell r="C19">
            <v>88</v>
          </cell>
          <cell r="D19" t="str">
            <v>UN</v>
          </cell>
          <cell r="E19">
            <v>6950</v>
          </cell>
          <cell r="G19">
            <v>100</v>
          </cell>
          <cell r="H19" t="str">
            <v>NK</v>
          </cell>
          <cell r="I19" t="str">
            <v>NK CA</v>
          </cell>
          <cell r="J19" t="str">
            <v>CO110</v>
          </cell>
          <cell r="K19">
            <v>1</v>
          </cell>
          <cell r="N19">
            <v>4490.3</v>
          </cell>
          <cell r="P19" t="str">
            <v>X10246</v>
          </cell>
          <cell r="Q19" t="str">
            <v>01Z010101BO</v>
          </cell>
          <cell r="R19" t="str">
            <v>CA01</v>
          </cell>
          <cell r="S19">
            <v>6950</v>
          </cell>
        </row>
        <row r="20">
          <cell r="A20">
            <v>543030</v>
          </cell>
          <cell r="B20" t="str">
            <v>CRCO N15-A9    MF2     SPC CA</v>
          </cell>
          <cell r="C20">
            <v>88</v>
          </cell>
          <cell r="D20" t="str">
            <v>UN</v>
          </cell>
          <cell r="E20">
            <v>6950</v>
          </cell>
          <cell r="G20">
            <v>100</v>
          </cell>
          <cell r="H20" t="str">
            <v>NK</v>
          </cell>
          <cell r="I20" t="str">
            <v>NK CA</v>
          </cell>
          <cell r="J20" t="str">
            <v>CO110</v>
          </cell>
          <cell r="K20">
            <v>1</v>
          </cell>
          <cell r="N20">
            <v>4490.3</v>
          </cell>
          <cell r="P20" t="str">
            <v>X10246</v>
          </cell>
          <cell r="Q20" t="str">
            <v>01Z010101BO</v>
          </cell>
          <cell r="R20" t="str">
            <v>CA01</v>
          </cell>
          <cell r="S20">
            <v>6950</v>
          </cell>
        </row>
        <row r="21">
          <cell r="A21">
            <v>543132</v>
          </cell>
          <cell r="B21" t="str">
            <v>CRCO N27-W8    MR1     SPC CA</v>
          </cell>
          <cell r="C21">
            <v>2</v>
          </cell>
          <cell r="D21" t="str">
            <v>UN</v>
          </cell>
          <cell r="E21">
            <v>6205.06</v>
          </cell>
          <cell r="G21">
            <v>100</v>
          </cell>
          <cell r="H21" t="str">
            <v>NK</v>
          </cell>
          <cell r="I21" t="str">
            <v>NK CA</v>
          </cell>
          <cell r="J21" t="str">
            <v>CO110</v>
          </cell>
          <cell r="K21">
            <v>1</v>
          </cell>
          <cell r="N21">
            <v>4691.5200000000004</v>
          </cell>
          <cell r="P21" t="str">
            <v>X26164BB</v>
          </cell>
          <cell r="Q21" t="str">
            <v>01Z010206BB</v>
          </cell>
          <cell r="R21" t="str">
            <v>CA01</v>
          </cell>
          <cell r="S21">
            <v>6205.06</v>
          </cell>
        </row>
        <row r="22">
          <cell r="A22">
            <v>543132</v>
          </cell>
          <cell r="B22" t="str">
            <v>CRCO N27-W8    MR1     SPC CA</v>
          </cell>
          <cell r="C22">
            <v>2</v>
          </cell>
          <cell r="D22" t="str">
            <v>UN</v>
          </cell>
          <cell r="E22">
            <v>6205.06</v>
          </cell>
          <cell r="G22">
            <v>100</v>
          </cell>
          <cell r="H22" t="str">
            <v>NK</v>
          </cell>
          <cell r="I22" t="str">
            <v>NK CA</v>
          </cell>
          <cell r="J22" t="str">
            <v>CO110</v>
          </cell>
          <cell r="K22">
            <v>1</v>
          </cell>
          <cell r="N22">
            <v>4691.5200000000004</v>
          </cell>
          <cell r="P22" t="str">
            <v>X26164BB</v>
          </cell>
          <cell r="Q22" t="str">
            <v>01Z010206BB</v>
          </cell>
          <cell r="R22" t="str">
            <v>CA01</v>
          </cell>
          <cell r="S22">
            <v>6205.06</v>
          </cell>
        </row>
        <row r="23">
          <cell r="A23">
            <v>543144</v>
          </cell>
          <cell r="B23" t="str">
            <v>CRCO N27-W8    SF90    SPC CA</v>
          </cell>
          <cell r="C23">
            <v>65</v>
          </cell>
          <cell r="D23" t="str">
            <v>UN</v>
          </cell>
          <cell r="E23">
            <v>6205.06</v>
          </cell>
          <cell r="G23">
            <v>100</v>
          </cell>
          <cell r="H23" t="str">
            <v>NK</v>
          </cell>
          <cell r="I23" t="str">
            <v>NK CA</v>
          </cell>
          <cell r="J23" t="str">
            <v>CO110</v>
          </cell>
          <cell r="K23">
            <v>1</v>
          </cell>
          <cell r="N23">
            <v>4691.5200000000004</v>
          </cell>
          <cell r="P23" t="str">
            <v>X26164BB</v>
          </cell>
          <cell r="Q23" t="str">
            <v>01Z010206BB</v>
          </cell>
          <cell r="R23" t="str">
            <v>CA01</v>
          </cell>
          <cell r="S23">
            <v>6205.06</v>
          </cell>
        </row>
        <row r="24">
          <cell r="A24">
            <v>543144</v>
          </cell>
          <cell r="B24" t="str">
            <v>CRCO N27-W8    SF90    SPC CA</v>
          </cell>
          <cell r="C24">
            <v>65</v>
          </cell>
          <cell r="D24" t="str">
            <v>UN</v>
          </cell>
          <cell r="E24">
            <v>6205.06</v>
          </cell>
          <cell r="G24">
            <v>100</v>
          </cell>
          <cell r="H24" t="str">
            <v>NK</v>
          </cell>
          <cell r="I24" t="str">
            <v>NK CA</v>
          </cell>
          <cell r="J24" t="str">
            <v>CO110</v>
          </cell>
          <cell r="K24">
            <v>1</v>
          </cell>
          <cell r="N24">
            <v>4691.5200000000004</v>
          </cell>
          <cell r="P24" t="str">
            <v>X26164BB</v>
          </cell>
          <cell r="Q24" t="str">
            <v>01Z010206BB</v>
          </cell>
          <cell r="R24" t="str">
            <v>CA01</v>
          </cell>
          <cell r="S24">
            <v>6205.06</v>
          </cell>
        </row>
        <row r="25">
          <cell r="A25">
            <v>653569</v>
          </cell>
          <cell r="B25" t="str">
            <v>CRCO N65-M7     MF2     SPC     80KS CA</v>
          </cell>
          <cell r="C25">
            <v>208</v>
          </cell>
          <cell r="D25" t="str">
            <v>UN</v>
          </cell>
          <cell r="E25">
            <v>5455.87</v>
          </cell>
          <cell r="G25">
            <v>100</v>
          </cell>
          <cell r="H25" t="str">
            <v>NK</v>
          </cell>
          <cell r="I25" t="str">
            <v>NK CA</v>
          </cell>
          <cell r="J25" t="str">
            <v>CO110</v>
          </cell>
          <cell r="K25">
            <v>1</v>
          </cell>
          <cell r="N25">
            <v>6703.25</v>
          </cell>
          <cell r="P25" t="str">
            <v>X6567A/MITIC</v>
          </cell>
          <cell r="Q25" t="str">
            <v>01Z010601AA</v>
          </cell>
          <cell r="R25" t="str">
            <v>CA01</v>
          </cell>
          <cell r="S25">
            <v>5455.87</v>
          </cell>
        </row>
        <row r="26">
          <cell r="A26">
            <v>653569</v>
          </cell>
          <cell r="B26" t="str">
            <v>CRCO N65-M7     MF2     SPC     80KS CA</v>
          </cell>
          <cell r="C26">
            <v>208</v>
          </cell>
          <cell r="D26" t="str">
            <v>UN</v>
          </cell>
          <cell r="E26">
            <v>5455.87</v>
          </cell>
          <cell r="G26">
            <v>100</v>
          </cell>
          <cell r="H26" t="str">
            <v>NK</v>
          </cell>
          <cell r="I26" t="str">
            <v>NK CA</v>
          </cell>
          <cell r="J26" t="str">
            <v>CO110</v>
          </cell>
          <cell r="K26">
            <v>1</v>
          </cell>
          <cell r="N26">
            <v>6703.25</v>
          </cell>
          <cell r="P26" t="str">
            <v>X6567A/MITIC</v>
          </cell>
          <cell r="Q26" t="str">
            <v>01Z010601AA</v>
          </cell>
          <cell r="R26" t="str">
            <v>CA01</v>
          </cell>
          <cell r="S26">
            <v>5455.87</v>
          </cell>
        </row>
        <row r="27">
          <cell r="A27">
            <v>681015</v>
          </cell>
          <cell r="B27" t="str">
            <v>TRT  Cruiser Maxx 250               CA</v>
          </cell>
          <cell r="C27">
            <v>5065.92</v>
          </cell>
          <cell r="D27" t="str">
            <v>L</v>
          </cell>
          <cell r="E27">
            <v>263.35000000000002</v>
          </cell>
          <cell r="G27">
            <v>1</v>
          </cell>
          <cell r="H27" t="str">
            <v>SC Syngenta</v>
          </cell>
          <cell r="I27" t="str">
            <v>SC SYNGENTA</v>
          </cell>
          <cell r="J27" t="str">
            <v>CPROT</v>
          </cell>
          <cell r="K27">
            <v>1</v>
          </cell>
          <cell r="N27">
            <v>238.33</v>
          </cell>
          <cell r="P27" t="str">
            <v>NON SEEDS</v>
          </cell>
          <cell r="Q27" t="str">
            <v>ZZ</v>
          </cell>
          <cell r="R27" t="str">
            <v>CA01</v>
          </cell>
        </row>
        <row r="28">
          <cell r="A28">
            <v>681015</v>
          </cell>
          <cell r="B28" t="str">
            <v>TRT  Cruiser Maxx 250               CA</v>
          </cell>
          <cell r="C28">
            <v>5065.92</v>
          </cell>
          <cell r="D28" t="str">
            <v>L</v>
          </cell>
          <cell r="E28">
            <v>263.35000000000002</v>
          </cell>
          <cell r="G28">
            <v>1</v>
          </cell>
          <cell r="H28" t="str">
            <v>SC Syngenta</v>
          </cell>
          <cell r="I28" t="str">
            <v>SC SYNGENTA</v>
          </cell>
          <cell r="J28" t="str">
            <v>CPROT</v>
          </cell>
          <cell r="K28">
            <v>1</v>
          </cell>
          <cell r="N28">
            <v>238.33</v>
          </cell>
          <cell r="P28" t="str">
            <v>NON SEEDS</v>
          </cell>
          <cell r="Q28" t="str">
            <v>ZZ</v>
          </cell>
          <cell r="R28" t="str">
            <v>CA01</v>
          </cell>
        </row>
        <row r="29">
          <cell r="A29">
            <v>681948</v>
          </cell>
          <cell r="B29" t="str">
            <v>CRCO N65-M7     MR2     SPC     80KS CA</v>
          </cell>
          <cell r="C29">
            <v>288</v>
          </cell>
          <cell r="D29" t="str">
            <v>UN</v>
          </cell>
          <cell r="E29">
            <v>5455.87</v>
          </cell>
          <cell r="G29">
            <v>100</v>
          </cell>
          <cell r="H29" t="str">
            <v>NK</v>
          </cell>
          <cell r="I29" t="str">
            <v>NK CA</v>
          </cell>
          <cell r="J29" t="str">
            <v>CO110</v>
          </cell>
          <cell r="K29">
            <v>1</v>
          </cell>
          <cell r="N29">
            <v>6703.25</v>
          </cell>
          <cell r="P29" t="str">
            <v>X6567A/MITIC</v>
          </cell>
          <cell r="Q29" t="str">
            <v>01Z010601AA</v>
          </cell>
          <cell r="R29" t="str">
            <v>CA01</v>
          </cell>
          <cell r="S29">
            <v>5455.87</v>
          </cell>
        </row>
        <row r="30">
          <cell r="A30">
            <v>681948</v>
          </cell>
          <cell r="B30" t="str">
            <v>CRCO N65-M7     MR2     SPC     80KS CA</v>
          </cell>
          <cell r="C30">
            <v>288</v>
          </cell>
          <cell r="D30" t="str">
            <v>UN</v>
          </cell>
          <cell r="E30">
            <v>5455.87</v>
          </cell>
          <cell r="G30">
            <v>100</v>
          </cell>
          <cell r="H30" t="str">
            <v>NK</v>
          </cell>
          <cell r="I30" t="str">
            <v>NK CA</v>
          </cell>
          <cell r="J30" t="str">
            <v>CO110</v>
          </cell>
          <cell r="K30">
            <v>1</v>
          </cell>
          <cell r="N30">
            <v>6703.25</v>
          </cell>
          <cell r="P30" t="str">
            <v>X6567A/MITIC</v>
          </cell>
          <cell r="Q30" t="str">
            <v>01Z010601AA</v>
          </cell>
          <cell r="R30" t="str">
            <v>CA01</v>
          </cell>
          <cell r="S30">
            <v>5455.87</v>
          </cell>
        </row>
        <row r="31">
          <cell r="A31">
            <v>685998</v>
          </cell>
          <cell r="B31" t="str">
            <v>CRCO 8888      LR70    SPC     70KS CA</v>
          </cell>
          <cell r="C31">
            <v>341</v>
          </cell>
          <cell r="D31" t="str">
            <v>UN</v>
          </cell>
          <cell r="E31">
            <v>5528.03</v>
          </cell>
          <cell r="G31">
            <v>100</v>
          </cell>
          <cell r="H31" t="str">
            <v>NK</v>
          </cell>
          <cell r="I31" t="str">
            <v>NK CA</v>
          </cell>
          <cell r="J31" t="str">
            <v>CO110</v>
          </cell>
          <cell r="K31">
            <v>1</v>
          </cell>
          <cell r="N31">
            <v>5680.36</v>
          </cell>
          <cell r="P31">
            <v>8888</v>
          </cell>
          <cell r="Q31" t="str">
            <v>01Z010301AW</v>
          </cell>
          <cell r="R31" t="str">
            <v>CA01</v>
          </cell>
          <cell r="S31">
            <v>5528.03</v>
          </cell>
        </row>
        <row r="32">
          <cell r="A32">
            <v>685998</v>
          </cell>
          <cell r="B32" t="str">
            <v>CRCO 8888      LR70    SPC     70KS CA</v>
          </cell>
          <cell r="C32">
            <v>341</v>
          </cell>
          <cell r="D32" t="str">
            <v>UN</v>
          </cell>
          <cell r="E32">
            <v>5528.03</v>
          </cell>
          <cell r="G32">
            <v>100</v>
          </cell>
          <cell r="H32" t="str">
            <v>NK</v>
          </cell>
          <cell r="I32" t="str">
            <v>NK CA</v>
          </cell>
          <cell r="J32" t="str">
            <v>CO110</v>
          </cell>
          <cell r="K32">
            <v>1</v>
          </cell>
          <cell r="N32">
            <v>5680.36</v>
          </cell>
          <cell r="P32">
            <v>8888</v>
          </cell>
          <cell r="Q32" t="str">
            <v>01Z010301AW</v>
          </cell>
          <cell r="R32" t="str">
            <v>CA01</v>
          </cell>
          <cell r="S32">
            <v>5528.03</v>
          </cell>
        </row>
        <row r="33">
          <cell r="A33">
            <v>686002</v>
          </cell>
          <cell r="B33" t="str">
            <v>CRCO 8888      MF1     SPC     80KS CA</v>
          </cell>
          <cell r="C33">
            <v>142</v>
          </cell>
          <cell r="D33" t="str">
            <v>UN</v>
          </cell>
          <cell r="E33">
            <v>5528.03</v>
          </cell>
          <cell r="G33">
            <v>100</v>
          </cell>
          <cell r="H33" t="str">
            <v>NK</v>
          </cell>
          <cell r="I33" t="str">
            <v>NK CA</v>
          </cell>
          <cell r="J33" t="str">
            <v>CO110</v>
          </cell>
          <cell r="K33">
            <v>1</v>
          </cell>
          <cell r="N33">
            <v>5680.36</v>
          </cell>
          <cell r="P33">
            <v>8888</v>
          </cell>
          <cell r="Q33" t="str">
            <v>01Z010301AW</v>
          </cell>
          <cell r="R33" t="str">
            <v>CA01</v>
          </cell>
          <cell r="S33">
            <v>5528.03</v>
          </cell>
        </row>
        <row r="34">
          <cell r="A34">
            <v>686002</v>
          </cell>
          <cell r="B34" t="str">
            <v>CRCO 8888      MF1     SPC     80KS CA</v>
          </cell>
          <cell r="C34">
            <v>142</v>
          </cell>
          <cell r="D34" t="str">
            <v>UN</v>
          </cell>
          <cell r="E34">
            <v>5528.03</v>
          </cell>
          <cell r="G34">
            <v>100</v>
          </cell>
          <cell r="H34" t="str">
            <v>NK</v>
          </cell>
          <cell r="I34" t="str">
            <v>NK CA</v>
          </cell>
          <cell r="J34" t="str">
            <v>CO110</v>
          </cell>
          <cell r="K34">
            <v>1</v>
          </cell>
          <cell r="N34">
            <v>5680.36</v>
          </cell>
          <cell r="P34">
            <v>8888</v>
          </cell>
          <cell r="Q34" t="str">
            <v>01Z010301AW</v>
          </cell>
          <cell r="R34" t="str">
            <v>CA01</v>
          </cell>
          <cell r="S34">
            <v>5528.03</v>
          </cell>
        </row>
        <row r="35">
          <cell r="A35">
            <v>686006</v>
          </cell>
          <cell r="B35" t="str">
            <v>CRCO 8888      MF2     SPC     80KS CA</v>
          </cell>
          <cell r="C35">
            <v>145</v>
          </cell>
          <cell r="D35" t="str">
            <v>UN</v>
          </cell>
          <cell r="E35">
            <v>5528.03</v>
          </cell>
          <cell r="G35">
            <v>100</v>
          </cell>
          <cell r="H35" t="str">
            <v>NK</v>
          </cell>
          <cell r="I35" t="str">
            <v>NK CA</v>
          </cell>
          <cell r="J35" t="str">
            <v>CO110</v>
          </cell>
          <cell r="K35">
            <v>1</v>
          </cell>
          <cell r="N35">
            <v>5680.36</v>
          </cell>
          <cell r="P35">
            <v>8888</v>
          </cell>
          <cell r="Q35" t="str">
            <v>01Z010301AW</v>
          </cell>
          <cell r="R35" t="str">
            <v>CA01</v>
          </cell>
          <cell r="S35">
            <v>5528.03</v>
          </cell>
        </row>
        <row r="36">
          <cell r="A36">
            <v>686006</v>
          </cell>
          <cell r="B36" t="str">
            <v>CRCO 8888      MF2     SPC     80KS CA</v>
          </cell>
          <cell r="C36">
            <v>145</v>
          </cell>
          <cell r="D36" t="str">
            <v>UN</v>
          </cell>
          <cell r="E36">
            <v>5528.03</v>
          </cell>
          <cell r="G36">
            <v>100</v>
          </cell>
          <cell r="H36" t="str">
            <v>NK</v>
          </cell>
          <cell r="I36" t="str">
            <v>NK CA</v>
          </cell>
          <cell r="J36" t="str">
            <v>CO110</v>
          </cell>
          <cell r="K36">
            <v>1</v>
          </cell>
          <cell r="N36">
            <v>5680.36</v>
          </cell>
          <cell r="P36">
            <v>8888</v>
          </cell>
          <cell r="Q36" t="str">
            <v>01Z010301AW</v>
          </cell>
          <cell r="R36" t="str">
            <v>CA01</v>
          </cell>
          <cell r="S36">
            <v>5528.03</v>
          </cell>
        </row>
        <row r="37">
          <cell r="A37">
            <v>686014</v>
          </cell>
          <cell r="B37" t="str">
            <v>CRCO 8888      MR2     SPC     80KS CA</v>
          </cell>
          <cell r="C37">
            <v>18</v>
          </cell>
          <cell r="D37" t="str">
            <v>UN</v>
          </cell>
          <cell r="E37">
            <v>5528.03</v>
          </cell>
          <cell r="G37">
            <v>100</v>
          </cell>
          <cell r="H37" t="str">
            <v>NK</v>
          </cell>
          <cell r="I37" t="str">
            <v>NK CA</v>
          </cell>
          <cell r="J37" t="str">
            <v>CO110</v>
          </cell>
          <cell r="K37">
            <v>1</v>
          </cell>
          <cell r="N37">
            <v>5680.36</v>
          </cell>
          <cell r="P37">
            <v>8888</v>
          </cell>
          <cell r="Q37" t="str">
            <v>01Z010301AW</v>
          </cell>
          <cell r="R37" t="str">
            <v>CA01</v>
          </cell>
          <cell r="S37">
            <v>5528.03</v>
          </cell>
        </row>
        <row r="38">
          <cell r="A38">
            <v>686014</v>
          </cell>
          <cell r="B38" t="str">
            <v>CRCO 8888      MR2     SPC     80KS CA</v>
          </cell>
          <cell r="C38">
            <v>18</v>
          </cell>
          <cell r="D38" t="str">
            <v>UN</v>
          </cell>
          <cell r="E38">
            <v>5528.03</v>
          </cell>
          <cell r="G38">
            <v>100</v>
          </cell>
          <cell r="H38" t="str">
            <v>NK</v>
          </cell>
          <cell r="I38" t="str">
            <v>NK CA</v>
          </cell>
          <cell r="J38" t="str">
            <v>CO110</v>
          </cell>
          <cell r="K38">
            <v>1</v>
          </cell>
          <cell r="N38">
            <v>5680.36</v>
          </cell>
          <cell r="P38">
            <v>8888</v>
          </cell>
          <cell r="Q38" t="str">
            <v>01Z010301AW</v>
          </cell>
          <cell r="R38" t="str">
            <v>CA01</v>
          </cell>
          <cell r="S38">
            <v>5528.03</v>
          </cell>
        </row>
        <row r="39">
          <cell r="A39">
            <v>760038</v>
          </cell>
          <cell r="B39" t="str">
            <v>CRCO N45-A5     LR70    SPC     70KS CA</v>
          </cell>
          <cell r="C39">
            <v>969</v>
          </cell>
          <cell r="D39" t="str">
            <v>UN</v>
          </cell>
          <cell r="E39">
            <v>5542</v>
          </cell>
          <cell r="G39">
            <v>100</v>
          </cell>
          <cell r="H39" t="str">
            <v>NK</v>
          </cell>
          <cell r="I39" t="str">
            <v>NK CA</v>
          </cell>
          <cell r="J39" t="str">
            <v>CO110</v>
          </cell>
          <cell r="K39">
            <v>1</v>
          </cell>
          <cell r="N39">
            <v>5019.2</v>
          </cell>
          <cell r="P39" t="str">
            <v>X4555AYD</v>
          </cell>
          <cell r="Q39" t="str">
            <v>01Z01043200</v>
          </cell>
          <cell r="R39" t="str">
            <v>CA01</v>
          </cell>
          <cell r="S39">
            <v>5542</v>
          </cell>
        </row>
        <row r="40">
          <cell r="A40">
            <v>760038</v>
          </cell>
          <cell r="B40" t="str">
            <v>CRCO N45-A5     LR70    SPC     70KS CA</v>
          </cell>
          <cell r="C40">
            <v>969</v>
          </cell>
          <cell r="D40" t="str">
            <v>UN</v>
          </cell>
          <cell r="E40">
            <v>5542</v>
          </cell>
          <cell r="G40">
            <v>100</v>
          </cell>
          <cell r="H40" t="str">
            <v>NK</v>
          </cell>
          <cell r="I40" t="str">
            <v>NK CA</v>
          </cell>
          <cell r="J40" t="str">
            <v>CO110</v>
          </cell>
          <cell r="K40">
            <v>1</v>
          </cell>
          <cell r="N40">
            <v>5019.2</v>
          </cell>
          <cell r="P40" t="str">
            <v>X4555AYD</v>
          </cell>
          <cell r="Q40" t="str">
            <v>01Z01043200</v>
          </cell>
          <cell r="R40" t="str">
            <v>CA01</v>
          </cell>
          <cell r="S40">
            <v>5542</v>
          </cell>
        </row>
        <row r="41">
          <cell r="A41">
            <v>820923</v>
          </cell>
          <cell r="B41" t="str">
            <v>CRCO N53-W3   LR70    SPC CA</v>
          </cell>
          <cell r="C41">
            <v>187</v>
          </cell>
          <cell r="D41" t="str">
            <v>UN</v>
          </cell>
          <cell r="E41">
            <v>5812.01</v>
          </cell>
          <cell r="G41">
            <v>100</v>
          </cell>
          <cell r="H41" t="str">
            <v>NK</v>
          </cell>
          <cell r="I41" t="str">
            <v>NK CA</v>
          </cell>
          <cell r="J41" t="str">
            <v>CO110</v>
          </cell>
          <cell r="K41">
            <v>1</v>
          </cell>
          <cell r="N41">
            <v>5877.81</v>
          </cell>
          <cell r="P41" t="str">
            <v>X5132AGR</v>
          </cell>
          <cell r="Q41" t="str">
            <v>01Z01051502</v>
          </cell>
          <cell r="R41" t="str">
            <v>CA01</v>
          </cell>
          <cell r="S41">
            <v>5812.01</v>
          </cell>
        </row>
        <row r="42">
          <cell r="A42">
            <v>820923</v>
          </cell>
          <cell r="B42" t="str">
            <v>CRCO N53-W3   LR70    SPC CA</v>
          </cell>
          <cell r="C42">
            <v>187</v>
          </cell>
          <cell r="D42" t="str">
            <v>UN</v>
          </cell>
          <cell r="E42">
            <v>5812.01</v>
          </cell>
          <cell r="G42">
            <v>100</v>
          </cell>
          <cell r="H42" t="str">
            <v>NK</v>
          </cell>
          <cell r="I42" t="str">
            <v>NK CA</v>
          </cell>
          <cell r="J42" t="str">
            <v>CO110</v>
          </cell>
          <cell r="K42">
            <v>1</v>
          </cell>
          <cell r="N42">
            <v>5877.81</v>
          </cell>
          <cell r="P42" t="str">
            <v>X5132AGR</v>
          </cell>
          <cell r="Q42" t="str">
            <v>01Z01051502</v>
          </cell>
          <cell r="R42" t="str">
            <v>CA01</v>
          </cell>
          <cell r="S42">
            <v>5812.01</v>
          </cell>
        </row>
        <row r="43">
          <cell r="A43">
            <v>820926</v>
          </cell>
          <cell r="B43" t="str">
            <v>CRCO N53-W3   MF1     SPC CA</v>
          </cell>
          <cell r="C43">
            <v>3</v>
          </cell>
          <cell r="D43" t="str">
            <v>UN</v>
          </cell>
          <cell r="E43">
            <v>5812.01</v>
          </cell>
          <cell r="G43">
            <v>100</v>
          </cell>
          <cell r="H43" t="str">
            <v>NK</v>
          </cell>
          <cell r="I43" t="str">
            <v>NK CA</v>
          </cell>
          <cell r="J43" t="str">
            <v>CO110</v>
          </cell>
          <cell r="K43">
            <v>1</v>
          </cell>
          <cell r="N43">
            <v>5877.81</v>
          </cell>
          <cell r="P43" t="str">
            <v>X5132AGR</v>
          </cell>
          <cell r="Q43" t="str">
            <v>01Z01051502</v>
          </cell>
          <cell r="R43" t="str">
            <v>CA01</v>
          </cell>
          <cell r="S43">
            <v>5812.01</v>
          </cell>
        </row>
        <row r="44">
          <cell r="A44">
            <v>820926</v>
          </cell>
          <cell r="B44" t="str">
            <v>CRCO N53-W3   MF1     SPC CA</v>
          </cell>
          <cell r="C44">
            <v>3</v>
          </cell>
          <cell r="D44" t="str">
            <v>UN</v>
          </cell>
          <cell r="E44">
            <v>5812.01</v>
          </cell>
          <cell r="G44">
            <v>100</v>
          </cell>
          <cell r="H44" t="str">
            <v>NK</v>
          </cell>
          <cell r="I44" t="str">
            <v>NK CA</v>
          </cell>
          <cell r="J44" t="str">
            <v>CO110</v>
          </cell>
          <cell r="K44">
            <v>1</v>
          </cell>
          <cell r="N44">
            <v>5877.81</v>
          </cell>
          <cell r="P44" t="str">
            <v>X5132AGR</v>
          </cell>
          <cell r="Q44" t="str">
            <v>01Z01051502</v>
          </cell>
          <cell r="R44" t="str">
            <v>CA01</v>
          </cell>
          <cell r="S44">
            <v>5812.01</v>
          </cell>
        </row>
        <row r="45">
          <cell r="A45">
            <v>820930</v>
          </cell>
          <cell r="B45" t="str">
            <v>CRCO N53-W3   MF2     SPC CA</v>
          </cell>
          <cell r="C45">
            <v>25</v>
          </cell>
          <cell r="D45" t="str">
            <v>UN</v>
          </cell>
          <cell r="E45">
            <v>5812.01</v>
          </cell>
          <cell r="G45">
            <v>100</v>
          </cell>
          <cell r="H45" t="str">
            <v>NK</v>
          </cell>
          <cell r="I45" t="str">
            <v>NK CA</v>
          </cell>
          <cell r="J45" t="str">
            <v>CO110</v>
          </cell>
          <cell r="K45">
            <v>1</v>
          </cell>
          <cell r="N45">
            <v>5877.81</v>
          </cell>
          <cell r="P45" t="str">
            <v>X5132AGR</v>
          </cell>
          <cell r="Q45" t="str">
            <v>01Z01051502</v>
          </cell>
          <cell r="R45" t="str">
            <v>CA01</v>
          </cell>
          <cell r="S45">
            <v>5812.01</v>
          </cell>
        </row>
        <row r="46">
          <cell r="A46">
            <v>820930</v>
          </cell>
          <cell r="B46" t="str">
            <v>CRCO N53-W3   MF2     SPC CA</v>
          </cell>
          <cell r="C46">
            <v>25</v>
          </cell>
          <cell r="D46" t="str">
            <v>UN</v>
          </cell>
          <cell r="E46">
            <v>5812.01</v>
          </cell>
          <cell r="G46">
            <v>100</v>
          </cell>
          <cell r="H46" t="str">
            <v>NK</v>
          </cell>
          <cell r="I46" t="str">
            <v>NK CA</v>
          </cell>
          <cell r="J46" t="str">
            <v>CO110</v>
          </cell>
          <cell r="K46">
            <v>1</v>
          </cell>
          <cell r="N46">
            <v>5877.81</v>
          </cell>
          <cell r="P46" t="str">
            <v>X5132AGR</v>
          </cell>
          <cell r="Q46" t="str">
            <v>01Z01051502</v>
          </cell>
          <cell r="R46" t="str">
            <v>CA01</v>
          </cell>
          <cell r="S46">
            <v>5812.01</v>
          </cell>
        </row>
        <row r="47">
          <cell r="A47">
            <v>820938</v>
          </cell>
          <cell r="B47" t="str">
            <v>CRCO N53-W3   MR2     SPC CA</v>
          </cell>
          <cell r="C47">
            <v>0</v>
          </cell>
          <cell r="D47" t="str">
            <v>UN</v>
          </cell>
          <cell r="E47">
            <v>5812.01</v>
          </cell>
          <cell r="G47">
            <v>100</v>
          </cell>
          <cell r="H47" t="str">
            <v>NK</v>
          </cell>
          <cell r="I47" t="str">
            <v>NK CA</v>
          </cell>
          <cell r="J47" t="str">
            <v>CO110</v>
          </cell>
          <cell r="K47">
            <v>1</v>
          </cell>
          <cell r="N47">
            <v>5877.81</v>
          </cell>
          <cell r="P47" t="str">
            <v>X5132AGR</v>
          </cell>
          <cell r="Q47" t="str">
            <v>01Z01051502</v>
          </cell>
          <cell r="R47" t="str">
            <v>CA01</v>
          </cell>
          <cell r="S47">
            <v>5812.01</v>
          </cell>
        </row>
        <row r="48">
          <cell r="A48">
            <v>820938</v>
          </cell>
          <cell r="B48" t="str">
            <v>CRCO N53-W3   MR2     SPC CA</v>
          </cell>
          <cell r="C48">
            <v>0</v>
          </cell>
          <cell r="D48" t="str">
            <v>UN</v>
          </cell>
          <cell r="E48">
            <v>5812.01</v>
          </cell>
          <cell r="G48">
            <v>100</v>
          </cell>
          <cell r="H48" t="str">
            <v>NK</v>
          </cell>
          <cell r="I48" t="str">
            <v>NK CA</v>
          </cell>
          <cell r="J48" t="str">
            <v>CO110</v>
          </cell>
          <cell r="K48">
            <v>1</v>
          </cell>
          <cell r="N48">
            <v>5877.81</v>
          </cell>
          <cell r="P48" t="str">
            <v>X5132AGR</v>
          </cell>
          <cell r="Q48" t="str">
            <v>01Z01051502</v>
          </cell>
          <cell r="R48" t="str">
            <v>CA01</v>
          </cell>
          <cell r="S48">
            <v>5812.01</v>
          </cell>
        </row>
        <row r="49">
          <cell r="A49">
            <v>820980</v>
          </cell>
          <cell r="B49" t="str">
            <v>CRCO N53-W5    LR70    SPC CA</v>
          </cell>
          <cell r="C49">
            <v>484</v>
          </cell>
          <cell r="D49" t="str">
            <v>UN</v>
          </cell>
          <cell r="E49">
            <v>6387.96</v>
          </cell>
          <cell r="G49">
            <v>100</v>
          </cell>
          <cell r="H49" t="str">
            <v>NK</v>
          </cell>
          <cell r="I49" t="str">
            <v>NK CA</v>
          </cell>
          <cell r="J49" t="str">
            <v>CO110</v>
          </cell>
          <cell r="K49">
            <v>1</v>
          </cell>
          <cell r="N49">
            <v>6117.5</v>
          </cell>
          <cell r="P49" t="str">
            <v>X5132AHL</v>
          </cell>
          <cell r="Q49" t="str">
            <v>01Z010504AB</v>
          </cell>
          <cell r="R49" t="str">
            <v>CA01</v>
          </cell>
          <cell r="S49">
            <v>6387.96</v>
          </cell>
        </row>
        <row r="50">
          <cell r="A50">
            <v>820980</v>
          </cell>
          <cell r="B50" t="str">
            <v>CRCO N53-W5    LR70    SPC CA</v>
          </cell>
          <cell r="C50">
            <v>484</v>
          </cell>
          <cell r="D50" t="str">
            <v>UN</v>
          </cell>
          <cell r="E50">
            <v>6387.96</v>
          </cell>
          <cell r="G50">
            <v>100</v>
          </cell>
          <cell r="H50" t="str">
            <v>NK</v>
          </cell>
          <cell r="I50" t="str">
            <v>NK CA</v>
          </cell>
          <cell r="J50" t="str">
            <v>CO110</v>
          </cell>
          <cell r="K50">
            <v>1</v>
          </cell>
          <cell r="N50">
            <v>6117.5</v>
          </cell>
          <cell r="P50" t="str">
            <v>X5132AHL</v>
          </cell>
          <cell r="Q50" t="str">
            <v>01Z010504AB</v>
          </cell>
          <cell r="R50" t="str">
            <v>CA01</v>
          </cell>
          <cell r="S50">
            <v>6387.96</v>
          </cell>
        </row>
        <row r="51">
          <cell r="A51">
            <v>820983</v>
          </cell>
          <cell r="B51" t="str">
            <v>CRCO N53-W5    MF1     SPC CA</v>
          </cell>
          <cell r="C51">
            <v>240</v>
          </cell>
          <cell r="D51" t="str">
            <v>UN</v>
          </cell>
          <cell r="E51">
            <v>6387.96</v>
          </cell>
          <cell r="G51">
            <v>100</v>
          </cell>
          <cell r="H51" t="str">
            <v>NK</v>
          </cell>
          <cell r="I51" t="str">
            <v>NK CA</v>
          </cell>
          <cell r="J51" t="str">
            <v>CO110</v>
          </cell>
          <cell r="K51">
            <v>1</v>
          </cell>
          <cell r="N51">
            <v>6117.5</v>
          </cell>
          <cell r="P51" t="str">
            <v>X5132AHL</v>
          </cell>
          <cell r="Q51" t="str">
            <v>01Z010504AB</v>
          </cell>
          <cell r="R51" t="str">
            <v>CA01</v>
          </cell>
          <cell r="S51">
            <v>6387.96</v>
          </cell>
        </row>
        <row r="52">
          <cell r="A52">
            <v>820983</v>
          </cell>
          <cell r="B52" t="str">
            <v>CRCO N53-W5    MF1     SPC CA</v>
          </cell>
          <cell r="C52">
            <v>240</v>
          </cell>
          <cell r="D52" t="str">
            <v>UN</v>
          </cell>
          <cell r="E52">
            <v>6387.96</v>
          </cell>
          <cell r="G52">
            <v>100</v>
          </cell>
          <cell r="H52" t="str">
            <v>NK</v>
          </cell>
          <cell r="I52" t="str">
            <v>NK CA</v>
          </cell>
          <cell r="J52" t="str">
            <v>CO110</v>
          </cell>
          <cell r="K52">
            <v>1</v>
          </cell>
          <cell r="N52">
            <v>6117.5</v>
          </cell>
          <cell r="P52" t="str">
            <v>X5132AHL</v>
          </cell>
          <cell r="Q52" t="str">
            <v>01Z010504AB</v>
          </cell>
          <cell r="R52" t="str">
            <v>CA01</v>
          </cell>
          <cell r="S52">
            <v>6387.96</v>
          </cell>
        </row>
        <row r="53">
          <cell r="A53">
            <v>820987</v>
          </cell>
          <cell r="B53" t="str">
            <v>CRCO N53-W5    MF2     SPC CA</v>
          </cell>
          <cell r="C53">
            <v>140</v>
          </cell>
          <cell r="D53" t="str">
            <v>UN</v>
          </cell>
          <cell r="E53">
            <v>6387.96</v>
          </cell>
          <cell r="G53">
            <v>100</v>
          </cell>
          <cell r="H53" t="str">
            <v>NK</v>
          </cell>
          <cell r="I53" t="str">
            <v>NK CA</v>
          </cell>
          <cell r="J53" t="str">
            <v>CO110</v>
          </cell>
          <cell r="K53">
            <v>1</v>
          </cell>
          <cell r="N53">
            <v>6117.5</v>
          </cell>
          <cell r="P53" t="str">
            <v>X5132AHL</v>
          </cell>
          <cell r="Q53" t="str">
            <v>01Z010504AB</v>
          </cell>
          <cell r="R53" t="str">
            <v>CA01</v>
          </cell>
          <cell r="S53">
            <v>6387.96</v>
          </cell>
        </row>
        <row r="54">
          <cell r="A54">
            <v>820987</v>
          </cell>
          <cell r="B54" t="str">
            <v>CRCO N53-W5    MF2     SPC CA</v>
          </cell>
          <cell r="C54">
            <v>140</v>
          </cell>
          <cell r="D54" t="str">
            <v>UN</v>
          </cell>
          <cell r="E54">
            <v>6387.96</v>
          </cell>
          <cell r="G54">
            <v>100</v>
          </cell>
          <cell r="H54" t="str">
            <v>NK</v>
          </cell>
          <cell r="I54" t="str">
            <v>NK CA</v>
          </cell>
          <cell r="J54" t="str">
            <v>CO110</v>
          </cell>
          <cell r="K54">
            <v>1</v>
          </cell>
          <cell r="N54">
            <v>6117.5</v>
          </cell>
          <cell r="P54" t="str">
            <v>X5132AHL</v>
          </cell>
          <cell r="Q54" t="str">
            <v>01Z010504AB</v>
          </cell>
          <cell r="R54" t="str">
            <v>CA01</v>
          </cell>
          <cell r="S54">
            <v>6387.96</v>
          </cell>
        </row>
        <row r="55">
          <cell r="A55">
            <v>820995</v>
          </cell>
          <cell r="B55" t="str">
            <v>CRCO N53-W5    MR2     SPC CA</v>
          </cell>
          <cell r="C55">
            <v>1419</v>
          </cell>
          <cell r="D55" t="str">
            <v>UN</v>
          </cell>
          <cell r="E55">
            <v>6387.96</v>
          </cell>
          <cell r="G55">
            <v>100</v>
          </cell>
          <cell r="H55" t="str">
            <v>NK</v>
          </cell>
          <cell r="I55" t="str">
            <v>NK CA</v>
          </cell>
          <cell r="J55" t="str">
            <v>CO110</v>
          </cell>
          <cell r="K55">
            <v>1</v>
          </cell>
          <cell r="N55">
            <v>6117.5</v>
          </cell>
          <cell r="P55" t="str">
            <v>X5132AHL</v>
          </cell>
          <cell r="Q55" t="str">
            <v>01Z010504AB</v>
          </cell>
          <cell r="R55" t="str">
            <v>CA01</v>
          </cell>
          <cell r="S55">
            <v>6387.96</v>
          </cell>
        </row>
        <row r="56">
          <cell r="A56">
            <v>820995</v>
          </cell>
          <cell r="B56" t="str">
            <v>CRCO N53-W5    MR2     SPC CA</v>
          </cell>
          <cell r="C56">
            <v>1419</v>
          </cell>
          <cell r="D56" t="str">
            <v>UN</v>
          </cell>
          <cell r="E56">
            <v>6387.96</v>
          </cell>
          <cell r="G56">
            <v>100</v>
          </cell>
          <cell r="H56" t="str">
            <v>NK</v>
          </cell>
          <cell r="I56" t="str">
            <v>NK CA</v>
          </cell>
          <cell r="J56" t="str">
            <v>CO110</v>
          </cell>
          <cell r="K56">
            <v>1</v>
          </cell>
          <cell r="N56">
            <v>6117.5</v>
          </cell>
          <cell r="P56" t="str">
            <v>X5132AHL</v>
          </cell>
          <cell r="Q56" t="str">
            <v>01Z010504AB</v>
          </cell>
          <cell r="R56" t="str">
            <v>CA01</v>
          </cell>
          <cell r="S56">
            <v>6387.96</v>
          </cell>
        </row>
        <row r="57">
          <cell r="A57">
            <v>899705</v>
          </cell>
          <cell r="B57" t="str">
            <v>CRCO N51-T8    MR1     SPC CA</v>
          </cell>
          <cell r="C57">
            <v>62</v>
          </cell>
          <cell r="D57" t="str">
            <v>UN</v>
          </cell>
          <cell r="E57">
            <v>5036</v>
          </cell>
          <cell r="G57">
            <v>100</v>
          </cell>
          <cell r="H57" t="str">
            <v>NK</v>
          </cell>
          <cell r="I57" t="str">
            <v>NK CA</v>
          </cell>
          <cell r="J57" t="str">
            <v>CO110</v>
          </cell>
          <cell r="K57">
            <v>1</v>
          </cell>
          <cell r="N57">
            <v>5271</v>
          </cell>
          <cell r="P57" t="str">
            <v>X5369ABB</v>
          </cell>
          <cell r="Q57" t="str">
            <v>01Z010506BB</v>
          </cell>
          <cell r="R57" t="str">
            <v>CA01</v>
          </cell>
          <cell r="S57">
            <v>5036</v>
          </cell>
        </row>
        <row r="58">
          <cell r="A58">
            <v>899705</v>
          </cell>
          <cell r="B58" t="str">
            <v>CRCO N51-T8    MR1     SPC CA</v>
          </cell>
          <cell r="C58">
            <v>62</v>
          </cell>
          <cell r="D58" t="str">
            <v>UN</v>
          </cell>
          <cell r="E58">
            <v>5036</v>
          </cell>
          <cell r="G58">
            <v>100</v>
          </cell>
          <cell r="H58" t="str">
            <v>NK</v>
          </cell>
          <cell r="I58" t="str">
            <v>NK CA</v>
          </cell>
          <cell r="J58" t="str">
            <v>CO110</v>
          </cell>
          <cell r="K58">
            <v>1</v>
          </cell>
          <cell r="N58">
            <v>5271</v>
          </cell>
          <cell r="P58" t="str">
            <v>X5369ABB</v>
          </cell>
          <cell r="Q58" t="str">
            <v>01Z010506BB</v>
          </cell>
          <cell r="R58" t="str">
            <v>CA01</v>
          </cell>
          <cell r="S58">
            <v>5036</v>
          </cell>
        </row>
        <row r="59">
          <cell r="A59">
            <v>901177</v>
          </cell>
          <cell r="B59" t="str">
            <v>CRCO N64-Z5    LF70    SPC CA</v>
          </cell>
          <cell r="C59">
            <v>112</v>
          </cell>
          <cell r="D59" t="str">
            <v>UN</v>
          </cell>
          <cell r="E59">
            <v>6133.62</v>
          </cell>
          <cell r="G59">
            <v>100</v>
          </cell>
          <cell r="H59" t="str">
            <v>NK</v>
          </cell>
          <cell r="I59" t="str">
            <v>NK CA</v>
          </cell>
          <cell r="J59" t="str">
            <v>CO110</v>
          </cell>
          <cell r="K59">
            <v>1</v>
          </cell>
          <cell r="N59">
            <v>5253.42</v>
          </cell>
          <cell r="P59" t="str">
            <v>X61476BB</v>
          </cell>
          <cell r="Q59" t="str">
            <v>01Z01060614</v>
          </cell>
          <cell r="R59" t="str">
            <v>CA01</v>
          </cell>
          <cell r="S59">
            <v>6133.62</v>
          </cell>
        </row>
        <row r="60">
          <cell r="A60">
            <v>901177</v>
          </cell>
          <cell r="B60" t="str">
            <v>CRCO N64-Z5    LF70    SPC CA</v>
          </cell>
          <cell r="C60">
            <v>112</v>
          </cell>
          <cell r="D60" t="str">
            <v>UN</v>
          </cell>
          <cell r="E60">
            <v>6133.62</v>
          </cell>
          <cell r="G60">
            <v>100</v>
          </cell>
          <cell r="H60" t="str">
            <v>NK</v>
          </cell>
          <cell r="I60" t="str">
            <v>NK CA</v>
          </cell>
          <cell r="J60" t="str">
            <v>CO110</v>
          </cell>
          <cell r="K60">
            <v>1</v>
          </cell>
          <cell r="N60">
            <v>5253.42</v>
          </cell>
          <cell r="P60" t="str">
            <v>X61476BB</v>
          </cell>
          <cell r="Q60" t="str">
            <v>01Z01060614</v>
          </cell>
          <cell r="R60" t="str">
            <v>CA01</v>
          </cell>
          <cell r="S60">
            <v>6133.62</v>
          </cell>
        </row>
        <row r="61">
          <cell r="A61">
            <v>901178</v>
          </cell>
          <cell r="B61" t="str">
            <v>CRCO N64-Z5    LR70    SPC CA</v>
          </cell>
          <cell r="C61">
            <v>48</v>
          </cell>
          <cell r="D61" t="str">
            <v>UN</v>
          </cell>
          <cell r="E61">
            <v>6133.62</v>
          </cell>
          <cell r="G61">
            <v>100</v>
          </cell>
          <cell r="H61" t="str">
            <v>NK</v>
          </cell>
          <cell r="I61" t="str">
            <v>NK CA</v>
          </cell>
          <cell r="J61" t="str">
            <v>CO110</v>
          </cell>
          <cell r="K61">
            <v>1</v>
          </cell>
          <cell r="N61">
            <v>5253.42</v>
          </cell>
          <cell r="P61" t="str">
            <v>X61476BB</v>
          </cell>
          <cell r="Q61" t="str">
            <v>01Z01060614</v>
          </cell>
          <cell r="R61" t="str">
            <v>CA01</v>
          </cell>
          <cell r="S61">
            <v>6133.62</v>
          </cell>
        </row>
        <row r="62">
          <cell r="A62">
            <v>901178</v>
          </cell>
          <cell r="B62" t="str">
            <v>CRCO N64-Z5    LR70    SPC CA</v>
          </cell>
          <cell r="C62">
            <v>48</v>
          </cell>
          <cell r="D62" t="str">
            <v>UN</v>
          </cell>
          <cell r="E62">
            <v>6133.62</v>
          </cell>
          <cell r="G62">
            <v>100</v>
          </cell>
          <cell r="H62" t="str">
            <v>NK</v>
          </cell>
          <cell r="I62" t="str">
            <v>NK CA</v>
          </cell>
          <cell r="J62" t="str">
            <v>CO110</v>
          </cell>
          <cell r="K62">
            <v>1</v>
          </cell>
          <cell r="N62">
            <v>5253.42</v>
          </cell>
          <cell r="P62" t="str">
            <v>X61476BB</v>
          </cell>
          <cell r="Q62" t="str">
            <v>01Z01060614</v>
          </cell>
          <cell r="R62" t="str">
            <v>CA01</v>
          </cell>
          <cell r="S62">
            <v>6133.62</v>
          </cell>
        </row>
        <row r="63">
          <cell r="A63">
            <v>902178</v>
          </cell>
          <cell r="B63" t="str">
            <v>CRCO N14-D8    MF1     SPC CA</v>
          </cell>
          <cell r="C63">
            <v>985</v>
          </cell>
          <cell r="D63" t="str">
            <v>UN</v>
          </cell>
          <cell r="E63">
            <v>5544</v>
          </cell>
          <cell r="G63">
            <v>100</v>
          </cell>
          <cell r="H63" t="str">
            <v>NK</v>
          </cell>
          <cell r="I63" t="str">
            <v>NK CA</v>
          </cell>
          <cell r="J63" t="str">
            <v>CO110</v>
          </cell>
          <cell r="K63">
            <v>1</v>
          </cell>
          <cell r="N63">
            <v>6113.24</v>
          </cell>
          <cell r="P63" t="str">
            <v>DELITOP = NX1480</v>
          </cell>
          <cell r="Q63" t="str">
            <v>01Z01011101</v>
          </cell>
          <cell r="R63" t="str">
            <v>CA01</v>
          </cell>
          <cell r="S63">
            <v>5544</v>
          </cell>
        </row>
        <row r="64">
          <cell r="A64">
            <v>902178</v>
          </cell>
          <cell r="B64" t="str">
            <v>CRCO N14-D8    MF1     SPC CA</v>
          </cell>
          <cell r="C64">
            <v>985</v>
          </cell>
          <cell r="D64" t="str">
            <v>UN</v>
          </cell>
          <cell r="E64">
            <v>5544</v>
          </cell>
          <cell r="G64">
            <v>100</v>
          </cell>
          <cell r="H64" t="str">
            <v>NK</v>
          </cell>
          <cell r="I64" t="str">
            <v>NK CA</v>
          </cell>
          <cell r="J64" t="str">
            <v>CO110</v>
          </cell>
          <cell r="K64">
            <v>1</v>
          </cell>
          <cell r="N64">
            <v>6113.24</v>
          </cell>
          <cell r="P64" t="str">
            <v>DELITOP = NX1480</v>
          </cell>
          <cell r="Q64" t="str">
            <v>01Z01011101</v>
          </cell>
          <cell r="R64" t="str">
            <v>CA01</v>
          </cell>
          <cell r="S64">
            <v>5544</v>
          </cell>
        </row>
        <row r="65">
          <cell r="A65">
            <v>935121</v>
          </cell>
          <cell r="B65" t="str">
            <v>CRCO X10246YT    DRYSH   KG</v>
          </cell>
          <cell r="C65">
            <v>36744</v>
          </cell>
          <cell r="D65" t="str">
            <v>KG</v>
          </cell>
          <cell r="E65">
            <v>166</v>
          </cell>
          <cell r="G65">
            <v>100</v>
          </cell>
          <cell r="H65" t="str">
            <v>SC Syngenta</v>
          </cell>
          <cell r="I65" t="str">
            <v>SC SYNGENTA</v>
          </cell>
          <cell r="J65" t="str">
            <v>CO020</v>
          </cell>
          <cell r="K65">
            <v>1</v>
          </cell>
          <cell r="N65">
            <v>166</v>
          </cell>
          <cell r="P65" t="str">
            <v>X10246YT</v>
          </cell>
          <cell r="Q65" t="str">
            <v>01Z01011600</v>
          </cell>
          <cell r="R65" t="str">
            <v>CA01</v>
          </cell>
        </row>
        <row r="66">
          <cell r="A66">
            <v>935121</v>
          </cell>
          <cell r="B66" t="str">
            <v>CRCO X10246YT    DRYSH   KG</v>
          </cell>
          <cell r="C66">
            <v>36744</v>
          </cell>
          <cell r="D66" t="str">
            <v>KG</v>
          </cell>
          <cell r="E66">
            <v>166</v>
          </cell>
          <cell r="G66">
            <v>100</v>
          </cell>
          <cell r="H66" t="str">
            <v>SC Syngenta</v>
          </cell>
          <cell r="I66" t="str">
            <v>SC SYNGENTA</v>
          </cell>
          <cell r="J66" t="str">
            <v>CO020</v>
          </cell>
          <cell r="K66">
            <v>1</v>
          </cell>
          <cell r="N66">
            <v>166</v>
          </cell>
          <cell r="P66" t="str">
            <v>X10246YT</v>
          </cell>
          <cell r="Q66" t="str">
            <v>01Z01011600</v>
          </cell>
          <cell r="R66" t="str">
            <v>CA01</v>
          </cell>
        </row>
        <row r="67">
          <cell r="A67">
            <v>949194</v>
          </cell>
          <cell r="B67" t="str">
            <v>CRCO X10246GB   DRYSH   KG</v>
          </cell>
          <cell r="C67">
            <v>4000</v>
          </cell>
          <cell r="D67" t="str">
            <v>KG</v>
          </cell>
          <cell r="E67">
            <v>170</v>
          </cell>
          <cell r="G67">
            <v>100</v>
          </cell>
          <cell r="H67" t="str">
            <v>SC Syngenta</v>
          </cell>
          <cell r="I67" t="str">
            <v>SC SYNGENTA</v>
          </cell>
          <cell r="J67" t="str">
            <v>CO020</v>
          </cell>
          <cell r="K67">
            <v>1</v>
          </cell>
          <cell r="N67">
            <v>113.2</v>
          </cell>
          <cell r="P67" t="str">
            <v>X10246GB</v>
          </cell>
          <cell r="Q67" t="str">
            <v>01Z01011507</v>
          </cell>
          <cell r="R67" t="str">
            <v>CA01</v>
          </cell>
        </row>
        <row r="68">
          <cell r="A68">
            <v>949194</v>
          </cell>
          <cell r="B68" t="str">
            <v>CRCO X10246GB   DRYSH   KG</v>
          </cell>
          <cell r="C68">
            <v>4000</v>
          </cell>
          <cell r="D68" t="str">
            <v>KG</v>
          </cell>
          <cell r="E68">
            <v>170</v>
          </cell>
          <cell r="G68">
            <v>100</v>
          </cell>
          <cell r="H68" t="str">
            <v>SC Syngenta</v>
          </cell>
          <cell r="I68" t="str">
            <v>SC SYNGENTA</v>
          </cell>
          <cell r="J68" t="str">
            <v>CO020</v>
          </cell>
          <cell r="K68">
            <v>1</v>
          </cell>
          <cell r="N68">
            <v>113.2</v>
          </cell>
          <cell r="P68" t="str">
            <v>X10246GB</v>
          </cell>
          <cell r="Q68" t="str">
            <v>01Z01011507</v>
          </cell>
          <cell r="R68" t="str">
            <v>CA01</v>
          </cell>
        </row>
        <row r="69">
          <cell r="A69">
            <v>968355</v>
          </cell>
          <cell r="B69" t="str">
            <v>CRCO N25N-GT/CB/LL    MF1     SPC CA</v>
          </cell>
          <cell r="C69">
            <v>5602</v>
          </cell>
          <cell r="D69" t="str">
            <v>UN</v>
          </cell>
          <cell r="E69">
            <v>5329.49</v>
          </cell>
          <cell r="G69">
            <v>100</v>
          </cell>
          <cell r="H69" t="str">
            <v>NK</v>
          </cell>
          <cell r="I69" t="str">
            <v>NK CA</v>
          </cell>
          <cell r="J69" t="str">
            <v>CO110</v>
          </cell>
          <cell r="K69">
            <v>1</v>
          </cell>
          <cell r="N69">
            <v>5223.5</v>
          </cell>
          <cell r="P69" t="str">
            <v>X22145YT</v>
          </cell>
          <cell r="Q69" t="str">
            <v>01Z010216AD</v>
          </cell>
          <cell r="R69" t="str">
            <v>CA01</v>
          </cell>
          <cell r="S69">
            <v>5329.49</v>
          </cell>
        </row>
        <row r="70">
          <cell r="A70">
            <v>968355</v>
          </cell>
          <cell r="B70" t="str">
            <v>CRCO N25N-GT/CB/LL    MF1     SPC CA</v>
          </cell>
          <cell r="C70">
            <v>5602</v>
          </cell>
          <cell r="D70" t="str">
            <v>UN</v>
          </cell>
          <cell r="E70">
            <v>5329.49</v>
          </cell>
          <cell r="G70">
            <v>100</v>
          </cell>
          <cell r="H70" t="str">
            <v>NK</v>
          </cell>
          <cell r="I70" t="str">
            <v>NK CA</v>
          </cell>
          <cell r="J70" t="str">
            <v>CO110</v>
          </cell>
          <cell r="K70">
            <v>1</v>
          </cell>
          <cell r="N70">
            <v>5223.5</v>
          </cell>
          <cell r="P70" t="str">
            <v>X22145YT</v>
          </cell>
          <cell r="Q70" t="str">
            <v>01Z010216AD</v>
          </cell>
          <cell r="R70" t="str">
            <v>CA01</v>
          </cell>
          <cell r="S70">
            <v>5329.49</v>
          </cell>
        </row>
        <row r="71">
          <cell r="A71">
            <v>968363</v>
          </cell>
          <cell r="B71" t="str">
            <v>CRCO N25N-GT/CB/LL    MR1     SPC CA</v>
          </cell>
          <cell r="C71">
            <v>3966</v>
          </cell>
          <cell r="D71" t="str">
            <v>UN</v>
          </cell>
          <cell r="E71">
            <v>5329.49</v>
          </cell>
          <cell r="G71">
            <v>100</v>
          </cell>
          <cell r="H71" t="str">
            <v>NK</v>
          </cell>
          <cell r="I71" t="str">
            <v>NK CA</v>
          </cell>
          <cell r="J71" t="str">
            <v>CO110</v>
          </cell>
          <cell r="K71">
            <v>1</v>
          </cell>
          <cell r="N71">
            <v>5223.5</v>
          </cell>
          <cell r="P71" t="str">
            <v>X22145YT</v>
          </cell>
          <cell r="Q71" t="str">
            <v>01Z010216AD</v>
          </cell>
          <cell r="R71" t="str">
            <v>CA01</v>
          </cell>
          <cell r="S71">
            <v>5329.49</v>
          </cell>
        </row>
        <row r="72">
          <cell r="A72">
            <v>968363</v>
          </cell>
          <cell r="B72" t="str">
            <v>CRCO N25N-GT/CB/LL    MR1     SPC CA</v>
          </cell>
          <cell r="C72">
            <v>3966</v>
          </cell>
          <cell r="D72" t="str">
            <v>UN</v>
          </cell>
          <cell r="E72">
            <v>5329.49</v>
          </cell>
          <cell r="G72">
            <v>100</v>
          </cell>
          <cell r="H72" t="str">
            <v>NK</v>
          </cell>
          <cell r="I72" t="str">
            <v>NK CA</v>
          </cell>
          <cell r="J72" t="str">
            <v>CO110</v>
          </cell>
          <cell r="K72">
            <v>1</v>
          </cell>
          <cell r="N72">
            <v>5223.5</v>
          </cell>
          <cell r="P72" t="str">
            <v>X22145YT</v>
          </cell>
          <cell r="Q72" t="str">
            <v>01Z010216AD</v>
          </cell>
          <cell r="R72" t="str">
            <v>CA01</v>
          </cell>
          <cell r="S72">
            <v>5329.49</v>
          </cell>
        </row>
        <row r="73">
          <cell r="A73">
            <v>968367</v>
          </cell>
          <cell r="B73" t="str">
            <v>CRCO N25N-GT/CB/LL    MR2     SPC CA</v>
          </cell>
          <cell r="C73">
            <v>754</v>
          </cell>
          <cell r="D73" t="str">
            <v>UN</v>
          </cell>
          <cell r="E73">
            <v>5329.49</v>
          </cell>
          <cell r="G73">
            <v>100</v>
          </cell>
          <cell r="H73" t="str">
            <v>NK</v>
          </cell>
          <cell r="I73" t="str">
            <v>NK CA</v>
          </cell>
          <cell r="J73" t="str">
            <v>CO110</v>
          </cell>
          <cell r="K73">
            <v>1</v>
          </cell>
          <cell r="N73">
            <v>5223.5</v>
          </cell>
          <cell r="P73" t="str">
            <v>X22145YT</v>
          </cell>
          <cell r="Q73" t="str">
            <v>01Z010216AD</v>
          </cell>
          <cell r="R73" t="str">
            <v>CA01</v>
          </cell>
          <cell r="S73">
            <v>5329.49</v>
          </cell>
        </row>
        <row r="74">
          <cell r="A74">
            <v>968367</v>
          </cell>
          <cell r="B74" t="str">
            <v>CRCO N25N-GT/CB/LL    MR2     SPC CA</v>
          </cell>
          <cell r="C74">
            <v>754</v>
          </cell>
          <cell r="D74" t="str">
            <v>UN</v>
          </cell>
          <cell r="E74">
            <v>5329.49</v>
          </cell>
          <cell r="G74">
            <v>100</v>
          </cell>
          <cell r="H74" t="str">
            <v>NK</v>
          </cell>
          <cell r="I74" t="str">
            <v>NK CA</v>
          </cell>
          <cell r="J74" t="str">
            <v>CO110</v>
          </cell>
          <cell r="K74">
            <v>1</v>
          </cell>
          <cell r="N74">
            <v>5223.5</v>
          </cell>
          <cell r="P74" t="str">
            <v>X22145YT</v>
          </cell>
          <cell r="Q74" t="str">
            <v>01Z010216AD</v>
          </cell>
          <cell r="R74" t="str">
            <v>CA01</v>
          </cell>
          <cell r="S74">
            <v>5329.49</v>
          </cell>
        </row>
        <row r="75">
          <cell r="A75">
            <v>968512</v>
          </cell>
          <cell r="B75" t="str">
            <v>CRCO N27B-CB/LL/RW    LR70    SPC CA</v>
          </cell>
          <cell r="C75">
            <v>774</v>
          </cell>
          <cell r="D75" t="str">
            <v>UN</v>
          </cell>
          <cell r="E75">
            <v>5543</v>
          </cell>
          <cell r="G75">
            <v>100</v>
          </cell>
          <cell r="H75" t="str">
            <v>NK</v>
          </cell>
          <cell r="I75" t="str">
            <v>NK CA</v>
          </cell>
          <cell r="J75" t="str">
            <v>CO110</v>
          </cell>
          <cell r="K75">
            <v>1</v>
          </cell>
          <cell r="N75">
            <v>5021.45</v>
          </cell>
          <cell r="P75" t="str">
            <v>X23155YD</v>
          </cell>
          <cell r="Q75" t="str">
            <v>01Z01023201</v>
          </cell>
          <cell r="R75" t="str">
            <v>CA01</v>
          </cell>
          <cell r="S75">
            <v>5543</v>
          </cell>
        </row>
        <row r="76">
          <cell r="A76">
            <v>968512</v>
          </cell>
          <cell r="B76" t="str">
            <v>CRCO N27B-CB/LL/RW    LR70    SPC CA</v>
          </cell>
          <cell r="C76">
            <v>774</v>
          </cell>
          <cell r="D76" t="str">
            <v>UN</v>
          </cell>
          <cell r="E76">
            <v>5543</v>
          </cell>
          <cell r="G76">
            <v>100</v>
          </cell>
          <cell r="H76" t="str">
            <v>NK</v>
          </cell>
          <cell r="I76" t="str">
            <v>NK CA</v>
          </cell>
          <cell r="J76" t="str">
            <v>CO110</v>
          </cell>
          <cell r="K76">
            <v>1</v>
          </cell>
          <cell r="N76">
            <v>5021.45</v>
          </cell>
          <cell r="P76" t="str">
            <v>X23155YD</v>
          </cell>
          <cell r="Q76" t="str">
            <v>01Z01023201</v>
          </cell>
          <cell r="R76" t="str">
            <v>CA01</v>
          </cell>
          <cell r="S76">
            <v>5543</v>
          </cell>
        </row>
        <row r="77">
          <cell r="A77">
            <v>968541</v>
          </cell>
          <cell r="B77" t="str">
            <v>CRCO N27B-CB/LL/RW    MR2     SPC CA</v>
          </cell>
          <cell r="C77">
            <v>23</v>
          </cell>
          <cell r="D77" t="str">
            <v>UN</v>
          </cell>
          <cell r="E77">
            <v>5543</v>
          </cell>
          <cell r="G77">
            <v>100</v>
          </cell>
          <cell r="H77" t="str">
            <v>NK</v>
          </cell>
          <cell r="I77" t="str">
            <v>NK CA</v>
          </cell>
          <cell r="J77" t="str">
            <v>CO110</v>
          </cell>
          <cell r="K77">
            <v>1</v>
          </cell>
          <cell r="N77">
            <v>4902.3999999999996</v>
          </cell>
          <cell r="P77" t="str">
            <v>X23155YD</v>
          </cell>
          <cell r="Q77" t="str">
            <v>01Z01023201</v>
          </cell>
          <cell r="R77" t="str">
            <v>CA01</v>
          </cell>
          <cell r="S77">
            <v>5543</v>
          </cell>
        </row>
        <row r="78">
          <cell r="A78">
            <v>968541</v>
          </cell>
          <cell r="B78" t="str">
            <v>CRCO N27B-CB/LL/RW    MR2     SPC CA</v>
          </cell>
          <cell r="C78">
            <v>23</v>
          </cell>
          <cell r="D78" t="str">
            <v>UN</v>
          </cell>
          <cell r="E78">
            <v>5543</v>
          </cell>
          <cell r="G78">
            <v>100</v>
          </cell>
          <cell r="H78" t="str">
            <v>NK</v>
          </cell>
          <cell r="I78" t="str">
            <v>NK CA</v>
          </cell>
          <cell r="J78" t="str">
            <v>CO110</v>
          </cell>
          <cell r="K78">
            <v>1</v>
          </cell>
          <cell r="N78">
            <v>4902.3999999999996</v>
          </cell>
          <cell r="P78" t="str">
            <v>X23155YD</v>
          </cell>
          <cell r="Q78" t="str">
            <v>01Z01023201</v>
          </cell>
          <cell r="R78" t="str">
            <v>CA01</v>
          </cell>
          <cell r="S78">
            <v>5543</v>
          </cell>
        </row>
        <row r="79">
          <cell r="A79">
            <v>968624</v>
          </cell>
          <cell r="B79" t="str">
            <v>CRCO N31P-GT    MF2     SPC CA</v>
          </cell>
          <cell r="C79">
            <v>86</v>
          </cell>
          <cell r="D79" t="str">
            <v>UN</v>
          </cell>
          <cell r="E79">
            <v>5532</v>
          </cell>
          <cell r="G79">
            <v>100</v>
          </cell>
          <cell r="H79" t="str">
            <v>NK</v>
          </cell>
          <cell r="I79" t="str">
            <v>NK CA</v>
          </cell>
          <cell r="J79" t="str">
            <v>CO110</v>
          </cell>
          <cell r="K79">
            <v>1</v>
          </cell>
          <cell r="N79">
            <v>5011.55</v>
          </cell>
          <cell r="P79" t="str">
            <v>X3191AGL</v>
          </cell>
          <cell r="Q79" t="str">
            <v>01Z010415AJ</v>
          </cell>
          <cell r="R79" t="str">
            <v>CA01</v>
          </cell>
          <cell r="S79">
            <v>5532</v>
          </cell>
        </row>
        <row r="80">
          <cell r="A80">
            <v>968624</v>
          </cell>
          <cell r="B80" t="str">
            <v>CRCO N31P-GT    MF2     SPC CA</v>
          </cell>
          <cell r="C80">
            <v>86</v>
          </cell>
          <cell r="D80" t="str">
            <v>UN</v>
          </cell>
          <cell r="E80">
            <v>5532</v>
          </cell>
          <cell r="G80">
            <v>100</v>
          </cell>
          <cell r="H80" t="str">
            <v>NK</v>
          </cell>
          <cell r="I80" t="str">
            <v>NK CA</v>
          </cell>
          <cell r="J80" t="str">
            <v>CO110</v>
          </cell>
          <cell r="K80">
            <v>1</v>
          </cell>
          <cell r="N80">
            <v>5011.55</v>
          </cell>
          <cell r="P80" t="str">
            <v>X3191AGL</v>
          </cell>
          <cell r="Q80" t="str">
            <v>01Z010415AJ</v>
          </cell>
          <cell r="R80" t="str">
            <v>CA01</v>
          </cell>
          <cell r="S80">
            <v>5532</v>
          </cell>
        </row>
        <row r="81">
          <cell r="A81">
            <v>971396</v>
          </cell>
          <cell r="B81" t="str">
            <v>CRCO N23F-3000GT    MF2     SPC CA</v>
          </cell>
          <cell r="C81">
            <v>1461</v>
          </cell>
          <cell r="D81" t="str">
            <v>UN</v>
          </cell>
          <cell r="E81">
            <v>5998.91</v>
          </cell>
          <cell r="G81">
            <v>100</v>
          </cell>
          <cell r="H81" t="str">
            <v>NK</v>
          </cell>
          <cell r="I81" t="str">
            <v>NK CA</v>
          </cell>
          <cell r="J81" t="str">
            <v>CO110</v>
          </cell>
          <cell r="K81">
            <v>1</v>
          </cell>
          <cell r="N81">
            <v>0.01</v>
          </cell>
          <cell r="P81" t="str">
            <v>X23114WU</v>
          </cell>
          <cell r="Q81" t="str">
            <v>01Z01023902</v>
          </cell>
          <cell r="R81" t="str">
            <v>CA01</v>
          </cell>
        </row>
        <row r="82">
          <cell r="A82">
            <v>971396</v>
          </cell>
          <cell r="B82" t="str">
            <v>CRCO N23F-3000GT    MF2     SPC CA</v>
          </cell>
          <cell r="C82">
            <v>1461</v>
          </cell>
          <cell r="D82" t="str">
            <v>UN</v>
          </cell>
          <cell r="E82">
            <v>5998.91</v>
          </cell>
          <cell r="G82">
            <v>100</v>
          </cell>
          <cell r="H82" t="str">
            <v>NK</v>
          </cell>
          <cell r="I82" t="str">
            <v>NK CA</v>
          </cell>
          <cell r="J82" t="str">
            <v>CO110</v>
          </cell>
          <cell r="K82">
            <v>1</v>
          </cell>
          <cell r="N82">
            <v>0.01</v>
          </cell>
          <cell r="P82" t="str">
            <v>X23114WU</v>
          </cell>
          <cell r="Q82" t="str">
            <v>01Z01023902</v>
          </cell>
          <cell r="R82" t="str">
            <v>CA01</v>
          </cell>
        </row>
        <row r="83">
          <cell r="A83">
            <v>971404</v>
          </cell>
          <cell r="B83" t="str">
            <v>CRCO N23F-3000GT    MR2     SPC CA</v>
          </cell>
          <cell r="C83">
            <v>0</v>
          </cell>
          <cell r="D83" t="str">
            <v>UN</v>
          </cell>
          <cell r="E83">
            <v>5998.91</v>
          </cell>
          <cell r="G83">
            <v>100</v>
          </cell>
          <cell r="H83" t="str">
            <v>NK</v>
          </cell>
          <cell r="I83" t="str">
            <v>NK CA</v>
          </cell>
          <cell r="J83" t="str">
            <v>CO110</v>
          </cell>
          <cell r="K83">
            <v>1</v>
          </cell>
          <cell r="N83">
            <v>0.01</v>
          </cell>
          <cell r="P83" t="str">
            <v>X23114WU</v>
          </cell>
          <cell r="Q83" t="str">
            <v>01Z01023902</v>
          </cell>
          <cell r="R83" t="str">
            <v>CA01</v>
          </cell>
        </row>
        <row r="84">
          <cell r="A84">
            <v>971404</v>
          </cell>
          <cell r="B84" t="str">
            <v>CRCO N23F-3000GT    MR2     SPC CA</v>
          </cell>
          <cell r="C84">
            <v>0</v>
          </cell>
          <cell r="D84" t="str">
            <v>UN</v>
          </cell>
          <cell r="E84">
            <v>5998.91</v>
          </cell>
          <cell r="G84">
            <v>100</v>
          </cell>
          <cell r="H84" t="str">
            <v>NK</v>
          </cell>
          <cell r="I84" t="str">
            <v>NK CA</v>
          </cell>
          <cell r="J84" t="str">
            <v>CO110</v>
          </cell>
          <cell r="K84">
            <v>1</v>
          </cell>
          <cell r="N84">
            <v>0.01</v>
          </cell>
          <cell r="P84" t="str">
            <v>X23114WU</v>
          </cell>
          <cell r="Q84" t="str">
            <v>01Z01023902</v>
          </cell>
          <cell r="R84" t="str">
            <v>CA01</v>
          </cell>
        </row>
        <row r="85">
          <cell r="A85">
            <v>971502</v>
          </cell>
          <cell r="B85" t="str">
            <v>CRCO N41C-3000GT    MF2     SPC CA</v>
          </cell>
          <cell r="C85">
            <v>3757</v>
          </cell>
          <cell r="D85" t="str">
            <v>UN</v>
          </cell>
          <cell r="E85">
            <v>4539.07</v>
          </cell>
          <cell r="G85">
            <v>100</v>
          </cell>
          <cell r="H85" t="str">
            <v>NK</v>
          </cell>
          <cell r="I85" t="str">
            <v>NK CA</v>
          </cell>
          <cell r="J85" t="str">
            <v>CO110</v>
          </cell>
          <cell r="K85">
            <v>1</v>
          </cell>
          <cell r="N85">
            <v>5012.8999999999996</v>
          </cell>
          <cell r="P85" t="str">
            <v>X4037AWP</v>
          </cell>
          <cell r="Q85" t="str">
            <v>01Z01043901</v>
          </cell>
          <cell r="R85" t="str">
            <v>CA01</v>
          </cell>
          <cell r="S85">
            <v>4539.07</v>
          </cell>
        </row>
        <row r="86">
          <cell r="A86">
            <v>971502</v>
          </cell>
          <cell r="B86" t="str">
            <v>CRCO N41C-3000GT    MF2     SPC CA</v>
          </cell>
          <cell r="C86">
            <v>3757</v>
          </cell>
          <cell r="D86" t="str">
            <v>UN</v>
          </cell>
          <cell r="E86">
            <v>4539.07</v>
          </cell>
          <cell r="G86">
            <v>100</v>
          </cell>
          <cell r="H86" t="str">
            <v>NK</v>
          </cell>
          <cell r="I86" t="str">
            <v>NK CA</v>
          </cell>
          <cell r="J86" t="str">
            <v>CO110</v>
          </cell>
          <cell r="K86">
            <v>1</v>
          </cell>
          <cell r="N86">
            <v>5012.8999999999996</v>
          </cell>
          <cell r="P86" t="str">
            <v>X4037AWP</v>
          </cell>
          <cell r="Q86" t="str">
            <v>01Z01043901</v>
          </cell>
          <cell r="R86" t="str">
            <v>CA01</v>
          </cell>
          <cell r="S86">
            <v>4539.07</v>
          </cell>
        </row>
        <row r="87">
          <cell r="A87">
            <v>982955</v>
          </cell>
          <cell r="B87" t="str">
            <v>CRCO N53-H7    MF2     SPC CA</v>
          </cell>
          <cell r="C87">
            <v>6</v>
          </cell>
          <cell r="D87" t="str">
            <v>UN</v>
          </cell>
          <cell r="E87">
            <v>582172</v>
          </cell>
          <cell r="G87">
            <v>10000</v>
          </cell>
          <cell r="H87" t="str">
            <v>NK</v>
          </cell>
          <cell r="I87" t="str">
            <v>NK CA</v>
          </cell>
          <cell r="J87" t="str">
            <v>CO110</v>
          </cell>
          <cell r="K87">
            <v>1</v>
          </cell>
          <cell r="N87">
            <v>502054.71</v>
          </cell>
          <cell r="P87" t="str">
            <v>X5132AXF</v>
          </cell>
          <cell r="Q87" t="str">
            <v>01Z01061806</v>
          </cell>
          <cell r="R87" t="str">
            <v>CA01</v>
          </cell>
          <cell r="S87">
            <v>582172</v>
          </cell>
        </row>
        <row r="88">
          <cell r="A88">
            <v>982955</v>
          </cell>
          <cell r="B88" t="str">
            <v>CRCO N53-H7    MF2     SPC CA</v>
          </cell>
          <cell r="C88">
            <v>6</v>
          </cell>
          <cell r="D88" t="str">
            <v>UN</v>
          </cell>
          <cell r="E88">
            <v>582172</v>
          </cell>
          <cell r="G88">
            <v>10000</v>
          </cell>
          <cell r="H88" t="str">
            <v>NK</v>
          </cell>
          <cell r="I88" t="str">
            <v>NK CA</v>
          </cell>
          <cell r="J88" t="str">
            <v>CO110</v>
          </cell>
          <cell r="K88">
            <v>1</v>
          </cell>
          <cell r="N88">
            <v>502054.71</v>
          </cell>
          <cell r="P88" t="str">
            <v>X5132AXF</v>
          </cell>
          <cell r="Q88" t="str">
            <v>01Z01061806</v>
          </cell>
          <cell r="R88" t="str">
            <v>CA01</v>
          </cell>
          <cell r="S88">
            <v>582172</v>
          </cell>
        </row>
        <row r="89">
          <cell r="A89">
            <v>982962</v>
          </cell>
          <cell r="B89" t="str">
            <v>CRCO N53-H7    MR2     SPC CA</v>
          </cell>
          <cell r="C89">
            <v>122</v>
          </cell>
          <cell r="D89" t="str">
            <v>UN</v>
          </cell>
          <cell r="E89">
            <v>582172</v>
          </cell>
          <cell r="G89">
            <v>10000</v>
          </cell>
          <cell r="H89" t="str">
            <v>NK</v>
          </cell>
          <cell r="I89" t="str">
            <v>NK CA</v>
          </cell>
          <cell r="J89" t="str">
            <v>CO110</v>
          </cell>
          <cell r="K89">
            <v>1</v>
          </cell>
          <cell r="N89">
            <v>502054.71</v>
          </cell>
          <cell r="P89" t="str">
            <v>X5132AXF</v>
          </cell>
          <cell r="Q89" t="str">
            <v>01Z01061806</v>
          </cell>
          <cell r="R89" t="str">
            <v>CA01</v>
          </cell>
          <cell r="S89">
            <v>582172</v>
          </cell>
        </row>
        <row r="90">
          <cell r="A90">
            <v>982962</v>
          </cell>
          <cell r="B90" t="str">
            <v>CRCO N53-H7    MR2     SPC CA</v>
          </cell>
          <cell r="C90">
            <v>122</v>
          </cell>
          <cell r="D90" t="str">
            <v>UN</v>
          </cell>
          <cell r="E90">
            <v>582172</v>
          </cell>
          <cell r="G90">
            <v>10000</v>
          </cell>
          <cell r="H90" t="str">
            <v>NK</v>
          </cell>
          <cell r="I90" t="str">
            <v>NK CA</v>
          </cell>
          <cell r="J90" t="str">
            <v>CO110</v>
          </cell>
          <cell r="K90">
            <v>1</v>
          </cell>
          <cell r="N90">
            <v>502054.71</v>
          </cell>
          <cell r="P90" t="str">
            <v>X5132AXF</v>
          </cell>
          <cell r="Q90" t="str">
            <v>01Z01061806</v>
          </cell>
          <cell r="R90" t="str">
            <v>CA01</v>
          </cell>
          <cell r="S90">
            <v>582172</v>
          </cell>
        </row>
        <row r="91">
          <cell r="A91">
            <v>1047224</v>
          </cell>
          <cell r="B91" t="str">
            <v>CRCO X1617AWP          DRYSH   KG</v>
          </cell>
          <cell r="C91">
            <v>7314</v>
          </cell>
          <cell r="D91" t="str">
            <v>KG</v>
          </cell>
          <cell r="E91">
            <v>166.33</v>
          </cell>
          <cell r="G91">
            <v>100</v>
          </cell>
          <cell r="H91" t="str">
            <v>SC Syngenta</v>
          </cell>
          <cell r="I91" t="str">
            <v>SC SYNGENTA</v>
          </cell>
          <cell r="J91" t="str">
            <v>CO020</v>
          </cell>
          <cell r="K91">
            <v>1</v>
          </cell>
          <cell r="N91">
            <v>166.33</v>
          </cell>
          <cell r="P91" t="str">
            <v>X1617AWP</v>
          </cell>
          <cell r="Q91" t="str">
            <v>01Z01013900</v>
          </cell>
          <cell r="R91" t="str">
            <v>CA01</v>
          </cell>
        </row>
        <row r="92">
          <cell r="A92">
            <v>1047224</v>
          </cell>
          <cell r="B92" t="str">
            <v>CRCO X1617AWP          DRYSH   KG</v>
          </cell>
          <cell r="C92">
            <v>7314</v>
          </cell>
          <cell r="D92" t="str">
            <v>KG</v>
          </cell>
          <cell r="E92">
            <v>166.33</v>
          </cell>
          <cell r="G92">
            <v>100</v>
          </cell>
          <cell r="H92" t="str">
            <v>SC Syngenta</v>
          </cell>
          <cell r="I92" t="str">
            <v>SC SYNGENTA</v>
          </cell>
          <cell r="J92" t="str">
            <v>CO020</v>
          </cell>
          <cell r="K92">
            <v>1</v>
          </cell>
          <cell r="N92">
            <v>166.33</v>
          </cell>
          <cell r="P92" t="str">
            <v>X1617AWP</v>
          </cell>
          <cell r="Q92" t="str">
            <v>01Z01013900</v>
          </cell>
          <cell r="R92" t="str">
            <v>CA01</v>
          </cell>
        </row>
        <row r="93">
          <cell r="A93">
            <v>1048109</v>
          </cell>
          <cell r="B93" t="str">
            <v>CRCO X29204WU       DRYSH   KG</v>
          </cell>
          <cell r="C93">
            <v>145500</v>
          </cell>
          <cell r="D93" t="str">
            <v>KG</v>
          </cell>
          <cell r="E93">
            <v>166.33</v>
          </cell>
          <cell r="G93">
            <v>100</v>
          </cell>
          <cell r="H93" t="str">
            <v>SC Syngenta</v>
          </cell>
          <cell r="I93" t="str">
            <v>SC SYNGENTA</v>
          </cell>
          <cell r="J93" t="str">
            <v>CO020</v>
          </cell>
          <cell r="K93">
            <v>1</v>
          </cell>
          <cell r="N93">
            <v>166.33</v>
          </cell>
          <cell r="P93" t="str">
            <v>X29204WU</v>
          </cell>
          <cell r="Q93" t="str">
            <v>01Z01023903</v>
          </cell>
          <cell r="R93" t="str">
            <v>CA01</v>
          </cell>
        </row>
        <row r="94">
          <cell r="A94">
            <v>1048109</v>
          </cell>
          <cell r="B94" t="str">
            <v>CRCO X29204WU       DRYSH   KG</v>
          </cell>
          <cell r="C94">
            <v>145500</v>
          </cell>
          <cell r="D94" t="str">
            <v>KG</v>
          </cell>
          <cell r="E94">
            <v>166.33</v>
          </cell>
          <cell r="G94">
            <v>100</v>
          </cell>
          <cell r="H94" t="str">
            <v>SC Syngenta</v>
          </cell>
          <cell r="I94" t="str">
            <v>SC SYNGENTA</v>
          </cell>
          <cell r="J94" t="str">
            <v>CO020</v>
          </cell>
          <cell r="K94">
            <v>1</v>
          </cell>
          <cell r="N94">
            <v>166.33</v>
          </cell>
          <cell r="P94" t="str">
            <v>X29204WU</v>
          </cell>
          <cell r="Q94" t="str">
            <v>01Z01023903</v>
          </cell>
          <cell r="R94" t="str">
            <v>CA01</v>
          </cell>
        </row>
        <row r="95">
          <cell r="A95">
            <v>1055898</v>
          </cell>
          <cell r="B95" t="str">
            <v>CRCO N33E-CB/LL/RW    MF1     SPC CA</v>
          </cell>
          <cell r="C95">
            <v>1704</v>
          </cell>
          <cell r="D95" t="str">
            <v>UN</v>
          </cell>
          <cell r="E95">
            <v>553352</v>
          </cell>
          <cell r="G95">
            <v>10000</v>
          </cell>
          <cell r="H95" t="str">
            <v>NK</v>
          </cell>
          <cell r="I95" t="str">
            <v>NK CA</v>
          </cell>
          <cell r="J95" t="str">
            <v>CO110</v>
          </cell>
          <cell r="K95">
            <v>1</v>
          </cell>
          <cell r="N95">
            <v>0.01</v>
          </cell>
          <cell r="P95" t="str">
            <v>X35205YD</v>
          </cell>
          <cell r="Q95" t="str">
            <v>01Z01033216</v>
          </cell>
          <cell r="R95" t="str">
            <v>CA01</v>
          </cell>
          <cell r="S95">
            <v>553352</v>
          </cell>
        </row>
        <row r="96">
          <cell r="A96">
            <v>1055898</v>
          </cell>
          <cell r="B96" t="str">
            <v>CRCO N33E-CB/LL/RW    MF1     SPC CA</v>
          </cell>
          <cell r="C96">
            <v>1704</v>
          </cell>
          <cell r="D96" t="str">
            <v>UN</v>
          </cell>
          <cell r="E96">
            <v>553352</v>
          </cell>
          <cell r="G96">
            <v>10000</v>
          </cell>
          <cell r="H96" t="str">
            <v>NK</v>
          </cell>
          <cell r="I96" t="str">
            <v>NK CA</v>
          </cell>
          <cell r="J96" t="str">
            <v>CO110</v>
          </cell>
          <cell r="K96">
            <v>1</v>
          </cell>
          <cell r="N96">
            <v>0.01</v>
          </cell>
          <cell r="P96" t="str">
            <v>X35205YD</v>
          </cell>
          <cell r="Q96" t="str">
            <v>01Z01033216</v>
          </cell>
          <cell r="R96" t="str">
            <v>CA01</v>
          </cell>
          <cell r="S96">
            <v>553352</v>
          </cell>
        </row>
        <row r="97">
          <cell r="A97">
            <v>1055924</v>
          </cell>
          <cell r="B97" t="str">
            <v>CRCO N45A-3000GT    MF1     SPC CA</v>
          </cell>
          <cell r="C97">
            <v>1854</v>
          </cell>
          <cell r="D97" t="str">
            <v>UN</v>
          </cell>
          <cell r="E97">
            <v>507719</v>
          </cell>
          <cell r="G97">
            <v>10000</v>
          </cell>
          <cell r="H97" t="str">
            <v>NK</v>
          </cell>
          <cell r="I97" t="str">
            <v>NK CA</v>
          </cell>
          <cell r="J97" t="str">
            <v>CO110</v>
          </cell>
          <cell r="K97">
            <v>1</v>
          </cell>
          <cell r="N97">
            <v>0.01</v>
          </cell>
          <cell r="P97" t="str">
            <v>X4555AWU</v>
          </cell>
          <cell r="Q97" t="str">
            <v>01Z01043903</v>
          </cell>
          <cell r="R97" t="str">
            <v>CA01</v>
          </cell>
          <cell r="S97">
            <v>507719</v>
          </cell>
        </row>
        <row r="98">
          <cell r="A98">
            <v>1055924</v>
          </cell>
          <cell r="B98" t="str">
            <v>CRCO N45A-3000GT    MF1     SPC CA</v>
          </cell>
          <cell r="C98">
            <v>1854</v>
          </cell>
          <cell r="D98" t="str">
            <v>UN</v>
          </cell>
          <cell r="E98">
            <v>507719</v>
          </cell>
          <cell r="G98">
            <v>10000</v>
          </cell>
          <cell r="H98" t="str">
            <v>NK</v>
          </cell>
          <cell r="I98" t="str">
            <v>NK CA</v>
          </cell>
          <cell r="J98" t="str">
            <v>CO110</v>
          </cell>
          <cell r="K98">
            <v>1</v>
          </cell>
          <cell r="N98">
            <v>0.01</v>
          </cell>
          <cell r="P98" t="str">
            <v>X4555AWU</v>
          </cell>
          <cell r="Q98" t="str">
            <v>01Z01043903</v>
          </cell>
          <cell r="R98" t="str">
            <v>CA01</v>
          </cell>
          <cell r="S98">
            <v>507719</v>
          </cell>
        </row>
        <row r="99">
          <cell r="A99">
            <v>1055955</v>
          </cell>
          <cell r="B99" t="str">
            <v>CRCO N33E-CB/LL/RW    MF2     SPC CA</v>
          </cell>
          <cell r="C99">
            <v>978</v>
          </cell>
          <cell r="D99" t="str">
            <v>UN</v>
          </cell>
          <cell r="E99">
            <v>553352</v>
          </cell>
          <cell r="G99">
            <v>10000</v>
          </cell>
          <cell r="H99" t="str">
            <v>NK</v>
          </cell>
          <cell r="I99" t="str">
            <v>NK CA</v>
          </cell>
          <cell r="J99" t="str">
            <v>CO110</v>
          </cell>
          <cell r="K99">
            <v>1</v>
          </cell>
          <cell r="N99">
            <v>0.01</v>
          </cell>
          <cell r="P99" t="str">
            <v>X35205YD</v>
          </cell>
          <cell r="Q99" t="str">
            <v>01Z01033216</v>
          </cell>
          <cell r="R99" t="str">
            <v>CA01</v>
          </cell>
          <cell r="S99">
            <v>553352</v>
          </cell>
        </row>
        <row r="100">
          <cell r="A100">
            <v>1055955</v>
          </cell>
          <cell r="B100" t="str">
            <v>CRCO N33E-CB/LL/RW    MF2     SPC CA</v>
          </cell>
          <cell r="C100">
            <v>978</v>
          </cell>
          <cell r="D100" t="str">
            <v>UN</v>
          </cell>
          <cell r="E100">
            <v>553352</v>
          </cell>
          <cell r="G100">
            <v>10000</v>
          </cell>
          <cell r="H100" t="str">
            <v>NK</v>
          </cell>
          <cell r="I100" t="str">
            <v>NK CA</v>
          </cell>
          <cell r="J100" t="str">
            <v>CO110</v>
          </cell>
          <cell r="K100">
            <v>1</v>
          </cell>
          <cell r="N100">
            <v>0.01</v>
          </cell>
          <cell r="P100" t="str">
            <v>X35205YD</v>
          </cell>
          <cell r="Q100" t="str">
            <v>01Z01033216</v>
          </cell>
          <cell r="R100" t="str">
            <v>CA01</v>
          </cell>
          <cell r="S100">
            <v>553352</v>
          </cell>
        </row>
        <row r="101">
          <cell r="A101">
            <v>1055981</v>
          </cell>
          <cell r="B101" t="str">
            <v>CRCO N45A-3000GT    MF2     SPC CA</v>
          </cell>
          <cell r="C101">
            <v>2358</v>
          </cell>
          <cell r="D101" t="str">
            <v>UN</v>
          </cell>
          <cell r="E101">
            <v>507719</v>
          </cell>
          <cell r="G101">
            <v>10000</v>
          </cell>
          <cell r="H101" t="str">
            <v>NK</v>
          </cell>
          <cell r="I101" t="str">
            <v>NK CA</v>
          </cell>
          <cell r="J101" t="str">
            <v>CO110</v>
          </cell>
          <cell r="K101">
            <v>1</v>
          </cell>
          <cell r="N101">
            <v>0.01</v>
          </cell>
          <cell r="P101" t="str">
            <v>X4555AWU</v>
          </cell>
          <cell r="Q101" t="str">
            <v>01Z01043903</v>
          </cell>
          <cell r="R101" t="str">
            <v>CA01</v>
          </cell>
          <cell r="S101">
            <v>507719</v>
          </cell>
        </row>
        <row r="102">
          <cell r="A102">
            <v>1055981</v>
          </cell>
          <cell r="B102" t="str">
            <v>CRCO N45A-3000GT    MF2     SPC CA</v>
          </cell>
          <cell r="C102">
            <v>2358</v>
          </cell>
          <cell r="D102" t="str">
            <v>UN</v>
          </cell>
          <cell r="E102">
            <v>507719</v>
          </cell>
          <cell r="G102">
            <v>10000</v>
          </cell>
          <cell r="H102" t="str">
            <v>NK</v>
          </cell>
          <cell r="I102" t="str">
            <v>NK CA</v>
          </cell>
          <cell r="J102" t="str">
            <v>CO110</v>
          </cell>
          <cell r="K102">
            <v>1</v>
          </cell>
          <cell r="N102">
            <v>0.01</v>
          </cell>
          <cell r="P102" t="str">
            <v>X4555AWU</v>
          </cell>
          <cell r="Q102" t="str">
            <v>01Z01043903</v>
          </cell>
          <cell r="R102" t="str">
            <v>CA01</v>
          </cell>
          <cell r="S102">
            <v>507719</v>
          </cell>
        </row>
        <row r="103">
          <cell r="A103">
            <v>1056045</v>
          </cell>
          <cell r="B103" t="str">
            <v>CRCO N51T-3000GT    MF1     SPC CA</v>
          </cell>
          <cell r="C103">
            <v>316</v>
          </cell>
          <cell r="D103" t="str">
            <v>UN</v>
          </cell>
          <cell r="E103">
            <v>497828</v>
          </cell>
          <cell r="G103">
            <v>10000</v>
          </cell>
          <cell r="H103" t="str">
            <v>NK</v>
          </cell>
          <cell r="I103" t="str">
            <v>NK CA</v>
          </cell>
          <cell r="J103" t="str">
            <v>CO110</v>
          </cell>
          <cell r="K103">
            <v>1</v>
          </cell>
          <cell r="N103">
            <v>0.01</v>
          </cell>
          <cell r="P103" t="str">
            <v>X5369AWP</v>
          </cell>
          <cell r="Q103" t="str">
            <v>01Z01053910</v>
          </cell>
          <cell r="R103" t="str">
            <v>CA01</v>
          </cell>
          <cell r="S103">
            <v>497828</v>
          </cell>
        </row>
        <row r="104">
          <cell r="A104">
            <v>1056045</v>
          </cell>
          <cell r="B104" t="str">
            <v>CRCO N51T-3000GT    MF1     SPC CA</v>
          </cell>
          <cell r="C104">
            <v>316</v>
          </cell>
          <cell r="D104" t="str">
            <v>UN</v>
          </cell>
          <cell r="E104">
            <v>497828</v>
          </cell>
          <cell r="G104">
            <v>10000</v>
          </cell>
          <cell r="H104" t="str">
            <v>NK</v>
          </cell>
          <cell r="I104" t="str">
            <v>NK CA</v>
          </cell>
          <cell r="J104" t="str">
            <v>CO110</v>
          </cell>
          <cell r="K104">
            <v>1</v>
          </cell>
          <cell r="N104">
            <v>0.01</v>
          </cell>
          <cell r="P104" t="str">
            <v>X5369AWP</v>
          </cell>
          <cell r="Q104" t="str">
            <v>01Z01053910</v>
          </cell>
          <cell r="R104" t="str">
            <v>CA01</v>
          </cell>
          <cell r="S104">
            <v>497828</v>
          </cell>
        </row>
        <row r="105">
          <cell r="A105">
            <v>1056061</v>
          </cell>
          <cell r="B105" t="str">
            <v>CRCO N45A-3000GT    MR1     SPC CA</v>
          </cell>
          <cell r="C105">
            <v>1379</v>
          </cell>
          <cell r="D105" t="str">
            <v>UN</v>
          </cell>
          <cell r="E105">
            <v>507719</v>
          </cell>
          <cell r="G105">
            <v>10000</v>
          </cell>
          <cell r="H105" t="str">
            <v>NK</v>
          </cell>
          <cell r="I105" t="str">
            <v>NK CA</v>
          </cell>
          <cell r="J105" t="str">
            <v>CO110</v>
          </cell>
          <cell r="K105">
            <v>1</v>
          </cell>
          <cell r="N105">
            <v>0.01</v>
          </cell>
          <cell r="P105" t="str">
            <v>X4555AWU</v>
          </cell>
          <cell r="Q105" t="str">
            <v>01Z01043903</v>
          </cell>
          <cell r="R105" t="str">
            <v>CA01</v>
          </cell>
          <cell r="S105">
            <v>507719</v>
          </cell>
        </row>
        <row r="106">
          <cell r="A106">
            <v>1056061</v>
          </cell>
          <cell r="B106" t="str">
            <v>CRCO N45A-3000GT    MR1     SPC CA</v>
          </cell>
          <cell r="C106">
            <v>1379</v>
          </cell>
          <cell r="D106" t="str">
            <v>UN</v>
          </cell>
          <cell r="E106">
            <v>507719</v>
          </cell>
          <cell r="G106">
            <v>10000</v>
          </cell>
          <cell r="H106" t="str">
            <v>NK</v>
          </cell>
          <cell r="I106" t="str">
            <v>NK CA</v>
          </cell>
          <cell r="J106" t="str">
            <v>CO110</v>
          </cell>
          <cell r="K106">
            <v>1</v>
          </cell>
          <cell r="N106">
            <v>0.01</v>
          </cell>
          <cell r="P106" t="str">
            <v>X4555AWU</v>
          </cell>
          <cell r="Q106" t="str">
            <v>01Z01043903</v>
          </cell>
          <cell r="R106" t="str">
            <v>CA01</v>
          </cell>
          <cell r="S106">
            <v>507719</v>
          </cell>
        </row>
        <row r="107">
          <cell r="A107">
            <v>1056099</v>
          </cell>
          <cell r="B107" t="str">
            <v>CRCO N33E-CB/LL/RW    MR2     SPC CA</v>
          </cell>
          <cell r="C107">
            <v>0</v>
          </cell>
          <cell r="D107" t="str">
            <v>UN</v>
          </cell>
          <cell r="E107">
            <v>553352</v>
          </cell>
          <cell r="G107">
            <v>10000</v>
          </cell>
          <cell r="H107" t="str">
            <v>NK</v>
          </cell>
          <cell r="I107" t="str">
            <v>NK CA</v>
          </cell>
          <cell r="J107" t="str">
            <v>CO110</v>
          </cell>
          <cell r="K107">
            <v>1</v>
          </cell>
          <cell r="N107">
            <v>0.01</v>
          </cell>
          <cell r="P107" t="str">
            <v>X35205YD</v>
          </cell>
          <cell r="Q107" t="str">
            <v>01Z01033216</v>
          </cell>
          <cell r="R107" t="str">
            <v>CA01</v>
          </cell>
          <cell r="S107">
            <v>553352</v>
          </cell>
        </row>
        <row r="108">
          <cell r="A108">
            <v>1056099</v>
          </cell>
          <cell r="B108" t="str">
            <v>CRCO N33E-CB/LL/RW    MR2     SPC CA</v>
          </cell>
          <cell r="C108">
            <v>0</v>
          </cell>
          <cell r="D108" t="str">
            <v>UN</v>
          </cell>
          <cell r="E108">
            <v>553352</v>
          </cell>
          <cell r="G108">
            <v>10000</v>
          </cell>
          <cell r="H108" t="str">
            <v>NK</v>
          </cell>
          <cell r="I108" t="str">
            <v>NK CA</v>
          </cell>
          <cell r="J108" t="str">
            <v>CO110</v>
          </cell>
          <cell r="K108">
            <v>1</v>
          </cell>
          <cell r="N108">
            <v>0.01</v>
          </cell>
          <cell r="P108" t="str">
            <v>X35205YD</v>
          </cell>
          <cell r="Q108" t="str">
            <v>01Z01033216</v>
          </cell>
          <cell r="R108" t="str">
            <v>CA01</v>
          </cell>
          <cell r="S108">
            <v>553352</v>
          </cell>
        </row>
        <row r="109">
          <cell r="A109">
            <v>1056118</v>
          </cell>
          <cell r="B109" t="str">
            <v>CRCO N51T-3000GT    MF2     SPC CA</v>
          </cell>
          <cell r="C109">
            <v>4</v>
          </cell>
          <cell r="D109" t="str">
            <v>UN</v>
          </cell>
          <cell r="E109">
            <v>497828</v>
          </cell>
          <cell r="G109">
            <v>10000</v>
          </cell>
          <cell r="H109" t="str">
            <v>NK</v>
          </cell>
          <cell r="I109" t="str">
            <v>NK CA</v>
          </cell>
          <cell r="J109" t="str">
            <v>CO110</v>
          </cell>
          <cell r="K109">
            <v>1</v>
          </cell>
          <cell r="N109">
            <v>0.01</v>
          </cell>
          <cell r="P109" t="str">
            <v>X5369AWP</v>
          </cell>
          <cell r="Q109" t="str">
            <v>01Z01053910</v>
          </cell>
          <cell r="R109" t="str">
            <v>CA01</v>
          </cell>
          <cell r="S109">
            <v>497828</v>
          </cell>
        </row>
        <row r="110">
          <cell r="A110">
            <v>1056118</v>
          </cell>
          <cell r="B110" t="str">
            <v>CRCO N51T-3000GT    MF2     SPC CA</v>
          </cell>
          <cell r="C110">
            <v>4</v>
          </cell>
          <cell r="D110" t="str">
            <v>UN</v>
          </cell>
          <cell r="E110">
            <v>497828</v>
          </cell>
          <cell r="G110">
            <v>10000</v>
          </cell>
          <cell r="H110" t="str">
            <v>NK</v>
          </cell>
          <cell r="I110" t="str">
            <v>NK CA</v>
          </cell>
          <cell r="J110" t="str">
            <v>CO110</v>
          </cell>
          <cell r="K110">
            <v>1</v>
          </cell>
          <cell r="N110">
            <v>0.01</v>
          </cell>
          <cell r="P110" t="str">
            <v>X5369AWP</v>
          </cell>
          <cell r="Q110" t="str">
            <v>01Z01053910</v>
          </cell>
          <cell r="R110" t="str">
            <v>CA01</v>
          </cell>
          <cell r="S110">
            <v>497828</v>
          </cell>
        </row>
        <row r="111">
          <cell r="A111">
            <v>1056122</v>
          </cell>
          <cell r="B111" t="str">
            <v>CRCO N45A-3000GT    MR2     SPC CA</v>
          </cell>
          <cell r="C111">
            <v>1941</v>
          </cell>
          <cell r="D111" t="str">
            <v>UN</v>
          </cell>
          <cell r="E111">
            <v>507719</v>
          </cell>
          <cell r="G111">
            <v>10000</v>
          </cell>
          <cell r="H111" t="str">
            <v>NK</v>
          </cell>
          <cell r="I111" t="str">
            <v>NK CA</v>
          </cell>
          <cell r="J111" t="str">
            <v>CO110</v>
          </cell>
          <cell r="K111">
            <v>1</v>
          </cell>
          <cell r="N111">
            <v>0.01</v>
          </cell>
          <cell r="P111" t="str">
            <v>X4555AWU</v>
          </cell>
          <cell r="Q111" t="str">
            <v>01Z01043903</v>
          </cell>
          <cell r="R111" t="str">
            <v>CA01</v>
          </cell>
          <cell r="S111">
            <v>507719</v>
          </cell>
        </row>
        <row r="112">
          <cell r="A112">
            <v>1056122</v>
          </cell>
          <cell r="B112" t="str">
            <v>CRCO N45A-3000GT    MR2     SPC CA</v>
          </cell>
          <cell r="C112">
            <v>1941</v>
          </cell>
          <cell r="D112" t="str">
            <v>UN</v>
          </cell>
          <cell r="E112">
            <v>507719</v>
          </cell>
          <cell r="G112">
            <v>10000</v>
          </cell>
          <cell r="H112" t="str">
            <v>NK</v>
          </cell>
          <cell r="I112" t="str">
            <v>NK CA</v>
          </cell>
          <cell r="J112" t="str">
            <v>CO110</v>
          </cell>
          <cell r="K112">
            <v>1</v>
          </cell>
          <cell r="N112">
            <v>0.01</v>
          </cell>
          <cell r="P112" t="str">
            <v>X4555AWU</v>
          </cell>
          <cell r="Q112" t="str">
            <v>01Z01043903</v>
          </cell>
          <cell r="R112" t="str">
            <v>CA01</v>
          </cell>
          <cell r="S112">
            <v>507719</v>
          </cell>
        </row>
        <row r="113">
          <cell r="A113">
            <v>1056197</v>
          </cell>
          <cell r="B113" t="str">
            <v>CRCO N27W-3000GT    MF1     SPC CA</v>
          </cell>
          <cell r="C113">
            <v>214</v>
          </cell>
          <cell r="D113" t="str">
            <v>UN</v>
          </cell>
          <cell r="E113">
            <v>533540</v>
          </cell>
          <cell r="G113">
            <v>10000</v>
          </cell>
          <cell r="H113" t="str">
            <v>NK</v>
          </cell>
          <cell r="I113" t="str">
            <v>NK CA</v>
          </cell>
          <cell r="J113" t="str">
            <v>CO110</v>
          </cell>
          <cell r="K113">
            <v>1</v>
          </cell>
          <cell r="N113">
            <v>0.01</v>
          </cell>
          <cell r="P113" t="str">
            <v>X26164WP</v>
          </cell>
          <cell r="Q113" t="str">
            <v>01Z01023904</v>
          </cell>
          <cell r="R113" t="str">
            <v>CA01</v>
          </cell>
          <cell r="S113">
            <v>533540</v>
          </cell>
        </row>
        <row r="114">
          <cell r="A114">
            <v>1056197</v>
          </cell>
          <cell r="B114" t="str">
            <v>CRCO N27W-3000GT    MF1     SPC CA</v>
          </cell>
          <cell r="C114">
            <v>214</v>
          </cell>
          <cell r="D114" t="str">
            <v>UN</v>
          </cell>
          <cell r="E114">
            <v>533540</v>
          </cell>
          <cell r="G114">
            <v>10000</v>
          </cell>
          <cell r="H114" t="str">
            <v>NK</v>
          </cell>
          <cell r="I114" t="str">
            <v>NK CA</v>
          </cell>
          <cell r="J114" t="str">
            <v>CO110</v>
          </cell>
          <cell r="K114">
            <v>1</v>
          </cell>
          <cell r="N114">
            <v>0.01</v>
          </cell>
          <cell r="P114" t="str">
            <v>X26164WP</v>
          </cell>
          <cell r="Q114" t="str">
            <v>01Z01023904</v>
          </cell>
          <cell r="R114" t="str">
            <v>CA01</v>
          </cell>
          <cell r="S114">
            <v>533540</v>
          </cell>
        </row>
        <row r="115">
          <cell r="A115">
            <v>1056216</v>
          </cell>
          <cell r="B115" t="str">
            <v>CRCO N29T-CB/LL    MF1     SPC CA</v>
          </cell>
          <cell r="C115">
            <v>493</v>
          </cell>
          <cell r="D115" t="str">
            <v>UN</v>
          </cell>
          <cell r="E115">
            <v>553336</v>
          </cell>
          <cell r="G115">
            <v>10000</v>
          </cell>
          <cell r="H115" t="str">
            <v>NK</v>
          </cell>
          <cell r="I115" t="str">
            <v>NK CA</v>
          </cell>
          <cell r="J115" t="str">
            <v>CO110</v>
          </cell>
          <cell r="K115">
            <v>1</v>
          </cell>
          <cell r="N115">
            <v>0.01</v>
          </cell>
          <cell r="P115" t="str">
            <v>X30576BB.1</v>
          </cell>
          <cell r="Q115" t="str">
            <v>01Z01030641</v>
          </cell>
          <cell r="R115" t="str">
            <v>CA01</v>
          </cell>
          <cell r="S115">
            <v>553336</v>
          </cell>
        </row>
        <row r="116">
          <cell r="A116">
            <v>1056216</v>
          </cell>
          <cell r="B116" t="str">
            <v>CRCO N29T-CB/LL    MF1     SPC CA</v>
          </cell>
          <cell r="C116">
            <v>493</v>
          </cell>
          <cell r="D116" t="str">
            <v>UN</v>
          </cell>
          <cell r="E116">
            <v>553336</v>
          </cell>
          <cell r="G116">
            <v>10000</v>
          </cell>
          <cell r="H116" t="str">
            <v>NK</v>
          </cell>
          <cell r="I116" t="str">
            <v>NK CA</v>
          </cell>
          <cell r="J116" t="str">
            <v>CO110</v>
          </cell>
          <cell r="K116">
            <v>1</v>
          </cell>
          <cell r="N116">
            <v>0.01</v>
          </cell>
          <cell r="P116" t="str">
            <v>X30576BB.1</v>
          </cell>
          <cell r="Q116" t="str">
            <v>01Z01030641</v>
          </cell>
          <cell r="R116" t="str">
            <v>CA01</v>
          </cell>
          <cell r="S116">
            <v>553336</v>
          </cell>
        </row>
        <row r="117">
          <cell r="A117">
            <v>1056252</v>
          </cell>
          <cell r="B117" t="str">
            <v>CRCO N51T-3000GT    MR2     SPC CA</v>
          </cell>
          <cell r="C117">
            <v>0</v>
          </cell>
          <cell r="D117" t="str">
            <v>UN</v>
          </cell>
          <cell r="E117">
            <v>497828</v>
          </cell>
          <cell r="G117">
            <v>10000</v>
          </cell>
          <cell r="H117" t="str">
            <v>NK</v>
          </cell>
          <cell r="I117" t="str">
            <v>NK CA</v>
          </cell>
          <cell r="J117" t="str">
            <v>CO110</v>
          </cell>
          <cell r="K117">
            <v>1</v>
          </cell>
          <cell r="N117">
            <v>0.01</v>
          </cell>
          <cell r="P117" t="str">
            <v>X5369AWP</v>
          </cell>
          <cell r="Q117" t="str">
            <v>01Z01053910</v>
          </cell>
          <cell r="R117" t="str">
            <v>CA01</v>
          </cell>
          <cell r="S117">
            <v>497828</v>
          </cell>
        </row>
        <row r="118">
          <cell r="A118">
            <v>1056252</v>
          </cell>
          <cell r="B118" t="str">
            <v>CRCO N51T-3000GT    MR2     SPC CA</v>
          </cell>
          <cell r="C118">
            <v>0</v>
          </cell>
          <cell r="D118" t="str">
            <v>UN</v>
          </cell>
          <cell r="E118">
            <v>497828</v>
          </cell>
          <cell r="G118">
            <v>10000</v>
          </cell>
          <cell r="H118" t="str">
            <v>NK</v>
          </cell>
          <cell r="I118" t="str">
            <v>NK CA</v>
          </cell>
          <cell r="J118" t="str">
            <v>CO110</v>
          </cell>
          <cell r="K118">
            <v>1</v>
          </cell>
          <cell r="N118">
            <v>0.01</v>
          </cell>
          <cell r="P118" t="str">
            <v>X5369AWP</v>
          </cell>
          <cell r="Q118" t="str">
            <v>01Z01053910</v>
          </cell>
          <cell r="R118" t="str">
            <v>CA01</v>
          </cell>
          <cell r="S118">
            <v>497828</v>
          </cell>
        </row>
        <row r="119">
          <cell r="A119">
            <v>1056290</v>
          </cell>
          <cell r="B119" t="str">
            <v>CRCO N29T-CB/LL    MF2     SPC CA</v>
          </cell>
          <cell r="C119">
            <v>1</v>
          </cell>
          <cell r="D119" t="str">
            <v>UN</v>
          </cell>
          <cell r="E119">
            <v>553336</v>
          </cell>
          <cell r="G119">
            <v>10000</v>
          </cell>
          <cell r="H119" t="str">
            <v>NK</v>
          </cell>
          <cell r="I119" t="str">
            <v>NK CA</v>
          </cell>
          <cell r="J119" t="str">
            <v>CO110</v>
          </cell>
          <cell r="K119">
            <v>1</v>
          </cell>
          <cell r="N119">
            <v>0.01</v>
          </cell>
          <cell r="P119" t="str">
            <v>X30576BB.1</v>
          </cell>
          <cell r="Q119" t="str">
            <v>01Z01030641</v>
          </cell>
          <cell r="R119" t="str">
            <v>CA01</v>
          </cell>
          <cell r="S119">
            <v>553336</v>
          </cell>
        </row>
        <row r="120">
          <cell r="A120">
            <v>1056290</v>
          </cell>
          <cell r="B120" t="str">
            <v>CRCO N29T-CB/LL    MF2     SPC CA</v>
          </cell>
          <cell r="C120">
            <v>1</v>
          </cell>
          <cell r="D120" t="str">
            <v>UN</v>
          </cell>
          <cell r="E120">
            <v>553336</v>
          </cell>
          <cell r="G120">
            <v>10000</v>
          </cell>
          <cell r="H120" t="str">
            <v>NK</v>
          </cell>
          <cell r="I120" t="str">
            <v>NK CA</v>
          </cell>
          <cell r="J120" t="str">
            <v>CO110</v>
          </cell>
          <cell r="K120">
            <v>1</v>
          </cell>
          <cell r="N120">
            <v>0.01</v>
          </cell>
          <cell r="P120" t="str">
            <v>X30576BB.1</v>
          </cell>
          <cell r="Q120" t="str">
            <v>01Z01030641</v>
          </cell>
          <cell r="R120" t="str">
            <v>CA01</v>
          </cell>
          <cell r="S120">
            <v>553336</v>
          </cell>
        </row>
        <row r="121">
          <cell r="A121">
            <v>1056334</v>
          </cell>
          <cell r="B121" t="str">
            <v>CRCO N27W-3000GT    MR1     SPC CA</v>
          </cell>
          <cell r="C121">
            <v>139</v>
          </cell>
          <cell r="D121" t="str">
            <v>UN</v>
          </cell>
          <cell r="E121">
            <v>533540</v>
          </cell>
          <cell r="G121">
            <v>10000</v>
          </cell>
          <cell r="H121" t="str">
            <v>NK</v>
          </cell>
          <cell r="I121" t="str">
            <v>NK CA</v>
          </cell>
          <cell r="J121" t="str">
            <v>CO110</v>
          </cell>
          <cell r="K121">
            <v>1</v>
          </cell>
          <cell r="N121">
            <v>0.01</v>
          </cell>
          <cell r="P121" t="str">
            <v>X26164WP</v>
          </cell>
          <cell r="Q121" t="str">
            <v>01Z01023904</v>
          </cell>
          <cell r="R121" t="str">
            <v>CA01</v>
          </cell>
          <cell r="S121">
            <v>533540</v>
          </cell>
        </row>
        <row r="122">
          <cell r="A122">
            <v>1056334</v>
          </cell>
          <cell r="B122" t="str">
            <v>CRCO N27W-3000GT    MR1     SPC CA</v>
          </cell>
          <cell r="C122">
            <v>139</v>
          </cell>
          <cell r="D122" t="str">
            <v>UN</v>
          </cell>
          <cell r="E122">
            <v>533540</v>
          </cell>
          <cell r="G122">
            <v>10000</v>
          </cell>
          <cell r="H122" t="str">
            <v>NK</v>
          </cell>
          <cell r="I122" t="str">
            <v>NK CA</v>
          </cell>
          <cell r="J122" t="str">
            <v>CO110</v>
          </cell>
          <cell r="K122">
            <v>1</v>
          </cell>
          <cell r="N122">
            <v>0.01</v>
          </cell>
          <cell r="P122" t="str">
            <v>X26164WP</v>
          </cell>
          <cell r="Q122" t="str">
            <v>01Z01023904</v>
          </cell>
          <cell r="R122" t="str">
            <v>CA01</v>
          </cell>
          <cell r="S122">
            <v>533540</v>
          </cell>
        </row>
        <row r="123">
          <cell r="A123">
            <v>1056370</v>
          </cell>
          <cell r="B123" t="str">
            <v>CRCO N29T-CB/LL    MR1     SPC CA</v>
          </cell>
          <cell r="C123">
            <v>3274</v>
          </cell>
          <cell r="D123" t="str">
            <v>UN</v>
          </cell>
          <cell r="E123">
            <v>546053</v>
          </cell>
          <cell r="G123">
            <v>10000</v>
          </cell>
          <cell r="H123" t="str">
            <v>NK</v>
          </cell>
          <cell r="I123" t="str">
            <v>NK CA</v>
          </cell>
          <cell r="J123" t="str">
            <v>CO110</v>
          </cell>
          <cell r="K123">
            <v>1</v>
          </cell>
          <cell r="N123">
            <v>0.01</v>
          </cell>
          <cell r="P123" t="str">
            <v>X30576BB.1</v>
          </cell>
          <cell r="Q123" t="str">
            <v>01Z01030641</v>
          </cell>
          <cell r="R123" t="str">
            <v>CA01</v>
          </cell>
          <cell r="S123">
            <v>546053</v>
          </cell>
        </row>
        <row r="124">
          <cell r="A124">
            <v>1056370</v>
          </cell>
          <cell r="B124" t="str">
            <v>CRCO N29T-CB/LL    MR1     SPC CA</v>
          </cell>
          <cell r="C124">
            <v>3274</v>
          </cell>
          <cell r="D124" t="str">
            <v>UN</v>
          </cell>
          <cell r="E124">
            <v>546053</v>
          </cell>
          <cell r="G124">
            <v>10000</v>
          </cell>
          <cell r="H124" t="str">
            <v>NK</v>
          </cell>
          <cell r="I124" t="str">
            <v>NK CA</v>
          </cell>
          <cell r="J124" t="str">
            <v>CO110</v>
          </cell>
          <cell r="K124">
            <v>1</v>
          </cell>
          <cell r="N124">
            <v>0.01</v>
          </cell>
          <cell r="P124" t="str">
            <v>X30576BB.1</v>
          </cell>
          <cell r="Q124" t="str">
            <v>01Z01030641</v>
          </cell>
          <cell r="R124" t="str">
            <v>CA01</v>
          </cell>
          <cell r="S124">
            <v>546053</v>
          </cell>
        </row>
        <row r="125">
          <cell r="A125">
            <v>1056426</v>
          </cell>
          <cell r="B125" t="str">
            <v>CRCO N27W-3000GT    MR2     SPC CA</v>
          </cell>
          <cell r="C125">
            <v>69</v>
          </cell>
          <cell r="D125" t="str">
            <v>UN</v>
          </cell>
          <cell r="E125">
            <v>533540</v>
          </cell>
          <cell r="G125">
            <v>10000</v>
          </cell>
          <cell r="H125" t="str">
            <v>NK</v>
          </cell>
          <cell r="I125" t="str">
            <v>NK CA</v>
          </cell>
          <cell r="J125" t="str">
            <v>CO110</v>
          </cell>
          <cell r="K125">
            <v>1</v>
          </cell>
          <cell r="N125">
            <v>0.01</v>
          </cell>
          <cell r="P125" t="str">
            <v>X26164WP</v>
          </cell>
          <cell r="Q125" t="str">
            <v>01Z01023904</v>
          </cell>
          <cell r="R125" t="str">
            <v>CA01</v>
          </cell>
          <cell r="S125">
            <v>533540</v>
          </cell>
        </row>
        <row r="126">
          <cell r="A126">
            <v>1056426</v>
          </cell>
          <cell r="B126" t="str">
            <v>CRCO N27W-3000GT    MR2     SPC CA</v>
          </cell>
          <cell r="C126">
            <v>69</v>
          </cell>
          <cell r="D126" t="str">
            <v>UN</v>
          </cell>
          <cell r="E126">
            <v>533540</v>
          </cell>
          <cell r="G126">
            <v>10000</v>
          </cell>
          <cell r="H126" t="str">
            <v>NK</v>
          </cell>
          <cell r="I126" t="str">
            <v>NK CA</v>
          </cell>
          <cell r="J126" t="str">
            <v>CO110</v>
          </cell>
          <cell r="K126">
            <v>1</v>
          </cell>
          <cell r="N126">
            <v>0.01</v>
          </cell>
          <cell r="P126" t="str">
            <v>X26164WP</v>
          </cell>
          <cell r="Q126" t="str">
            <v>01Z01023904</v>
          </cell>
          <cell r="R126" t="str">
            <v>CA01</v>
          </cell>
          <cell r="S126">
            <v>533540</v>
          </cell>
        </row>
        <row r="127">
          <cell r="A127">
            <v>1056461</v>
          </cell>
          <cell r="B127" t="str">
            <v>CRCO N29T-CB/LL    MR2     SPC CA</v>
          </cell>
          <cell r="C127">
            <v>516</v>
          </cell>
          <cell r="D127" t="str">
            <v>UN</v>
          </cell>
          <cell r="E127">
            <v>553336</v>
          </cell>
          <cell r="G127">
            <v>10000</v>
          </cell>
          <cell r="H127" t="str">
            <v>NK</v>
          </cell>
          <cell r="I127" t="str">
            <v>NK CA</v>
          </cell>
          <cell r="J127" t="str">
            <v>CO110</v>
          </cell>
          <cell r="K127">
            <v>1</v>
          </cell>
          <cell r="N127">
            <v>0.01</v>
          </cell>
          <cell r="P127" t="str">
            <v>X30576BB.1</v>
          </cell>
          <cell r="Q127" t="str">
            <v>01Z01030641</v>
          </cell>
          <cell r="R127" t="str">
            <v>CA01</v>
          </cell>
          <cell r="S127">
            <v>553336</v>
          </cell>
        </row>
        <row r="128">
          <cell r="A128">
            <v>1056461</v>
          </cell>
          <cell r="B128" t="str">
            <v>CRCO N29T-CB/LL    MR2     SPC CA</v>
          </cell>
          <cell r="C128">
            <v>516</v>
          </cell>
          <cell r="D128" t="str">
            <v>UN</v>
          </cell>
          <cell r="E128">
            <v>553336</v>
          </cell>
          <cell r="G128">
            <v>10000</v>
          </cell>
          <cell r="H128" t="str">
            <v>NK</v>
          </cell>
          <cell r="I128" t="str">
            <v>NK CA</v>
          </cell>
          <cell r="J128" t="str">
            <v>CO110</v>
          </cell>
          <cell r="K128">
            <v>1</v>
          </cell>
          <cell r="N128">
            <v>0.01</v>
          </cell>
          <cell r="P128" t="str">
            <v>X30576BB.1</v>
          </cell>
          <cell r="Q128" t="str">
            <v>01Z01030641</v>
          </cell>
          <cell r="R128" t="str">
            <v>CA01</v>
          </cell>
          <cell r="S128">
            <v>553336</v>
          </cell>
        </row>
        <row r="129">
          <cell r="A129">
            <v>1056505</v>
          </cell>
          <cell r="B129" t="str">
            <v>CRCO N27W-3000GT    SF90    SPC CA</v>
          </cell>
          <cell r="C129">
            <v>1077</v>
          </cell>
          <cell r="D129" t="str">
            <v>UN</v>
          </cell>
          <cell r="E129">
            <v>533540</v>
          </cell>
          <cell r="G129">
            <v>10000</v>
          </cell>
          <cell r="H129" t="str">
            <v>NK</v>
          </cell>
          <cell r="I129" t="str">
            <v>NK CA</v>
          </cell>
          <cell r="J129" t="str">
            <v>CO110</v>
          </cell>
          <cell r="K129">
            <v>1</v>
          </cell>
          <cell r="N129">
            <v>0.01</v>
          </cell>
          <cell r="P129" t="str">
            <v>X26164WP</v>
          </cell>
          <cell r="Q129" t="str">
            <v>01Z01023904</v>
          </cell>
          <cell r="R129" t="str">
            <v>CA01</v>
          </cell>
          <cell r="S129">
            <v>533540</v>
          </cell>
        </row>
        <row r="130">
          <cell r="A130">
            <v>1056505</v>
          </cell>
          <cell r="B130" t="str">
            <v>CRCO N27W-3000GT    SF90    SPC CA</v>
          </cell>
          <cell r="C130">
            <v>1077</v>
          </cell>
          <cell r="D130" t="str">
            <v>UN</v>
          </cell>
          <cell r="E130">
            <v>533540</v>
          </cell>
          <cell r="G130">
            <v>10000</v>
          </cell>
          <cell r="H130" t="str">
            <v>NK</v>
          </cell>
          <cell r="I130" t="str">
            <v>NK CA</v>
          </cell>
          <cell r="J130" t="str">
            <v>CO110</v>
          </cell>
          <cell r="K130">
            <v>1</v>
          </cell>
          <cell r="N130">
            <v>0.01</v>
          </cell>
          <cell r="P130" t="str">
            <v>X26164WP</v>
          </cell>
          <cell r="Q130" t="str">
            <v>01Z01023904</v>
          </cell>
          <cell r="R130" t="str">
            <v>CA01</v>
          </cell>
          <cell r="S130">
            <v>533540</v>
          </cell>
        </row>
        <row r="131">
          <cell r="A131">
            <v>1056601</v>
          </cell>
          <cell r="B131" t="str">
            <v>CRCO N46Q-CB/LL/RW    SF90    SPC CA</v>
          </cell>
          <cell r="C131">
            <v>402</v>
          </cell>
          <cell r="D131" t="str">
            <v>UN</v>
          </cell>
          <cell r="E131">
            <v>491518</v>
          </cell>
          <cell r="G131">
            <v>10000</v>
          </cell>
          <cell r="H131" t="str">
            <v>NK</v>
          </cell>
          <cell r="I131" t="str">
            <v>NK CA</v>
          </cell>
          <cell r="J131" t="str">
            <v>CO110</v>
          </cell>
          <cell r="K131">
            <v>1</v>
          </cell>
          <cell r="N131">
            <v>0.01</v>
          </cell>
          <cell r="P131" t="str">
            <v>X51556YD</v>
          </cell>
          <cell r="Q131" t="str">
            <v>01Z01053207</v>
          </cell>
          <cell r="R131" t="str">
            <v>CA01</v>
          </cell>
          <cell r="S131">
            <v>491518</v>
          </cell>
        </row>
        <row r="132">
          <cell r="A132">
            <v>1056601</v>
          </cell>
          <cell r="B132" t="str">
            <v>CRCO N46Q-CB/LL/RW    SF90    SPC CA</v>
          </cell>
          <cell r="C132">
            <v>402</v>
          </cell>
          <cell r="D132" t="str">
            <v>UN</v>
          </cell>
          <cell r="E132">
            <v>491518</v>
          </cell>
          <cell r="G132">
            <v>10000</v>
          </cell>
          <cell r="H132" t="str">
            <v>NK</v>
          </cell>
          <cell r="I132" t="str">
            <v>NK CA</v>
          </cell>
          <cell r="J132" t="str">
            <v>CO110</v>
          </cell>
          <cell r="K132">
            <v>1</v>
          </cell>
          <cell r="N132">
            <v>0.01</v>
          </cell>
          <cell r="P132" t="str">
            <v>X51556YD</v>
          </cell>
          <cell r="Q132" t="str">
            <v>01Z01053207</v>
          </cell>
          <cell r="R132" t="str">
            <v>CA01</v>
          </cell>
          <cell r="S132">
            <v>491518</v>
          </cell>
        </row>
        <row r="133">
          <cell r="A133">
            <v>1057322</v>
          </cell>
          <cell r="B133" t="str">
            <v>CRCO N09T-CB/LL/RW    MF1     SPC CA</v>
          </cell>
          <cell r="C133">
            <v>729</v>
          </cell>
          <cell r="D133" t="str">
            <v>UN</v>
          </cell>
          <cell r="E133">
            <v>553352</v>
          </cell>
          <cell r="G133">
            <v>10000</v>
          </cell>
          <cell r="H133" t="str">
            <v>NK</v>
          </cell>
          <cell r="I133" t="str">
            <v>NK CA</v>
          </cell>
          <cell r="J133" t="str">
            <v>CO110</v>
          </cell>
          <cell r="K133">
            <v>1</v>
          </cell>
          <cell r="N133">
            <v>0.01</v>
          </cell>
          <cell r="P133" t="str">
            <v>X08097YD</v>
          </cell>
          <cell r="Q133" t="str">
            <v>01Z01003202</v>
          </cell>
          <cell r="R133" t="str">
            <v>CA01</v>
          </cell>
          <cell r="S133">
            <v>553352</v>
          </cell>
        </row>
        <row r="134">
          <cell r="A134">
            <v>1057322</v>
          </cell>
          <cell r="B134" t="str">
            <v>CRCO N09T-CB/LL/RW    MF1     SPC CA</v>
          </cell>
          <cell r="C134">
            <v>729</v>
          </cell>
          <cell r="D134" t="str">
            <v>UN</v>
          </cell>
          <cell r="E134">
            <v>553352</v>
          </cell>
          <cell r="G134">
            <v>10000</v>
          </cell>
          <cell r="H134" t="str">
            <v>NK</v>
          </cell>
          <cell r="I134" t="str">
            <v>NK CA</v>
          </cell>
          <cell r="J134" t="str">
            <v>CO110</v>
          </cell>
          <cell r="K134">
            <v>1</v>
          </cell>
          <cell r="N134">
            <v>0.01</v>
          </cell>
          <cell r="P134" t="str">
            <v>X08097YD</v>
          </cell>
          <cell r="Q134" t="str">
            <v>01Z01003202</v>
          </cell>
          <cell r="R134" t="str">
            <v>CA01</v>
          </cell>
          <cell r="S134">
            <v>553352</v>
          </cell>
        </row>
        <row r="135">
          <cell r="A135">
            <v>1057345</v>
          </cell>
          <cell r="B135" t="str">
            <v>CRCO N09T-CB/LL/RW    MF2     SPC CA</v>
          </cell>
          <cell r="C135">
            <v>341</v>
          </cell>
          <cell r="D135" t="str">
            <v>UN</v>
          </cell>
          <cell r="E135">
            <v>553352</v>
          </cell>
          <cell r="G135">
            <v>10000</v>
          </cell>
          <cell r="H135" t="str">
            <v>NK</v>
          </cell>
          <cell r="I135" t="str">
            <v>NK CA</v>
          </cell>
          <cell r="J135" t="str">
            <v>CO110</v>
          </cell>
          <cell r="K135">
            <v>1</v>
          </cell>
          <cell r="N135">
            <v>0.01</v>
          </cell>
          <cell r="P135" t="str">
            <v>X08097YD</v>
          </cell>
          <cell r="Q135" t="str">
            <v>01Z01003202</v>
          </cell>
          <cell r="R135" t="str">
            <v>CA01</v>
          </cell>
          <cell r="S135">
            <v>553352</v>
          </cell>
        </row>
        <row r="136">
          <cell r="A136">
            <v>1057345</v>
          </cell>
          <cell r="B136" t="str">
            <v>CRCO N09T-CB/LL/RW    MF2     SPC CA</v>
          </cell>
          <cell r="C136">
            <v>341</v>
          </cell>
          <cell r="D136" t="str">
            <v>UN</v>
          </cell>
          <cell r="E136">
            <v>553352</v>
          </cell>
          <cell r="G136">
            <v>10000</v>
          </cell>
          <cell r="H136" t="str">
            <v>NK</v>
          </cell>
          <cell r="I136" t="str">
            <v>NK CA</v>
          </cell>
          <cell r="J136" t="str">
            <v>CO110</v>
          </cell>
          <cell r="K136">
            <v>1</v>
          </cell>
          <cell r="N136">
            <v>0.01</v>
          </cell>
          <cell r="P136" t="str">
            <v>X08097YD</v>
          </cell>
          <cell r="Q136" t="str">
            <v>01Z01003202</v>
          </cell>
          <cell r="R136" t="str">
            <v>CA01</v>
          </cell>
          <cell r="S136">
            <v>553352</v>
          </cell>
        </row>
        <row r="137">
          <cell r="A137">
            <v>1057367</v>
          </cell>
          <cell r="B137" t="str">
            <v>CRCO N09T-CB/LL/RW    MR1     SPC CA</v>
          </cell>
          <cell r="C137">
            <v>184</v>
          </cell>
          <cell r="D137" t="str">
            <v>UN</v>
          </cell>
          <cell r="E137">
            <v>553352</v>
          </cell>
          <cell r="G137">
            <v>10000</v>
          </cell>
          <cell r="H137" t="str">
            <v>NK</v>
          </cell>
          <cell r="I137" t="str">
            <v>NK CA</v>
          </cell>
          <cell r="J137" t="str">
            <v>CO110</v>
          </cell>
          <cell r="K137">
            <v>1</v>
          </cell>
          <cell r="N137">
            <v>0.01</v>
          </cell>
          <cell r="P137" t="str">
            <v>X08097YD</v>
          </cell>
          <cell r="Q137" t="str">
            <v>01Z01003202</v>
          </cell>
          <cell r="R137" t="str">
            <v>CA01</v>
          </cell>
          <cell r="S137">
            <v>553352</v>
          </cell>
        </row>
        <row r="138">
          <cell r="A138">
            <v>1057367</v>
          </cell>
          <cell r="B138" t="str">
            <v>CRCO N09T-CB/LL/RW    MR1     SPC CA</v>
          </cell>
          <cell r="C138">
            <v>184</v>
          </cell>
          <cell r="D138" t="str">
            <v>UN</v>
          </cell>
          <cell r="E138">
            <v>553352</v>
          </cell>
          <cell r="G138">
            <v>10000</v>
          </cell>
          <cell r="H138" t="str">
            <v>NK</v>
          </cell>
          <cell r="I138" t="str">
            <v>NK CA</v>
          </cell>
          <cell r="J138" t="str">
            <v>CO110</v>
          </cell>
          <cell r="K138">
            <v>1</v>
          </cell>
          <cell r="N138">
            <v>0.01</v>
          </cell>
          <cell r="P138" t="str">
            <v>X08097YD</v>
          </cell>
          <cell r="Q138" t="str">
            <v>01Z01003202</v>
          </cell>
          <cell r="R138" t="str">
            <v>CA01</v>
          </cell>
          <cell r="S138">
            <v>553352</v>
          </cell>
        </row>
        <row r="139">
          <cell r="A139">
            <v>1057375</v>
          </cell>
          <cell r="B139" t="str">
            <v>CRCO N04A-CB/LL/RW    MR1     SPC CA</v>
          </cell>
          <cell r="C139">
            <v>713</v>
          </cell>
          <cell r="D139" t="str">
            <v>UN</v>
          </cell>
          <cell r="E139">
            <v>553352</v>
          </cell>
          <cell r="G139">
            <v>10000</v>
          </cell>
          <cell r="H139" t="str">
            <v>NK</v>
          </cell>
          <cell r="I139" t="str">
            <v>NK CA</v>
          </cell>
          <cell r="J139" t="str">
            <v>CO110</v>
          </cell>
          <cell r="K139">
            <v>1</v>
          </cell>
          <cell r="N139">
            <v>0.01</v>
          </cell>
          <cell r="P139" t="str">
            <v>X07587YD</v>
          </cell>
          <cell r="Q139" t="str">
            <v>01Z01003201</v>
          </cell>
          <cell r="R139" t="str">
            <v>CA01</v>
          </cell>
          <cell r="S139">
            <v>553352</v>
          </cell>
        </row>
        <row r="140">
          <cell r="A140">
            <v>1057375</v>
          </cell>
          <cell r="B140" t="str">
            <v>CRCO N04A-CB/LL/RW    MR1     SPC CA</v>
          </cell>
          <cell r="C140">
            <v>713</v>
          </cell>
          <cell r="D140" t="str">
            <v>UN</v>
          </cell>
          <cell r="E140">
            <v>553352</v>
          </cell>
          <cell r="G140">
            <v>10000</v>
          </cell>
          <cell r="H140" t="str">
            <v>NK</v>
          </cell>
          <cell r="I140" t="str">
            <v>NK CA</v>
          </cell>
          <cell r="J140" t="str">
            <v>CO110</v>
          </cell>
          <cell r="K140">
            <v>1</v>
          </cell>
          <cell r="N140">
            <v>0.01</v>
          </cell>
          <cell r="P140" t="str">
            <v>X07587YD</v>
          </cell>
          <cell r="Q140" t="str">
            <v>01Z01003201</v>
          </cell>
          <cell r="R140" t="str">
            <v>CA01</v>
          </cell>
          <cell r="S140">
            <v>553352</v>
          </cell>
        </row>
        <row r="141">
          <cell r="A141">
            <v>1057403</v>
          </cell>
          <cell r="B141" t="str">
            <v>CRCO N04A-CB/LL/RW    MR2     SPC CA</v>
          </cell>
          <cell r="C141">
            <v>156</v>
          </cell>
          <cell r="D141" t="str">
            <v>UN</v>
          </cell>
          <cell r="E141">
            <v>553352</v>
          </cell>
          <cell r="G141">
            <v>10000</v>
          </cell>
          <cell r="H141" t="str">
            <v>NK</v>
          </cell>
          <cell r="I141" t="str">
            <v>NK CA</v>
          </cell>
          <cell r="J141" t="str">
            <v>CO110</v>
          </cell>
          <cell r="K141">
            <v>1</v>
          </cell>
          <cell r="N141">
            <v>0.01</v>
          </cell>
          <cell r="P141" t="str">
            <v>X07587YD</v>
          </cell>
          <cell r="Q141" t="str">
            <v>01Z01003201</v>
          </cell>
          <cell r="R141" t="str">
            <v>CA01</v>
          </cell>
          <cell r="S141">
            <v>553352</v>
          </cell>
        </row>
        <row r="142">
          <cell r="A142">
            <v>1057403</v>
          </cell>
          <cell r="B142" t="str">
            <v>CRCO N04A-CB/LL/RW    MR2     SPC CA</v>
          </cell>
          <cell r="C142">
            <v>156</v>
          </cell>
          <cell r="D142" t="str">
            <v>UN</v>
          </cell>
          <cell r="E142">
            <v>553352</v>
          </cell>
          <cell r="G142">
            <v>10000</v>
          </cell>
          <cell r="H142" t="str">
            <v>NK</v>
          </cell>
          <cell r="I142" t="str">
            <v>NK CA</v>
          </cell>
          <cell r="J142" t="str">
            <v>CO110</v>
          </cell>
          <cell r="K142">
            <v>1</v>
          </cell>
          <cell r="N142">
            <v>0.01</v>
          </cell>
          <cell r="P142" t="str">
            <v>X07587YD</v>
          </cell>
          <cell r="Q142" t="str">
            <v>01Z01003201</v>
          </cell>
          <cell r="R142" t="str">
            <v>CA01</v>
          </cell>
          <cell r="S142">
            <v>553352</v>
          </cell>
        </row>
        <row r="143">
          <cell r="A143">
            <v>1112420</v>
          </cell>
          <cell r="B143" t="str">
            <v>CRCO N27B-GT    MF2     SPC CA</v>
          </cell>
          <cell r="C143">
            <v>1317</v>
          </cell>
          <cell r="D143" t="str">
            <v>UN</v>
          </cell>
          <cell r="E143">
            <v>553337</v>
          </cell>
          <cell r="G143">
            <v>10000</v>
          </cell>
          <cell r="H143" t="str">
            <v>NK</v>
          </cell>
          <cell r="I143" t="str">
            <v>NK CA</v>
          </cell>
          <cell r="J143" t="str">
            <v>CO110</v>
          </cell>
          <cell r="K143">
            <v>1</v>
          </cell>
          <cell r="N143">
            <v>0.01</v>
          </cell>
          <cell r="P143" t="str">
            <v>X23155GB</v>
          </cell>
          <cell r="Q143" t="str">
            <v>01Z010215AF</v>
          </cell>
          <cell r="R143" t="str">
            <v>CA01</v>
          </cell>
          <cell r="S143">
            <v>553337</v>
          </cell>
        </row>
        <row r="144">
          <cell r="A144">
            <v>1112420</v>
          </cell>
          <cell r="B144" t="str">
            <v>CRCO N27B-GT    MF2     SPC CA</v>
          </cell>
          <cell r="C144">
            <v>1317</v>
          </cell>
          <cell r="D144" t="str">
            <v>UN</v>
          </cell>
          <cell r="E144">
            <v>553337</v>
          </cell>
          <cell r="G144">
            <v>10000</v>
          </cell>
          <cell r="H144" t="str">
            <v>NK</v>
          </cell>
          <cell r="I144" t="str">
            <v>NK CA</v>
          </cell>
          <cell r="J144" t="str">
            <v>CO110</v>
          </cell>
          <cell r="K144">
            <v>1</v>
          </cell>
          <cell r="N144">
            <v>0.01</v>
          </cell>
          <cell r="P144" t="str">
            <v>X23155GB</v>
          </cell>
          <cell r="Q144" t="str">
            <v>01Z010215AF</v>
          </cell>
          <cell r="R144" t="str">
            <v>CA01</v>
          </cell>
          <cell r="S144">
            <v>553337</v>
          </cell>
        </row>
        <row r="145">
          <cell r="A145">
            <v>1112430</v>
          </cell>
          <cell r="B145" t="str">
            <v>CRCO N27B-GT    MR2     SPC CA</v>
          </cell>
          <cell r="C145">
            <v>1247</v>
          </cell>
          <cell r="D145" t="str">
            <v>UN</v>
          </cell>
          <cell r="E145">
            <v>553250</v>
          </cell>
          <cell r="G145">
            <v>10000</v>
          </cell>
          <cell r="H145" t="str">
            <v>NK</v>
          </cell>
          <cell r="I145" t="str">
            <v>NK CA</v>
          </cell>
          <cell r="J145" t="str">
            <v>CO110</v>
          </cell>
          <cell r="K145">
            <v>1</v>
          </cell>
          <cell r="N145">
            <v>0.01</v>
          </cell>
          <cell r="P145" t="str">
            <v>X23155GB</v>
          </cell>
          <cell r="Q145" t="str">
            <v>01Z010215AF</v>
          </cell>
          <cell r="R145" t="str">
            <v>CA01</v>
          </cell>
          <cell r="S145">
            <v>553250</v>
          </cell>
        </row>
        <row r="146">
          <cell r="A146">
            <v>1112430</v>
          </cell>
          <cell r="B146" t="str">
            <v>CRCO N27B-GT    MR2     SPC CA</v>
          </cell>
          <cell r="C146">
            <v>1247</v>
          </cell>
          <cell r="D146" t="str">
            <v>UN</v>
          </cell>
          <cell r="E146">
            <v>553250</v>
          </cell>
          <cell r="G146">
            <v>10000</v>
          </cell>
          <cell r="H146" t="str">
            <v>NK</v>
          </cell>
          <cell r="I146" t="str">
            <v>NK CA</v>
          </cell>
          <cell r="J146" t="str">
            <v>CO110</v>
          </cell>
          <cell r="K146">
            <v>1</v>
          </cell>
          <cell r="N146">
            <v>0.01</v>
          </cell>
          <cell r="P146" t="str">
            <v>X23155GB</v>
          </cell>
          <cell r="Q146" t="str">
            <v>01Z010215AF</v>
          </cell>
          <cell r="R146" t="str">
            <v>CA01</v>
          </cell>
          <cell r="S146">
            <v>553250</v>
          </cell>
        </row>
      </sheetData>
      <sheetData sheetId="7" refreshError="1">
        <row r="1">
          <cell r="A1" t="str">
            <v>Material</v>
          </cell>
          <cell r="B1" t="str">
            <v>CP/NCP</v>
          </cell>
        </row>
        <row r="2">
          <cell r="A2">
            <v>233786</v>
          </cell>
          <cell r="B2" t="str">
            <v>CP</v>
          </cell>
        </row>
        <row r="3">
          <cell r="A3">
            <v>233930</v>
          </cell>
          <cell r="B3" t="str">
            <v>CP</v>
          </cell>
        </row>
        <row r="4">
          <cell r="A4">
            <v>681015</v>
          </cell>
          <cell r="B4" t="str">
            <v>CP</v>
          </cell>
        </row>
        <row r="5">
          <cell r="A5">
            <v>890433</v>
          </cell>
          <cell r="B5" t="str">
            <v>CP</v>
          </cell>
        </row>
        <row r="6">
          <cell r="A6">
            <v>233787</v>
          </cell>
          <cell r="B6" t="str">
            <v>NCP</v>
          </cell>
        </row>
        <row r="7">
          <cell r="A7">
            <v>233788</v>
          </cell>
          <cell r="B7" t="str">
            <v>NCP</v>
          </cell>
        </row>
        <row r="8">
          <cell r="A8">
            <v>233789</v>
          </cell>
          <cell r="B8" t="str">
            <v>NCP</v>
          </cell>
        </row>
        <row r="9">
          <cell r="A9">
            <v>237841</v>
          </cell>
          <cell r="B9" t="str">
            <v>NCP</v>
          </cell>
        </row>
        <row r="10">
          <cell r="A10">
            <v>454240</v>
          </cell>
          <cell r="B10" t="str">
            <v>NCP</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YTD CP NCP pivot"/>
      <sheetName val="dwnld - Corn US 3001500930 0209"/>
      <sheetName val="Desc"/>
      <sheetName val="lookup us"/>
      <sheetName val="CA YTD CP NCP pivot"/>
      <sheetName val="dwnld - Corn CA 3001500930 0209"/>
      <sheetName val="ca desc"/>
      <sheetName val="lookup ca"/>
    </sheetNames>
    <sheetDataSet>
      <sheetData sheetId="0" refreshError="1"/>
      <sheetData sheetId="1" refreshError="1"/>
      <sheetData sheetId="2">
        <row r="2">
          <cell r="A2">
            <v>223512</v>
          </cell>
        </row>
      </sheetData>
      <sheetData sheetId="3">
        <row r="2">
          <cell r="A2">
            <v>223060</v>
          </cell>
          <cell r="B2" t="str">
            <v>NCP</v>
          </cell>
        </row>
        <row r="3">
          <cell r="A3">
            <v>223312</v>
          </cell>
          <cell r="B3" t="str">
            <v>NCP</v>
          </cell>
        </row>
        <row r="4">
          <cell r="A4">
            <v>223512</v>
          </cell>
          <cell r="B4" t="str">
            <v>NCP</v>
          </cell>
        </row>
        <row r="5">
          <cell r="A5">
            <v>223513</v>
          </cell>
          <cell r="B5" t="str">
            <v>NCP</v>
          </cell>
        </row>
        <row r="6">
          <cell r="A6">
            <v>223514</v>
          </cell>
          <cell r="B6" t="str">
            <v>NCP</v>
          </cell>
        </row>
        <row r="7">
          <cell r="A7">
            <v>223665</v>
          </cell>
          <cell r="B7" t="str">
            <v>NCP</v>
          </cell>
        </row>
        <row r="8">
          <cell r="A8">
            <v>223666</v>
          </cell>
          <cell r="B8" t="str">
            <v>NCP</v>
          </cell>
        </row>
        <row r="9">
          <cell r="A9">
            <v>225220</v>
          </cell>
          <cell r="B9" t="str">
            <v>NCP</v>
          </cell>
        </row>
        <row r="10">
          <cell r="A10">
            <v>229016</v>
          </cell>
          <cell r="B10" t="str">
            <v>NCP</v>
          </cell>
        </row>
        <row r="11">
          <cell r="A11">
            <v>229043</v>
          </cell>
          <cell r="B11" t="str">
            <v>NCP</v>
          </cell>
        </row>
        <row r="12">
          <cell r="A12">
            <v>229834</v>
          </cell>
          <cell r="B12" t="str">
            <v>NCP</v>
          </cell>
        </row>
        <row r="13">
          <cell r="A13">
            <v>233786</v>
          </cell>
          <cell r="B13" t="str">
            <v>CP</v>
          </cell>
        </row>
        <row r="14">
          <cell r="A14">
            <v>233907</v>
          </cell>
          <cell r="B14" t="str">
            <v>NCP</v>
          </cell>
        </row>
        <row r="15">
          <cell r="A15">
            <v>223921</v>
          </cell>
          <cell r="B15" t="str">
            <v>CP</v>
          </cell>
        </row>
        <row r="16">
          <cell r="A16">
            <v>233930</v>
          </cell>
          <cell r="B16" t="str">
            <v>CP</v>
          </cell>
        </row>
        <row r="17">
          <cell r="A17">
            <v>236476</v>
          </cell>
          <cell r="B17" t="str">
            <v>NCP</v>
          </cell>
        </row>
        <row r="18">
          <cell r="A18">
            <v>318688</v>
          </cell>
          <cell r="B18" t="str">
            <v>CP</v>
          </cell>
        </row>
        <row r="19">
          <cell r="A19">
            <v>361850</v>
          </cell>
          <cell r="B19" t="str">
            <v>CP</v>
          </cell>
        </row>
        <row r="20">
          <cell r="A20">
            <v>432266</v>
          </cell>
          <cell r="B20" t="str">
            <v>CP</v>
          </cell>
        </row>
        <row r="21">
          <cell r="A21">
            <v>1157278</v>
          </cell>
          <cell r="B21" t="str">
            <v>CP</v>
          </cell>
        </row>
        <row r="22">
          <cell r="A22">
            <v>655469</v>
          </cell>
          <cell r="B22" t="str">
            <v>NCP</v>
          </cell>
        </row>
        <row r="23">
          <cell r="A23">
            <v>655470</v>
          </cell>
          <cell r="B23" t="str">
            <v>NCP</v>
          </cell>
        </row>
        <row r="24">
          <cell r="A24">
            <v>677393</v>
          </cell>
          <cell r="B24" t="str">
            <v>NCP</v>
          </cell>
        </row>
        <row r="25">
          <cell r="A25">
            <v>677398</v>
          </cell>
          <cell r="B25" t="str">
            <v>NCP</v>
          </cell>
        </row>
        <row r="26">
          <cell r="A26">
            <v>677401</v>
          </cell>
          <cell r="B26" t="str">
            <v>NCP</v>
          </cell>
        </row>
        <row r="27">
          <cell r="A27">
            <v>678441</v>
          </cell>
          <cell r="B27" t="str">
            <v>CP</v>
          </cell>
        </row>
        <row r="28">
          <cell r="A28">
            <v>678442</v>
          </cell>
          <cell r="B28" t="str">
            <v>NCP</v>
          </cell>
        </row>
        <row r="29">
          <cell r="A29">
            <v>678443</v>
          </cell>
          <cell r="B29" t="str">
            <v>NCP</v>
          </cell>
        </row>
        <row r="30">
          <cell r="A30">
            <v>679626</v>
          </cell>
          <cell r="B30" t="str">
            <v>NCP</v>
          </cell>
        </row>
        <row r="31">
          <cell r="A31">
            <v>681859</v>
          </cell>
          <cell r="B31" t="str">
            <v>NCP</v>
          </cell>
        </row>
        <row r="32">
          <cell r="A32">
            <v>681860</v>
          </cell>
          <cell r="B32" t="str">
            <v>NCP</v>
          </cell>
        </row>
        <row r="33">
          <cell r="A33">
            <v>681862</v>
          </cell>
          <cell r="B33" t="str">
            <v>NCP</v>
          </cell>
        </row>
        <row r="34">
          <cell r="A34">
            <v>1157278</v>
          </cell>
          <cell r="B34" t="str">
            <v>CP</v>
          </cell>
        </row>
        <row r="35">
          <cell r="A35">
            <v>1177709</v>
          </cell>
          <cell r="B35" t="str">
            <v>NCP</v>
          </cell>
        </row>
        <row r="36">
          <cell r="A36">
            <v>735031</v>
          </cell>
          <cell r="B36" t="str">
            <v>NCP</v>
          </cell>
        </row>
      </sheetData>
      <sheetData sheetId="4" refreshError="1"/>
      <sheetData sheetId="5" refreshError="1"/>
      <sheetData sheetId="6">
        <row r="1">
          <cell r="A1" t="str">
            <v>Material</v>
          </cell>
        </row>
      </sheetData>
      <sheetData sheetId="7">
        <row r="1">
          <cell r="A1" t="str">
            <v>Material</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n Variance Detail LE2"/>
      <sheetName val="Bud vs Actual"/>
      <sheetName val="AJM Summary"/>
      <sheetName val="2011 Var Accum"/>
      <sheetName val="2010 Var Accum"/>
      <sheetName val="2009 Var Accum"/>
      <sheetName val="2011 Amort"/>
      <sheetName val="2010 Amort"/>
      <sheetName val="09 Crop (Fnd)"/>
      <sheetName val="10 Crop (Fnd)"/>
      <sheetName val="SC Mgmt (Fnd)"/>
      <sheetName val="Prod Var Recon"/>
      <sheetName val="US May 10 - Jun-May Rework"/>
      <sheetName val="US Apr 10 - Jun-May Rework"/>
      <sheetName val="monthlookup"/>
      <sheetName val="2010 B Units_YTD"/>
      <sheetName val="2010 B Units_Mthly"/>
      <sheetName val="Corn Variance Detail Budget"/>
      <sheetName val="Corn Variance Detail LE1 Adj"/>
      <sheetName val="2011 B Units YTD"/>
      <sheetName val="LE1 Units"/>
      <sheetName val="May LO Units"/>
      <sheetName val="LE2 Units"/>
      <sheetName val="Exec Summary-Q4"/>
      <sheetName val="Corn Variance Detail"/>
    </sheetNames>
    <sheetDataSet>
      <sheetData sheetId="0">
        <row r="10">
          <cell r="N10">
            <v>8169070.5152757848</v>
          </cell>
        </row>
      </sheetData>
      <sheetData sheetId="1"/>
      <sheetData sheetId="2">
        <row r="13">
          <cell r="BA13">
            <v>1799.28</v>
          </cell>
        </row>
      </sheetData>
      <sheetData sheetId="3">
        <row r="13">
          <cell r="BA13">
            <v>1799.28</v>
          </cell>
        </row>
      </sheetData>
      <sheetData sheetId="4">
        <row r="13">
          <cell r="BA13">
            <v>1799.28</v>
          </cell>
        </row>
      </sheetData>
      <sheetData sheetId="5">
        <row r="20">
          <cell r="GL20">
            <v>-2843261.77</v>
          </cell>
        </row>
      </sheetData>
      <sheetData sheetId="6">
        <row r="9">
          <cell r="K9">
            <v>0.8426297417493509</v>
          </cell>
        </row>
        <row r="30">
          <cell r="B30" t="str">
            <v>PPV - excld Hedging</v>
          </cell>
          <cell r="C30">
            <v>772321.70399999816</v>
          </cell>
          <cell r="D30">
            <v>56121200</v>
          </cell>
          <cell r="E30">
            <v>11023104</v>
          </cell>
          <cell r="F30">
            <v>142838.32474911967</v>
          </cell>
          <cell r="G30">
            <v>123089.36640424674</v>
          </cell>
          <cell r="H30">
            <v>220611.65349458193</v>
          </cell>
          <cell r="I30">
            <v>111134.45</v>
          </cell>
          <cell r="J30">
            <v>18904.46669050667</v>
          </cell>
          <cell r="K30">
            <v>4060.4293886442902</v>
          </cell>
          <cell r="L30">
            <v>0</v>
          </cell>
          <cell r="M30">
            <v>0</v>
          </cell>
          <cell r="N30">
            <v>0</v>
          </cell>
          <cell r="O30">
            <v>0</v>
          </cell>
          <cell r="P30">
            <v>0</v>
          </cell>
          <cell r="Q30">
            <v>0</v>
          </cell>
        </row>
        <row r="31">
          <cell r="B31" t="str">
            <v xml:space="preserve"> - Winter PPV</v>
          </cell>
          <cell r="C31">
            <v>2811707.3805999989</v>
          </cell>
          <cell r="D31">
            <v>56121200</v>
          </cell>
          <cell r="E31">
            <v>11023104</v>
          </cell>
          <cell r="F31">
            <v>520015.90768403449</v>
          </cell>
          <cell r="G31">
            <v>448118.02931307867</v>
          </cell>
          <cell r="H31">
            <v>803156.7819011946</v>
          </cell>
          <cell r="I31">
            <v>404595.06</v>
          </cell>
          <cell r="J31">
            <v>68823.438962612301</v>
          </cell>
          <cell r="K31">
            <v>14782.362351500429</v>
          </cell>
          <cell r="L31">
            <v>0</v>
          </cell>
          <cell r="M31">
            <v>0</v>
          </cell>
          <cell r="N31">
            <v>0</v>
          </cell>
          <cell r="O31">
            <v>0</v>
          </cell>
          <cell r="P31">
            <v>0</v>
          </cell>
          <cell r="Q31">
            <v>0</v>
          </cell>
        </row>
        <row r="32">
          <cell r="B32" t="str">
            <v>Plant</v>
          </cell>
          <cell r="C32">
            <v>-658088.5740000006</v>
          </cell>
          <cell r="D32">
            <v>56121000</v>
          </cell>
          <cell r="E32">
            <v>11023104</v>
          </cell>
          <cell r="F32">
            <v>-121711.28813272012</v>
          </cell>
          <cell r="G32">
            <v>-104883.37333005275</v>
          </cell>
          <cell r="H32">
            <v>-187981.26182924421</v>
          </cell>
          <cell r="I32">
            <v>-94696.69</v>
          </cell>
          <cell r="J32">
            <v>-16108.33439092472</v>
          </cell>
          <cell r="K32">
            <v>-3459.8563945066417</v>
          </cell>
          <cell r="L32">
            <v>0</v>
          </cell>
          <cell r="M32">
            <v>0</v>
          </cell>
          <cell r="N32">
            <v>0</v>
          </cell>
          <cell r="O32">
            <v>0</v>
          </cell>
          <cell r="P32">
            <v>0</v>
          </cell>
          <cell r="Q32">
            <v>0</v>
          </cell>
        </row>
        <row r="33">
          <cell r="B33" t="str">
            <v xml:space="preserve"> - Winter Plant</v>
          </cell>
          <cell r="C33">
            <v>1849455.3673999996</v>
          </cell>
          <cell r="D33">
            <v>56121000</v>
          </cell>
          <cell r="E33">
            <v>11023104</v>
          </cell>
          <cell r="F33">
            <v>342050.60534940526</v>
          </cell>
          <cell r="G33">
            <v>294758.37359893735</v>
          </cell>
          <cell r="H33">
            <v>528292.03757110052</v>
          </cell>
          <cell r="I33">
            <v>266130.28999999998</v>
          </cell>
          <cell r="J33">
            <v>45269.960955707356</v>
          </cell>
          <cell r="K33">
            <v>9723.3871427972335</v>
          </cell>
          <cell r="L33">
            <v>0</v>
          </cell>
          <cell r="M33">
            <v>0</v>
          </cell>
          <cell r="N33">
            <v>0</v>
          </cell>
          <cell r="O33">
            <v>0</v>
          </cell>
          <cell r="P33">
            <v>0</v>
          </cell>
          <cell r="Q33">
            <v>0</v>
          </cell>
        </row>
        <row r="34">
          <cell r="B34" t="str">
            <v xml:space="preserve"> - Winter Utilization</v>
          </cell>
          <cell r="C34">
            <v>0</v>
          </cell>
          <cell r="D34">
            <v>56121000</v>
          </cell>
          <cell r="E34">
            <v>11023104</v>
          </cell>
          <cell r="F34">
            <v>0</v>
          </cell>
          <cell r="G34">
            <v>0</v>
          </cell>
          <cell r="H34">
            <v>0</v>
          </cell>
          <cell r="I34">
            <v>0</v>
          </cell>
          <cell r="J34">
            <v>0</v>
          </cell>
          <cell r="K34">
            <v>0</v>
          </cell>
          <cell r="L34">
            <v>0</v>
          </cell>
          <cell r="M34">
            <v>0</v>
          </cell>
          <cell r="N34">
            <v>0</v>
          </cell>
          <cell r="O34">
            <v>0</v>
          </cell>
          <cell r="P34">
            <v>0</v>
          </cell>
          <cell r="Q34">
            <v>0</v>
          </cell>
        </row>
        <row r="35">
          <cell r="B35" t="str">
            <v xml:space="preserve"> - Plant Rebag</v>
          </cell>
          <cell r="C35">
            <v>0</v>
          </cell>
          <cell r="D35">
            <v>56121000</v>
          </cell>
          <cell r="E35">
            <v>11023104</v>
          </cell>
          <cell r="F35">
            <v>0</v>
          </cell>
          <cell r="G35">
            <v>0</v>
          </cell>
          <cell r="H35">
            <v>0</v>
          </cell>
          <cell r="I35">
            <v>0</v>
          </cell>
          <cell r="J35">
            <v>0</v>
          </cell>
          <cell r="K35">
            <v>0</v>
          </cell>
          <cell r="L35">
            <v>0</v>
          </cell>
          <cell r="M35">
            <v>0</v>
          </cell>
          <cell r="N35">
            <v>0</v>
          </cell>
          <cell r="O35">
            <v>0</v>
          </cell>
          <cell r="P35">
            <v>0</v>
          </cell>
          <cell r="Q35">
            <v>0</v>
          </cell>
        </row>
        <row r="36">
          <cell r="B36" t="str">
            <v>Field</v>
          </cell>
          <cell r="C36">
            <v>-787287.37200000929</v>
          </cell>
          <cell r="D36">
            <v>56121100</v>
          </cell>
          <cell r="E36">
            <v>11023104</v>
          </cell>
          <cell r="F36">
            <v>-145606.17516016171</v>
          </cell>
          <cell r="G36">
            <v>-125474.53126805546</v>
          </cell>
          <cell r="H36">
            <v>-224886.55700439372</v>
          </cell>
          <cell r="I36">
            <v>-113287.96</v>
          </cell>
          <cell r="J36">
            <v>-19270.786502606934</v>
          </cell>
          <cell r="K36">
            <v>-4139.1103811027715</v>
          </cell>
          <cell r="L36">
            <v>0</v>
          </cell>
          <cell r="M36">
            <v>0</v>
          </cell>
          <cell r="N36">
            <v>0</v>
          </cell>
          <cell r="O36">
            <v>0</v>
          </cell>
          <cell r="P36">
            <v>0</v>
          </cell>
          <cell r="Q36">
            <v>0</v>
          </cell>
        </row>
        <row r="37">
          <cell r="B37" t="str">
            <v xml:space="preserve"> - Winter Field</v>
          </cell>
          <cell r="C37">
            <v>-959965.4486</v>
          </cell>
          <cell r="D37">
            <v>56121100</v>
          </cell>
          <cell r="E37">
            <v>11023104</v>
          </cell>
          <cell r="F37">
            <v>-177542.40983374135</v>
          </cell>
          <cell r="G37">
            <v>-152995.23271994272</v>
          </cell>
          <cell r="H37">
            <v>-274211.59319551464</v>
          </cell>
          <cell r="I37">
            <v>-138135.74</v>
          </cell>
          <cell r="J37">
            <v>-23497.509913510759</v>
          </cell>
          <cell r="K37">
            <v>-5046.953749183449</v>
          </cell>
          <cell r="L37">
            <v>0</v>
          </cell>
          <cell r="M37">
            <v>0</v>
          </cell>
          <cell r="N37">
            <v>0</v>
          </cell>
          <cell r="O37">
            <v>0</v>
          </cell>
          <cell r="P37">
            <v>0</v>
          </cell>
          <cell r="Q37">
            <v>0</v>
          </cell>
        </row>
        <row r="38">
          <cell r="B38" t="str">
            <v>Reval</v>
          </cell>
          <cell r="C38">
            <v>-1230054.1321916883</v>
          </cell>
          <cell r="D38">
            <v>56121200</v>
          </cell>
          <cell r="E38">
            <v>11023104</v>
          </cell>
          <cell r="F38">
            <v>-227494.41156841212</v>
          </cell>
          <cell r="G38">
            <v>-196040.82468515061</v>
          </cell>
          <cell r="H38">
            <v>-351361.71181672777</v>
          </cell>
          <cell r="I38">
            <v>-177000.58</v>
          </cell>
          <cell r="J38">
            <v>-30108.589653593954</v>
          </cell>
          <cell r="K38">
            <v>-6466.9268286864972</v>
          </cell>
          <cell r="L38">
            <v>0</v>
          </cell>
          <cell r="M38">
            <v>0</v>
          </cell>
          <cell r="N38">
            <v>0</v>
          </cell>
          <cell r="O38">
            <v>0</v>
          </cell>
          <cell r="P38">
            <v>0</v>
          </cell>
          <cell r="Q38">
            <v>0</v>
          </cell>
        </row>
        <row r="92">
          <cell r="B92" t="str">
            <v>PPV - excld Hedging</v>
          </cell>
          <cell r="C92">
            <v>2577840.2600000007</v>
          </cell>
          <cell r="D92">
            <v>56121200</v>
          </cell>
          <cell r="E92">
            <v>11023104</v>
          </cell>
          <cell r="F92">
            <v>575066.25202693359</v>
          </cell>
          <cell r="G92">
            <v>582676.39869029087</v>
          </cell>
          <cell r="H92">
            <v>1392643.6056761988</v>
          </cell>
          <cell r="I92">
            <v>442639.85649858927</v>
          </cell>
          <cell r="J92">
            <v>-638734.52356388979</v>
          </cell>
          <cell r="K92">
            <v>-579466.57784715178</v>
          </cell>
          <cell r="L92">
            <v>0</v>
          </cell>
          <cell r="M92">
            <v>352455.70460762712</v>
          </cell>
          <cell r="N92">
            <v>0</v>
          </cell>
          <cell r="O92">
            <v>0</v>
          </cell>
          <cell r="P92">
            <v>0</v>
          </cell>
          <cell r="Q92">
            <v>0</v>
          </cell>
        </row>
        <row r="93">
          <cell r="B93" t="str">
            <v xml:space="preserve"> - Winter PPV</v>
          </cell>
          <cell r="C93">
            <v>5359787.3735999996</v>
          </cell>
          <cell r="D93">
            <v>56121200</v>
          </cell>
          <cell r="E93">
            <v>11023104</v>
          </cell>
          <cell r="F93">
            <v>0</v>
          </cell>
          <cell r="G93">
            <v>658639.20366006158</v>
          </cell>
          <cell r="H93">
            <v>636283.60706633329</v>
          </cell>
          <cell r="I93">
            <v>418178.37822551327</v>
          </cell>
          <cell r="J93">
            <v>2076890.3561313651</v>
          </cell>
          <cell r="K93">
            <v>542701.76336982753</v>
          </cell>
          <cell r="L93">
            <v>0</v>
          </cell>
          <cell r="M93">
            <v>90300.815393203869</v>
          </cell>
          <cell r="N93">
            <v>0</v>
          </cell>
          <cell r="O93">
            <v>0</v>
          </cell>
          <cell r="P93">
            <v>0</v>
          </cell>
          <cell r="Q93">
            <v>0</v>
          </cell>
        </row>
        <row r="94">
          <cell r="B94" t="str">
            <v xml:space="preserve"> - PPV Hedging - 10 Crop</v>
          </cell>
          <cell r="C94">
            <v>-1342612.5</v>
          </cell>
          <cell r="D94">
            <v>51215000</v>
          </cell>
          <cell r="F94">
            <v>-462262.5</v>
          </cell>
          <cell r="G94">
            <v>-770250</v>
          </cell>
          <cell r="H94">
            <v>358550</v>
          </cell>
          <cell r="I94">
            <v>-468650</v>
          </cell>
          <cell r="J94">
            <v>0</v>
          </cell>
          <cell r="K94">
            <v>0</v>
          </cell>
          <cell r="L94">
            <v>0</v>
          </cell>
          <cell r="M94">
            <v>0</v>
          </cell>
          <cell r="O94">
            <v>0</v>
          </cell>
        </row>
        <row r="95">
          <cell r="B95" t="str">
            <v xml:space="preserve"> - PPV Hedging - 11 Crop</v>
          </cell>
          <cell r="C95">
            <v>-5151462.5</v>
          </cell>
          <cell r="D95">
            <v>51215000</v>
          </cell>
          <cell r="F95">
            <v>-2344462.5</v>
          </cell>
          <cell r="G95">
            <v>-1134862.5</v>
          </cell>
          <cell r="H95">
            <v>-1017425</v>
          </cell>
          <cell r="I95">
            <v>-2457937.5</v>
          </cell>
          <cell r="J95">
            <v>-80525</v>
          </cell>
          <cell r="K95">
            <v>1883750</v>
          </cell>
          <cell r="L95">
            <v>-2037900</v>
          </cell>
          <cell r="M95">
            <v>-2895112.5</v>
          </cell>
          <cell r="N95">
            <v>1637387.48</v>
          </cell>
          <cell r="O95">
            <v>1052107.98</v>
          </cell>
        </row>
        <row r="96">
          <cell r="B96" t="str">
            <v xml:space="preserve"> - PPV Hedging - 12 Crop</v>
          </cell>
          <cell r="C96">
            <v>0</v>
          </cell>
          <cell r="D96">
            <v>51215000</v>
          </cell>
          <cell r="F96">
            <v>0</v>
          </cell>
          <cell r="G96">
            <v>0</v>
          </cell>
          <cell r="H96">
            <v>0</v>
          </cell>
          <cell r="I96">
            <v>0</v>
          </cell>
          <cell r="J96">
            <v>0</v>
          </cell>
          <cell r="K96">
            <v>0</v>
          </cell>
          <cell r="L96">
            <v>0</v>
          </cell>
          <cell r="M96">
            <v>-200000</v>
          </cell>
          <cell r="N96">
            <v>343512.5</v>
          </cell>
          <cell r="O96">
            <v>-2476925</v>
          </cell>
        </row>
        <row r="97">
          <cell r="B97" t="str">
            <v>Plant</v>
          </cell>
          <cell r="C97">
            <v>9933425.2400000021</v>
          </cell>
          <cell r="D97">
            <v>56121000</v>
          </cell>
          <cell r="E97">
            <v>11023104</v>
          </cell>
          <cell r="F97">
            <v>-4340.8537437703699</v>
          </cell>
          <cell r="G97">
            <v>4340.8500000000004</v>
          </cell>
          <cell r="H97">
            <v>1415842.2225006667</v>
          </cell>
          <cell r="I97">
            <v>323464.46557275369</v>
          </cell>
          <cell r="J97">
            <v>54952.1832700097</v>
          </cell>
          <cell r="K97">
            <v>6188254.1233716998</v>
          </cell>
          <cell r="L97">
            <v>0</v>
          </cell>
          <cell r="M97">
            <v>214730.3703220021</v>
          </cell>
          <cell r="N97">
            <v>0</v>
          </cell>
          <cell r="O97">
            <v>0</v>
          </cell>
          <cell r="P97">
            <v>0</v>
          </cell>
          <cell r="Q97">
            <v>0</v>
          </cell>
        </row>
        <row r="98">
          <cell r="B98" t="str">
            <v xml:space="preserve"> - Winter Plant</v>
          </cell>
          <cell r="C98">
            <v>5391586.5400820188</v>
          </cell>
          <cell r="D98">
            <v>56121000</v>
          </cell>
          <cell r="E98">
            <v>11023104</v>
          </cell>
          <cell r="F98">
            <v>944599.60895634838</v>
          </cell>
          <cell r="G98">
            <v>813998.39697330771</v>
          </cell>
          <cell r="H98">
            <v>2510280.545697337</v>
          </cell>
          <cell r="I98">
            <v>1749171.4681084841</v>
          </cell>
          <cell r="J98">
            <v>190129.34526809026</v>
          </cell>
          <cell r="K98">
            <v>-1875493.6540522631</v>
          </cell>
          <cell r="L98">
            <v>0</v>
          </cell>
          <cell r="M98">
            <v>116549.66402857099</v>
          </cell>
          <cell r="N98">
            <v>0</v>
          </cell>
          <cell r="O98">
            <v>0</v>
          </cell>
          <cell r="P98">
            <v>0</v>
          </cell>
          <cell r="Q98">
            <v>0</v>
          </cell>
        </row>
        <row r="99">
          <cell r="B99" t="str">
            <v xml:space="preserve"> - Bulk Discard</v>
          </cell>
          <cell r="C99">
            <v>4583664.1555973217</v>
          </cell>
          <cell r="D99">
            <v>56121000</v>
          </cell>
          <cell r="E99">
            <v>11023104</v>
          </cell>
          <cell r="F99">
            <v>990395.04425313871</v>
          </cell>
          <cell r="G99">
            <v>854384.70026686683</v>
          </cell>
          <cell r="H99">
            <v>1569604.4906105252</v>
          </cell>
          <cell r="I99">
            <v>808270.90073049197</v>
          </cell>
          <cell r="J99">
            <v>327949.96523249801</v>
          </cell>
          <cell r="K99">
            <v>9.3132257461547852E-10</v>
          </cell>
          <cell r="L99">
            <v>0</v>
          </cell>
          <cell r="M99">
            <v>28267.201426338404</v>
          </cell>
          <cell r="N99">
            <v>0</v>
          </cell>
          <cell r="O99">
            <v>0</v>
          </cell>
          <cell r="P99">
            <v>0</v>
          </cell>
          <cell r="Q99">
            <v>0</v>
          </cell>
        </row>
        <row r="100">
          <cell r="B100" t="str">
            <v xml:space="preserve"> - Plant Rebag</v>
          </cell>
          <cell r="C100">
            <v>2152653.88</v>
          </cell>
          <cell r="D100">
            <v>56121000</v>
          </cell>
          <cell r="E100">
            <v>11023104</v>
          </cell>
          <cell r="F100">
            <v>864282.38250721095</v>
          </cell>
          <cell r="G100">
            <v>745591.01300957135</v>
          </cell>
          <cell r="H100">
            <v>1369737.7794957424</v>
          </cell>
          <cell r="I100">
            <v>705349.14713895461</v>
          </cell>
          <cell r="J100">
            <v>-1532306.4421514794</v>
          </cell>
          <cell r="K100">
            <v>0</v>
          </cell>
          <cell r="L100">
            <v>0</v>
          </cell>
          <cell r="M100">
            <v>0</v>
          </cell>
          <cell r="N100">
            <v>0</v>
          </cell>
          <cell r="O100">
            <v>0</v>
          </cell>
          <cell r="P100">
            <v>0</v>
          </cell>
          <cell r="Q100">
            <v>0</v>
          </cell>
        </row>
        <row r="101">
          <cell r="B101" t="str">
            <v xml:space="preserve"> - Direct to PL - Plant Rebag Prc Ord Var</v>
          </cell>
          <cell r="C101">
            <v>1910324.6999999925</v>
          </cell>
          <cell r="D101">
            <v>56121000</v>
          </cell>
          <cell r="E101">
            <v>11023104</v>
          </cell>
          <cell r="F101">
            <v>566509.70000000054</v>
          </cell>
          <cell r="G101">
            <v>0</v>
          </cell>
          <cell r="H101">
            <v>0</v>
          </cell>
          <cell r="I101">
            <v>1036991.08</v>
          </cell>
          <cell r="J101">
            <v>306823.91999999201</v>
          </cell>
          <cell r="K101">
            <v>0</v>
          </cell>
          <cell r="L101">
            <v>0</v>
          </cell>
          <cell r="M101">
            <v>0</v>
          </cell>
          <cell r="N101">
            <v>0</v>
          </cell>
        </row>
        <row r="102">
          <cell r="B102" t="str">
            <v xml:space="preserve"> - Direct to PL - Plant Rebag CC Var</v>
          </cell>
          <cell r="C102">
            <v>-12927.539999999994</v>
          </cell>
          <cell r="D102">
            <v>56121000</v>
          </cell>
          <cell r="E102">
            <v>11023104</v>
          </cell>
          <cell r="F102">
            <v>-1048952.3</v>
          </cell>
          <cell r="G102">
            <v>615524</v>
          </cell>
          <cell r="H102">
            <v>-1033656.62</v>
          </cell>
          <cell r="I102">
            <v>1338115.92</v>
          </cell>
          <cell r="J102">
            <v>116041.46</v>
          </cell>
          <cell r="K102">
            <v>0</v>
          </cell>
          <cell r="L102">
            <v>0</v>
          </cell>
          <cell r="M102">
            <v>0</v>
          </cell>
          <cell r="N102">
            <v>0</v>
          </cell>
        </row>
        <row r="103">
          <cell r="B103" t="str">
            <v xml:space="preserve"> - Direct to PL - InvAdj. Inventory Count Loss</v>
          </cell>
          <cell r="C103">
            <v>2346016.9299999997</v>
          </cell>
          <cell r="D103">
            <v>54211201</v>
          </cell>
          <cell r="F103">
            <v>11656.12</v>
          </cell>
          <cell r="G103">
            <v>354.84</v>
          </cell>
          <cell r="H103">
            <v>38598.67</v>
          </cell>
          <cell r="I103">
            <v>2192760.67</v>
          </cell>
          <cell r="J103">
            <v>23772.76</v>
          </cell>
          <cell r="K103">
            <v>78873.87</v>
          </cell>
          <cell r="L103">
            <v>52837.7</v>
          </cell>
          <cell r="M103">
            <v>1355454.18</v>
          </cell>
          <cell r="N103">
            <v>37351.35</v>
          </cell>
          <cell r="O103">
            <v>5136.71</v>
          </cell>
        </row>
        <row r="104">
          <cell r="B104" t="str">
            <v xml:space="preserve"> - Direct to PL - InvAdj. Stock Transfer Loss</v>
          </cell>
          <cell r="C104">
            <v>2999819.18</v>
          </cell>
          <cell r="D104">
            <v>54211202</v>
          </cell>
          <cell r="F104">
            <v>13975.63</v>
          </cell>
          <cell r="G104">
            <v>2943241.39</v>
          </cell>
          <cell r="H104">
            <v>19741.46</v>
          </cell>
          <cell r="I104">
            <v>2780.72</v>
          </cell>
          <cell r="J104">
            <v>888.6</v>
          </cell>
          <cell r="K104">
            <v>19191.38</v>
          </cell>
          <cell r="L104">
            <v>5641.68</v>
          </cell>
          <cell r="M104">
            <v>16833.580000000002</v>
          </cell>
          <cell r="N104">
            <v>2940.2</v>
          </cell>
          <cell r="O104">
            <v>68</v>
          </cell>
        </row>
        <row r="105">
          <cell r="B105" t="str">
            <v xml:space="preserve"> - Direct to PL - InvAdj. w/o Reference Loss</v>
          </cell>
          <cell r="C105">
            <v>0</v>
          </cell>
          <cell r="D105">
            <v>54211204</v>
          </cell>
          <cell r="F105">
            <v>0</v>
          </cell>
          <cell r="G105">
            <v>0</v>
          </cell>
          <cell r="H105">
            <v>0</v>
          </cell>
          <cell r="I105">
            <v>0</v>
          </cell>
          <cell r="J105">
            <v>0</v>
          </cell>
          <cell r="K105">
            <v>0</v>
          </cell>
          <cell r="L105">
            <v>0</v>
          </cell>
          <cell r="M105">
            <v>0</v>
          </cell>
          <cell r="N105">
            <v>0</v>
          </cell>
        </row>
        <row r="106">
          <cell r="B106" t="str">
            <v xml:space="preserve"> - Direct to PL - InvAdj. Inventory Count Gain</v>
          </cell>
          <cell r="C106">
            <v>-2360413.0099999998</v>
          </cell>
          <cell r="D106">
            <v>54211301</v>
          </cell>
          <cell r="F106">
            <v>-15906.13</v>
          </cell>
          <cell r="G106">
            <v>-14944.26</v>
          </cell>
          <cell r="H106">
            <v>-73762.41</v>
          </cell>
          <cell r="I106">
            <v>-2197757.2599999998</v>
          </cell>
          <cell r="J106">
            <v>-21878.98</v>
          </cell>
          <cell r="K106">
            <v>-36163.97</v>
          </cell>
          <cell r="L106">
            <v>-174969.81</v>
          </cell>
          <cell r="M106">
            <v>-1176341.27</v>
          </cell>
          <cell r="N106">
            <v>-997.69</v>
          </cell>
          <cell r="O106">
            <v>-384810.92</v>
          </cell>
        </row>
        <row r="107">
          <cell r="B107" t="str">
            <v xml:space="preserve"> - Direct to PL - InvAdj. Stock Transfer Gain</v>
          </cell>
          <cell r="C107">
            <v>-3057929.4000000008</v>
          </cell>
          <cell r="D107">
            <v>54211302</v>
          </cell>
          <cell r="F107">
            <v>-39617.24</v>
          </cell>
          <cell r="G107">
            <v>-2944520.08</v>
          </cell>
          <cell r="H107">
            <v>-19056.43</v>
          </cell>
          <cell r="I107">
            <v>-6914.22</v>
          </cell>
          <cell r="J107">
            <v>-40704.449999999997</v>
          </cell>
          <cell r="K107">
            <v>-7116.98</v>
          </cell>
          <cell r="L107">
            <v>-2496.04</v>
          </cell>
          <cell r="M107">
            <v>-7955.87</v>
          </cell>
          <cell r="N107">
            <v>-0.02</v>
          </cell>
          <cell r="O107">
            <v>-8166.22</v>
          </cell>
        </row>
        <row r="108">
          <cell r="B108" t="str">
            <v xml:space="preserve"> - Direct to PL - InvAdj. w/o Reference Gain</v>
          </cell>
          <cell r="C108">
            <v>-629</v>
          </cell>
          <cell r="D108">
            <v>54211304</v>
          </cell>
          <cell r="F108">
            <v>-43.72</v>
          </cell>
          <cell r="G108">
            <v>-249.85</v>
          </cell>
          <cell r="H108">
            <v>-302.47000000000003</v>
          </cell>
          <cell r="I108">
            <v>-27.91</v>
          </cell>
          <cell r="J108">
            <v>-5966.51</v>
          </cell>
          <cell r="K108">
            <v>5961.46</v>
          </cell>
          <cell r="L108">
            <v>0</v>
          </cell>
          <cell r="M108">
            <v>-0.7</v>
          </cell>
          <cell r="N108">
            <v>-1.17</v>
          </cell>
          <cell r="O108">
            <v>-9.3800000000000008</v>
          </cell>
        </row>
        <row r="109">
          <cell r="B109" t="str">
            <v>Field</v>
          </cell>
          <cell r="C109">
            <v>4086356</v>
          </cell>
          <cell r="D109">
            <v>56121100</v>
          </cell>
          <cell r="E109">
            <v>11023104</v>
          </cell>
          <cell r="F109">
            <v>2249530.7210561568</v>
          </cell>
          <cell r="G109">
            <v>1938508.5315724919</v>
          </cell>
          <cell r="H109">
            <v>-2939645.2473519715</v>
          </cell>
          <cell r="I109">
            <v>285209.11044423585</v>
          </cell>
          <cell r="J109">
            <v>48453.122291675536</v>
          </cell>
          <cell r="K109">
            <v>1701744.5726465308</v>
          </cell>
          <cell r="L109">
            <v>0</v>
          </cell>
          <cell r="M109">
            <v>88334.558920737822</v>
          </cell>
          <cell r="N109">
            <v>0</v>
          </cell>
          <cell r="O109">
            <v>0</v>
          </cell>
          <cell r="P109">
            <v>0</v>
          </cell>
          <cell r="Q109">
            <v>0</v>
          </cell>
        </row>
        <row r="110">
          <cell r="B110" t="str">
            <v xml:space="preserve"> - Winter Field</v>
          </cell>
          <cell r="C110">
            <v>8791889.7593999989</v>
          </cell>
          <cell r="D110">
            <v>56121100</v>
          </cell>
          <cell r="E110">
            <v>11023104</v>
          </cell>
          <cell r="F110">
            <v>1517313.0109250257</v>
          </cell>
          <cell r="G110">
            <v>1307527.9164727977</v>
          </cell>
          <cell r="H110">
            <v>3434020.4945146772</v>
          </cell>
          <cell r="I110">
            <v>1429904.574190733</v>
          </cell>
          <cell r="J110">
            <v>242921.20644665323</v>
          </cell>
          <cell r="K110">
            <v>-897039.06613184791</v>
          </cell>
          <cell r="L110">
            <v>0</v>
          </cell>
          <cell r="M110">
            <v>220579.36287954636</v>
          </cell>
          <cell r="N110">
            <v>0</v>
          </cell>
          <cell r="O110">
            <v>0</v>
          </cell>
          <cell r="P110">
            <v>0</v>
          </cell>
          <cell r="Q110">
            <v>0</v>
          </cell>
        </row>
        <row r="111">
          <cell r="B111" t="str">
            <v>Reval</v>
          </cell>
          <cell r="C111">
            <v>6205300.5680000009</v>
          </cell>
          <cell r="D111">
            <v>56121200</v>
          </cell>
          <cell r="F111">
            <v>1314101.6652152357</v>
          </cell>
          <cell r="G111">
            <v>1132412.7585940887</v>
          </cell>
          <cell r="H111">
            <v>1462637.5280914512</v>
          </cell>
          <cell r="I111">
            <v>893088.03637347836</v>
          </cell>
          <cell r="J111">
            <v>151723.42768516578</v>
          </cell>
          <cell r="K111">
            <v>32623.909173754975</v>
          </cell>
          <cell r="L111">
            <v>0</v>
          </cell>
          <cell r="M111">
            <v>134139.68059681635</v>
          </cell>
          <cell r="N111">
            <v>0</v>
          </cell>
          <cell r="O111">
            <v>0</v>
          </cell>
          <cell r="P111">
            <v>0</v>
          </cell>
          <cell r="Q111">
            <v>0</v>
          </cell>
        </row>
        <row r="112">
          <cell r="B112" t="str">
            <v xml:space="preserve"> - Direct to PL - Reval</v>
          </cell>
          <cell r="C112">
            <v>-0.03</v>
          </cell>
          <cell r="D112">
            <v>54311000</v>
          </cell>
          <cell r="F112">
            <v>0</v>
          </cell>
          <cell r="G112">
            <v>0</v>
          </cell>
          <cell r="H112">
            <v>0</v>
          </cell>
          <cell r="I112">
            <v>-0.06</v>
          </cell>
          <cell r="J112">
            <v>0</v>
          </cell>
          <cell r="K112">
            <v>0.03</v>
          </cell>
          <cell r="L112">
            <v>0</v>
          </cell>
          <cell r="M112">
            <v>0</v>
          </cell>
          <cell r="N112">
            <v>0</v>
          </cell>
        </row>
        <row r="131">
          <cell r="B131" t="str">
            <v>SC Mgmt - PPV 2009</v>
          </cell>
          <cell r="C131">
            <v>-324131.76999999996</v>
          </cell>
          <cell r="D131">
            <v>56121200</v>
          </cell>
          <cell r="E131">
            <v>11023104</v>
          </cell>
          <cell r="F131">
            <v>-59947.090422266665</v>
          </cell>
          <cell r="G131">
            <v>-51658.750484612967</v>
          </cell>
          <cell r="H131">
            <v>-92587.383417397388</v>
          </cell>
          <cell r="I131">
            <v>-46650.150210678345</v>
          </cell>
          <cell r="J131">
            <v>-7925.2217068465543</v>
          </cell>
          <cell r="K131">
            <v>-1704.100969692925</v>
          </cell>
          <cell r="L131">
            <v>0</v>
          </cell>
          <cell r="M131">
            <v>0</v>
          </cell>
          <cell r="N131">
            <v>0</v>
          </cell>
          <cell r="O131">
            <v>0</v>
          </cell>
          <cell r="P131">
            <v>0</v>
          </cell>
          <cell r="Q131">
            <v>0</v>
          </cell>
        </row>
        <row r="132">
          <cell r="B132" t="str">
            <v>SC Mgmt - PPV 2009 Crop</v>
          </cell>
          <cell r="C132">
            <v>-587572.24000000022</v>
          </cell>
          <cell r="D132">
            <v>56121200</v>
          </cell>
          <cell r="E132">
            <v>11023104</v>
          </cell>
          <cell r="F132">
            <v>-86935.621771093371</v>
          </cell>
          <cell r="G132">
            <v>-115378.6837310761</v>
          </cell>
          <cell r="H132">
            <v>-167838.45739743143</v>
          </cell>
          <cell r="I132">
            <v>-84565.401458872133</v>
          </cell>
          <cell r="J132">
            <v>-14366.503693199891</v>
          </cell>
          <cell r="K132">
            <v>-3089.1215136012179</v>
          </cell>
          <cell r="L132">
            <v>0</v>
          </cell>
          <cell r="M132">
            <v>0</v>
          </cell>
          <cell r="N132">
            <v>0</v>
          </cell>
          <cell r="O132">
            <v>0</v>
          </cell>
          <cell r="P132">
            <v>0</v>
          </cell>
          <cell r="Q132">
            <v>0</v>
          </cell>
        </row>
        <row r="133">
          <cell r="B133" t="str">
            <v>SC Mgmt - PPV 2010 Crop</v>
          </cell>
          <cell r="C133">
            <v>-2818235.4640000002</v>
          </cell>
          <cell r="D133">
            <v>56121200</v>
          </cell>
          <cell r="E133">
            <v>11023104</v>
          </cell>
          <cell r="F133">
            <v>-614272.12514553603</v>
          </cell>
          <cell r="G133">
            <v>-529342.29533114273</v>
          </cell>
          <cell r="H133">
            <v>-948734.09823313309</v>
          </cell>
          <cell r="I133">
            <v>-478019.64543099795</v>
          </cell>
          <cell r="J133">
            <v>-81208.991893055849</v>
          </cell>
          <cell r="K133">
            <v>386839.59980736952</v>
          </cell>
          <cell r="L133">
            <v>0</v>
          </cell>
          <cell r="M133">
            <v>0</v>
          </cell>
          <cell r="N133">
            <v>0</v>
          </cell>
          <cell r="O133">
            <v>0</v>
          </cell>
          <cell r="P133">
            <v>0</v>
          </cell>
          <cell r="Q133">
            <v>0</v>
          </cell>
        </row>
        <row r="134">
          <cell r="B134" t="str">
            <v>SC Mgmt - Rebate</v>
          </cell>
          <cell r="C134">
            <v>-575253.24999999977</v>
          </cell>
          <cell r="D134">
            <v>56121200</v>
          </cell>
          <cell r="E134">
            <v>11023104</v>
          </cell>
          <cell r="F134">
            <v>-254348.50440999996</v>
          </cell>
          <cell r="G134">
            <v>56275.903564160515</v>
          </cell>
          <cell r="H134">
            <v>-164319.57046312964</v>
          </cell>
          <cell r="I134">
            <v>-82792.410388160788</v>
          </cell>
          <cell r="J134">
            <v>-14065.296789123677</v>
          </cell>
          <cell r="K134">
            <v>-3024.3552526307758</v>
          </cell>
          <cell r="L134">
            <v>0</v>
          </cell>
          <cell r="M134">
            <v>0</v>
          </cell>
          <cell r="N134">
            <v>0</v>
          </cell>
          <cell r="O134">
            <v>0</v>
          </cell>
          <cell r="P134">
            <v>0</v>
          </cell>
          <cell r="Q134">
            <v>0</v>
          </cell>
        </row>
      </sheetData>
      <sheetData sheetId="7">
        <row r="9">
          <cell r="K9">
            <v>0.8426297417493509</v>
          </cell>
        </row>
      </sheetData>
      <sheetData sheetId="8">
        <row r="9">
          <cell r="K9">
            <v>0.8426297417493509</v>
          </cell>
        </row>
      </sheetData>
      <sheetData sheetId="9"/>
      <sheetData sheetId="10"/>
      <sheetData sheetId="11"/>
      <sheetData sheetId="12"/>
      <sheetData sheetId="13">
        <row r="2">
          <cell r="B2">
            <v>1</v>
          </cell>
        </row>
      </sheetData>
      <sheetData sheetId="14">
        <row r="2">
          <cell r="B2">
            <v>1</v>
          </cell>
          <cell r="C2">
            <v>5</v>
          </cell>
        </row>
        <row r="3">
          <cell r="B3">
            <v>2</v>
          </cell>
          <cell r="C3">
            <v>6</v>
          </cell>
        </row>
        <row r="4">
          <cell r="B4">
            <v>3</v>
          </cell>
          <cell r="C4">
            <v>7</v>
          </cell>
        </row>
        <row r="5">
          <cell r="B5">
            <v>4</v>
          </cell>
          <cell r="C5">
            <v>8</v>
          </cell>
        </row>
        <row r="6">
          <cell r="B6">
            <v>5</v>
          </cell>
          <cell r="C6">
            <v>9</v>
          </cell>
        </row>
        <row r="7">
          <cell r="B7">
            <v>6</v>
          </cell>
          <cell r="C7">
            <v>10</v>
          </cell>
        </row>
        <row r="8">
          <cell r="B8">
            <v>7</v>
          </cell>
          <cell r="C8">
            <v>11</v>
          </cell>
        </row>
        <row r="9">
          <cell r="B9">
            <v>8</v>
          </cell>
          <cell r="C9">
            <v>12</v>
          </cell>
        </row>
        <row r="10">
          <cell r="B10">
            <v>9</v>
          </cell>
          <cell r="C10">
            <v>13</v>
          </cell>
        </row>
        <row r="11">
          <cell r="B11">
            <v>10</v>
          </cell>
          <cell r="C11">
            <v>14</v>
          </cell>
        </row>
        <row r="12">
          <cell r="B12">
            <v>11</v>
          </cell>
          <cell r="C12">
            <v>15</v>
          </cell>
        </row>
        <row r="13">
          <cell r="B13">
            <v>12</v>
          </cell>
          <cell r="C13">
            <v>16</v>
          </cell>
        </row>
      </sheetData>
      <sheetData sheetId="15">
        <row r="2">
          <cell r="B2">
            <v>1</v>
          </cell>
        </row>
      </sheetData>
      <sheetData sheetId="16">
        <row r="2">
          <cell r="B2">
            <v>1</v>
          </cell>
        </row>
      </sheetData>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
      <sheetName val="Filter"/>
      <sheetName val="M List"/>
      <sheetName val="X Rates"/>
      <sheetName val="Repository"/>
      <sheetName val="11"/>
      <sheetName val="Exchange rate"/>
      <sheetName val="TABLE"/>
      <sheetName val="IN90_Final TPs 2004_17.12.03"/>
      <sheetName val="Consol"/>
      <sheetName val="grouping"/>
      <sheetName val="Graph"/>
      <sheetName val="Combined Variables"/>
      <sheetName val="M_List"/>
      <sheetName val="X_Rates"/>
      <sheetName val="Exchange_rate"/>
      <sheetName val="IN90_Final_TPs_2004_17_12_03"/>
      <sheetName val="Combined_Variables"/>
      <sheetName val="CGF"/>
    </sheetNames>
    <sheetDataSet>
      <sheetData sheetId="0" refreshError="1"/>
      <sheetData sheetId="1" refreshError="1"/>
      <sheetData sheetId="2" refreshError="1"/>
      <sheetData sheetId="3" refreshError="1">
        <row r="1">
          <cell r="A1" t="str">
            <v>AED</v>
          </cell>
        </row>
        <row r="2">
          <cell r="A2" t="str">
            <v>ARS</v>
          </cell>
        </row>
        <row r="3">
          <cell r="A3" t="str">
            <v>AUD</v>
          </cell>
        </row>
        <row r="4">
          <cell r="A4" t="str">
            <v>BDT</v>
          </cell>
        </row>
        <row r="5">
          <cell r="A5" t="str">
            <v>BMD</v>
          </cell>
        </row>
        <row r="6">
          <cell r="A6" t="str">
            <v>BRL</v>
          </cell>
        </row>
        <row r="7">
          <cell r="A7" t="str">
            <v>CAD</v>
          </cell>
        </row>
        <row r="8">
          <cell r="A8" t="str">
            <v>CHF</v>
          </cell>
        </row>
        <row r="9">
          <cell r="A9" t="str">
            <v>CLP</v>
          </cell>
        </row>
        <row r="10">
          <cell r="A10" t="str">
            <v>CNY</v>
          </cell>
        </row>
        <row r="11">
          <cell r="A11" t="str">
            <v>COP</v>
          </cell>
        </row>
        <row r="12">
          <cell r="A12" t="str">
            <v>CRC</v>
          </cell>
        </row>
        <row r="13">
          <cell r="A13" t="str">
            <v>CYP</v>
          </cell>
        </row>
        <row r="14">
          <cell r="A14" t="str">
            <v>CZK</v>
          </cell>
        </row>
        <row r="15">
          <cell r="A15" t="str">
            <v>DKK</v>
          </cell>
        </row>
        <row r="16">
          <cell r="A16" t="str">
            <v>DZD</v>
          </cell>
        </row>
        <row r="17">
          <cell r="A17" t="str">
            <v>ECS</v>
          </cell>
        </row>
        <row r="18">
          <cell r="A18" t="str">
            <v>EGP</v>
          </cell>
        </row>
        <row r="19">
          <cell r="A19" t="str">
            <v>EUR</v>
          </cell>
        </row>
        <row r="20">
          <cell r="A20" t="str">
            <v>GBP</v>
          </cell>
        </row>
        <row r="21">
          <cell r="A21" t="str">
            <v>GTQ</v>
          </cell>
        </row>
        <row r="22">
          <cell r="A22" t="str">
            <v>HKD</v>
          </cell>
        </row>
        <row r="23">
          <cell r="A23" t="str">
            <v>HUF</v>
          </cell>
        </row>
        <row r="24">
          <cell r="A24" t="str">
            <v>IDR</v>
          </cell>
        </row>
        <row r="25">
          <cell r="A25" t="str">
            <v>INR</v>
          </cell>
        </row>
        <row r="26">
          <cell r="A26" t="str">
            <v>IRR</v>
          </cell>
        </row>
        <row r="27">
          <cell r="A27" t="str">
            <v>JPY</v>
          </cell>
        </row>
        <row r="28">
          <cell r="A28" t="str">
            <v>KES</v>
          </cell>
        </row>
        <row r="29">
          <cell r="A29" t="str">
            <v>KRW</v>
          </cell>
        </row>
        <row r="30">
          <cell r="A30" t="str">
            <v>MAD</v>
          </cell>
        </row>
        <row r="31">
          <cell r="A31" t="str">
            <v>MXN</v>
          </cell>
        </row>
        <row r="32">
          <cell r="A32" t="str">
            <v>MYR</v>
          </cell>
        </row>
        <row r="33">
          <cell r="A33" t="str">
            <v>NGN</v>
          </cell>
        </row>
        <row r="34">
          <cell r="A34" t="str">
            <v>NOK</v>
          </cell>
        </row>
        <row r="35">
          <cell r="A35" t="str">
            <v>NZD</v>
          </cell>
        </row>
        <row r="36">
          <cell r="A36" t="str">
            <v>PAB</v>
          </cell>
        </row>
        <row r="37">
          <cell r="A37" t="str">
            <v>PEN</v>
          </cell>
        </row>
        <row r="38">
          <cell r="A38" t="str">
            <v>PHP</v>
          </cell>
        </row>
        <row r="39">
          <cell r="A39" t="str">
            <v>PKR</v>
          </cell>
        </row>
        <row r="40">
          <cell r="A40" t="str">
            <v>PLN</v>
          </cell>
        </row>
        <row r="41">
          <cell r="A41" t="str">
            <v>PYG</v>
          </cell>
        </row>
        <row r="42">
          <cell r="A42" t="str">
            <v>ROL</v>
          </cell>
        </row>
        <row r="43">
          <cell r="A43" t="str">
            <v>RUR</v>
          </cell>
        </row>
        <row r="44">
          <cell r="A44" t="str">
            <v>SAR</v>
          </cell>
        </row>
        <row r="45">
          <cell r="A45" t="str">
            <v>SEK</v>
          </cell>
        </row>
        <row r="46">
          <cell r="A46" t="str">
            <v>SGD</v>
          </cell>
        </row>
        <row r="47">
          <cell r="A47" t="str">
            <v>SIT</v>
          </cell>
        </row>
        <row r="48">
          <cell r="A48" t="str">
            <v>SKK</v>
          </cell>
        </row>
        <row r="49">
          <cell r="A49" t="str">
            <v>THB</v>
          </cell>
        </row>
        <row r="50">
          <cell r="A50" t="str">
            <v>TRL</v>
          </cell>
        </row>
        <row r="51">
          <cell r="A51" t="str">
            <v>TWD</v>
          </cell>
        </row>
        <row r="52">
          <cell r="A52" t="str">
            <v>UAH</v>
          </cell>
        </row>
        <row r="53">
          <cell r="A53" t="str">
            <v>USD</v>
          </cell>
        </row>
        <row r="54">
          <cell r="A54" t="str">
            <v>UYU</v>
          </cell>
        </row>
        <row r="55">
          <cell r="A55" t="str">
            <v>VEB</v>
          </cell>
        </row>
        <row r="56">
          <cell r="A56" t="str">
            <v>VND</v>
          </cell>
        </row>
        <row r="57">
          <cell r="A57" t="str">
            <v>XOF</v>
          </cell>
        </row>
        <row r="58">
          <cell r="A58" t="str">
            <v>ZAR</v>
          </cell>
        </row>
        <row r="59">
          <cell r="A59" t="str">
            <v>ZWD</v>
          </cell>
        </row>
      </sheetData>
      <sheetData sheetId="4" refreshError="1">
        <row r="1">
          <cell r="A1" t="str">
            <v>CFR</v>
          </cell>
        </row>
        <row r="2">
          <cell r="A2" t="str">
            <v>CIF</v>
          </cell>
        </row>
        <row r="3">
          <cell r="A3" t="str">
            <v>CIP</v>
          </cell>
        </row>
        <row r="4">
          <cell r="A4" t="str">
            <v>CPT</v>
          </cell>
        </row>
        <row r="5">
          <cell r="A5" t="str">
            <v>DAF</v>
          </cell>
        </row>
        <row r="6">
          <cell r="A6" t="str">
            <v>DDU</v>
          </cell>
        </row>
        <row r="7">
          <cell r="A7" t="str">
            <v>DEQ</v>
          </cell>
        </row>
        <row r="8">
          <cell r="A8" t="str">
            <v>DES</v>
          </cell>
        </row>
        <row r="9">
          <cell r="A9" t="str">
            <v>EXW</v>
          </cell>
        </row>
        <row r="10">
          <cell r="A10" t="str">
            <v>FAS</v>
          </cell>
        </row>
        <row r="11">
          <cell r="A11" t="str">
            <v>FCA</v>
          </cell>
        </row>
        <row r="12">
          <cell r="A12" t="str">
            <v>FOB</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ow r="1">
          <cell r="A1" t="str">
            <v>AED</v>
          </cell>
        </row>
      </sheetData>
      <sheetData sheetId="15"/>
      <sheetData sheetId="16"/>
      <sheetData sheetId="17"/>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s"/>
      <sheetName val="Forecast Comments"/>
      <sheetName val="Forecast"/>
      <sheetName val="Sheet1 (2)"/>
      <sheetName val="2010 Bud"/>
      <sheetName val="2009 Act"/>
      <sheetName val="Fcst to Bud"/>
      <sheetName val="Fcst to PY"/>
      <sheetName val="MTD"/>
      <sheetName val="&gt;&gt;ZFIRUS007&gt;&gt;"/>
      <sheetName val="Can Corn"/>
      <sheetName val="Can Soy"/>
      <sheetName val="NK Corn"/>
      <sheetName val="NK Soy"/>
      <sheetName val="GH Corn"/>
      <sheetName val="GH Soy"/>
      <sheetName val="Garst Corn"/>
      <sheetName val="Garst Soy"/>
      <sheetName val="GLG Corn"/>
      <sheetName val="GLG Soy"/>
      <sheetName val="&gt;&gt;OLD&gt;&gt;"/>
      <sheetName val="2009 Bud"/>
      <sheetName val="2008 Act"/>
      <sheetName val="Corn"/>
      <sheetName val="corn source analysis"/>
      <sheetName val="Monthly Calculation for Fin"/>
      <sheetName val="Soybean Monthly Distribution"/>
    </sheetNames>
    <sheetDataSet>
      <sheetData sheetId="0"/>
      <sheetData sheetId="1"/>
      <sheetData sheetId="2"/>
      <sheetData sheetId="3"/>
      <sheetData sheetId="4"/>
      <sheetData sheetId="5"/>
      <sheetData sheetId="6"/>
      <sheetData sheetId="7"/>
      <sheetData sheetId="8">
        <row r="3">
          <cell r="A3" t="str">
            <v>February</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
      <sheetName val="Index"/>
      <sheetName val="IS01"/>
      <sheetName val="IS02"/>
      <sheetName val="IS03"/>
      <sheetName val="IS04"/>
      <sheetName val="IS05"/>
      <sheetName val="IS06"/>
      <sheetName val="IS07"/>
      <sheetName val="IS08"/>
      <sheetName val="IS10"/>
      <sheetName val="IS11"/>
      <sheetName val="IS12"/>
      <sheetName val="IS13"/>
      <sheetName val="IS16"/>
      <sheetName val="BS01"/>
      <sheetName val="BS04"/>
      <sheetName val="BS05"/>
      <sheetName val="BS06"/>
      <sheetName val="BS07"/>
      <sheetName val="BS08"/>
      <sheetName val="BS09"/>
      <sheetName val="BS11"/>
      <sheetName val="BS12"/>
      <sheetName val="BS13"/>
      <sheetName val="BS14"/>
      <sheetName val="BS15"/>
      <sheetName val="BS24"/>
      <sheetName val="BS25"/>
      <sheetName val="BS26"/>
      <sheetName val="CF01"/>
      <sheetName val="CF02"/>
      <sheetName val="CF03"/>
      <sheetName val="CF04"/>
      <sheetName val="DataSheet"/>
      <sheetName val="Glossary"/>
      <sheetName val="Appendix 1"/>
      <sheetName val="Appendix 2"/>
      <sheetName val="Appendix 3"/>
      <sheetName val="Appendix 4"/>
      <sheetName val="Appendix 5"/>
      <sheetName val="PPV"/>
    </sheetNames>
    <sheetDataSet>
      <sheetData sheetId="0" refreshError="1"/>
      <sheetData sheetId="1" refreshError="1">
        <row r="7">
          <cell r="A7" t="str">
            <v>Version 1.5 - 5 Feb 2001</v>
          </cell>
        </row>
        <row r="23">
          <cell r="F23">
            <v>36892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13 JV"/>
      <sheetName val="Spreadsheet Instructions"/>
      <sheetName val="Sheet2"/>
      <sheetName val="Sheet3"/>
    </sheetNames>
    <sheetDataSet>
      <sheetData sheetId="0"/>
      <sheetData sheetId="1"/>
      <sheetData sheetId="2">
        <row r="2">
          <cell r="A2" t="str">
            <v>NONE</v>
          </cell>
          <cell r="B2" t="str">
            <v>NONE</v>
          </cell>
          <cell r="M2" t="str">
            <v>NONE</v>
          </cell>
          <cell r="N2" t="str">
            <v>NONE</v>
          </cell>
        </row>
        <row r="3">
          <cell r="A3" t="str">
            <v>ACN</v>
          </cell>
          <cell r="B3" t="str">
            <v>Flw Annual Cuttings</v>
          </cell>
          <cell r="I3" t="str">
            <v>NONE</v>
          </cell>
          <cell r="J3" t="str">
            <v>NONE</v>
          </cell>
          <cell r="K3" t="str">
            <v>NONE</v>
          </cell>
          <cell r="M3" t="str">
            <v>9A</v>
          </cell>
          <cell r="N3" t="str">
            <v>APAC</v>
          </cell>
        </row>
        <row r="4">
          <cell r="A4" t="str">
            <v>ACP</v>
          </cell>
          <cell r="B4" t="str">
            <v>Flw Annual Cuttings</v>
          </cell>
          <cell r="I4" t="str">
            <v>COBDAF</v>
          </cell>
          <cell r="J4" t="str">
            <v>BD Animal Feed</v>
          </cell>
          <cell r="K4" t="str">
            <v>BD Animal Feed</v>
          </cell>
          <cell r="M4" t="str">
            <v>9E</v>
          </cell>
          <cell r="N4" t="str">
            <v>EAME</v>
          </cell>
        </row>
        <row r="5">
          <cell r="A5" t="str">
            <v>ALG</v>
          </cell>
          <cell r="B5" t="str">
            <v>ALFALFA GMO</v>
          </cell>
          <cell r="I5" t="str">
            <v>COBDBI</v>
          </cell>
          <cell r="J5" t="str">
            <v>BD  Bioprocessing</v>
          </cell>
          <cell r="K5" t="str">
            <v>BD  Bioprocessing</v>
          </cell>
          <cell r="M5" t="str">
            <v>9G</v>
          </cell>
          <cell r="N5" t="str">
            <v>GLOBAL</v>
          </cell>
        </row>
        <row r="6">
          <cell r="A6" t="str">
            <v>ALN</v>
          </cell>
          <cell r="B6" t="str">
            <v>ALFALFA NON-GMO</v>
          </cell>
          <cell r="I6" t="str">
            <v>COBDCR</v>
          </cell>
          <cell r="J6" t="str">
            <v>BD Corn</v>
          </cell>
          <cell r="K6" t="str">
            <v>BD Corn</v>
          </cell>
          <cell r="M6" t="str">
            <v>9L</v>
          </cell>
          <cell r="N6" t="str">
            <v>LATAM</v>
          </cell>
        </row>
        <row r="7">
          <cell r="A7" t="str">
            <v>ALZ</v>
          </cell>
          <cell r="B7" t="str">
            <v>Alfalfa Licensing</v>
          </cell>
          <cell r="I7" t="str">
            <v>COBDCT</v>
          </cell>
          <cell r="J7" t="str">
            <v>BD Cotton</v>
          </cell>
          <cell r="K7" t="str">
            <v>BD Cotton</v>
          </cell>
          <cell r="M7" t="str">
            <v>9N</v>
          </cell>
          <cell r="N7" t="str">
            <v>NAFTA</v>
          </cell>
        </row>
        <row r="8">
          <cell r="A8" t="str">
            <v>ASN</v>
          </cell>
          <cell r="B8" t="str">
            <v>Flw Annual Seeds Non</v>
          </cell>
          <cell r="I8" t="str">
            <v>COBDRC</v>
          </cell>
          <cell r="J8" t="str">
            <v>BD Rice</v>
          </cell>
          <cell r="K8" t="str">
            <v>BD Rice</v>
          </cell>
          <cell r="M8" t="str">
            <v>AF</v>
          </cell>
          <cell r="N8" t="str">
            <v>Afghanistan</v>
          </cell>
        </row>
        <row r="9">
          <cell r="A9" t="str">
            <v>ASP</v>
          </cell>
          <cell r="B9" t="str">
            <v>Flw Annual Seeds Prp</v>
          </cell>
          <cell r="I9" t="str">
            <v>COBDWF</v>
          </cell>
          <cell r="J9" t="str">
            <v>BD Frits/Vg Wholefds</v>
          </cell>
          <cell r="K9" t="str">
            <v>BD Fruits/Veg Wholefoods</v>
          </cell>
          <cell r="M9" t="str">
            <v>AL</v>
          </cell>
          <cell r="N9" t="str">
            <v>Albania</v>
          </cell>
        </row>
        <row r="10">
          <cell r="A10" t="str">
            <v>AYN</v>
          </cell>
          <cell r="B10" t="str">
            <v>Flw Annual YP Non-Pr</v>
          </cell>
          <cell r="I10" t="str">
            <v>COXXXX</v>
          </cell>
          <cell r="J10" t="str">
            <v>Corporate Non-specif</v>
          </cell>
          <cell r="K10" t="str">
            <v>Corporate Non-specific</v>
          </cell>
          <cell r="M10" t="str">
            <v>DZ</v>
          </cell>
          <cell r="N10" t="str">
            <v>Algeria</v>
          </cell>
        </row>
        <row r="11">
          <cell r="A11" t="str">
            <v>AYP</v>
          </cell>
          <cell r="B11" t="str">
            <v>Flw Annual YP Prp</v>
          </cell>
          <cell r="I11" t="str">
            <v>CPCXCX</v>
          </cell>
          <cell r="J11" t="str">
            <v>Crop Protection Non-</v>
          </cell>
          <cell r="K11" t="str">
            <v>Crop Protection Non-specific</v>
          </cell>
          <cell r="M11" t="str">
            <v>VI</v>
          </cell>
          <cell r="N11" t="str">
            <v>Amer.Virgin Is.</v>
          </cell>
        </row>
        <row r="12">
          <cell r="A12" t="str">
            <v>AYX</v>
          </cell>
          <cell r="B12" t="str">
            <v>FLW ANNUAL YP PRP (C</v>
          </cell>
          <cell r="I12" t="str">
            <v>DUMMY</v>
          </cell>
          <cell r="J12" t="str">
            <v>dummy</v>
          </cell>
          <cell r="K12" t="str">
            <v>dummy</v>
          </cell>
          <cell r="M12" t="str">
            <v>AD</v>
          </cell>
          <cell r="N12" t="str">
            <v>Andorra</v>
          </cell>
        </row>
        <row r="13">
          <cell r="A13" t="str">
            <v>AYY</v>
          </cell>
          <cell r="B13" t="str">
            <v>FLW ANNUAL YP NON-PR</v>
          </cell>
          <cell r="I13" t="str">
            <v>SECSCN</v>
          </cell>
          <cell r="J13" t="str">
            <v>Corn</v>
          </cell>
          <cell r="K13" t="str">
            <v>Corn</v>
          </cell>
          <cell r="M13" t="str">
            <v>AO</v>
          </cell>
          <cell r="N13" t="str">
            <v>Angola</v>
          </cell>
        </row>
        <row r="14">
          <cell r="A14" t="str">
            <v>BAH</v>
          </cell>
          <cell r="B14" t="str">
            <v>Barley Winter Hybrid</v>
          </cell>
          <cell r="I14" t="str">
            <v>SECSLC</v>
          </cell>
          <cell r="J14" t="str">
            <v>C&amp;S Licensing</v>
          </cell>
          <cell r="K14" t="str">
            <v>C&amp;S Licensing</v>
          </cell>
          <cell r="M14" t="str">
            <v>AI</v>
          </cell>
          <cell r="N14" t="str">
            <v>Anguilla</v>
          </cell>
        </row>
        <row r="15">
          <cell r="A15" t="str">
            <v>BAN</v>
          </cell>
          <cell r="B15" t="str">
            <v>Barley Winter Non-Hy</v>
          </cell>
          <cell r="I15" t="str">
            <v>SECSNX</v>
          </cell>
          <cell r="J15" t="str">
            <v>C&amp;S Non-specific</v>
          </cell>
          <cell r="K15" t="str">
            <v>C&amp;S Non-specific</v>
          </cell>
          <cell r="M15" t="str">
            <v>AQ</v>
          </cell>
          <cell r="N15" t="str">
            <v>Antarctica</v>
          </cell>
        </row>
        <row r="16">
          <cell r="A16" t="str">
            <v>BAS</v>
          </cell>
          <cell r="B16" t="str">
            <v>Barley Spring</v>
          </cell>
          <cell r="I16" t="str">
            <v>SECSSY</v>
          </cell>
          <cell r="J16" t="str">
            <v>Soybeans</v>
          </cell>
          <cell r="K16" t="str">
            <v>Soybeans</v>
          </cell>
          <cell r="M16" t="str">
            <v>AG</v>
          </cell>
          <cell r="N16" t="str">
            <v>Antigua/Barbuda</v>
          </cell>
        </row>
        <row r="17">
          <cell r="A17" t="str">
            <v>BAX</v>
          </cell>
          <cell r="B17" t="str">
            <v>BARLEY SPRING N-HYBR</v>
          </cell>
          <cell r="I17" t="str">
            <v>SEDFAL</v>
          </cell>
          <cell r="J17" t="str">
            <v>Alfalfa</v>
          </cell>
          <cell r="K17" t="str">
            <v>Alfalfa</v>
          </cell>
          <cell r="M17" t="str">
            <v>AR</v>
          </cell>
          <cell r="N17" t="str">
            <v>Argentina</v>
          </cell>
        </row>
        <row r="18">
          <cell r="A18" t="str">
            <v>BAY</v>
          </cell>
          <cell r="B18" t="str">
            <v>Barley Spring Licens</v>
          </cell>
          <cell r="I18" t="str">
            <v>SEDFCE</v>
          </cell>
          <cell r="J18" t="str">
            <v>Cereals</v>
          </cell>
          <cell r="K18" t="str">
            <v>Cereals</v>
          </cell>
          <cell r="M18" t="str">
            <v>AM</v>
          </cell>
          <cell r="N18" t="str">
            <v>Armenia</v>
          </cell>
        </row>
        <row r="19">
          <cell r="A19" t="str">
            <v>BAZ</v>
          </cell>
          <cell r="B19" t="str">
            <v>Barley Hybrid Licens</v>
          </cell>
          <cell r="I19" t="str">
            <v>SEDFFX</v>
          </cell>
          <cell r="J19" t="str">
            <v>DFC Non-specific</v>
          </cell>
          <cell r="K19" t="str">
            <v>DFC Non-specific</v>
          </cell>
          <cell r="M19" t="str">
            <v>AW</v>
          </cell>
          <cell r="N19" t="str">
            <v>Aruba</v>
          </cell>
        </row>
        <row r="20">
          <cell r="A20" t="str">
            <v>BCN</v>
          </cell>
          <cell r="B20" t="str">
            <v>Flw Biennial Cutting</v>
          </cell>
          <cell r="I20" t="str">
            <v>SEDFOS</v>
          </cell>
          <cell r="J20" t="str">
            <v>WOSR</v>
          </cell>
          <cell r="K20" t="str">
            <v>WOSR</v>
          </cell>
          <cell r="M20" t="str">
            <v>AU</v>
          </cell>
          <cell r="N20" t="str">
            <v>Australia</v>
          </cell>
        </row>
        <row r="21">
          <cell r="A21" t="str">
            <v>BCP</v>
          </cell>
          <cell r="B21" t="str">
            <v>Flw Biennial Cutting</v>
          </cell>
          <cell r="I21" t="str">
            <v>SEDFOT</v>
          </cell>
          <cell r="J21" t="str">
            <v>DFC Other</v>
          </cell>
          <cell r="K21" t="str">
            <v>DFC Other</v>
          </cell>
          <cell r="M21" t="str">
            <v>AT</v>
          </cell>
          <cell r="N21" t="str">
            <v>Austria</v>
          </cell>
        </row>
        <row r="22">
          <cell r="A22" t="str">
            <v>BEC</v>
          </cell>
          <cell r="B22" t="str">
            <v>Beans</v>
          </cell>
          <cell r="I22" t="str">
            <v>SEDFRI</v>
          </cell>
          <cell r="J22" t="str">
            <v>Rice</v>
          </cell>
          <cell r="K22" t="str">
            <v>Rice</v>
          </cell>
          <cell r="M22" t="str">
            <v>AZ</v>
          </cell>
          <cell r="N22" t="str">
            <v>Azerbaijan</v>
          </cell>
        </row>
        <row r="23">
          <cell r="A23" t="str">
            <v>BFP</v>
          </cell>
          <cell r="B23" t="str">
            <v>Branded Fresh Produc</v>
          </cell>
          <cell r="I23" t="str">
            <v>SEDFSB</v>
          </cell>
          <cell r="J23" t="str">
            <v>Sugarbeet</v>
          </cell>
          <cell r="K23" t="str">
            <v>Sugarbeet</v>
          </cell>
          <cell r="M23" t="str">
            <v>BS</v>
          </cell>
          <cell r="N23" t="str">
            <v>Bahamas</v>
          </cell>
        </row>
        <row r="24">
          <cell r="A24" t="str">
            <v>BKN</v>
          </cell>
          <cell r="B24" t="str">
            <v>Flw Brokerage Non-Pr</v>
          </cell>
          <cell r="I24" t="str">
            <v>SEDFSR</v>
          </cell>
          <cell r="J24" t="str">
            <v>Sorghum</v>
          </cell>
          <cell r="K24" t="str">
            <v>Sorghum</v>
          </cell>
          <cell r="M24" t="str">
            <v>BH</v>
          </cell>
          <cell r="N24" t="str">
            <v>Bahrain</v>
          </cell>
        </row>
        <row r="25">
          <cell r="A25" t="str">
            <v>BKP</v>
          </cell>
          <cell r="B25" t="str">
            <v>Flw Brokerage Prp</v>
          </cell>
          <cell r="I25" t="str">
            <v>SEDFSU</v>
          </cell>
          <cell r="J25" t="str">
            <v>Sunflower</v>
          </cell>
          <cell r="K25" t="str">
            <v>Sunflower</v>
          </cell>
          <cell r="M25" t="str">
            <v>BD</v>
          </cell>
          <cell r="N25" t="str">
            <v>Bangladesh</v>
          </cell>
        </row>
        <row r="26">
          <cell r="A26" t="str">
            <v>BRO</v>
          </cell>
          <cell r="B26" t="str">
            <v>Broccoli</v>
          </cell>
          <cell r="I26" t="str">
            <v>SEFLBR</v>
          </cell>
          <cell r="J26" t="str">
            <v>Brokerage</v>
          </cell>
          <cell r="K26" t="str">
            <v>Brokerage</v>
          </cell>
          <cell r="M26" t="str">
            <v>BB</v>
          </cell>
          <cell r="N26" t="str">
            <v>Barbados</v>
          </cell>
        </row>
        <row r="27">
          <cell r="A27" t="str">
            <v>BRS</v>
          </cell>
          <cell r="B27" t="str">
            <v>Brussels Sprouts</v>
          </cell>
          <cell r="I27" t="str">
            <v>SEFLCF</v>
          </cell>
          <cell r="J27" t="str">
            <v>Cut Flowers</v>
          </cell>
          <cell r="K27" t="str">
            <v>Cut Flowers</v>
          </cell>
          <cell r="M27" t="str">
            <v>BY</v>
          </cell>
          <cell r="N27" t="str">
            <v>Belarus</v>
          </cell>
        </row>
        <row r="28">
          <cell r="A28" t="str">
            <v>BSN</v>
          </cell>
          <cell r="B28" t="str">
            <v>Flw Biennial Seed No</v>
          </cell>
          <cell r="I28" t="str">
            <v>SEFLFS</v>
          </cell>
          <cell r="J28" t="str">
            <v>Flower Seeds</v>
          </cell>
          <cell r="K28" t="str">
            <v>Flower Seeds</v>
          </cell>
          <cell r="M28" t="str">
            <v>BE</v>
          </cell>
          <cell r="N28" t="str">
            <v>Belgium</v>
          </cell>
        </row>
        <row r="29">
          <cell r="A29" t="str">
            <v>BSP</v>
          </cell>
          <cell r="B29" t="str">
            <v>Flw Biennial Seed Pr</v>
          </cell>
          <cell r="I29" t="str">
            <v>SEFLUR</v>
          </cell>
          <cell r="J29" t="str">
            <v>Unrooted Cuttings</v>
          </cell>
          <cell r="K29" t="str">
            <v>Unrooted Cuttings</v>
          </cell>
          <cell r="M29" t="str">
            <v>BZ</v>
          </cell>
          <cell r="N29" t="str">
            <v>Belize</v>
          </cell>
        </row>
        <row r="30">
          <cell r="A30" t="str">
            <v>BYN</v>
          </cell>
          <cell r="B30" t="str">
            <v>Flw Biennial YP Non-</v>
          </cell>
          <cell r="I30" t="str">
            <v>SEFLWX</v>
          </cell>
          <cell r="J30" t="str">
            <v>Flowers Non-specific</v>
          </cell>
          <cell r="K30" t="str">
            <v>Flowers Non-specific</v>
          </cell>
          <cell r="M30" t="str">
            <v>BJ</v>
          </cell>
          <cell r="N30" t="str">
            <v>Benin</v>
          </cell>
        </row>
        <row r="31">
          <cell r="A31" t="str">
            <v>BYP</v>
          </cell>
          <cell r="B31" t="str">
            <v>Flw Biennial YP Prp</v>
          </cell>
          <cell r="I31" t="str">
            <v>SEFLYP</v>
          </cell>
          <cell r="J31" t="str">
            <v>Young Plants&amp;Cutting</v>
          </cell>
          <cell r="K31" t="str">
            <v>Young Plants and Cuttings</v>
          </cell>
          <cell r="M31" t="str">
            <v>BM</v>
          </cell>
          <cell r="N31" t="str">
            <v>Bermuda</v>
          </cell>
        </row>
        <row r="32">
          <cell r="A32" t="str">
            <v>BYX</v>
          </cell>
          <cell r="B32" t="str">
            <v>FLW BIENNIAL YP PRP</v>
          </cell>
          <cell r="I32" t="str">
            <v>SESXSX</v>
          </cell>
          <cell r="J32" t="str">
            <v>Seeds Non-specific</v>
          </cell>
          <cell r="K32" t="str">
            <v>Seeds Non-specific</v>
          </cell>
          <cell r="M32" t="str">
            <v>BT</v>
          </cell>
          <cell r="N32" t="str">
            <v>Bhutan</v>
          </cell>
        </row>
        <row r="33">
          <cell r="A33" t="str">
            <v>BYY</v>
          </cell>
          <cell r="B33" t="str">
            <v>FLW BIENNIAL YP NON-</v>
          </cell>
          <cell r="I33" t="str">
            <v>SEVGBP</v>
          </cell>
          <cell r="J33" t="str">
            <v>Brand Fresh Produce</v>
          </cell>
          <cell r="K33" t="str">
            <v>Branded Fresh Produce</v>
          </cell>
          <cell r="M33" t="str">
            <v>BL</v>
          </cell>
          <cell r="N33" t="str">
            <v>Blue</v>
          </cell>
        </row>
        <row r="34">
          <cell r="A34" t="str">
            <v>CAB</v>
          </cell>
          <cell r="B34" t="str">
            <v>Cabbage</v>
          </cell>
          <cell r="I34" t="str">
            <v>SEVGVS</v>
          </cell>
          <cell r="J34" t="str">
            <v>Vegetable Seeds</v>
          </cell>
          <cell r="K34" t="str">
            <v>Vegetable Seeds</v>
          </cell>
          <cell r="M34" t="str">
            <v>BO</v>
          </cell>
          <cell r="N34" t="str">
            <v>Bolivia</v>
          </cell>
        </row>
        <row r="35">
          <cell r="A35" t="str">
            <v>CAR</v>
          </cell>
          <cell r="B35" t="str">
            <v>Carrot</v>
          </cell>
          <cell r="I35" t="str">
            <v>SEVGVX</v>
          </cell>
          <cell r="J35" t="str">
            <v>Veg_Non-Specific</v>
          </cell>
          <cell r="K35" t="str">
            <v>Vegetables Non-specific</v>
          </cell>
          <cell r="M35" t="str">
            <v>BA</v>
          </cell>
          <cell r="N35" t="str">
            <v>Bosnia-Herz.</v>
          </cell>
        </row>
        <row r="36">
          <cell r="A36" t="str">
            <v>CAU</v>
          </cell>
          <cell r="B36" t="str">
            <v>Cauliflower</v>
          </cell>
          <cell r="M36" t="str">
            <v>BW</v>
          </cell>
          <cell r="N36" t="str">
            <v>Botswana</v>
          </cell>
        </row>
        <row r="37">
          <cell r="A37" t="str">
            <v>CCH</v>
          </cell>
          <cell r="B37" t="str">
            <v>Chinese Cabbage</v>
          </cell>
          <cell r="M37" t="str">
            <v>BV</v>
          </cell>
          <cell r="N37" t="str">
            <v>Bouvet Islands</v>
          </cell>
        </row>
        <row r="38">
          <cell r="A38" t="str">
            <v>CCN</v>
          </cell>
          <cell r="B38" t="str">
            <v>Con Flw Cut Non-Prp</v>
          </cell>
          <cell r="M38" t="str">
            <v>BR</v>
          </cell>
          <cell r="N38" t="str">
            <v>Brazil</v>
          </cell>
        </row>
        <row r="39">
          <cell r="A39" t="str">
            <v>CCP</v>
          </cell>
          <cell r="B39" t="str">
            <v>Con Flw Cut Prp</v>
          </cell>
          <cell r="M39" t="str">
            <v>IO</v>
          </cell>
          <cell r="N39" t="str">
            <v>Brit.Ind.Oc.Ter</v>
          </cell>
        </row>
        <row r="40">
          <cell r="A40" t="str">
            <v>CEO</v>
          </cell>
          <cell r="B40" t="str">
            <v>Cereals Other</v>
          </cell>
          <cell r="M40" t="str">
            <v>VG</v>
          </cell>
          <cell r="N40" t="str">
            <v>Brit.Virgin Is.</v>
          </cell>
        </row>
        <row r="41">
          <cell r="A41" t="str">
            <v>CEZ</v>
          </cell>
          <cell r="B41" t="str">
            <v>Cereals Other Licens</v>
          </cell>
          <cell r="M41" t="str">
            <v>BN</v>
          </cell>
          <cell r="N41" t="str">
            <v>Brunei Daruss.</v>
          </cell>
        </row>
        <row r="42">
          <cell r="A42" t="str">
            <v>CFN</v>
          </cell>
          <cell r="B42" t="str">
            <v>Con Flw Sd Non-Prp</v>
          </cell>
          <cell r="M42" t="str">
            <v>BG</v>
          </cell>
          <cell r="N42" t="str">
            <v>Bulgaria</v>
          </cell>
        </row>
        <row r="43">
          <cell r="A43" t="str">
            <v>CFP</v>
          </cell>
          <cell r="B43" t="str">
            <v>Con Flw Sd Prp</v>
          </cell>
          <cell r="M43" t="str">
            <v>BF</v>
          </cell>
          <cell r="N43" t="str">
            <v>Burkina Faso</v>
          </cell>
        </row>
        <row r="44">
          <cell r="A44" t="str">
            <v>CUC</v>
          </cell>
          <cell r="B44" t="str">
            <v>Cucumber</v>
          </cell>
          <cell r="M44" t="str">
            <v>MM</v>
          </cell>
          <cell r="N44" t="str">
            <v>Burma</v>
          </cell>
        </row>
        <row r="45">
          <cell r="A45" t="str">
            <v>CUR</v>
          </cell>
          <cell r="B45" t="str">
            <v>Cucurbits Rootstock</v>
          </cell>
          <cell r="M45" t="str">
            <v>BI</v>
          </cell>
          <cell r="N45" t="str">
            <v>Burundi</v>
          </cell>
        </row>
        <row r="46">
          <cell r="A46" t="str">
            <v>DFC</v>
          </cell>
          <cell r="B46" t="str">
            <v>DFC Other</v>
          </cell>
          <cell r="M46" t="str">
            <v>KH</v>
          </cell>
          <cell r="N46" t="str">
            <v>Cambodia</v>
          </cell>
        </row>
        <row r="47">
          <cell r="A47" t="str">
            <v>DFZ</v>
          </cell>
          <cell r="B47" t="str">
            <v>DFC Other Licensing</v>
          </cell>
          <cell r="M47" t="str">
            <v>CM</v>
          </cell>
          <cell r="N47" t="str">
            <v>Cameroon</v>
          </cell>
        </row>
        <row r="48">
          <cell r="A48" t="str">
            <v>EGG</v>
          </cell>
          <cell r="B48" t="str">
            <v>Eggplant</v>
          </cell>
          <cell r="M48" t="str">
            <v>CA</v>
          </cell>
          <cell r="N48" t="str">
            <v>Canada</v>
          </cell>
        </row>
        <row r="49">
          <cell r="A49" t="str">
            <v>END</v>
          </cell>
          <cell r="B49" t="str">
            <v>Endive</v>
          </cell>
          <cell r="M49" t="str">
            <v>CV</v>
          </cell>
          <cell r="N49" t="str">
            <v>Cape Verde</v>
          </cell>
        </row>
        <row r="50">
          <cell r="A50" t="str">
            <v>FCN</v>
          </cell>
          <cell r="B50" t="str">
            <v>PotPlants Cuttings N</v>
          </cell>
          <cell r="M50" t="str">
            <v>CF</v>
          </cell>
          <cell r="N50" t="str">
            <v>CAR</v>
          </cell>
        </row>
        <row r="51">
          <cell r="A51" t="str">
            <v>FCP</v>
          </cell>
          <cell r="B51" t="str">
            <v>PotPlants Cuttings P</v>
          </cell>
          <cell r="M51" t="str">
            <v>KY</v>
          </cell>
          <cell r="N51" t="str">
            <v>Cayman Islands</v>
          </cell>
        </row>
        <row r="52">
          <cell r="A52" t="str">
            <v>FLZ</v>
          </cell>
          <cell r="B52" t="str">
            <v>Flw Licensing</v>
          </cell>
          <cell r="M52" t="str">
            <v>TD</v>
          </cell>
          <cell r="N52" t="str">
            <v>Chad</v>
          </cell>
        </row>
        <row r="53">
          <cell r="A53" t="str">
            <v>FOT</v>
          </cell>
          <cell r="B53" t="str">
            <v>Flw Other</v>
          </cell>
          <cell r="M53" t="str">
            <v>CL</v>
          </cell>
          <cell r="N53" t="str">
            <v>Chile</v>
          </cell>
        </row>
        <row r="54">
          <cell r="A54" t="str">
            <v>FSN</v>
          </cell>
          <cell r="B54" t="str">
            <v>PotPlants Seeds Non-</v>
          </cell>
          <cell r="M54" t="str">
            <v>CN</v>
          </cell>
          <cell r="N54" t="str">
            <v>China</v>
          </cell>
        </row>
        <row r="55">
          <cell r="A55" t="str">
            <v>FSP</v>
          </cell>
          <cell r="B55" t="str">
            <v>PotPlants Seeds Prp</v>
          </cell>
          <cell r="M55" t="str">
            <v>CX</v>
          </cell>
          <cell r="N55" t="str">
            <v>Christmas Islnd</v>
          </cell>
        </row>
        <row r="56">
          <cell r="A56" t="str">
            <v>FYN</v>
          </cell>
          <cell r="B56" t="str">
            <v>PotPlants YP Non-Prp</v>
          </cell>
          <cell r="M56" t="str">
            <v>CC</v>
          </cell>
          <cell r="N56" t="str">
            <v>Coconut Islands</v>
          </cell>
        </row>
        <row r="57">
          <cell r="A57" t="str">
            <v>FYP</v>
          </cell>
          <cell r="B57" t="str">
            <v>PotPlants YP Prp</v>
          </cell>
          <cell r="M57" t="str">
            <v>CO</v>
          </cell>
          <cell r="N57" t="str">
            <v>Colombia</v>
          </cell>
        </row>
        <row r="58">
          <cell r="A58" t="str">
            <v>FYX</v>
          </cell>
          <cell r="B58" t="str">
            <v>POTPLANTS YP PRP (CT</v>
          </cell>
          <cell r="M58" t="str">
            <v>KM</v>
          </cell>
          <cell r="N58" t="str">
            <v>Comoros</v>
          </cell>
        </row>
        <row r="59">
          <cell r="A59" t="str">
            <v>FYY</v>
          </cell>
          <cell r="B59" t="str">
            <v>POTPLANTS YP NON-PRP</v>
          </cell>
          <cell r="M59" t="str">
            <v>CK</v>
          </cell>
          <cell r="N59" t="str">
            <v>Cook Islands</v>
          </cell>
        </row>
        <row r="60">
          <cell r="A60" t="str">
            <v>LEE</v>
          </cell>
          <cell r="B60" t="str">
            <v>Leek</v>
          </cell>
          <cell r="M60" t="str">
            <v>CR</v>
          </cell>
          <cell r="N60" t="str">
            <v>Costa Rica</v>
          </cell>
        </row>
        <row r="61">
          <cell r="A61" t="str">
            <v>LET</v>
          </cell>
          <cell r="B61" t="str">
            <v>Lettuce</v>
          </cell>
          <cell r="M61" t="str">
            <v>CI</v>
          </cell>
          <cell r="N61" t="str">
            <v>Cote d'Ivoire</v>
          </cell>
        </row>
        <row r="62">
          <cell r="A62" t="str">
            <v>MEL</v>
          </cell>
          <cell r="B62" t="str">
            <v>Melon</v>
          </cell>
          <cell r="M62" t="str">
            <v>HR</v>
          </cell>
          <cell r="N62" t="str">
            <v>Croatia</v>
          </cell>
        </row>
        <row r="63">
          <cell r="A63" t="str">
            <v>OKR</v>
          </cell>
          <cell r="B63" t="str">
            <v>Okra</v>
          </cell>
          <cell r="M63" t="str">
            <v>CU</v>
          </cell>
          <cell r="N63" t="str">
            <v>Cuba</v>
          </cell>
        </row>
        <row r="64">
          <cell r="A64" t="str">
            <v>ONI</v>
          </cell>
          <cell r="B64" t="str">
            <v>Onion</v>
          </cell>
          <cell r="M64" t="str">
            <v>CY</v>
          </cell>
          <cell r="N64" t="str">
            <v>Cyprus</v>
          </cell>
        </row>
        <row r="65">
          <cell r="A65" t="str">
            <v>ORA</v>
          </cell>
          <cell r="B65" t="str">
            <v>OSR Lines GMO Treat</v>
          </cell>
          <cell r="M65" t="str">
            <v>CZ</v>
          </cell>
          <cell r="N65" t="str">
            <v>Czech Republic</v>
          </cell>
        </row>
        <row r="66">
          <cell r="A66" t="str">
            <v>ORB</v>
          </cell>
          <cell r="B66" t="str">
            <v>OSR Lines GMO NT</v>
          </cell>
          <cell r="M66" t="str">
            <v>CD</v>
          </cell>
          <cell r="N66" t="str">
            <v>Dem. Rep. Congo</v>
          </cell>
        </row>
        <row r="67">
          <cell r="A67" t="str">
            <v>ORC</v>
          </cell>
          <cell r="B67" t="str">
            <v>OSR Lines Non-GMO Tr</v>
          </cell>
          <cell r="M67" t="str">
            <v>DK</v>
          </cell>
          <cell r="N67" t="str">
            <v>Denmark</v>
          </cell>
        </row>
        <row r="68">
          <cell r="A68" t="str">
            <v>ORD</v>
          </cell>
          <cell r="B68" t="str">
            <v>OSR Lines Non-GMO NT</v>
          </cell>
          <cell r="M68" t="str">
            <v>DJ</v>
          </cell>
          <cell r="N68" t="str">
            <v>Djibouti</v>
          </cell>
        </row>
        <row r="69">
          <cell r="A69" t="str">
            <v>ORE</v>
          </cell>
          <cell r="B69" t="str">
            <v>OSR Hybrids GMO Trea</v>
          </cell>
          <cell r="M69" t="str">
            <v>CS</v>
          </cell>
          <cell r="N69" t="str">
            <v>DO NOT USE</v>
          </cell>
        </row>
        <row r="70">
          <cell r="A70" t="str">
            <v>ORF</v>
          </cell>
          <cell r="B70" t="str">
            <v>OSR Hybrids GMO NT</v>
          </cell>
          <cell r="M70" t="str">
            <v>DM</v>
          </cell>
          <cell r="N70" t="str">
            <v>Dominica</v>
          </cell>
        </row>
        <row r="71">
          <cell r="A71" t="str">
            <v>ORG</v>
          </cell>
          <cell r="B71" t="str">
            <v>OSR Hybrids Non-GMO</v>
          </cell>
          <cell r="M71" t="str">
            <v>DO</v>
          </cell>
          <cell r="N71" t="str">
            <v>Dominican Rep.</v>
          </cell>
        </row>
        <row r="72">
          <cell r="A72" t="str">
            <v>ORH</v>
          </cell>
          <cell r="B72" t="str">
            <v>OSR Hybrids Non-GMO</v>
          </cell>
          <cell r="M72" t="str">
            <v>AN</v>
          </cell>
          <cell r="N72" t="str">
            <v>Dutch Antilles</v>
          </cell>
        </row>
        <row r="73">
          <cell r="A73" t="str">
            <v>ORI</v>
          </cell>
          <cell r="B73" t="str">
            <v>OSR HYBR HO CONV SPE</v>
          </cell>
          <cell r="M73" t="str">
            <v>TL</v>
          </cell>
          <cell r="N73" t="str">
            <v>East Timor</v>
          </cell>
        </row>
        <row r="74">
          <cell r="A74" t="str">
            <v>ORJ</v>
          </cell>
          <cell r="B74" t="str">
            <v>OSR HYBR HO CONV ST</v>
          </cell>
          <cell r="M74" t="str">
            <v>TP</v>
          </cell>
          <cell r="N74" t="str">
            <v>East Timor</v>
          </cell>
        </row>
        <row r="75">
          <cell r="A75" t="str">
            <v>ORK</v>
          </cell>
          <cell r="B75" t="str">
            <v>OSR HYBR HTC CONV SP</v>
          </cell>
          <cell r="M75" t="str">
            <v>EC</v>
          </cell>
          <cell r="N75" t="str">
            <v>Ecuador</v>
          </cell>
        </row>
        <row r="76">
          <cell r="A76" t="str">
            <v>ORL</v>
          </cell>
          <cell r="B76" t="str">
            <v>OSR HYBR HTC CONV ST</v>
          </cell>
          <cell r="M76" t="str">
            <v>EG</v>
          </cell>
          <cell r="N76" t="str">
            <v>Egypt</v>
          </cell>
        </row>
        <row r="77">
          <cell r="A77" t="str">
            <v>ORZ</v>
          </cell>
          <cell r="B77" t="str">
            <v>OSR Licensing</v>
          </cell>
          <cell r="M77" t="str">
            <v>SV</v>
          </cell>
          <cell r="N77" t="str">
            <v>El Salvador</v>
          </cell>
        </row>
        <row r="78">
          <cell r="A78" t="str">
            <v>PCN</v>
          </cell>
          <cell r="B78" t="str">
            <v>Flw Perennial Cuttin</v>
          </cell>
          <cell r="M78" t="str">
            <v>GQ</v>
          </cell>
          <cell r="N78" t="str">
            <v>Equatorial Guin</v>
          </cell>
        </row>
        <row r="79">
          <cell r="A79" t="str">
            <v>PCP</v>
          </cell>
          <cell r="B79" t="str">
            <v>Flw Perennial Cuttin</v>
          </cell>
          <cell r="M79" t="str">
            <v>ER</v>
          </cell>
          <cell r="N79" t="str">
            <v>Eritrea</v>
          </cell>
        </row>
        <row r="80">
          <cell r="A80" t="str">
            <v>PEA</v>
          </cell>
          <cell r="B80" t="str">
            <v>Pea</v>
          </cell>
          <cell r="M80" t="str">
            <v>EE</v>
          </cell>
          <cell r="N80" t="str">
            <v>Estonia</v>
          </cell>
        </row>
        <row r="81">
          <cell r="A81" t="str">
            <v>PEH</v>
          </cell>
          <cell r="B81" t="str">
            <v>Pepper – Hot</v>
          </cell>
          <cell r="M81" t="str">
            <v>ET</v>
          </cell>
          <cell r="N81" t="str">
            <v>Ethiopia</v>
          </cell>
        </row>
        <row r="82">
          <cell r="A82" t="str">
            <v>PES</v>
          </cell>
          <cell r="B82" t="str">
            <v>Pepper – Sweet</v>
          </cell>
          <cell r="M82" t="str">
            <v>EU</v>
          </cell>
          <cell r="N82" t="str">
            <v>European Union</v>
          </cell>
        </row>
        <row r="83">
          <cell r="A83" t="str">
            <v>PSN</v>
          </cell>
          <cell r="B83" t="str">
            <v>Flw Perennial Seed N</v>
          </cell>
          <cell r="M83" t="str">
            <v>FK</v>
          </cell>
          <cell r="N83" t="str">
            <v>Falkland Islnds</v>
          </cell>
        </row>
        <row r="84">
          <cell r="A84" t="str">
            <v>PSP</v>
          </cell>
          <cell r="B84" t="str">
            <v>Flw Perennial Seed P</v>
          </cell>
          <cell r="M84" t="str">
            <v>FO</v>
          </cell>
          <cell r="N84" t="str">
            <v>Faroe Islands</v>
          </cell>
        </row>
        <row r="85">
          <cell r="A85" t="str">
            <v>PYN</v>
          </cell>
          <cell r="B85" t="str">
            <v>Flw Perennial YP Non</v>
          </cell>
          <cell r="M85" t="str">
            <v>FJ</v>
          </cell>
          <cell r="N85" t="str">
            <v>Fiji</v>
          </cell>
        </row>
        <row r="86">
          <cell r="A86" t="str">
            <v>PYP</v>
          </cell>
          <cell r="B86" t="str">
            <v>Flw Perennial YP Prp</v>
          </cell>
          <cell r="M86" t="str">
            <v>FI</v>
          </cell>
          <cell r="N86" t="str">
            <v>Finland</v>
          </cell>
        </row>
        <row r="87">
          <cell r="A87" t="str">
            <v>PYX</v>
          </cell>
          <cell r="B87" t="str">
            <v>FLW PERENNIAL YP PRP</v>
          </cell>
          <cell r="M87" t="str">
            <v>FR</v>
          </cell>
          <cell r="N87" t="str">
            <v>France</v>
          </cell>
        </row>
        <row r="88">
          <cell r="A88" t="str">
            <v>PYY</v>
          </cell>
          <cell r="B88" t="str">
            <v>FLW PERENNIAL YP NON</v>
          </cell>
          <cell r="M88" t="str">
            <v>PF</v>
          </cell>
          <cell r="N88" t="str">
            <v>Frenc.Polynesia</v>
          </cell>
        </row>
        <row r="89">
          <cell r="A89" t="str">
            <v>RAD</v>
          </cell>
          <cell r="B89" t="str">
            <v>Radish</v>
          </cell>
          <cell r="M89" t="str">
            <v>GF</v>
          </cell>
          <cell r="N89" t="str">
            <v>French Guayana</v>
          </cell>
        </row>
        <row r="90">
          <cell r="A90" t="str">
            <v>RDO</v>
          </cell>
          <cell r="B90" t="str">
            <v>Oriental Radish</v>
          </cell>
          <cell r="M90" t="str">
            <v>TF</v>
          </cell>
          <cell r="N90" t="str">
            <v>French S.Territ</v>
          </cell>
        </row>
        <row r="91">
          <cell r="A91" t="str">
            <v>RIG</v>
          </cell>
          <cell r="B91" t="str">
            <v>Rice GMO</v>
          </cell>
          <cell r="M91" t="str">
            <v>GA</v>
          </cell>
          <cell r="N91" t="str">
            <v>Gabon</v>
          </cell>
        </row>
        <row r="92">
          <cell r="A92" t="str">
            <v>RIN</v>
          </cell>
          <cell r="B92" t="str">
            <v>Rice Non-GMO</v>
          </cell>
          <cell r="M92" t="str">
            <v>GM</v>
          </cell>
          <cell r="N92" t="str">
            <v>Gambia</v>
          </cell>
        </row>
        <row r="93">
          <cell r="A93" t="str">
            <v>RIZ</v>
          </cell>
          <cell r="B93" t="str">
            <v>Rice Licensing</v>
          </cell>
          <cell r="M93" t="str">
            <v>GE</v>
          </cell>
          <cell r="N93" t="str">
            <v>Georgia</v>
          </cell>
        </row>
        <row r="94">
          <cell r="A94" t="str">
            <v>RUC</v>
          </cell>
          <cell r="B94" t="str">
            <v>Rucola</v>
          </cell>
          <cell r="M94" t="str">
            <v>DE</v>
          </cell>
          <cell r="N94" t="str">
            <v>Germany</v>
          </cell>
        </row>
        <row r="95">
          <cell r="A95" t="str">
            <v>SBA</v>
          </cell>
          <cell r="B95" t="str">
            <v>Sgrbt Mono GMO Treat</v>
          </cell>
          <cell r="M95" t="str">
            <v>GH</v>
          </cell>
          <cell r="N95" t="str">
            <v>Ghana</v>
          </cell>
        </row>
        <row r="96">
          <cell r="A96" t="str">
            <v>SBB</v>
          </cell>
          <cell r="B96" t="str">
            <v>Sgrbt Mono GMO NT</v>
          </cell>
          <cell r="M96" t="str">
            <v>GI</v>
          </cell>
          <cell r="N96" t="str">
            <v>Gibraltar</v>
          </cell>
        </row>
        <row r="97">
          <cell r="A97" t="str">
            <v>SBC</v>
          </cell>
          <cell r="B97" t="str">
            <v>Sgrbt Mono Non-GMO T</v>
          </cell>
          <cell r="M97" t="str">
            <v>GR</v>
          </cell>
          <cell r="N97" t="str">
            <v>Greece</v>
          </cell>
        </row>
        <row r="98">
          <cell r="A98" t="str">
            <v>SBD</v>
          </cell>
          <cell r="B98" t="str">
            <v>Sgrbt Mono Non-GMO N</v>
          </cell>
          <cell r="M98" t="str">
            <v>GL</v>
          </cell>
          <cell r="N98" t="str">
            <v>Greenland</v>
          </cell>
        </row>
        <row r="99">
          <cell r="A99" t="str">
            <v>SBE</v>
          </cell>
          <cell r="B99" t="str">
            <v>Sgrbt Multi GMO Trea</v>
          </cell>
          <cell r="M99" t="str">
            <v>GD</v>
          </cell>
          <cell r="N99" t="str">
            <v>Grenada</v>
          </cell>
        </row>
        <row r="100">
          <cell r="A100" t="str">
            <v>SBF</v>
          </cell>
          <cell r="B100" t="str">
            <v>Sgrbt Multi GMO NT</v>
          </cell>
          <cell r="M100" t="str">
            <v>GP</v>
          </cell>
          <cell r="N100" t="str">
            <v>Guadeloupe</v>
          </cell>
        </row>
        <row r="101">
          <cell r="A101" t="str">
            <v>SBG</v>
          </cell>
          <cell r="B101" t="str">
            <v>Sgrbt Multi Non-GMO</v>
          </cell>
          <cell r="M101" t="str">
            <v>GU</v>
          </cell>
          <cell r="N101" t="str">
            <v>Guam</v>
          </cell>
        </row>
        <row r="102">
          <cell r="A102" t="str">
            <v>SBH</v>
          </cell>
          <cell r="B102" t="str">
            <v>Sgrbt Multi Non-GMO</v>
          </cell>
          <cell r="M102" t="str">
            <v>GT</v>
          </cell>
          <cell r="N102" t="str">
            <v>Guatemala</v>
          </cell>
        </row>
        <row r="103">
          <cell r="A103" t="str">
            <v>SBZ</v>
          </cell>
          <cell r="B103" t="str">
            <v>Sugarbeet Licensing</v>
          </cell>
          <cell r="M103" t="str">
            <v>GG</v>
          </cell>
          <cell r="N103" t="str">
            <v>Guernsey</v>
          </cell>
        </row>
        <row r="104">
          <cell r="A104" t="str">
            <v>SFA</v>
          </cell>
          <cell r="B104" t="str">
            <v>Snflw GMO Treat</v>
          </cell>
          <cell r="M104" t="str">
            <v>GN</v>
          </cell>
          <cell r="N104" t="str">
            <v>Guinea</v>
          </cell>
        </row>
        <row r="105">
          <cell r="A105" t="str">
            <v>SFB</v>
          </cell>
          <cell r="B105" t="str">
            <v>Snflw GMO NT</v>
          </cell>
          <cell r="M105" t="str">
            <v>GW</v>
          </cell>
          <cell r="N105" t="str">
            <v>Guinea-Bissau</v>
          </cell>
        </row>
        <row r="106">
          <cell r="A106" t="str">
            <v>SFC</v>
          </cell>
          <cell r="B106" t="str">
            <v>SNFLW HIGH OLEIC SPE</v>
          </cell>
          <cell r="M106" t="str">
            <v>GY</v>
          </cell>
          <cell r="N106" t="str">
            <v>Guyana</v>
          </cell>
        </row>
        <row r="107">
          <cell r="A107" t="str">
            <v>SFD</v>
          </cell>
          <cell r="B107" t="str">
            <v>SNFLW HIGH OLEIC ST</v>
          </cell>
          <cell r="M107" t="str">
            <v>HT</v>
          </cell>
          <cell r="N107" t="str">
            <v>Haiti</v>
          </cell>
        </row>
        <row r="108">
          <cell r="A108" t="str">
            <v>SFN</v>
          </cell>
          <cell r="B108" t="str">
            <v>Snflw Non-GMO Treat</v>
          </cell>
          <cell r="M108" t="str">
            <v>HM</v>
          </cell>
          <cell r="N108" t="str">
            <v>Heard/McDon.Isl</v>
          </cell>
        </row>
        <row r="109">
          <cell r="A109" t="str">
            <v>SFO</v>
          </cell>
          <cell r="B109" t="str">
            <v>Snflw Non-GMO NT wit</v>
          </cell>
          <cell r="M109" t="str">
            <v>HN</v>
          </cell>
          <cell r="N109" t="str">
            <v>Honduras</v>
          </cell>
        </row>
        <row r="110">
          <cell r="A110" t="str">
            <v>SFP</v>
          </cell>
          <cell r="B110" t="str">
            <v>SNFLW N-HTC/N-HO SP</v>
          </cell>
          <cell r="M110" t="str">
            <v>HK</v>
          </cell>
          <cell r="N110" t="str">
            <v>Hong Kong</v>
          </cell>
        </row>
        <row r="111">
          <cell r="A111" t="str">
            <v>SFQ</v>
          </cell>
          <cell r="B111" t="str">
            <v>SNFLW N-HTC/N-HO ST</v>
          </cell>
          <cell r="M111" t="str">
            <v>HU</v>
          </cell>
          <cell r="N111" t="str">
            <v>Hungary</v>
          </cell>
        </row>
        <row r="112">
          <cell r="A112" t="str">
            <v>SFY</v>
          </cell>
          <cell r="B112" t="str">
            <v>SUNFLOWER OTHER</v>
          </cell>
          <cell r="M112" t="str">
            <v>IS</v>
          </cell>
          <cell r="N112" t="str">
            <v>Iceland</v>
          </cell>
        </row>
        <row r="113">
          <cell r="A113" t="str">
            <v>SFZ</v>
          </cell>
          <cell r="B113" t="str">
            <v>Snflw Licensing</v>
          </cell>
          <cell r="M113" t="str">
            <v>IN</v>
          </cell>
          <cell r="N113" t="str">
            <v>India</v>
          </cell>
        </row>
        <row r="114">
          <cell r="A114" t="str">
            <v>SNP</v>
          </cell>
          <cell r="B114" t="str">
            <v>Snap Pea</v>
          </cell>
          <cell r="M114" t="str">
            <v>ID</v>
          </cell>
          <cell r="N114" t="str">
            <v>Indonesia</v>
          </cell>
        </row>
        <row r="115">
          <cell r="A115" t="str">
            <v>SOF</v>
          </cell>
          <cell r="B115" t="str">
            <v>Sorghum Forages</v>
          </cell>
          <cell r="M115" t="str">
            <v>IR</v>
          </cell>
          <cell r="N115" t="str">
            <v>Iran</v>
          </cell>
        </row>
        <row r="116">
          <cell r="A116" t="str">
            <v>SOG</v>
          </cell>
          <cell r="B116" t="str">
            <v>Sorghum Grains</v>
          </cell>
          <cell r="M116" t="str">
            <v>IQ</v>
          </cell>
          <cell r="N116" t="str">
            <v>Iraq</v>
          </cell>
        </row>
        <row r="117">
          <cell r="A117" t="str">
            <v>SOZ</v>
          </cell>
          <cell r="B117" t="str">
            <v>Sorghum Licensing</v>
          </cell>
          <cell r="M117" t="str">
            <v>IE</v>
          </cell>
          <cell r="N117" t="str">
            <v>Ireland</v>
          </cell>
        </row>
        <row r="118">
          <cell r="A118" t="str">
            <v>SPN</v>
          </cell>
          <cell r="B118" t="str">
            <v>Spinach</v>
          </cell>
          <cell r="M118" t="str">
            <v>IL</v>
          </cell>
          <cell r="N118" t="str">
            <v>Israel</v>
          </cell>
        </row>
        <row r="119">
          <cell r="A119" t="str">
            <v>SQU</v>
          </cell>
          <cell r="B119" t="str">
            <v>Squash</v>
          </cell>
          <cell r="M119" t="str">
            <v>IT</v>
          </cell>
          <cell r="N119" t="str">
            <v>Italy</v>
          </cell>
        </row>
        <row r="120">
          <cell r="A120" t="str">
            <v>SWN</v>
          </cell>
          <cell r="B120" t="str">
            <v>Sweetcorn Non-GMO</v>
          </cell>
          <cell r="M120" t="str">
            <v>JM</v>
          </cell>
          <cell r="N120" t="str">
            <v>Jamaica</v>
          </cell>
        </row>
        <row r="121">
          <cell r="A121" t="str">
            <v>TMD</v>
          </cell>
          <cell r="B121" t="str">
            <v>Tomato – Determinate</v>
          </cell>
          <cell r="M121" t="str">
            <v>JP</v>
          </cell>
          <cell r="N121" t="str">
            <v>Japan</v>
          </cell>
        </row>
        <row r="122">
          <cell r="A122" t="str">
            <v>TMI</v>
          </cell>
          <cell r="B122" t="str">
            <v>Tomato – Indetermina</v>
          </cell>
          <cell r="M122" t="str">
            <v>JE</v>
          </cell>
          <cell r="N122" t="str">
            <v>Jersey</v>
          </cell>
        </row>
        <row r="123">
          <cell r="A123" t="str">
            <v>TMP</v>
          </cell>
          <cell r="B123" t="str">
            <v>Tomato – Processing</v>
          </cell>
          <cell r="M123" t="str">
            <v>JO</v>
          </cell>
          <cell r="N123" t="str">
            <v>Jordan</v>
          </cell>
        </row>
        <row r="124">
          <cell r="A124" t="str">
            <v>TRH</v>
          </cell>
          <cell r="B124" t="str">
            <v>TRITICALE HYBRID</v>
          </cell>
          <cell r="M124" t="str">
            <v>KZ</v>
          </cell>
          <cell r="N124" t="str">
            <v>Kazakhstan</v>
          </cell>
        </row>
        <row r="125">
          <cell r="A125" t="str">
            <v>TRN</v>
          </cell>
          <cell r="B125" t="str">
            <v>TRITICALE NON-HYBRID</v>
          </cell>
          <cell r="M125" t="str">
            <v>KE</v>
          </cell>
          <cell r="N125" t="str">
            <v>Kenya</v>
          </cell>
        </row>
        <row r="126">
          <cell r="A126" t="str">
            <v>TRY</v>
          </cell>
          <cell r="B126" t="str">
            <v>TRITICALE NON-HYBRID</v>
          </cell>
          <cell r="M126" t="str">
            <v>KI</v>
          </cell>
          <cell r="N126" t="str">
            <v>Kiribati</v>
          </cell>
        </row>
        <row r="127">
          <cell r="A127" t="str">
            <v>TRZ</v>
          </cell>
          <cell r="B127" t="str">
            <v>TRITICALE HYBRID LIC</v>
          </cell>
          <cell r="M127" t="str">
            <v>KW</v>
          </cell>
          <cell r="N127" t="str">
            <v>Kuwait</v>
          </cell>
        </row>
        <row r="128">
          <cell r="A128" t="str">
            <v>VEZ</v>
          </cell>
          <cell r="B128" t="str">
            <v>Vegetables Licensing</v>
          </cell>
          <cell r="M128" t="str">
            <v>KG</v>
          </cell>
          <cell r="N128" t="str">
            <v>Kyrgyzstan</v>
          </cell>
        </row>
        <row r="129">
          <cell r="A129" t="str">
            <v>VLS</v>
          </cell>
          <cell r="B129" t="str">
            <v>Other LSV</v>
          </cell>
          <cell r="M129" t="str">
            <v>LA</v>
          </cell>
          <cell r="N129" t="str">
            <v>Laos</v>
          </cell>
        </row>
        <row r="130">
          <cell r="A130" t="str">
            <v>VOA</v>
          </cell>
          <cell r="B130" t="str">
            <v>Other Veg Adjustment</v>
          </cell>
          <cell r="M130" t="str">
            <v>LV</v>
          </cell>
          <cell r="N130" t="str">
            <v>Latvia</v>
          </cell>
        </row>
        <row r="131">
          <cell r="A131" t="str">
            <v>VSS</v>
          </cell>
          <cell r="B131" t="str">
            <v>Other SSV</v>
          </cell>
          <cell r="M131" t="str">
            <v>LB</v>
          </cell>
          <cell r="N131" t="str">
            <v>Lebanon</v>
          </cell>
        </row>
        <row r="132">
          <cell r="A132" t="str">
            <v>WHG</v>
          </cell>
          <cell r="B132" t="str">
            <v>Wheat GMO</v>
          </cell>
          <cell r="M132" t="str">
            <v>LS</v>
          </cell>
          <cell r="N132" t="str">
            <v>Lesotho</v>
          </cell>
        </row>
        <row r="133">
          <cell r="A133" t="str">
            <v>WHS</v>
          </cell>
          <cell r="B133" t="str">
            <v>Wheat Non-GMO Spring</v>
          </cell>
          <cell r="M133" t="str">
            <v>LR</v>
          </cell>
          <cell r="N133" t="str">
            <v>Liberia</v>
          </cell>
        </row>
        <row r="134">
          <cell r="A134" t="str">
            <v>WHW</v>
          </cell>
          <cell r="B134" t="str">
            <v>Wheat Non-GMO Winter</v>
          </cell>
          <cell r="M134" t="str">
            <v>LY</v>
          </cell>
          <cell r="N134" t="str">
            <v>Libya</v>
          </cell>
        </row>
        <row r="135">
          <cell r="A135" t="str">
            <v>WHX</v>
          </cell>
          <cell r="B135" t="str">
            <v>WHEAT WINTER N-HYBR</v>
          </cell>
          <cell r="M135" t="str">
            <v>LI</v>
          </cell>
          <cell r="N135" t="str">
            <v>Liechtenstein</v>
          </cell>
        </row>
        <row r="136">
          <cell r="A136" t="str">
            <v>WHY</v>
          </cell>
          <cell r="B136" t="str">
            <v>Wheat Winter Licensi</v>
          </cell>
          <cell r="M136" t="str">
            <v>LT</v>
          </cell>
          <cell r="N136" t="str">
            <v>Lithuania</v>
          </cell>
        </row>
        <row r="137">
          <cell r="A137" t="str">
            <v>WHZ</v>
          </cell>
          <cell r="B137" t="str">
            <v>Wheat GMO Licensing</v>
          </cell>
          <cell r="M137" t="str">
            <v>LU</v>
          </cell>
          <cell r="N137" t="str">
            <v>Luxembourg</v>
          </cell>
        </row>
        <row r="138">
          <cell r="A138" t="str">
            <v>WTS</v>
          </cell>
          <cell r="B138" t="str">
            <v>Watermelon – Seeded</v>
          </cell>
          <cell r="M138" t="str">
            <v>MO</v>
          </cell>
          <cell r="N138" t="str">
            <v>Macau</v>
          </cell>
        </row>
        <row r="139">
          <cell r="A139" t="str">
            <v>WTX</v>
          </cell>
          <cell r="B139" t="str">
            <v>Watermelon – Seedles</v>
          </cell>
          <cell r="M139" t="str">
            <v>MK</v>
          </cell>
          <cell r="N139" t="str">
            <v>Macedonia</v>
          </cell>
        </row>
        <row r="140">
          <cell r="A140" t="str">
            <v>XAL</v>
          </cell>
          <cell r="B140" t="str">
            <v>Corn ECB Licensed</v>
          </cell>
          <cell r="M140" t="str">
            <v>MG</v>
          </cell>
          <cell r="N140" t="str">
            <v>Madagascar</v>
          </cell>
        </row>
        <row r="141">
          <cell r="A141" t="str">
            <v>XAP</v>
          </cell>
          <cell r="B141" t="str">
            <v>Corn ECB Prp</v>
          </cell>
          <cell r="M141" t="str">
            <v>MW</v>
          </cell>
          <cell r="N141" t="str">
            <v>Malawi</v>
          </cell>
        </row>
        <row r="142">
          <cell r="A142" t="str">
            <v>XBL</v>
          </cell>
          <cell r="B142" t="str">
            <v>Corn RR Licensed</v>
          </cell>
          <cell r="M142" t="str">
            <v>MY</v>
          </cell>
          <cell r="N142" t="str">
            <v>Malaysia</v>
          </cell>
        </row>
        <row r="143">
          <cell r="A143" t="str">
            <v>XBP</v>
          </cell>
          <cell r="B143" t="str">
            <v>CORN GT PRP</v>
          </cell>
          <cell r="M143" t="str">
            <v>MV</v>
          </cell>
          <cell r="N143" t="str">
            <v>Maldives</v>
          </cell>
        </row>
        <row r="144">
          <cell r="A144" t="str">
            <v>XCP</v>
          </cell>
          <cell r="B144" t="str">
            <v>CORN CRW PRP</v>
          </cell>
          <cell r="M144" t="str">
            <v>ML</v>
          </cell>
          <cell r="N144" t="str">
            <v>Mali</v>
          </cell>
        </row>
        <row r="145">
          <cell r="A145" t="str">
            <v>XDL</v>
          </cell>
          <cell r="B145" t="str">
            <v>CN HERCULEX LICENSED</v>
          </cell>
          <cell r="M145" t="str">
            <v>MT</v>
          </cell>
          <cell r="N145" t="str">
            <v>Malta</v>
          </cell>
        </row>
        <row r="146">
          <cell r="A146" t="str">
            <v>XFL</v>
          </cell>
          <cell r="B146" t="str">
            <v>CORN RR/ECB LICENSED</v>
          </cell>
          <cell r="M146" t="str">
            <v>MH</v>
          </cell>
          <cell r="N146" t="str">
            <v>Marshall Islnds</v>
          </cell>
        </row>
        <row r="147">
          <cell r="A147" t="str">
            <v>XFP</v>
          </cell>
          <cell r="B147" t="str">
            <v>CORN GT/ECB PRP</v>
          </cell>
          <cell r="M147" t="str">
            <v>MQ</v>
          </cell>
          <cell r="N147" t="str">
            <v>Martinique</v>
          </cell>
        </row>
        <row r="148">
          <cell r="A148" t="str">
            <v>XGL</v>
          </cell>
          <cell r="B148" t="str">
            <v>CN ECB/CRW LICENSED</v>
          </cell>
          <cell r="M148" t="str">
            <v>MR</v>
          </cell>
          <cell r="N148" t="str">
            <v>Mauretania</v>
          </cell>
        </row>
        <row r="149">
          <cell r="A149" t="str">
            <v>XGP</v>
          </cell>
          <cell r="B149" t="str">
            <v>CORN ECB/CRW PRP</v>
          </cell>
          <cell r="M149" t="str">
            <v>MU</v>
          </cell>
          <cell r="N149" t="str">
            <v>Mauritius</v>
          </cell>
        </row>
        <row r="150">
          <cell r="A150" t="str">
            <v>XHL</v>
          </cell>
          <cell r="B150" t="str">
            <v>CORN RR/CRW LICENSED</v>
          </cell>
          <cell r="M150" t="str">
            <v>YT</v>
          </cell>
          <cell r="N150" t="str">
            <v>Mayotte</v>
          </cell>
        </row>
        <row r="151">
          <cell r="A151" t="str">
            <v>XHP</v>
          </cell>
          <cell r="B151" t="str">
            <v>CORN GT/CRW PRP</v>
          </cell>
          <cell r="M151" t="str">
            <v>MX</v>
          </cell>
          <cell r="N151" t="str">
            <v>Mexico</v>
          </cell>
        </row>
        <row r="152">
          <cell r="A152" t="str">
            <v>XIL</v>
          </cell>
          <cell r="B152" t="str">
            <v>CN RR/HERCULEX LICEN</v>
          </cell>
          <cell r="M152" t="str">
            <v>FM</v>
          </cell>
          <cell r="N152" t="str">
            <v>Micronesia</v>
          </cell>
        </row>
        <row r="153">
          <cell r="A153" t="str">
            <v>XJP</v>
          </cell>
          <cell r="B153" t="str">
            <v>CORN ECB/BL PRP</v>
          </cell>
          <cell r="M153" t="str">
            <v>UM</v>
          </cell>
          <cell r="N153" t="str">
            <v>Minor Outl.Isl.</v>
          </cell>
        </row>
        <row r="154">
          <cell r="A154" t="str">
            <v>XKP</v>
          </cell>
          <cell r="B154" t="str">
            <v>CORN GT/ECB/BL PRP</v>
          </cell>
          <cell r="M154" t="str">
            <v>MD</v>
          </cell>
          <cell r="N154" t="str">
            <v>Moldova</v>
          </cell>
        </row>
        <row r="155">
          <cell r="A155" t="str">
            <v>XLP</v>
          </cell>
          <cell r="B155" t="str">
            <v>CORN ECB/BL/CRW PRP</v>
          </cell>
          <cell r="M155" t="str">
            <v>MC</v>
          </cell>
          <cell r="N155" t="str">
            <v>Monaco</v>
          </cell>
        </row>
        <row r="156">
          <cell r="A156" t="str">
            <v>XMP</v>
          </cell>
          <cell r="B156" t="str">
            <v>CN GT/ECB/BL/CRW PRP</v>
          </cell>
          <cell r="M156" t="str">
            <v>MN</v>
          </cell>
          <cell r="N156" t="str">
            <v>Mongolia</v>
          </cell>
        </row>
        <row r="157">
          <cell r="A157" t="str">
            <v>XNP</v>
          </cell>
          <cell r="B157" t="str">
            <v>CN GT/ECB/BL/CRW/DM</v>
          </cell>
          <cell r="M157" t="str">
            <v>MS</v>
          </cell>
          <cell r="N157" t="str">
            <v>Montserrat</v>
          </cell>
        </row>
        <row r="158">
          <cell r="A158" t="str">
            <v>XOL</v>
          </cell>
          <cell r="B158" t="str">
            <v>CN RR/ECB/CRW LICENS</v>
          </cell>
          <cell r="M158" t="str">
            <v>MA</v>
          </cell>
          <cell r="N158" t="str">
            <v>Morocco</v>
          </cell>
        </row>
        <row r="159">
          <cell r="A159" t="str">
            <v>XOO</v>
          </cell>
          <cell r="B159" t="str">
            <v>CORN OTHER</v>
          </cell>
          <cell r="M159" t="str">
            <v>MZ</v>
          </cell>
          <cell r="N159" t="str">
            <v>Mozambique</v>
          </cell>
        </row>
        <row r="160">
          <cell r="A160" t="str">
            <v>XOP</v>
          </cell>
          <cell r="B160" t="str">
            <v>CORN GT/ECB/CRW PRP</v>
          </cell>
          <cell r="M160" t="str">
            <v>MP</v>
          </cell>
          <cell r="N160" t="str">
            <v>N.Mariana Islnd</v>
          </cell>
        </row>
        <row r="161">
          <cell r="A161" t="str">
            <v>XOZ</v>
          </cell>
          <cell r="B161" t="str">
            <v>CORN LICENSING</v>
          </cell>
          <cell r="M161" t="str">
            <v>NA</v>
          </cell>
          <cell r="N161" t="str">
            <v>Namibia</v>
          </cell>
        </row>
        <row r="162">
          <cell r="A162" t="str">
            <v>XQP</v>
          </cell>
          <cell r="B162" t="str">
            <v>CN GT/ECB/BL/CRW/DM/</v>
          </cell>
          <cell r="M162" t="str">
            <v>NT</v>
          </cell>
          <cell r="N162" t="str">
            <v>NATO</v>
          </cell>
        </row>
        <row r="163">
          <cell r="A163" t="str">
            <v>XRP</v>
          </cell>
          <cell r="B163" t="str">
            <v>CN GT/ECB/BL/CRW/WO</v>
          </cell>
          <cell r="M163" t="str">
            <v>NR</v>
          </cell>
          <cell r="N163" t="str">
            <v>Nauru</v>
          </cell>
        </row>
        <row r="164">
          <cell r="A164" t="str">
            <v>XSP</v>
          </cell>
          <cell r="B164" t="str">
            <v>CN GT/ECB/CRW/WO PRP</v>
          </cell>
          <cell r="M164" t="str">
            <v>NP</v>
          </cell>
          <cell r="N164" t="str">
            <v>Nepal</v>
          </cell>
        </row>
        <row r="165">
          <cell r="A165" t="str">
            <v>XXN</v>
          </cell>
          <cell r="B165" t="str">
            <v>Corn Non-GMO NT</v>
          </cell>
          <cell r="M165" t="str">
            <v>NL</v>
          </cell>
          <cell r="N165" t="str">
            <v>Netherlands</v>
          </cell>
        </row>
        <row r="166">
          <cell r="A166" t="str">
            <v>XXT</v>
          </cell>
          <cell r="B166" t="str">
            <v>Corn Non-GMO Treat</v>
          </cell>
          <cell r="M166" t="str">
            <v>NC</v>
          </cell>
          <cell r="N166" t="str">
            <v>New Caledonia</v>
          </cell>
        </row>
        <row r="167">
          <cell r="A167" t="str">
            <v>YAN</v>
          </cell>
          <cell r="B167" t="str">
            <v>Soybeans RR - NK NT</v>
          </cell>
          <cell r="M167" t="str">
            <v>NZ</v>
          </cell>
          <cell r="N167" t="str">
            <v>New Zealand</v>
          </cell>
        </row>
        <row r="168">
          <cell r="A168" t="str">
            <v>YAT</v>
          </cell>
          <cell r="B168" t="str">
            <v>Soybeans RR - NK Tre</v>
          </cell>
          <cell r="M168" t="str">
            <v>NI</v>
          </cell>
          <cell r="N168" t="str">
            <v>Nicaragua</v>
          </cell>
        </row>
        <row r="169">
          <cell r="A169" t="str">
            <v>YBN</v>
          </cell>
          <cell r="B169" t="str">
            <v>Soybeans RR - Non-NK</v>
          </cell>
          <cell r="M169" t="str">
            <v>NE</v>
          </cell>
          <cell r="N169" t="str">
            <v>Niger</v>
          </cell>
        </row>
        <row r="170">
          <cell r="A170" t="str">
            <v>YBT</v>
          </cell>
          <cell r="B170" t="str">
            <v>Soybeans RR - Non-NK</v>
          </cell>
          <cell r="M170" t="str">
            <v>NG</v>
          </cell>
          <cell r="N170" t="str">
            <v>Nigeria</v>
          </cell>
        </row>
        <row r="171">
          <cell r="A171" t="str">
            <v>YCN</v>
          </cell>
          <cell r="B171" t="str">
            <v>Soybeans RR2 NT</v>
          </cell>
          <cell r="M171" t="str">
            <v>NU</v>
          </cell>
          <cell r="N171" t="str">
            <v>Niue</v>
          </cell>
        </row>
        <row r="172">
          <cell r="A172" t="str">
            <v>YCT</v>
          </cell>
          <cell r="B172" t="str">
            <v>Soybeans RR2 Treat</v>
          </cell>
          <cell r="M172" t="str">
            <v>NF</v>
          </cell>
          <cell r="N172" t="str">
            <v>Norfolk Islands</v>
          </cell>
        </row>
        <row r="173">
          <cell r="A173" t="str">
            <v>YDN</v>
          </cell>
          <cell r="B173" t="str">
            <v>Soybeans RR NK Loli</v>
          </cell>
          <cell r="M173" t="str">
            <v>KP</v>
          </cell>
          <cell r="N173" t="str">
            <v>North Korea</v>
          </cell>
        </row>
        <row r="174">
          <cell r="A174" t="str">
            <v>YDT</v>
          </cell>
          <cell r="B174" t="str">
            <v>Soybeans RR NK Loli</v>
          </cell>
          <cell r="M174" t="str">
            <v>NO</v>
          </cell>
          <cell r="N174" t="str">
            <v>Norway</v>
          </cell>
        </row>
        <row r="175">
          <cell r="A175" t="str">
            <v>YEN</v>
          </cell>
          <cell r="B175" t="str">
            <v>Soybeans RR2 LoLi NT</v>
          </cell>
          <cell r="M175" t="str">
            <v>OM</v>
          </cell>
          <cell r="N175" t="str">
            <v>Oman</v>
          </cell>
        </row>
        <row r="176">
          <cell r="A176" t="str">
            <v>YET</v>
          </cell>
          <cell r="B176" t="str">
            <v>Soybeans RR2 LoLi Tr</v>
          </cell>
          <cell r="M176" t="str">
            <v>OR</v>
          </cell>
          <cell r="N176" t="str">
            <v>Orange</v>
          </cell>
        </row>
        <row r="177">
          <cell r="A177" t="str">
            <v>YFN</v>
          </cell>
          <cell r="B177" t="str">
            <v>Soybeans RR2 HPPD NT</v>
          </cell>
          <cell r="M177" t="str">
            <v>PK</v>
          </cell>
          <cell r="N177" t="str">
            <v>Pakistan</v>
          </cell>
        </row>
        <row r="178">
          <cell r="A178" t="str">
            <v>YFT</v>
          </cell>
          <cell r="B178" t="str">
            <v>Soybeans RR2 HPPD Tr</v>
          </cell>
          <cell r="M178" t="str">
            <v>PW</v>
          </cell>
          <cell r="N178" t="str">
            <v>Palau</v>
          </cell>
        </row>
        <row r="179">
          <cell r="A179" t="str">
            <v>YGN</v>
          </cell>
          <cell r="B179" t="str">
            <v>Soybeans RR2 Aphid N</v>
          </cell>
          <cell r="M179" t="str">
            <v>PS</v>
          </cell>
          <cell r="N179" t="str">
            <v>Palestine</v>
          </cell>
        </row>
        <row r="180">
          <cell r="A180" t="str">
            <v>YGT</v>
          </cell>
          <cell r="B180" t="str">
            <v>Soybeans RR2 Aphid T</v>
          </cell>
          <cell r="M180" t="str">
            <v>PA</v>
          </cell>
          <cell r="N180" t="str">
            <v>Panama</v>
          </cell>
        </row>
        <row r="181">
          <cell r="A181" t="str">
            <v>YOO</v>
          </cell>
          <cell r="B181" t="str">
            <v>Soybeans Other</v>
          </cell>
          <cell r="M181" t="str">
            <v>PG</v>
          </cell>
          <cell r="N181" t="str">
            <v>Pap. New Guinea</v>
          </cell>
        </row>
        <row r="182">
          <cell r="A182" t="str">
            <v>YOZ</v>
          </cell>
          <cell r="B182" t="str">
            <v>Soybeans Licensing</v>
          </cell>
          <cell r="M182" t="str">
            <v>PY</v>
          </cell>
          <cell r="N182" t="str">
            <v>Paraguay</v>
          </cell>
        </row>
        <row r="183">
          <cell r="A183" t="str">
            <v>YXN</v>
          </cell>
          <cell r="B183" t="str">
            <v>Soybeans Non-GMO NT</v>
          </cell>
          <cell r="M183" t="str">
            <v>PE</v>
          </cell>
          <cell r="N183" t="str">
            <v>Peru</v>
          </cell>
        </row>
        <row r="184">
          <cell r="A184" t="str">
            <v>YXT</v>
          </cell>
          <cell r="B184" t="str">
            <v>Soybeans Non-GMO Tre</v>
          </cell>
          <cell r="M184" t="str">
            <v>PH</v>
          </cell>
          <cell r="N184" t="str">
            <v>Philippines</v>
          </cell>
        </row>
        <row r="185">
          <cell r="A185" t="str">
            <v>ZAL</v>
          </cell>
          <cell r="B185" t="str">
            <v>ALFALFA NON-SDS MAT</v>
          </cell>
          <cell r="M185" t="str">
            <v>PN</v>
          </cell>
          <cell r="N185" t="str">
            <v>Pitcairn Islnds</v>
          </cell>
        </row>
        <row r="186">
          <cell r="A186" t="str">
            <v>ZBP</v>
          </cell>
          <cell r="B186" t="str">
            <v>BFP NON-SDS MAT</v>
          </cell>
          <cell r="M186" t="str">
            <v>PL</v>
          </cell>
          <cell r="N186" t="str">
            <v>Poland</v>
          </cell>
        </row>
        <row r="187">
          <cell r="A187" t="str">
            <v>ZCE</v>
          </cell>
          <cell r="B187" t="str">
            <v>CEREALS NON-SDS MAT</v>
          </cell>
          <cell r="M187" t="str">
            <v>PT</v>
          </cell>
          <cell r="N187" t="str">
            <v>Portugal</v>
          </cell>
        </row>
        <row r="188">
          <cell r="A188" t="str">
            <v>ZCN</v>
          </cell>
          <cell r="B188" t="str">
            <v>CORN NON-SDS MAT</v>
          </cell>
          <cell r="M188" t="str">
            <v>PR</v>
          </cell>
          <cell r="N188" t="str">
            <v>Puerto Rico</v>
          </cell>
        </row>
        <row r="189">
          <cell r="A189" t="str">
            <v>ZFS</v>
          </cell>
          <cell r="B189" t="str">
            <v>FLW SEEDS NON-SDS MA</v>
          </cell>
          <cell r="M189" t="str">
            <v>QA</v>
          </cell>
          <cell r="N189" t="str">
            <v>Qatar</v>
          </cell>
        </row>
        <row r="190">
          <cell r="A190" t="str">
            <v>ZOS</v>
          </cell>
          <cell r="B190" t="str">
            <v>WOSR NON-SDS MAT</v>
          </cell>
          <cell r="M190" t="str">
            <v>CG</v>
          </cell>
          <cell r="N190" t="str">
            <v>Rep.of Congo</v>
          </cell>
        </row>
        <row r="191">
          <cell r="A191" t="str">
            <v>ZOT</v>
          </cell>
          <cell r="B191" t="str">
            <v>DFC OTHER NON-SDS MA</v>
          </cell>
          <cell r="M191" t="str">
            <v>RE</v>
          </cell>
          <cell r="N191" t="str">
            <v>Reunion</v>
          </cell>
        </row>
        <row r="192">
          <cell r="A192" t="str">
            <v>ZRI</v>
          </cell>
          <cell r="B192" t="str">
            <v>RICE NON-SDS MAT</v>
          </cell>
          <cell r="M192" t="str">
            <v>RO</v>
          </cell>
          <cell r="N192" t="str">
            <v>Romania</v>
          </cell>
        </row>
        <row r="193">
          <cell r="A193" t="str">
            <v>ZSB</v>
          </cell>
          <cell r="B193" t="str">
            <v>SUGARBEET NON-SDS MA</v>
          </cell>
          <cell r="M193" t="str">
            <v>RU</v>
          </cell>
          <cell r="N193" t="str">
            <v>Russian Fed.</v>
          </cell>
        </row>
        <row r="194">
          <cell r="A194" t="str">
            <v>ZSR</v>
          </cell>
          <cell r="B194" t="str">
            <v>SORGHUM NON-SDS MAT</v>
          </cell>
          <cell r="M194" t="str">
            <v>RW</v>
          </cell>
          <cell r="N194" t="str">
            <v>Rwanda</v>
          </cell>
        </row>
        <row r="195">
          <cell r="A195" t="str">
            <v>ZSU</v>
          </cell>
          <cell r="B195" t="str">
            <v>SUNFLOWER NON-SDS MA</v>
          </cell>
          <cell r="M195" t="str">
            <v>GS</v>
          </cell>
          <cell r="N195" t="str">
            <v>S. Sandwich Ins</v>
          </cell>
        </row>
        <row r="196">
          <cell r="A196" t="str">
            <v>ZSY</v>
          </cell>
          <cell r="B196" t="str">
            <v>SOYBEANS NON-SDS MAT</v>
          </cell>
          <cell r="M196" t="str">
            <v>ST</v>
          </cell>
          <cell r="N196" t="str">
            <v>S.Tome,Principe</v>
          </cell>
        </row>
        <row r="197">
          <cell r="A197" t="str">
            <v>ZUR</v>
          </cell>
          <cell r="B197" t="str">
            <v>FLW CUTTING NON-SDS</v>
          </cell>
          <cell r="M197" t="str">
            <v>SH</v>
          </cell>
          <cell r="N197" t="str">
            <v>Saint Helena</v>
          </cell>
        </row>
        <row r="198">
          <cell r="A198" t="str">
            <v>ZVS</v>
          </cell>
          <cell r="B198" t="str">
            <v>VEGETABLE SEEDS NON-</v>
          </cell>
          <cell r="M198" t="str">
            <v>WS</v>
          </cell>
          <cell r="N198" t="str">
            <v>Samoa</v>
          </cell>
        </row>
        <row r="199">
          <cell r="A199" t="str">
            <v>ZYP</v>
          </cell>
          <cell r="B199" t="str">
            <v>FLW YP NON-SDS MAT</v>
          </cell>
          <cell r="M199" t="str">
            <v>AS</v>
          </cell>
          <cell r="N199" t="str">
            <v>Samoa, America</v>
          </cell>
        </row>
        <row r="200">
          <cell r="M200" t="str">
            <v>SM</v>
          </cell>
          <cell r="N200" t="str">
            <v>San Marino</v>
          </cell>
        </row>
        <row r="201">
          <cell r="M201" t="str">
            <v>SA</v>
          </cell>
          <cell r="N201" t="str">
            <v>Saudi Arabia</v>
          </cell>
        </row>
        <row r="202">
          <cell r="M202" t="str">
            <v>SN</v>
          </cell>
          <cell r="N202" t="str">
            <v>Senegal</v>
          </cell>
        </row>
        <row r="203">
          <cell r="M203" t="str">
            <v>RS</v>
          </cell>
          <cell r="N203" t="str">
            <v>Serbia</v>
          </cell>
        </row>
        <row r="204">
          <cell r="M204" t="str">
            <v>SC</v>
          </cell>
          <cell r="N204" t="str">
            <v>Seychelles</v>
          </cell>
        </row>
        <row r="205">
          <cell r="M205" t="str">
            <v>SL</v>
          </cell>
          <cell r="N205" t="str">
            <v>Sierra Leone</v>
          </cell>
        </row>
        <row r="206">
          <cell r="M206" t="str">
            <v>SG</v>
          </cell>
          <cell r="N206" t="str">
            <v>Singapore</v>
          </cell>
        </row>
        <row r="207">
          <cell r="M207" t="str">
            <v>SK</v>
          </cell>
          <cell r="N207" t="str">
            <v>Slovakia</v>
          </cell>
        </row>
        <row r="208">
          <cell r="M208" t="str">
            <v>SI</v>
          </cell>
          <cell r="N208" t="str">
            <v>Slovenia</v>
          </cell>
        </row>
        <row r="209">
          <cell r="M209" t="str">
            <v>SB</v>
          </cell>
          <cell r="N209" t="str">
            <v>Solomon Islands</v>
          </cell>
        </row>
        <row r="210">
          <cell r="M210" t="str">
            <v>SO</v>
          </cell>
          <cell r="N210" t="str">
            <v>Somalia</v>
          </cell>
        </row>
        <row r="211">
          <cell r="M211" t="str">
            <v>ZA</v>
          </cell>
          <cell r="N211" t="str">
            <v>South Africa</v>
          </cell>
        </row>
        <row r="212">
          <cell r="M212" t="str">
            <v>KR</v>
          </cell>
          <cell r="N212" t="str">
            <v>South Korea</v>
          </cell>
        </row>
        <row r="213">
          <cell r="M213" t="str">
            <v>ES</v>
          </cell>
          <cell r="N213" t="str">
            <v>Spain</v>
          </cell>
        </row>
        <row r="214">
          <cell r="M214" t="str">
            <v>LK</v>
          </cell>
          <cell r="N214" t="str">
            <v>Sri Lanka</v>
          </cell>
        </row>
        <row r="215">
          <cell r="M215" t="str">
            <v>KN</v>
          </cell>
          <cell r="N215" t="str">
            <v>St Kitts&amp;Nevis</v>
          </cell>
        </row>
        <row r="216">
          <cell r="M216" t="str">
            <v>LC</v>
          </cell>
          <cell r="N216" t="str">
            <v>St. Lucia</v>
          </cell>
        </row>
        <row r="217">
          <cell r="M217" t="str">
            <v>VC</v>
          </cell>
          <cell r="N217" t="str">
            <v>St. Vincent</v>
          </cell>
        </row>
        <row r="218">
          <cell r="M218" t="str">
            <v>PM</v>
          </cell>
          <cell r="N218" t="str">
            <v>St.Pier,Miquel.</v>
          </cell>
        </row>
        <row r="219">
          <cell r="M219" t="str">
            <v>SD</v>
          </cell>
          <cell r="N219" t="str">
            <v>Sudan</v>
          </cell>
        </row>
        <row r="220">
          <cell r="M220" t="str">
            <v>SR</v>
          </cell>
          <cell r="N220" t="str">
            <v>Suriname</v>
          </cell>
        </row>
        <row r="221">
          <cell r="M221" t="str">
            <v>SJ</v>
          </cell>
          <cell r="N221" t="str">
            <v>Svalbard</v>
          </cell>
        </row>
        <row r="222">
          <cell r="M222" t="str">
            <v>SZ</v>
          </cell>
          <cell r="N222" t="str">
            <v>Swaziland</v>
          </cell>
        </row>
        <row r="223">
          <cell r="M223" t="str">
            <v>SE</v>
          </cell>
          <cell r="N223" t="str">
            <v>Sweden</v>
          </cell>
        </row>
        <row r="224">
          <cell r="M224" t="str">
            <v>CH</v>
          </cell>
          <cell r="N224" t="str">
            <v>Switzerland</v>
          </cell>
        </row>
        <row r="225">
          <cell r="M225" t="str">
            <v>SY</v>
          </cell>
          <cell r="N225" t="str">
            <v>Syria</v>
          </cell>
        </row>
        <row r="226">
          <cell r="M226" t="str">
            <v>TW</v>
          </cell>
          <cell r="N226" t="str">
            <v>Taiwan</v>
          </cell>
        </row>
        <row r="227">
          <cell r="M227" t="str">
            <v>TJ</v>
          </cell>
          <cell r="N227" t="str">
            <v>Tajikistan</v>
          </cell>
        </row>
        <row r="228">
          <cell r="M228" t="str">
            <v>TZ</v>
          </cell>
          <cell r="N228" t="str">
            <v>Tanzania</v>
          </cell>
        </row>
        <row r="229">
          <cell r="M229" t="str">
            <v>TH</v>
          </cell>
          <cell r="N229" t="str">
            <v>Thailand</v>
          </cell>
        </row>
        <row r="230">
          <cell r="M230" t="str">
            <v>TG</v>
          </cell>
          <cell r="N230" t="str">
            <v>Togo</v>
          </cell>
        </row>
        <row r="231">
          <cell r="M231" t="str">
            <v>TK</v>
          </cell>
          <cell r="N231" t="str">
            <v>Tokelau Islands</v>
          </cell>
        </row>
        <row r="232">
          <cell r="M232" t="str">
            <v>TO</v>
          </cell>
          <cell r="N232" t="str">
            <v>Tonga</v>
          </cell>
        </row>
        <row r="233">
          <cell r="M233" t="str">
            <v>TT</v>
          </cell>
          <cell r="N233" t="str">
            <v>Trinidad,Tobago</v>
          </cell>
        </row>
        <row r="234">
          <cell r="M234" t="str">
            <v>TN</v>
          </cell>
          <cell r="N234" t="str">
            <v>Tunisia</v>
          </cell>
        </row>
        <row r="235">
          <cell r="M235" t="str">
            <v>TR</v>
          </cell>
          <cell r="N235" t="str">
            <v>Turkey</v>
          </cell>
        </row>
        <row r="236">
          <cell r="M236" t="str">
            <v>TM</v>
          </cell>
          <cell r="N236" t="str">
            <v>Turkmenistan</v>
          </cell>
        </row>
        <row r="237">
          <cell r="M237" t="str">
            <v>TC</v>
          </cell>
          <cell r="N237" t="str">
            <v>Turksh Caicosin</v>
          </cell>
        </row>
        <row r="238">
          <cell r="M238" t="str">
            <v>TV</v>
          </cell>
          <cell r="N238" t="str">
            <v>Tuvalu</v>
          </cell>
        </row>
        <row r="239">
          <cell r="M239" t="str">
            <v>UG</v>
          </cell>
          <cell r="N239" t="str">
            <v>Uganda</v>
          </cell>
        </row>
        <row r="240">
          <cell r="M240" t="str">
            <v>UA</v>
          </cell>
          <cell r="N240" t="str">
            <v>Ukraine</v>
          </cell>
        </row>
        <row r="241">
          <cell r="M241" t="str">
            <v>GB</v>
          </cell>
          <cell r="N241" t="str">
            <v>United Kingdom</v>
          </cell>
        </row>
        <row r="242">
          <cell r="M242" t="str">
            <v>UN</v>
          </cell>
          <cell r="N242" t="str">
            <v>United Nations</v>
          </cell>
        </row>
        <row r="243">
          <cell r="M243" t="str">
            <v>UY</v>
          </cell>
          <cell r="N243" t="str">
            <v>Uruguay</v>
          </cell>
        </row>
        <row r="244">
          <cell r="M244" t="str">
            <v>US</v>
          </cell>
          <cell r="N244" t="str">
            <v>USA</v>
          </cell>
        </row>
        <row r="245">
          <cell r="M245" t="str">
            <v>AE</v>
          </cell>
          <cell r="N245" t="str">
            <v>Utd.Arab Emir.</v>
          </cell>
        </row>
        <row r="246">
          <cell r="M246" t="str">
            <v>UZ</v>
          </cell>
          <cell r="N246" t="str">
            <v>Uzbekistan</v>
          </cell>
        </row>
        <row r="247">
          <cell r="M247" t="str">
            <v>VU</v>
          </cell>
          <cell r="N247" t="str">
            <v>Vanuatu</v>
          </cell>
        </row>
        <row r="248">
          <cell r="M248" t="str">
            <v>VA</v>
          </cell>
          <cell r="N248" t="str">
            <v>Vatican City</v>
          </cell>
        </row>
        <row r="249">
          <cell r="M249" t="str">
            <v>VE</v>
          </cell>
          <cell r="N249" t="str">
            <v>Venezuela</v>
          </cell>
        </row>
        <row r="250">
          <cell r="M250" t="str">
            <v>VN</v>
          </cell>
          <cell r="N250" t="str">
            <v>Vietnam</v>
          </cell>
        </row>
        <row r="251">
          <cell r="M251" t="str">
            <v>WF</v>
          </cell>
          <cell r="N251" t="str">
            <v>Wallis,Futuna</v>
          </cell>
        </row>
        <row r="252">
          <cell r="M252" t="str">
            <v>EH</v>
          </cell>
          <cell r="N252" t="str">
            <v>West Sahara</v>
          </cell>
        </row>
        <row r="253">
          <cell r="M253" t="str">
            <v>YE</v>
          </cell>
          <cell r="N253" t="str">
            <v>Yemen</v>
          </cell>
        </row>
        <row r="254">
          <cell r="M254" t="str">
            <v>ZM</v>
          </cell>
          <cell r="N254" t="str">
            <v>Zambia</v>
          </cell>
        </row>
        <row r="255">
          <cell r="M255" t="str">
            <v>ZW</v>
          </cell>
          <cell r="N255" t="str">
            <v>Zimbabwe</v>
          </cell>
        </row>
      </sheetData>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hange rate"/>
    </sheetNames>
    <sheetDataSet>
      <sheetData sheetId="0" refreshError="1">
        <row r="2">
          <cell r="A2">
            <v>1</v>
          </cell>
          <cell r="B2" t="str">
            <v>BEF</v>
          </cell>
          <cell r="C2" t="str">
            <v>Belgium</v>
          </cell>
          <cell r="D2" t="str">
            <v>Franc</v>
          </cell>
          <cell r="E2">
            <v>46.197000000000003</v>
          </cell>
          <cell r="F2">
            <v>0</v>
          </cell>
        </row>
        <row r="3">
          <cell r="A3">
            <v>2</v>
          </cell>
          <cell r="B3" t="str">
            <v>AED</v>
          </cell>
          <cell r="C3" t="str">
            <v xml:space="preserve">Arab Emirates </v>
          </cell>
          <cell r="D3" t="str">
            <v xml:space="preserve">Dirham </v>
          </cell>
          <cell r="E3">
            <v>3.6795</v>
          </cell>
          <cell r="F3">
            <v>3.6804999999999999</v>
          </cell>
        </row>
        <row r="4">
          <cell r="A4">
            <v>3</v>
          </cell>
          <cell r="B4" t="str">
            <v>ARS</v>
          </cell>
          <cell r="C4" t="str">
            <v>Argentina</v>
          </cell>
          <cell r="D4" t="str">
            <v>Peso</v>
          </cell>
          <cell r="E4">
            <v>0.99960000000000004</v>
          </cell>
          <cell r="F4">
            <v>3.6320000000000001</v>
          </cell>
        </row>
        <row r="5">
          <cell r="A5">
            <v>4</v>
          </cell>
          <cell r="B5" t="str">
            <v>ATS</v>
          </cell>
          <cell r="C5" t="str">
            <v>Austria</v>
          </cell>
          <cell r="D5" t="str">
            <v>Schilling</v>
          </cell>
          <cell r="E5">
            <v>15.7582</v>
          </cell>
          <cell r="F5">
            <v>0</v>
          </cell>
        </row>
        <row r="6">
          <cell r="A6">
            <v>5</v>
          </cell>
          <cell r="B6" t="str">
            <v>AUD</v>
          </cell>
          <cell r="C6" t="str">
            <v>Australia</v>
          </cell>
          <cell r="D6" t="str">
            <v>Dollar</v>
          </cell>
          <cell r="E6">
            <v>1.9855</v>
          </cell>
          <cell r="F6">
            <v>1.9623999999999999</v>
          </cell>
        </row>
        <row r="7">
          <cell r="A7">
            <v>6</v>
          </cell>
          <cell r="B7" t="str">
            <v>BDT</v>
          </cell>
          <cell r="C7" t="str">
            <v>Bangladesh</v>
          </cell>
          <cell r="D7" t="str">
            <v>Taka</v>
          </cell>
          <cell r="E7">
            <v>60.327500000000001</v>
          </cell>
          <cell r="F7">
            <v>57.265300000000003</v>
          </cell>
        </row>
        <row r="8">
          <cell r="A8">
            <v>7</v>
          </cell>
          <cell r="B8" t="str">
            <v>BMD</v>
          </cell>
          <cell r="C8" t="str">
            <v>Bermuda</v>
          </cell>
          <cell r="D8" t="str">
            <v>Dollar</v>
          </cell>
          <cell r="E8">
            <v>0.99350000000000005</v>
          </cell>
          <cell r="F8">
            <v>0.99919999999999998</v>
          </cell>
        </row>
        <row r="9">
          <cell r="A9">
            <v>8</v>
          </cell>
          <cell r="B9" t="str">
            <v>BRL</v>
          </cell>
          <cell r="C9" t="str">
            <v>Brazil</v>
          </cell>
          <cell r="D9" t="str">
            <v>Real</v>
          </cell>
          <cell r="E9">
            <v>2.6162000000000001</v>
          </cell>
          <cell r="F9">
            <v>2.6183000000000001</v>
          </cell>
        </row>
        <row r="10">
          <cell r="A10">
            <v>9</v>
          </cell>
          <cell r="B10" t="str">
            <v>CAD</v>
          </cell>
          <cell r="C10" t="str">
            <v>Canada</v>
          </cell>
          <cell r="D10" t="str">
            <v>Dollar</v>
          </cell>
          <cell r="E10">
            <v>1.5315000000000001</v>
          </cell>
          <cell r="F10">
            <v>1.5899000000000001</v>
          </cell>
        </row>
        <row r="11">
          <cell r="A11">
            <v>10</v>
          </cell>
          <cell r="B11" t="str">
            <v>CHF</v>
          </cell>
          <cell r="C11" t="str">
            <v>Switzerland</v>
          </cell>
          <cell r="D11" t="str">
            <v>Franc</v>
          </cell>
          <cell r="E11">
            <v>1.7213000000000001</v>
          </cell>
          <cell r="F11">
            <v>1.7002999999999999</v>
          </cell>
        </row>
        <row r="12">
          <cell r="A12">
            <v>11</v>
          </cell>
          <cell r="B12" t="str">
            <v>CLP</v>
          </cell>
          <cell r="C12" t="str">
            <v>Chile</v>
          </cell>
          <cell r="D12" t="str">
            <v>Peso</v>
          </cell>
          <cell r="E12">
            <v>741.27610000000004</v>
          </cell>
          <cell r="F12">
            <v>687.9384</v>
          </cell>
        </row>
        <row r="13">
          <cell r="A13">
            <v>12</v>
          </cell>
          <cell r="B13" t="str">
            <v>CNY</v>
          </cell>
          <cell r="C13" t="str">
            <v>China</v>
          </cell>
          <cell r="D13" t="str">
            <v>YuanRMB</v>
          </cell>
          <cell r="E13">
            <v>8.3074999999999992</v>
          </cell>
          <cell r="F13">
            <v>8.2932000000000006</v>
          </cell>
        </row>
        <row r="14">
          <cell r="A14">
            <v>13</v>
          </cell>
          <cell r="B14" t="str">
            <v>COP</v>
          </cell>
          <cell r="C14" t="str">
            <v>Colombia</v>
          </cell>
          <cell r="D14" t="str">
            <v>Peso</v>
          </cell>
          <cell r="E14">
            <v>2371.4078</v>
          </cell>
          <cell r="F14">
            <v>2391.2600000000002</v>
          </cell>
        </row>
        <row r="15">
          <cell r="A15">
            <v>14</v>
          </cell>
          <cell r="B15" t="str">
            <v>CRC</v>
          </cell>
          <cell r="C15" t="str">
            <v>Costa Rica</v>
          </cell>
          <cell r="D15" t="str">
            <v>Colon</v>
          </cell>
          <cell r="E15">
            <v>338.99470000000002</v>
          </cell>
          <cell r="F15">
            <v>345.69979999999998</v>
          </cell>
        </row>
        <row r="16">
          <cell r="A16">
            <v>15</v>
          </cell>
          <cell r="B16" t="str">
            <v>CYP</v>
          </cell>
          <cell r="C16" t="str">
            <v>Cyprus</v>
          </cell>
          <cell r="D16" t="str">
            <v xml:space="preserve">Pound </v>
          </cell>
          <cell r="E16">
            <v>0.68479999999999996</v>
          </cell>
          <cell r="F16">
            <v>0.6925</v>
          </cell>
        </row>
        <row r="17">
          <cell r="A17">
            <v>16</v>
          </cell>
          <cell r="B17" t="str">
            <v>CZK</v>
          </cell>
          <cell r="C17" t="str">
            <v>Czech Republic</v>
          </cell>
          <cell r="D17" t="str">
            <v>Koruna</v>
          </cell>
          <cell r="E17">
            <v>39.064</v>
          </cell>
          <cell r="F17">
            <v>36.578299999999999</v>
          </cell>
        </row>
        <row r="18">
          <cell r="A18">
            <v>17</v>
          </cell>
          <cell r="B18" t="str">
            <v>DEM</v>
          </cell>
          <cell r="C18" t="str">
            <v>Germany</v>
          </cell>
          <cell r="D18" t="str">
            <v>Mark</v>
          </cell>
          <cell r="E18">
            <v>2.2397999999999998</v>
          </cell>
          <cell r="F18">
            <v>0</v>
          </cell>
        </row>
        <row r="19">
          <cell r="A19">
            <v>18</v>
          </cell>
          <cell r="B19" t="str">
            <v>DKK</v>
          </cell>
          <cell r="C19" t="str">
            <v>Denmark</v>
          </cell>
          <cell r="D19" t="str">
            <v>Krone</v>
          </cell>
          <cell r="E19">
            <v>8.5424000000000007</v>
          </cell>
          <cell r="F19">
            <v>8.5779999999999994</v>
          </cell>
        </row>
        <row r="20">
          <cell r="A20">
            <v>19</v>
          </cell>
          <cell r="B20" t="str">
            <v>DZD</v>
          </cell>
          <cell r="C20" t="str">
            <v xml:space="preserve">Algeria </v>
          </cell>
          <cell r="D20" t="str">
            <v>Dinar</v>
          </cell>
          <cell r="E20">
            <v>81.113100000000003</v>
          </cell>
          <cell r="F20">
            <v>75.878600000000006</v>
          </cell>
        </row>
        <row r="21">
          <cell r="A21">
            <v>20</v>
          </cell>
          <cell r="B21" t="str">
            <v>ECS</v>
          </cell>
          <cell r="C21" t="str">
            <v>Ecuador</v>
          </cell>
          <cell r="D21" t="str">
            <v>Sucre</v>
          </cell>
          <cell r="E21">
            <v>25000</v>
          </cell>
          <cell r="F21">
            <v>25000</v>
          </cell>
        </row>
        <row r="22">
          <cell r="A22">
            <v>21</v>
          </cell>
          <cell r="B22" t="str">
            <v>EGP</v>
          </cell>
          <cell r="C22" t="str">
            <v>Egypt</v>
          </cell>
          <cell r="D22" t="str">
            <v>Pound</v>
          </cell>
          <cell r="E22">
            <v>3.9908000000000001</v>
          </cell>
          <cell r="F22">
            <v>4.6367000000000003</v>
          </cell>
        </row>
        <row r="23">
          <cell r="A23">
            <v>22</v>
          </cell>
          <cell r="B23" t="str">
            <v>ESP</v>
          </cell>
          <cell r="C23" t="str">
            <v>Spain</v>
          </cell>
          <cell r="D23" t="str">
            <v>Peseta</v>
          </cell>
          <cell r="E23">
            <v>190.54409999999999</v>
          </cell>
          <cell r="F23">
            <v>0</v>
          </cell>
        </row>
        <row r="24">
          <cell r="A24">
            <v>23</v>
          </cell>
          <cell r="B24" t="str">
            <v>EUR</v>
          </cell>
          <cell r="C24" t="str">
            <v>Europe</v>
          </cell>
          <cell r="D24" t="str">
            <v>Euro</v>
          </cell>
          <cell r="E24">
            <v>1.1452</v>
          </cell>
          <cell r="F24">
            <v>1.1536999999999999</v>
          </cell>
        </row>
        <row r="25">
          <cell r="A25">
            <v>24</v>
          </cell>
          <cell r="B25" t="str">
            <v>FIM</v>
          </cell>
          <cell r="C25" t="str">
            <v>Finland</v>
          </cell>
          <cell r="D25" t="str">
            <v>Markka</v>
          </cell>
          <cell r="E25">
            <v>6.8090000000000002</v>
          </cell>
          <cell r="F25">
            <v>1</v>
          </cell>
        </row>
        <row r="26">
          <cell r="A26">
            <v>25</v>
          </cell>
          <cell r="B26" t="str">
            <v>FRF</v>
          </cell>
          <cell r="C26" t="str">
            <v>France</v>
          </cell>
          <cell r="D26" t="str">
            <v>Franc</v>
          </cell>
          <cell r="E26">
            <v>7.5119999999999996</v>
          </cell>
          <cell r="F26">
            <v>0</v>
          </cell>
        </row>
        <row r="27">
          <cell r="A27">
            <v>26</v>
          </cell>
          <cell r="B27" t="str">
            <v>GBP</v>
          </cell>
          <cell r="C27" t="str">
            <v>United Kingdom</v>
          </cell>
          <cell r="D27" t="str">
            <v>Pound</v>
          </cell>
          <cell r="E27">
            <v>0.70530000000000004</v>
          </cell>
          <cell r="F27">
            <v>0.70579999999999998</v>
          </cell>
        </row>
        <row r="28">
          <cell r="A28">
            <v>27</v>
          </cell>
          <cell r="B28" t="str">
            <v>GRD</v>
          </cell>
          <cell r="C28" t="str">
            <v>Greece</v>
          </cell>
          <cell r="D28" t="str">
            <v>Drachma</v>
          </cell>
          <cell r="E28">
            <v>390.22460000000001</v>
          </cell>
          <cell r="F28">
            <v>0</v>
          </cell>
        </row>
        <row r="29">
          <cell r="A29">
            <v>28</v>
          </cell>
          <cell r="B29" t="str">
            <v>GTQ</v>
          </cell>
          <cell r="C29" t="str">
            <v>Guatemala</v>
          </cell>
          <cell r="D29" t="str">
            <v>Quetzal</v>
          </cell>
          <cell r="E29">
            <v>7.9169</v>
          </cell>
          <cell r="F29">
            <v>7.9359999999999999</v>
          </cell>
        </row>
        <row r="30">
          <cell r="A30">
            <v>29</v>
          </cell>
          <cell r="B30" t="str">
            <v>HKD</v>
          </cell>
          <cell r="C30" t="str">
            <v>Hong Kong</v>
          </cell>
          <cell r="D30" t="str">
            <v>Dollar</v>
          </cell>
          <cell r="E30">
            <v>7.7987000000000002</v>
          </cell>
          <cell r="F30">
            <v>7.6614000000000004</v>
          </cell>
        </row>
        <row r="31">
          <cell r="A31">
            <v>30</v>
          </cell>
          <cell r="B31" t="str">
            <v>HUF</v>
          </cell>
          <cell r="C31" t="str">
            <v>Hungary</v>
          </cell>
          <cell r="D31" t="str">
            <v>Forint</v>
          </cell>
          <cell r="E31">
            <v>288.1574</v>
          </cell>
          <cell r="F31">
            <v>281.51510000000002</v>
          </cell>
        </row>
        <row r="32">
          <cell r="A32">
            <v>31</v>
          </cell>
          <cell r="B32" t="str">
            <v>IDR</v>
          </cell>
          <cell r="C32" t="str">
            <v>Indonesia</v>
          </cell>
          <cell r="D32" t="str">
            <v>Rupiah</v>
          </cell>
          <cell r="E32">
            <v>9525</v>
          </cell>
          <cell r="F32">
            <v>10743.28</v>
          </cell>
        </row>
        <row r="33">
          <cell r="A33">
            <v>32</v>
          </cell>
          <cell r="B33" t="str">
            <v>IEP</v>
          </cell>
          <cell r="C33" t="str">
            <v>Ireland</v>
          </cell>
          <cell r="D33" t="str">
            <v>Punt</v>
          </cell>
          <cell r="E33">
            <v>0.90190000000000003</v>
          </cell>
          <cell r="F33">
            <v>0</v>
          </cell>
        </row>
        <row r="34">
          <cell r="A34">
            <v>33</v>
          </cell>
          <cell r="B34" t="str">
            <v>INR</v>
          </cell>
          <cell r="C34" t="str">
            <v>India</v>
          </cell>
          <cell r="D34" t="str">
            <v>Rupee</v>
          </cell>
          <cell r="E34">
            <v>48.472499999999997</v>
          </cell>
          <cell r="F34">
            <v>50.261099999999999</v>
          </cell>
        </row>
        <row r="35">
          <cell r="A35">
            <v>34</v>
          </cell>
          <cell r="B35" t="str">
            <v>IRR</v>
          </cell>
          <cell r="C35" t="str">
            <v>Iran</v>
          </cell>
          <cell r="D35" t="str">
            <v>Rial</v>
          </cell>
          <cell r="E35">
            <v>7982.9746999999998</v>
          </cell>
          <cell r="F35">
            <v>7958</v>
          </cell>
        </row>
        <row r="36">
          <cell r="A36">
            <v>35</v>
          </cell>
          <cell r="B36" t="str">
            <v>ITL</v>
          </cell>
          <cell r="C36" t="str">
            <v>Italy</v>
          </cell>
          <cell r="D36" t="str">
            <v>Lira</v>
          </cell>
          <cell r="E36">
            <v>2217.4034999999999</v>
          </cell>
          <cell r="F36">
            <v>0</v>
          </cell>
        </row>
        <row r="37">
          <cell r="A37">
            <v>36</v>
          </cell>
          <cell r="B37" t="str">
            <v>JPY</v>
          </cell>
          <cell r="C37" t="str">
            <v>Japan</v>
          </cell>
          <cell r="D37" t="str">
            <v>Yen</v>
          </cell>
          <cell r="E37">
            <v>122.9067</v>
          </cell>
          <cell r="F37">
            <v>128.0402</v>
          </cell>
        </row>
        <row r="38">
          <cell r="A38">
            <v>37</v>
          </cell>
          <cell r="B38" t="str">
            <v>KES</v>
          </cell>
          <cell r="C38" t="str">
            <v>Kenya</v>
          </cell>
          <cell r="D38" t="str">
            <v>Shilling</v>
          </cell>
          <cell r="E38">
            <v>79.446399999999997</v>
          </cell>
          <cell r="F38">
            <v>77.951899999999995</v>
          </cell>
        </row>
        <row r="39">
          <cell r="A39">
            <v>38</v>
          </cell>
          <cell r="B39" t="str">
            <v>KRW</v>
          </cell>
          <cell r="C39" t="str">
            <v>Korea South</v>
          </cell>
          <cell r="D39" t="str">
            <v>Won</v>
          </cell>
          <cell r="E39">
            <v>1313.4214999999999</v>
          </cell>
          <cell r="F39">
            <v>1328.175</v>
          </cell>
        </row>
        <row r="40">
          <cell r="A40">
            <v>39</v>
          </cell>
          <cell r="B40" t="str">
            <v>MAD</v>
          </cell>
          <cell r="C40" t="str">
            <v>Morocco</v>
          </cell>
          <cell r="D40" t="str">
            <v>Dirham</v>
          </cell>
          <cell r="E40">
            <v>12.4626</v>
          </cell>
          <cell r="F40">
            <v>12.0381</v>
          </cell>
        </row>
        <row r="41">
          <cell r="A41">
            <v>40</v>
          </cell>
          <cell r="B41" t="str">
            <v>MXN</v>
          </cell>
          <cell r="C41" t="str">
            <v>Mexico</v>
          </cell>
          <cell r="D41" t="str">
            <v>Peso</v>
          </cell>
          <cell r="E41">
            <v>9.3204999999999991</v>
          </cell>
          <cell r="F41">
            <v>9.3641000000000005</v>
          </cell>
        </row>
        <row r="42">
          <cell r="A42">
            <v>41</v>
          </cell>
          <cell r="B42" t="str">
            <v>MYR</v>
          </cell>
          <cell r="C42" t="str">
            <v>Malaysia</v>
          </cell>
          <cell r="D42" t="str">
            <v>Ringgit</v>
          </cell>
          <cell r="E42">
            <v>3.7938999999999998</v>
          </cell>
          <cell r="F42">
            <v>3.8005</v>
          </cell>
        </row>
        <row r="43">
          <cell r="A43">
            <v>42</v>
          </cell>
          <cell r="B43" t="str">
            <v>NGN</v>
          </cell>
          <cell r="C43" t="str">
            <v>Nigeria</v>
          </cell>
          <cell r="D43" t="str">
            <v>Naira</v>
          </cell>
          <cell r="E43">
            <v>113.25700000000001</v>
          </cell>
          <cell r="F43">
            <v>116.5333</v>
          </cell>
        </row>
        <row r="44">
          <cell r="A44">
            <v>43</v>
          </cell>
          <cell r="B44" t="str">
            <v>NLG</v>
          </cell>
          <cell r="C44" t="str">
            <v>Netherlands</v>
          </cell>
          <cell r="D44" t="str">
            <v>Gulder</v>
          </cell>
          <cell r="E44">
            <v>2.5236999999999998</v>
          </cell>
          <cell r="F44">
            <v>0</v>
          </cell>
        </row>
        <row r="45">
          <cell r="A45">
            <v>44</v>
          </cell>
          <cell r="B45" t="str">
            <v>NOK</v>
          </cell>
          <cell r="C45" t="str">
            <v>Norway</v>
          </cell>
          <cell r="D45" t="str">
            <v>Kroner</v>
          </cell>
          <cell r="E45">
            <v>9.2568999999999999</v>
          </cell>
          <cell r="F45">
            <v>9.0685000000000002</v>
          </cell>
        </row>
        <row r="46">
          <cell r="A46">
            <v>45</v>
          </cell>
          <cell r="B46" t="str">
            <v>NZD</v>
          </cell>
          <cell r="C46" t="str">
            <v>New Zealand</v>
          </cell>
          <cell r="D46" t="str">
            <v>Dollar</v>
          </cell>
          <cell r="E46">
            <v>2.4449999999999998</v>
          </cell>
          <cell r="F46">
            <v>2.4014000000000002</v>
          </cell>
        </row>
        <row r="47">
          <cell r="A47">
            <v>46</v>
          </cell>
          <cell r="B47" t="str">
            <v>PAB</v>
          </cell>
          <cell r="C47" t="str">
            <v>Panama</v>
          </cell>
          <cell r="D47" t="str">
            <v>Balboa</v>
          </cell>
          <cell r="E47">
            <v>0.9829</v>
          </cell>
          <cell r="F47">
            <v>1</v>
          </cell>
        </row>
        <row r="48">
          <cell r="A48">
            <v>47</v>
          </cell>
          <cell r="B48" t="str">
            <v>PEN</v>
          </cell>
          <cell r="C48" t="str">
            <v>Peru</v>
          </cell>
          <cell r="D48" t="str">
            <v>NuevoSol</v>
          </cell>
          <cell r="E48">
            <v>3.4599000000000002</v>
          </cell>
          <cell r="F48">
            <v>3.5093999999999999</v>
          </cell>
        </row>
        <row r="49">
          <cell r="A49">
            <v>48</v>
          </cell>
          <cell r="B49" t="str">
            <v>PHP</v>
          </cell>
          <cell r="C49" t="str">
            <v>Philippines</v>
          </cell>
          <cell r="D49" t="str">
            <v>Peso</v>
          </cell>
          <cell r="E49">
            <v>55.243499999999997</v>
          </cell>
          <cell r="F49">
            <v>51.301699999999997</v>
          </cell>
        </row>
        <row r="50">
          <cell r="A50">
            <v>49</v>
          </cell>
          <cell r="B50" t="str">
            <v>PKR</v>
          </cell>
          <cell r="C50" t="str">
            <v>Pakistan</v>
          </cell>
          <cell r="D50" t="str">
            <v>Rupee</v>
          </cell>
          <cell r="E50">
            <v>65.7</v>
          </cell>
          <cell r="F50">
            <v>60.057299999999998</v>
          </cell>
        </row>
        <row r="51">
          <cell r="A51">
            <v>50</v>
          </cell>
          <cell r="B51" t="str">
            <v>PLN</v>
          </cell>
          <cell r="C51" t="str">
            <v>Poland</v>
          </cell>
          <cell r="D51" t="str">
            <v>Zloty</v>
          </cell>
          <cell r="E51">
            <v>4.3632</v>
          </cell>
          <cell r="F51">
            <v>4.2782999999999998</v>
          </cell>
        </row>
        <row r="52">
          <cell r="A52">
            <v>51</v>
          </cell>
          <cell r="B52" t="str">
            <v>PTE</v>
          </cell>
          <cell r="C52" t="str">
            <v>Portugal</v>
          </cell>
          <cell r="D52" t="str">
            <v>Escudo</v>
          </cell>
          <cell r="E52">
            <v>229.5907</v>
          </cell>
          <cell r="F52">
            <v>0</v>
          </cell>
        </row>
        <row r="53">
          <cell r="A53">
            <v>52</v>
          </cell>
          <cell r="B53" t="str">
            <v>PYG</v>
          </cell>
          <cell r="C53" t="str">
            <v>Paraguay</v>
          </cell>
          <cell r="D53" t="str">
            <v>Guarani</v>
          </cell>
          <cell r="E53">
            <v>4891.6683000000003</v>
          </cell>
          <cell r="F53">
            <v>4850.0540000000001</v>
          </cell>
        </row>
        <row r="54">
          <cell r="A54">
            <v>53</v>
          </cell>
          <cell r="B54" t="str">
            <v>RUR</v>
          </cell>
          <cell r="C54" t="str">
            <v>Russian Federation</v>
          </cell>
          <cell r="D54" t="str">
            <v>Rouble</v>
          </cell>
          <cell r="E54">
            <v>29.944600000000001</v>
          </cell>
          <cell r="F54">
            <v>31.806100000000001</v>
          </cell>
        </row>
        <row r="55">
          <cell r="A55">
            <v>54</v>
          </cell>
          <cell r="B55" t="str">
            <v>SAR</v>
          </cell>
          <cell r="C55" t="str">
            <v xml:space="preserve">Saudi Arabia </v>
          </cell>
          <cell r="D55" t="str">
            <v xml:space="preserve">Riyal </v>
          </cell>
          <cell r="E55">
            <v>3.7517999999999998</v>
          </cell>
          <cell r="F55">
            <v>3.7566999999999999</v>
          </cell>
        </row>
        <row r="56">
          <cell r="A56">
            <v>55</v>
          </cell>
          <cell r="B56" t="str">
            <v>SEK</v>
          </cell>
          <cell r="C56" t="str">
            <v>Sweden</v>
          </cell>
          <cell r="D56" t="str">
            <v>Krona</v>
          </cell>
          <cell r="E56">
            <v>10.6043</v>
          </cell>
          <cell r="F56">
            <v>10.630800000000001</v>
          </cell>
        </row>
        <row r="57">
          <cell r="A57">
            <v>56</v>
          </cell>
          <cell r="B57" t="str">
            <v>SGD</v>
          </cell>
          <cell r="C57" t="str">
            <v>Singapore</v>
          </cell>
          <cell r="D57" t="str">
            <v>Dollar</v>
          </cell>
          <cell r="E57">
            <v>1.7927999999999999</v>
          </cell>
          <cell r="F57">
            <v>1.8224</v>
          </cell>
        </row>
        <row r="58">
          <cell r="A58">
            <v>57</v>
          </cell>
          <cell r="B58" t="str">
            <v>SIT</v>
          </cell>
          <cell r="C58" t="str">
            <v>Slovenia</v>
          </cell>
          <cell r="D58" t="str">
            <v>Tolar</v>
          </cell>
          <cell r="E58">
            <v>266.18060000000003</v>
          </cell>
          <cell r="F58">
            <v>254.01419999999999</v>
          </cell>
        </row>
        <row r="59">
          <cell r="A59">
            <v>58</v>
          </cell>
          <cell r="B59" t="str">
            <v>THB</v>
          </cell>
          <cell r="C59" t="str">
            <v>Thailand</v>
          </cell>
          <cell r="D59" t="str">
            <v>Baht</v>
          </cell>
          <cell r="E59">
            <v>46.7575</v>
          </cell>
          <cell r="F59">
            <v>43.985100000000003</v>
          </cell>
        </row>
        <row r="60">
          <cell r="A60">
            <v>59</v>
          </cell>
          <cell r="B60" t="str">
            <v>TRL</v>
          </cell>
          <cell r="C60" t="str">
            <v>Turkey</v>
          </cell>
          <cell r="D60" t="str">
            <v>Lira</v>
          </cell>
          <cell r="E60">
            <v>1618640.9242</v>
          </cell>
          <cell r="F60">
            <v>1516818</v>
          </cell>
        </row>
        <row r="61">
          <cell r="A61">
            <v>60</v>
          </cell>
          <cell r="B61" t="str">
            <v>TWD</v>
          </cell>
          <cell r="C61" t="str">
            <v>Taiwan</v>
          </cell>
          <cell r="D61" t="str">
            <v>Dollar</v>
          </cell>
          <cell r="E61">
            <v>34.965499999999999</v>
          </cell>
          <cell r="F61">
            <v>35.3033</v>
          </cell>
        </row>
        <row r="62">
          <cell r="A62">
            <v>61</v>
          </cell>
          <cell r="B62" t="str">
            <v>UAH</v>
          </cell>
          <cell r="C62" t="str">
            <v>Ukraine</v>
          </cell>
          <cell r="D62" t="str">
            <v>Hryvnia</v>
          </cell>
          <cell r="E62">
            <v>5.2859999999999996</v>
          </cell>
          <cell r="F62">
            <v>5.3219000000000003</v>
          </cell>
        </row>
        <row r="63">
          <cell r="A63">
            <v>62</v>
          </cell>
          <cell r="B63" t="str">
            <v>USD</v>
          </cell>
          <cell r="C63" t="str">
            <v>United States</v>
          </cell>
          <cell r="D63" t="str">
            <v>Dollar</v>
          </cell>
          <cell r="E63">
            <v>1</v>
          </cell>
          <cell r="F63">
            <v>1</v>
          </cell>
        </row>
        <row r="64">
          <cell r="A64">
            <v>63</v>
          </cell>
          <cell r="B64" t="str">
            <v>USD_LC</v>
          </cell>
          <cell r="C64" t="str">
            <v>United States</v>
          </cell>
          <cell r="D64" t="str">
            <v>Dollar</v>
          </cell>
          <cell r="E64">
            <v>1</v>
          </cell>
          <cell r="F64">
            <v>1</v>
          </cell>
        </row>
        <row r="65">
          <cell r="A65">
            <v>64</v>
          </cell>
          <cell r="B65" t="str">
            <v>UYU</v>
          </cell>
          <cell r="C65" t="str">
            <v>Uruguay</v>
          </cell>
          <cell r="D65" t="str">
            <v>Peso</v>
          </cell>
          <cell r="E65">
            <v>25.164000000000001</v>
          </cell>
          <cell r="F65">
            <v>15.2072</v>
          </cell>
        </row>
        <row r="66">
          <cell r="A66">
            <v>65</v>
          </cell>
          <cell r="B66" t="str">
            <v>VEB</v>
          </cell>
          <cell r="C66" t="str">
            <v>Venezuela</v>
          </cell>
          <cell r="D66" t="str">
            <v>Bolivar</v>
          </cell>
          <cell r="E66">
            <v>757.36149999999998</v>
          </cell>
          <cell r="F66">
            <v>1208.7329999999999</v>
          </cell>
        </row>
        <row r="67">
          <cell r="A67">
            <v>66</v>
          </cell>
          <cell r="B67" t="str">
            <v>VND</v>
          </cell>
          <cell r="C67" t="str">
            <v>Vietnam</v>
          </cell>
          <cell r="D67" t="str">
            <v>Dong</v>
          </cell>
          <cell r="E67">
            <v>15241.0489</v>
          </cell>
          <cell r="F67">
            <v>15126.73</v>
          </cell>
        </row>
        <row r="68">
          <cell r="A68">
            <v>67</v>
          </cell>
          <cell r="B68" t="str">
            <v>XOF</v>
          </cell>
          <cell r="C68" t="str">
            <v>XO-Union</v>
          </cell>
          <cell r="D68" t="str">
            <v>Franc</v>
          </cell>
          <cell r="E68">
            <v>782.95809999999994</v>
          </cell>
          <cell r="F68">
            <v>782.95809999999994</v>
          </cell>
        </row>
        <row r="69">
          <cell r="A69">
            <v>68</v>
          </cell>
          <cell r="B69" t="str">
            <v>ZAR</v>
          </cell>
          <cell r="C69" t="str">
            <v>South Africa</v>
          </cell>
          <cell r="D69" t="str">
            <v>Rand</v>
          </cell>
          <cell r="E69">
            <v>8.4515999999999991</v>
          </cell>
          <cell r="F69">
            <v>11.886900000000001</v>
          </cell>
        </row>
        <row r="70">
          <cell r="A70">
            <v>69</v>
          </cell>
          <cell r="B70" t="str">
            <v>ZWD</v>
          </cell>
          <cell r="C70" t="str">
            <v>Zimbabwe</v>
          </cell>
          <cell r="D70" t="str">
            <v>Dollar</v>
          </cell>
          <cell r="E70">
            <v>55.400300000000001</v>
          </cell>
          <cell r="F70">
            <v>55.44</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nd Budget COGS Assp"/>
      <sheetName val="Update Process"/>
      <sheetName val="YTD budget sales"/>
      <sheetName val="YTD act 07"/>
      <sheetName val="YTD act 06"/>
      <sheetName val="YTD Act to Bud Graphs"/>
      <sheetName val="monthend schedules"/>
      <sheetName val="COGS Bridge"/>
      <sheetName val="MTD COGS vs Bud"/>
      <sheetName val="MTD Treat COGS vs Bud"/>
      <sheetName val="YTD COGS vs Budget"/>
      <sheetName val="YTD Treat COGS vs budget"/>
      <sheetName val="calc treat"/>
      <sheetName val="Summary Order Position vs Budg"/>
      <sheetName val="Tmt Cost Order vs Budget"/>
      <sheetName val="Non-Treat Pivot based on orders"/>
      <sheetName val="Treat Pivot based on orders"/>
      <sheetName val="Sheet5"/>
      <sheetName val="Sheet6"/>
      <sheetName val="Sheet1"/>
      <sheetName val="Sheet4"/>
      <sheetName val="Sheet2"/>
      <sheetName val="Corn Pivot based on orders"/>
      <sheetName val="Soy Pivot based on orders"/>
      <sheetName val="SAPBW_DOWNLOAD"/>
      <sheetName val="Variance Summary"/>
      <sheetName val="Current US13 Corn YTD"/>
      <sheetName val="Previous US13 Corn YTD"/>
      <sheetName val="Current US13 Soya"/>
      <sheetName val="Previous US13 Soya"/>
      <sheetName val="Current CA05 Corn"/>
      <sheetName val="Previous CA05 Corn"/>
      <sheetName val="Current CA05 Soybean"/>
      <sheetName val="jan ca05 soybean"/>
      <sheetName val="Previous CA05 Soybean"/>
      <sheetName val="detail schedules"/>
      <sheetName val="Soybean Variance Detail"/>
      <sheetName val="Sheet3"/>
      <sheetName val="Sheet1 (2)"/>
      <sheetName val="Corn Variance Detail"/>
    </sheetNames>
    <sheetDataSet>
      <sheetData sheetId="0" refreshError="1"/>
      <sheetData sheetId="1" refreshError="1"/>
      <sheetData sheetId="2" refreshError="1"/>
      <sheetData sheetId="3" refreshError="1">
        <row r="3">
          <cell r="A3" t="str">
            <v>YTD COGS - USD</v>
          </cell>
          <cell r="C3" t="str">
            <v>Jan</v>
          </cell>
          <cell r="D3" t="str">
            <v>Feb</v>
          </cell>
          <cell r="E3" t="str">
            <v>Mar</v>
          </cell>
          <cell r="F3" t="str">
            <v>Apr</v>
          </cell>
          <cell r="G3" t="str">
            <v>May</v>
          </cell>
          <cell r="H3" t="str">
            <v>Jun</v>
          </cell>
          <cell r="I3" t="str">
            <v>Jul</v>
          </cell>
          <cell r="J3" t="str">
            <v>Aug</v>
          </cell>
          <cell r="K3" t="str">
            <v>Sep</v>
          </cell>
          <cell r="L3" t="str">
            <v>Oct</v>
          </cell>
          <cell r="M3" t="str">
            <v>Nov</v>
          </cell>
          <cell r="N3" t="str">
            <v>Dec</v>
          </cell>
        </row>
        <row r="4">
          <cell r="A4" t="str">
            <v>Corn</v>
          </cell>
        </row>
        <row r="5">
          <cell r="A5" t="str">
            <v>Standard COGS</v>
          </cell>
          <cell r="B5" t="str">
            <v>NK US</v>
          </cell>
          <cell r="D5">
            <v>25.3</v>
          </cell>
          <cell r="E5">
            <v>37.700000000000003</v>
          </cell>
          <cell r="F5">
            <v>44.6</v>
          </cell>
          <cell r="G5">
            <v>47.749000000000002</v>
          </cell>
          <cell r="H5">
            <v>3.1490000000000009</v>
          </cell>
        </row>
        <row r="6">
          <cell r="B6" t="str">
            <v>NK Canada</v>
          </cell>
          <cell r="D6">
            <v>4.2</v>
          </cell>
          <cell r="E6">
            <v>7.6</v>
          </cell>
          <cell r="F6">
            <v>9.9506755307741788</v>
          </cell>
          <cell r="G6">
            <v>10.862534848809778</v>
          </cell>
          <cell r="H6">
            <v>0.91185931803559939</v>
          </cell>
        </row>
        <row r="7">
          <cell r="B7" t="str">
            <v>GH</v>
          </cell>
          <cell r="D7">
            <v>24.9</v>
          </cell>
          <cell r="E7">
            <v>38.5</v>
          </cell>
          <cell r="F7">
            <v>42.9</v>
          </cell>
          <cell r="G7">
            <v>43.848999999999997</v>
          </cell>
          <cell r="H7">
            <v>0.94899999999999807</v>
          </cell>
        </row>
        <row r="8">
          <cell r="B8" t="str">
            <v>Garst</v>
          </cell>
          <cell r="D8">
            <v>29.3</v>
          </cell>
          <cell r="E8">
            <v>41.4</v>
          </cell>
          <cell r="F8">
            <v>47.1</v>
          </cell>
          <cell r="G8">
            <v>47.2</v>
          </cell>
          <cell r="H8">
            <v>0.10000000000000142</v>
          </cell>
        </row>
        <row r="9">
          <cell r="B9" t="str">
            <v>Total</v>
          </cell>
          <cell r="C9">
            <v>0</v>
          </cell>
          <cell r="D9">
            <v>83.7</v>
          </cell>
          <cell r="E9">
            <v>125.20000000000002</v>
          </cell>
          <cell r="F9">
            <v>144.55067553077419</v>
          </cell>
          <cell r="G9">
            <v>149.66053484880979</v>
          </cell>
          <cell r="H9">
            <v>5.1098593180355998</v>
          </cell>
          <cell r="I9">
            <v>0</v>
          </cell>
          <cell r="J9">
            <v>0</v>
          </cell>
          <cell r="K9">
            <v>0</v>
          </cell>
          <cell r="L9">
            <v>0</v>
          </cell>
          <cell r="M9">
            <v>0</v>
          </cell>
          <cell r="N9">
            <v>0</v>
          </cell>
        </row>
        <row r="11">
          <cell r="A11" t="str">
            <v>Inventory Reserves</v>
          </cell>
          <cell r="B11" t="str">
            <v>NK US</v>
          </cell>
          <cell r="D11">
            <v>5.6</v>
          </cell>
          <cell r="E11">
            <v>7.6</v>
          </cell>
          <cell r="F11">
            <v>8.65</v>
          </cell>
          <cell r="G11">
            <v>9.5</v>
          </cell>
        </row>
        <row r="12">
          <cell r="B12" t="str">
            <v>NK Canada</v>
          </cell>
          <cell r="D12">
            <v>0</v>
          </cell>
          <cell r="E12">
            <v>0.3</v>
          </cell>
          <cell r="F12">
            <v>0.3</v>
          </cell>
          <cell r="G12">
            <v>0.49581814282650649</v>
          </cell>
        </row>
        <row r="13">
          <cell r="B13" t="str">
            <v>GH</v>
          </cell>
          <cell r="D13">
            <v>3.5</v>
          </cell>
          <cell r="E13">
            <v>5.8</v>
          </cell>
          <cell r="F13">
            <v>6.5</v>
          </cell>
          <cell r="G13">
            <v>6.68</v>
          </cell>
        </row>
        <row r="14">
          <cell r="B14" t="str">
            <v>Garst</v>
          </cell>
          <cell r="D14">
            <v>2.2000000000000002</v>
          </cell>
          <cell r="E14">
            <v>4.3</v>
          </cell>
          <cell r="F14">
            <v>4.8</v>
          </cell>
          <cell r="G14">
            <v>4.9000000000000004</v>
          </cell>
        </row>
        <row r="15">
          <cell r="B15" t="str">
            <v>Total</v>
          </cell>
          <cell r="C15">
            <v>0</v>
          </cell>
          <cell r="D15">
            <v>11.3</v>
          </cell>
          <cell r="E15">
            <v>18</v>
          </cell>
          <cell r="F15">
            <v>20.25</v>
          </cell>
          <cell r="G15">
            <v>21.575818142826506</v>
          </cell>
          <cell r="H15">
            <v>0</v>
          </cell>
          <cell r="I15">
            <v>0</v>
          </cell>
          <cell r="J15">
            <v>0</v>
          </cell>
          <cell r="K15">
            <v>0</v>
          </cell>
          <cell r="L15">
            <v>0</v>
          </cell>
          <cell r="M15">
            <v>0</v>
          </cell>
          <cell r="N15">
            <v>0</v>
          </cell>
        </row>
        <row r="17">
          <cell r="A17" t="str">
            <v>Royalty</v>
          </cell>
          <cell r="B17" t="str">
            <v>NK US</v>
          </cell>
          <cell r="D17">
            <v>8.6999999999999993</v>
          </cell>
          <cell r="E17">
            <v>12.6</v>
          </cell>
          <cell r="F17">
            <v>14.9</v>
          </cell>
          <cell r="G17">
            <v>15.949</v>
          </cell>
        </row>
        <row r="18">
          <cell r="B18" t="str">
            <v>NK Canada</v>
          </cell>
          <cell r="D18">
            <v>0</v>
          </cell>
          <cell r="E18">
            <v>0</v>
          </cell>
          <cell r="F18">
            <v>0</v>
          </cell>
        </row>
        <row r="19">
          <cell r="B19" t="str">
            <v>GH</v>
          </cell>
          <cell r="D19">
            <v>18.8</v>
          </cell>
          <cell r="E19">
            <v>28.4</v>
          </cell>
          <cell r="F19">
            <v>31.7</v>
          </cell>
          <cell r="G19">
            <v>32.215000000000003</v>
          </cell>
        </row>
        <row r="20">
          <cell r="B20" t="str">
            <v>Garst</v>
          </cell>
          <cell r="D20">
            <v>15.4</v>
          </cell>
          <cell r="E20">
            <v>20.9</v>
          </cell>
          <cell r="F20">
            <v>23.5</v>
          </cell>
          <cell r="G20">
            <v>25.4</v>
          </cell>
        </row>
        <row r="21">
          <cell r="B21" t="str">
            <v>Total</v>
          </cell>
          <cell r="C21">
            <v>0</v>
          </cell>
          <cell r="D21">
            <v>42.9</v>
          </cell>
          <cell r="E21">
            <v>61.9</v>
          </cell>
          <cell r="F21">
            <v>70.099999999999994</v>
          </cell>
          <cell r="G21">
            <v>73.563999999999993</v>
          </cell>
          <cell r="H21">
            <v>0</v>
          </cell>
          <cell r="I21">
            <v>0</v>
          </cell>
          <cell r="J21">
            <v>0</v>
          </cell>
          <cell r="K21">
            <v>0</v>
          </cell>
          <cell r="L21">
            <v>0</v>
          </cell>
          <cell r="M21">
            <v>0</v>
          </cell>
          <cell r="N21">
            <v>0</v>
          </cell>
        </row>
        <row r="23">
          <cell r="A23" t="str">
            <v>total</v>
          </cell>
          <cell r="B23" t="str">
            <v>NK US</v>
          </cell>
          <cell r="C23">
            <v>0</v>
          </cell>
          <cell r="D23">
            <v>39.599999999999994</v>
          </cell>
          <cell r="E23">
            <v>57.900000000000006</v>
          </cell>
          <cell r="F23">
            <v>68.150000000000006</v>
          </cell>
          <cell r="G23">
            <v>73.198000000000008</v>
          </cell>
          <cell r="H23">
            <v>3.1490000000000009</v>
          </cell>
          <cell r="I23">
            <v>0</v>
          </cell>
          <cell r="J23">
            <v>0</v>
          </cell>
          <cell r="K23">
            <v>0</v>
          </cell>
          <cell r="L23">
            <v>0</v>
          </cell>
          <cell r="M23">
            <v>0</v>
          </cell>
          <cell r="N23">
            <v>0</v>
          </cell>
        </row>
        <row r="24">
          <cell r="B24" t="str">
            <v>NK Canada</v>
          </cell>
          <cell r="C24">
            <v>0</v>
          </cell>
          <cell r="D24">
            <v>4.2</v>
          </cell>
          <cell r="E24">
            <v>7.8999999999999995</v>
          </cell>
          <cell r="F24">
            <v>10.250675530774179</v>
          </cell>
          <cell r="G24">
            <v>11.358352991636284</v>
          </cell>
          <cell r="H24">
            <v>0.91185931803559939</v>
          </cell>
          <cell r="I24">
            <v>0</v>
          </cell>
          <cell r="J24">
            <v>0</v>
          </cell>
          <cell r="K24">
            <v>0</v>
          </cell>
          <cell r="L24">
            <v>0</v>
          </cell>
          <cell r="M24">
            <v>0</v>
          </cell>
          <cell r="N24">
            <v>0</v>
          </cell>
        </row>
        <row r="25">
          <cell r="B25" t="str">
            <v>GH</v>
          </cell>
          <cell r="C25">
            <v>0</v>
          </cell>
          <cell r="D25">
            <v>47.2</v>
          </cell>
          <cell r="E25">
            <v>72.699999999999989</v>
          </cell>
          <cell r="F25">
            <v>81.099999999999994</v>
          </cell>
          <cell r="G25">
            <v>82.744</v>
          </cell>
          <cell r="H25">
            <v>0.94899999999999807</v>
          </cell>
          <cell r="I25">
            <v>0</v>
          </cell>
          <cell r="J25">
            <v>0</v>
          </cell>
          <cell r="K25">
            <v>0</v>
          </cell>
          <cell r="L25">
            <v>0</v>
          </cell>
          <cell r="M25">
            <v>0</v>
          </cell>
          <cell r="N25">
            <v>0</v>
          </cell>
        </row>
        <row r="26">
          <cell r="B26" t="str">
            <v>Garst</v>
          </cell>
          <cell r="C26">
            <v>0</v>
          </cell>
          <cell r="D26">
            <v>46.9</v>
          </cell>
          <cell r="E26">
            <v>66.599999999999994</v>
          </cell>
          <cell r="F26">
            <v>75.400000000000006</v>
          </cell>
          <cell r="G26">
            <v>77.5</v>
          </cell>
          <cell r="H26">
            <v>0.10000000000000142</v>
          </cell>
          <cell r="I26">
            <v>0</v>
          </cell>
          <cell r="J26">
            <v>0</v>
          </cell>
          <cell r="K26">
            <v>0</v>
          </cell>
          <cell r="L26">
            <v>0</v>
          </cell>
          <cell r="M26">
            <v>0</v>
          </cell>
          <cell r="N26">
            <v>0</v>
          </cell>
        </row>
        <row r="27">
          <cell r="B27" t="str">
            <v>Total</v>
          </cell>
          <cell r="C27">
            <v>0</v>
          </cell>
          <cell r="D27">
            <v>137.9</v>
          </cell>
          <cell r="E27">
            <v>205.1</v>
          </cell>
          <cell r="F27">
            <v>234.90067553077418</v>
          </cell>
          <cell r="G27">
            <v>244.80035299163629</v>
          </cell>
          <cell r="H27">
            <v>5.1098593180355998</v>
          </cell>
          <cell r="I27">
            <v>0</v>
          </cell>
          <cell r="J27">
            <v>0</v>
          </cell>
          <cell r="K27">
            <v>0</v>
          </cell>
          <cell r="L27">
            <v>0</v>
          </cell>
          <cell r="M27">
            <v>0</v>
          </cell>
          <cell r="N27">
            <v>0</v>
          </cell>
        </row>
        <row r="29">
          <cell r="A29" t="str">
            <v>Soybean</v>
          </cell>
        </row>
        <row r="30">
          <cell r="A30" t="str">
            <v>Standard COGS</v>
          </cell>
          <cell r="B30" t="str">
            <v>NK US</v>
          </cell>
          <cell r="D30">
            <v>22.5</v>
          </cell>
          <cell r="E30">
            <v>27.6</v>
          </cell>
          <cell r="F30">
            <v>32.447000000000003</v>
          </cell>
          <cell r="G30">
            <v>37.173999999999999</v>
          </cell>
          <cell r="H30">
            <v>4.7269999999999968</v>
          </cell>
        </row>
        <row r="31">
          <cell r="B31" t="str">
            <v>NK Canada</v>
          </cell>
          <cell r="D31">
            <v>0.4</v>
          </cell>
          <cell r="E31">
            <v>0.9</v>
          </cell>
          <cell r="F31">
            <v>1.7</v>
          </cell>
          <cell r="G31">
            <v>2.6736864679390946</v>
          </cell>
          <cell r="H31">
            <v>0.97368646793909464</v>
          </cell>
        </row>
        <row r="32">
          <cell r="B32" t="str">
            <v>GH</v>
          </cell>
          <cell r="D32">
            <v>12.7</v>
          </cell>
          <cell r="E32">
            <v>16.100000000000001</v>
          </cell>
          <cell r="F32">
            <v>18.399000000000001</v>
          </cell>
          <cell r="G32">
            <v>19.29984</v>
          </cell>
          <cell r="H32">
            <v>0.90083999999999875</v>
          </cell>
        </row>
        <row r="33">
          <cell r="B33" t="str">
            <v>Garst</v>
          </cell>
          <cell r="D33">
            <v>12.4</v>
          </cell>
          <cell r="E33">
            <v>16</v>
          </cell>
          <cell r="F33">
            <v>19.073</v>
          </cell>
          <cell r="G33">
            <v>21.248621</v>
          </cell>
          <cell r="H33">
            <v>2.1756209999999996</v>
          </cell>
        </row>
        <row r="34">
          <cell r="B34" t="str">
            <v>Total</v>
          </cell>
          <cell r="C34">
            <v>0</v>
          </cell>
          <cell r="D34">
            <v>47.999999999999993</v>
          </cell>
          <cell r="E34">
            <v>60.6</v>
          </cell>
          <cell r="F34">
            <v>71.619</v>
          </cell>
          <cell r="G34">
            <v>80.396147467939088</v>
          </cell>
          <cell r="H34">
            <v>8.7771474679390895</v>
          </cell>
          <cell r="I34">
            <v>0</v>
          </cell>
          <cell r="J34">
            <v>0</v>
          </cell>
          <cell r="K34">
            <v>0</v>
          </cell>
          <cell r="L34">
            <v>0</v>
          </cell>
          <cell r="M34">
            <v>0</v>
          </cell>
          <cell r="N34">
            <v>0</v>
          </cell>
        </row>
        <row r="36">
          <cell r="A36" t="str">
            <v>Inventory Reserves</v>
          </cell>
          <cell r="B36" t="str">
            <v>NK US</v>
          </cell>
          <cell r="D36">
            <v>4.5999999999999996</v>
          </cell>
          <cell r="E36">
            <v>5.8</v>
          </cell>
          <cell r="F36">
            <v>7.8</v>
          </cell>
          <cell r="G36">
            <v>8.5870510000000007</v>
          </cell>
        </row>
        <row r="37">
          <cell r="B37" t="str">
            <v>NK Canada</v>
          </cell>
          <cell r="D37">
            <v>0.1</v>
          </cell>
          <cell r="E37">
            <v>0.1</v>
          </cell>
          <cell r="F37">
            <v>0.2</v>
          </cell>
          <cell r="G37">
            <v>0.29337336478661807</v>
          </cell>
        </row>
        <row r="38">
          <cell r="B38" t="str">
            <v>GH</v>
          </cell>
          <cell r="D38">
            <v>1</v>
          </cell>
          <cell r="E38">
            <v>1.3</v>
          </cell>
          <cell r="F38">
            <v>2.04</v>
          </cell>
          <cell r="G38">
            <v>2.0249999999999999</v>
          </cell>
        </row>
        <row r="39">
          <cell r="B39" t="str">
            <v>Garst</v>
          </cell>
          <cell r="D39">
            <v>1.2</v>
          </cell>
          <cell r="E39">
            <v>1.7</v>
          </cell>
          <cell r="F39">
            <v>2.44</v>
          </cell>
          <cell r="G39">
            <v>2.7210000000000001</v>
          </cell>
        </row>
        <row r="40">
          <cell r="B40" t="str">
            <v>Total</v>
          </cell>
          <cell r="C40">
            <v>0</v>
          </cell>
          <cell r="D40">
            <v>6.8999999999999995</v>
          </cell>
          <cell r="E40">
            <v>8.8999999999999986</v>
          </cell>
          <cell r="F40">
            <v>12.48</v>
          </cell>
          <cell r="G40">
            <v>13.626424364786619</v>
          </cell>
          <cell r="H40">
            <v>0</v>
          </cell>
          <cell r="I40">
            <v>0</v>
          </cell>
          <cell r="J40">
            <v>0</v>
          </cell>
          <cell r="K40">
            <v>0</v>
          </cell>
          <cell r="L40">
            <v>0</v>
          </cell>
          <cell r="M40">
            <v>0</v>
          </cell>
          <cell r="N40">
            <v>0</v>
          </cell>
        </row>
        <row r="42">
          <cell r="A42" t="str">
            <v>Royalty</v>
          </cell>
          <cell r="B42" t="str">
            <v>NK US</v>
          </cell>
          <cell r="D42">
            <v>0.9</v>
          </cell>
          <cell r="E42">
            <v>1.3</v>
          </cell>
          <cell r="F42">
            <v>1.54</v>
          </cell>
          <cell r="G42">
            <v>1.6819999999999999</v>
          </cell>
        </row>
        <row r="43">
          <cell r="B43" t="str">
            <v>NK Canada</v>
          </cell>
          <cell r="F43">
            <v>0.1</v>
          </cell>
          <cell r="G43">
            <v>0.3</v>
          </cell>
        </row>
        <row r="44">
          <cell r="B44" t="str">
            <v>GH</v>
          </cell>
          <cell r="D44">
            <v>3.3</v>
          </cell>
          <cell r="E44">
            <v>4.3</v>
          </cell>
          <cell r="F44">
            <v>3.9790000000000001</v>
          </cell>
          <cell r="G44">
            <v>4.2380000000000004</v>
          </cell>
        </row>
        <row r="45">
          <cell r="B45" t="str">
            <v>Garst</v>
          </cell>
          <cell r="D45">
            <v>6.7</v>
          </cell>
          <cell r="E45">
            <v>9</v>
          </cell>
          <cell r="F45">
            <v>10.472557</v>
          </cell>
          <cell r="G45">
            <v>11.8</v>
          </cell>
        </row>
        <row r="46">
          <cell r="B46" t="str">
            <v>Total</v>
          </cell>
          <cell r="C46">
            <v>0</v>
          </cell>
          <cell r="D46">
            <v>10.9</v>
          </cell>
          <cell r="E46">
            <v>14.6</v>
          </cell>
          <cell r="F46">
            <v>16.091557000000002</v>
          </cell>
          <cell r="G46">
            <v>18.020000000000003</v>
          </cell>
          <cell r="H46">
            <v>0</v>
          </cell>
          <cell r="I46">
            <v>0</v>
          </cell>
          <cell r="J46">
            <v>0</v>
          </cell>
          <cell r="K46">
            <v>0</v>
          </cell>
          <cell r="L46">
            <v>0</v>
          </cell>
          <cell r="M46">
            <v>0</v>
          </cell>
          <cell r="N46">
            <v>0</v>
          </cell>
        </row>
        <row r="48">
          <cell r="A48" t="str">
            <v>total</v>
          </cell>
          <cell r="B48" t="str">
            <v>NK US</v>
          </cell>
          <cell r="C48">
            <v>0</v>
          </cell>
          <cell r="D48">
            <v>28</v>
          </cell>
          <cell r="E48">
            <v>34.699999999999996</v>
          </cell>
          <cell r="F48">
            <v>41.786999999999999</v>
          </cell>
          <cell r="G48">
            <v>47.443051000000004</v>
          </cell>
          <cell r="H48">
            <v>4.7269999999999968</v>
          </cell>
          <cell r="I48">
            <v>0</v>
          </cell>
          <cell r="J48">
            <v>0</v>
          </cell>
          <cell r="K48">
            <v>0</v>
          </cell>
          <cell r="L48">
            <v>0</v>
          </cell>
          <cell r="M48">
            <v>0</v>
          </cell>
          <cell r="N48">
            <v>0</v>
          </cell>
        </row>
        <row r="49">
          <cell r="B49" t="str">
            <v>NK Canada</v>
          </cell>
          <cell r="C49">
            <v>0</v>
          </cell>
          <cell r="D49">
            <v>0.5</v>
          </cell>
          <cell r="E49">
            <v>1</v>
          </cell>
          <cell r="F49">
            <v>2</v>
          </cell>
          <cell r="G49">
            <v>3.2670598327257125</v>
          </cell>
          <cell r="H49">
            <v>0.97368646793909464</v>
          </cell>
          <cell r="I49">
            <v>0</v>
          </cell>
          <cell r="J49">
            <v>0</v>
          </cell>
          <cell r="K49">
            <v>0</v>
          </cell>
          <cell r="L49">
            <v>0</v>
          </cell>
          <cell r="M49">
            <v>0</v>
          </cell>
          <cell r="N49">
            <v>0</v>
          </cell>
        </row>
        <row r="50">
          <cell r="B50" t="str">
            <v>GH</v>
          </cell>
          <cell r="C50">
            <v>0</v>
          </cell>
          <cell r="D50">
            <v>17</v>
          </cell>
          <cell r="E50">
            <v>21.700000000000003</v>
          </cell>
          <cell r="F50">
            <v>24.417999999999999</v>
          </cell>
          <cell r="G50">
            <v>25.562839999999998</v>
          </cell>
          <cell r="H50">
            <v>0.90083999999999875</v>
          </cell>
          <cell r="I50">
            <v>0</v>
          </cell>
          <cell r="J50">
            <v>0</v>
          </cell>
          <cell r="K50">
            <v>0</v>
          </cell>
          <cell r="L50">
            <v>0</v>
          </cell>
          <cell r="M50">
            <v>0</v>
          </cell>
          <cell r="N50">
            <v>0</v>
          </cell>
        </row>
        <row r="51">
          <cell r="B51" t="str">
            <v>Garst</v>
          </cell>
          <cell r="C51">
            <v>0</v>
          </cell>
          <cell r="D51">
            <v>20.3</v>
          </cell>
          <cell r="E51">
            <v>26.7</v>
          </cell>
          <cell r="F51">
            <v>31.985557</v>
          </cell>
          <cell r="G51">
            <v>35.769621000000001</v>
          </cell>
          <cell r="H51">
            <v>2.1756209999999996</v>
          </cell>
          <cell r="I51">
            <v>0</v>
          </cell>
          <cell r="J51">
            <v>0</v>
          </cell>
          <cell r="K51">
            <v>0</v>
          </cell>
          <cell r="L51">
            <v>0</v>
          </cell>
          <cell r="M51">
            <v>0</v>
          </cell>
          <cell r="N51">
            <v>0</v>
          </cell>
        </row>
        <row r="52">
          <cell r="B52" t="str">
            <v>Total</v>
          </cell>
          <cell r="C52">
            <v>0</v>
          </cell>
          <cell r="D52">
            <v>65.8</v>
          </cell>
          <cell r="E52">
            <v>84.1</v>
          </cell>
          <cell r="F52">
            <v>100.190557</v>
          </cell>
          <cell r="G52">
            <v>112.04257183272571</v>
          </cell>
          <cell r="H52">
            <v>8.7771474679390895</v>
          </cell>
          <cell r="I52">
            <v>0</v>
          </cell>
          <cell r="J52">
            <v>0</v>
          </cell>
          <cell r="K52">
            <v>0</v>
          </cell>
          <cell r="L52">
            <v>0</v>
          </cell>
          <cell r="M52">
            <v>0</v>
          </cell>
          <cell r="N52">
            <v>0</v>
          </cell>
        </row>
        <row r="54">
          <cell r="A54" t="str">
            <v>YTD Gross Units</v>
          </cell>
          <cell r="C54" t="str">
            <v>Jan</v>
          </cell>
          <cell r="D54" t="str">
            <v>Feb</v>
          </cell>
          <cell r="E54" t="str">
            <v>Mar</v>
          </cell>
          <cell r="F54" t="str">
            <v>Apr</v>
          </cell>
          <cell r="G54" t="str">
            <v>May</v>
          </cell>
          <cell r="H54" t="str">
            <v>Jun</v>
          </cell>
          <cell r="I54" t="str">
            <v>Jul</v>
          </cell>
          <cell r="J54" t="str">
            <v>Aug</v>
          </cell>
          <cell r="K54" t="str">
            <v>Sep</v>
          </cell>
          <cell r="L54" t="str">
            <v>Oct</v>
          </cell>
          <cell r="M54" t="str">
            <v>Nov</v>
          </cell>
          <cell r="N54" t="str">
            <v>Dec</v>
          </cell>
        </row>
        <row r="55">
          <cell r="A55" t="str">
            <v>Corn</v>
          </cell>
        </row>
        <row r="56">
          <cell r="A56" t="str">
            <v>Cruiser Low</v>
          </cell>
          <cell r="B56" t="str">
            <v>NK US</v>
          </cell>
          <cell r="F56">
            <v>1327638</v>
          </cell>
          <cell r="G56">
            <v>1367577</v>
          </cell>
          <cell r="H56">
            <v>39939</v>
          </cell>
        </row>
        <row r="57">
          <cell r="B57" t="str">
            <v>NK Canada</v>
          </cell>
          <cell r="F57">
            <v>168309</v>
          </cell>
          <cell r="G57">
            <v>173944</v>
          </cell>
          <cell r="H57">
            <v>5635</v>
          </cell>
        </row>
        <row r="58">
          <cell r="B58" t="str">
            <v>GH</v>
          </cell>
          <cell r="F58">
            <v>917739</v>
          </cell>
          <cell r="G58">
            <v>934166</v>
          </cell>
          <cell r="H58">
            <v>16427</v>
          </cell>
        </row>
        <row r="59">
          <cell r="B59" t="str">
            <v>Garst</v>
          </cell>
          <cell r="F59">
            <v>1077361</v>
          </cell>
          <cell r="G59">
            <v>1082943</v>
          </cell>
          <cell r="H59">
            <v>5582</v>
          </cell>
        </row>
        <row r="60">
          <cell r="B60" t="str">
            <v>Total</v>
          </cell>
          <cell r="C60">
            <v>0</v>
          </cell>
          <cell r="D60">
            <v>0</v>
          </cell>
          <cell r="E60">
            <v>0</v>
          </cell>
          <cell r="F60">
            <v>3491047</v>
          </cell>
          <cell r="G60">
            <v>3558630</v>
          </cell>
          <cell r="H60">
            <v>67583</v>
          </cell>
          <cell r="I60">
            <v>0</v>
          </cell>
          <cell r="J60">
            <v>0</v>
          </cell>
          <cell r="K60">
            <v>0</v>
          </cell>
          <cell r="L60">
            <v>0</v>
          </cell>
          <cell r="M60">
            <v>0</v>
          </cell>
          <cell r="N60">
            <v>0</v>
          </cell>
        </row>
        <row r="62">
          <cell r="A62" t="str">
            <v>Cruiser High</v>
          </cell>
          <cell r="B62" t="str">
            <v>NK US</v>
          </cell>
          <cell r="F62">
            <v>34267</v>
          </cell>
          <cell r="G62">
            <v>36947</v>
          </cell>
          <cell r="H62">
            <v>2680</v>
          </cell>
        </row>
        <row r="63">
          <cell r="B63" t="str">
            <v>NK Canada</v>
          </cell>
          <cell r="F63">
            <v>0</v>
          </cell>
          <cell r="H63">
            <v>0</v>
          </cell>
        </row>
        <row r="64">
          <cell r="B64" t="str">
            <v>GH</v>
          </cell>
          <cell r="F64">
            <v>12826</v>
          </cell>
          <cell r="G64">
            <v>12833</v>
          </cell>
          <cell r="H64">
            <v>7</v>
          </cell>
        </row>
        <row r="65">
          <cell r="B65" t="str">
            <v>Garst</v>
          </cell>
          <cell r="F65">
            <v>27071</v>
          </cell>
          <cell r="G65">
            <v>27231</v>
          </cell>
          <cell r="H65">
            <v>160</v>
          </cell>
        </row>
        <row r="66">
          <cell r="B66" t="str">
            <v>Total</v>
          </cell>
          <cell r="C66">
            <v>0</v>
          </cell>
          <cell r="D66">
            <v>0</v>
          </cell>
          <cell r="E66">
            <v>0</v>
          </cell>
          <cell r="F66">
            <v>74164</v>
          </cell>
          <cell r="G66">
            <v>77011</v>
          </cell>
          <cell r="H66">
            <v>2847</v>
          </cell>
          <cell r="I66">
            <v>0</v>
          </cell>
          <cell r="J66">
            <v>0</v>
          </cell>
          <cell r="K66">
            <v>0</v>
          </cell>
          <cell r="L66">
            <v>0</v>
          </cell>
          <cell r="M66">
            <v>0</v>
          </cell>
          <cell r="N66">
            <v>0</v>
          </cell>
        </row>
        <row r="68">
          <cell r="A68" t="str">
            <v>Standard/Other</v>
          </cell>
          <cell r="B68" t="str">
            <v>NK US</v>
          </cell>
          <cell r="F68">
            <v>26420.8955613578</v>
          </cell>
          <cell r="G68">
            <v>28618</v>
          </cell>
          <cell r="H68">
            <v>2197.1044386422</v>
          </cell>
        </row>
        <row r="69">
          <cell r="B69" t="str">
            <v>NK Canada</v>
          </cell>
          <cell r="F69">
            <v>68584.487181713732</v>
          </cell>
          <cell r="G69">
            <v>75457</v>
          </cell>
          <cell r="H69">
            <v>6872.5128182862682</v>
          </cell>
        </row>
        <row r="70">
          <cell r="B70" t="str">
            <v>GH</v>
          </cell>
          <cell r="F70">
            <v>266574</v>
          </cell>
          <cell r="G70">
            <v>273622</v>
          </cell>
          <cell r="H70">
            <v>7048</v>
          </cell>
        </row>
        <row r="71">
          <cell r="B71" t="str">
            <v>Garst</v>
          </cell>
          <cell r="F71">
            <v>279952</v>
          </cell>
          <cell r="G71">
            <v>279042</v>
          </cell>
          <cell r="H71">
            <v>-910</v>
          </cell>
        </row>
        <row r="72">
          <cell r="B72" t="str">
            <v>Total</v>
          </cell>
          <cell r="C72">
            <v>0</v>
          </cell>
          <cell r="D72">
            <v>0</v>
          </cell>
          <cell r="E72">
            <v>0</v>
          </cell>
          <cell r="F72">
            <v>641531.38274307153</v>
          </cell>
          <cell r="G72">
            <v>656739</v>
          </cell>
          <cell r="H72">
            <v>15207.617256928468</v>
          </cell>
          <cell r="I72">
            <v>0</v>
          </cell>
          <cell r="J72">
            <v>0</v>
          </cell>
          <cell r="K72">
            <v>0</v>
          </cell>
          <cell r="L72">
            <v>0</v>
          </cell>
          <cell r="M72">
            <v>0</v>
          </cell>
          <cell r="N72">
            <v>0</v>
          </cell>
        </row>
        <row r="74">
          <cell r="A74" t="str">
            <v>Gaucho</v>
          </cell>
          <cell r="B74" t="str">
            <v>NK US</v>
          </cell>
          <cell r="E74">
            <v>0</v>
          </cell>
        </row>
        <row r="75">
          <cell r="B75" t="str">
            <v>NK Canada</v>
          </cell>
        </row>
        <row r="76">
          <cell r="B76" t="str">
            <v>GH</v>
          </cell>
          <cell r="E76">
            <v>0</v>
          </cell>
        </row>
        <row r="77">
          <cell r="B77" t="str">
            <v>Garst</v>
          </cell>
        </row>
        <row r="78">
          <cell r="B78" t="str">
            <v>Total</v>
          </cell>
          <cell r="C78">
            <v>0</v>
          </cell>
          <cell r="D78">
            <v>0</v>
          </cell>
          <cell r="E78">
            <v>0</v>
          </cell>
          <cell r="F78">
            <v>0</v>
          </cell>
          <cell r="G78">
            <v>0</v>
          </cell>
          <cell r="H78">
            <v>0</v>
          </cell>
          <cell r="I78">
            <v>0</v>
          </cell>
          <cell r="J78">
            <v>0</v>
          </cell>
          <cell r="K78">
            <v>0</v>
          </cell>
          <cell r="L78">
            <v>0</v>
          </cell>
          <cell r="M78">
            <v>0</v>
          </cell>
          <cell r="N78">
            <v>0</v>
          </cell>
        </row>
        <row r="80">
          <cell r="A80" t="str">
            <v>Poncho</v>
          </cell>
          <cell r="B80" t="str">
            <v>NK US</v>
          </cell>
          <cell r="E80">
            <v>0</v>
          </cell>
        </row>
        <row r="81">
          <cell r="B81" t="str">
            <v>NK Canada</v>
          </cell>
          <cell r="F81">
            <v>20877</v>
          </cell>
          <cell r="G81">
            <v>17485</v>
          </cell>
          <cell r="H81">
            <v>-3392</v>
          </cell>
        </row>
        <row r="82">
          <cell r="B82" t="str">
            <v>GH</v>
          </cell>
          <cell r="F82">
            <v>21873</v>
          </cell>
          <cell r="G82">
            <v>22271</v>
          </cell>
          <cell r="H82">
            <v>398</v>
          </cell>
        </row>
        <row r="83">
          <cell r="B83" t="str">
            <v>Garst</v>
          </cell>
          <cell r="F83">
            <v>20982</v>
          </cell>
          <cell r="G83">
            <v>21014</v>
          </cell>
          <cell r="H83">
            <v>32</v>
          </cell>
        </row>
        <row r="84">
          <cell r="B84" t="str">
            <v>Total</v>
          </cell>
          <cell r="C84">
            <v>0</v>
          </cell>
          <cell r="D84">
            <v>0</v>
          </cell>
          <cell r="E84">
            <v>0</v>
          </cell>
          <cell r="F84">
            <v>63732</v>
          </cell>
          <cell r="G84">
            <v>60770</v>
          </cell>
          <cell r="H84">
            <v>-2962</v>
          </cell>
          <cell r="I84">
            <v>0</v>
          </cell>
          <cell r="J84">
            <v>0</v>
          </cell>
          <cell r="K84">
            <v>0</v>
          </cell>
          <cell r="L84">
            <v>0</v>
          </cell>
          <cell r="M84">
            <v>0</v>
          </cell>
          <cell r="N84">
            <v>0</v>
          </cell>
        </row>
        <row r="86">
          <cell r="A86" t="str">
            <v>Cruiser Mid</v>
          </cell>
          <cell r="B86" t="str">
            <v>NK US</v>
          </cell>
          <cell r="F86">
            <v>54</v>
          </cell>
          <cell r="G86">
            <v>54</v>
          </cell>
          <cell r="H86">
            <v>0</v>
          </cell>
        </row>
        <row r="87">
          <cell r="B87" t="str">
            <v>NK Canada</v>
          </cell>
          <cell r="H87">
            <v>0</v>
          </cell>
        </row>
        <row r="88">
          <cell r="B88" t="str">
            <v>GH</v>
          </cell>
          <cell r="F88">
            <v>2628</v>
          </cell>
          <cell r="G88">
            <v>2628</v>
          </cell>
          <cell r="H88">
            <v>0</v>
          </cell>
        </row>
        <row r="89">
          <cell r="B89" t="str">
            <v>Garst</v>
          </cell>
          <cell r="H89">
            <v>0</v>
          </cell>
        </row>
        <row r="90">
          <cell r="B90" t="str">
            <v>Total</v>
          </cell>
          <cell r="C90">
            <v>0</v>
          </cell>
          <cell r="D90">
            <v>0</v>
          </cell>
          <cell r="E90">
            <v>0</v>
          </cell>
          <cell r="F90">
            <v>2682</v>
          </cell>
          <cell r="G90">
            <v>2682</v>
          </cell>
          <cell r="H90">
            <v>0</v>
          </cell>
          <cell r="I90">
            <v>0</v>
          </cell>
          <cell r="J90">
            <v>0</v>
          </cell>
          <cell r="K90">
            <v>0</v>
          </cell>
          <cell r="L90">
            <v>0</v>
          </cell>
          <cell r="M90">
            <v>0</v>
          </cell>
          <cell r="N90">
            <v>0</v>
          </cell>
        </row>
        <row r="92">
          <cell r="A92" t="str">
            <v>total</v>
          </cell>
          <cell r="B92" t="str">
            <v>NK US</v>
          </cell>
          <cell r="D92">
            <v>0</v>
          </cell>
          <cell r="E92">
            <v>0</v>
          </cell>
          <cell r="F92">
            <v>1388379.8955613577</v>
          </cell>
          <cell r="G92">
            <v>1433196</v>
          </cell>
          <cell r="H92">
            <v>44816.104438642273</v>
          </cell>
        </row>
        <row r="93">
          <cell r="B93" t="str">
            <v>NK Canada</v>
          </cell>
          <cell r="D93">
            <v>0</v>
          </cell>
          <cell r="E93">
            <v>0</v>
          </cell>
          <cell r="F93">
            <v>257770.48718171375</v>
          </cell>
          <cell r="G93">
            <v>266886</v>
          </cell>
          <cell r="H93">
            <v>9115.5128182862536</v>
          </cell>
        </row>
        <row r="94">
          <cell r="B94" t="str">
            <v>GH</v>
          </cell>
          <cell r="D94">
            <v>0</v>
          </cell>
          <cell r="E94">
            <v>0</v>
          </cell>
          <cell r="F94">
            <v>1221640</v>
          </cell>
          <cell r="G94">
            <v>1245520</v>
          </cell>
          <cell r="H94">
            <v>23880</v>
          </cell>
        </row>
        <row r="95">
          <cell r="B95" t="str">
            <v>Garst</v>
          </cell>
          <cell r="D95">
            <v>0</v>
          </cell>
          <cell r="E95">
            <v>0</v>
          </cell>
          <cell r="F95">
            <v>1405366</v>
          </cell>
          <cell r="G95">
            <v>1410230</v>
          </cell>
          <cell r="H95">
            <v>4864</v>
          </cell>
        </row>
        <row r="96">
          <cell r="B96" t="str">
            <v>Total</v>
          </cell>
          <cell r="C96">
            <v>0</v>
          </cell>
          <cell r="D96">
            <v>0</v>
          </cell>
          <cell r="E96">
            <v>0</v>
          </cell>
          <cell r="F96">
            <v>4273156.3827430718</v>
          </cell>
          <cell r="G96">
            <v>4355832</v>
          </cell>
          <cell r="H96">
            <v>82675.617256928526</v>
          </cell>
          <cell r="I96">
            <v>0</v>
          </cell>
          <cell r="J96">
            <v>0</v>
          </cell>
          <cell r="K96">
            <v>0</v>
          </cell>
          <cell r="L96">
            <v>0</v>
          </cell>
          <cell r="M96">
            <v>0</v>
          </cell>
          <cell r="N96">
            <v>0</v>
          </cell>
        </row>
        <row r="98">
          <cell r="A98" t="str">
            <v>Soybeans</v>
          </cell>
        </row>
        <row r="99">
          <cell r="A99" t="str">
            <v>Cruiser Maxx</v>
          </cell>
          <cell r="B99" t="str">
            <v>NK US</v>
          </cell>
          <cell r="F99">
            <v>217053</v>
          </cell>
          <cell r="G99">
            <v>238824</v>
          </cell>
          <cell r="H99">
            <v>21771</v>
          </cell>
        </row>
        <row r="100">
          <cell r="B100" t="str">
            <v>NK Canada</v>
          </cell>
          <cell r="F100">
            <v>3889</v>
          </cell>
          <cell r="G100">
            <v>6121</v>
          </cell>
          <cell r="H100">
            <v>2232</v>
          </cell>
        </row>
        <row r="101">
          <cell r="B101" t="str">
            <v>GH</v>
          </cell>
          <cell r="F101">
            <v>768646</v>
          </cell>
          <cell r="G101">
            <v>788569</v>
          </cell>
          <cell r="H101">
            <v>19923</v>
          </cell>
        </row>
        <row r="102">
          <cell r="B102" t="str">
            <v>Garst</v>
          </cell>
          <cell r="F102">
            <v>154098</v>
          </cell>
          <cell r="G102">
            <v>166430</v>
          </cell>
          <cell r="H102">
            <v>12332</v>
          </cell>
        </row>
        <row r="103">
          <cell r="B103" t="str">
            <v>Total</v>
          </cell>
          <cell r="C103">
            <v>0</v>
          </cell>
          <cell r="D103">
            <v>0</v>
          </cell>
          <cell r="E103">
            <v>0</v>
          </cell>
          <cell r="F103">
            <v>1143686</v>
          </cell>
          <cell r="G103">
            <v>1199944</v>
          </cell>
          <cell r="H103">
            <v>56258</v>
          </cell>
          <cell r="I103">
            <v>0</v>
          </cell>
          <cell r="J103">
            <v>0</v>
          </cell>
          <cell r="K103">
            <v>0</v>
          </cell>
          <cell r="L103">
            <v>0</v>
          </cell>
          <cell r="M103">
            <v>0</v>
          </cell>
          <cell r="N103">
            <v>0</v>
          </cell>
        </row>
        <row r="105">
          <cell r="A105" t="str">
            <v>Apron Maxx</v>
          </cell>
          <cell r="B105" t="str">
            <v>NK US</v>
          </cell>
          <cell r="F105">
            <v>116468</v>
          </cell>
          <cell r="G105">
            <v>126320</v>
          </cell>
          <cell r="H105">
            <v>9852</v>
          </cell>
        </row>
        <row r="106">
          <cell r="B106" t="str">
            <v>NK Canada</v>
          </cell>
          <cell r="F106">
            <v>80493</v>
          </cell>
          <cell r="G106">
            <v>117071</v>
          </cell>
          <cell r="H106">
            <v>36578</v>
          </cell>
        </row>
        <row r="107">
          <cell r="B107" t="str">
            <v>GH</v>
          </cell>
          <cell r="F107">
            <v>283612</v>
          </cell>
          <cell r="G107">
            <v>287189</v>
          </cell>
          <cell r="H107">
            <v>3577</v>
          </cell>
        </row>
        <row r="108">
          <cell r="B108" t="str">
            <v>Garst</v>
          </cell>
          <cell r="F108">
            <v>194847</v>
          </cell>
          <cell r="G108">
            <v>210411</v>
          </cell>
          <cell r="H108">
            <v>15564</v>
          </cell>
        </row>
        <row r="109">
          <cell r="B109" t="str">
            <v>Total</v>
          </cell>
          <cell r="C109">
            <v>0</v>
          </cell>
          <cell r="D109">
            <v>0</v>
          </cell>
          <cell r="E109">
            <v>0</v>
          </cell>
          <cell r="F109">
            <v>675420</v>
          </cell>
          <cell r="G109">
            <v>740991</v>
          </cell>
          <cell r="H109">
            <v>65571</v>
          </cell>
          <cell r="I109">
            <v>0</v>
          </cell>
          <cell r="J109">
            <v>0</v>
          </cell>
          <cell r="K109">
            <v>0</v>
          </cell>
          <cell r="L109">
            <v>0</v>
          </cell>
          <cell r="M109">
            <v>0</v>
          </cell>
          <cell r="N109">
            <v>0</v>
          </cell>
        </row>
        <row r="111">
          <cell r="A111" t="str">
            <v>Standard/Other</v>
          </cell>
          <cell r="B111" t="str">
            <v>NK US</v>
          </cell>
          <cell r="F111">
            <v>4289169</v>
          </cell>
          <cell r="G111">
            <v>4942562</v>
          </cell>
          <cell r="H111">
            <v>653393</v>
          </cell>
        </row>
        <row r="112">
          <cell r="B112" t="str">
            <v>NK Canada</v>
          </cell>
          <cell r="F112">
            <v>126673</v>
          </cell>
          <cell r="G112">
            <v>199530</v>
          </cell>
          <cell r="H112">
            <v>72857</v>
          </cell>
        </row>
        <row r="113">
          <cell r="B113" t="str">
            <v>GH</v>
          </cell>
          <cell r="F113">
            <v>965715.45132743358</v>
          </cell>
          <cell r="G113">
            <v>1067756</v>
          </cell>
          <cell r="H113">
            <v>102040.54867256642</v>
          </cell>
        </row>
        <row r="114">
          <cell r="B114" t="str">
            <v>Garst</v>
          </cell>
          <cell r="F114">
            <v>2240392</v>
          </cell>
          <cell r="G114">
            <v>2516953</v>
          </cell>
          <cell r="H114">
            <v>276561</v>
          </cell>
        </row>
        <row r="115">
          <cell r="B115" t="str">
            <v>Total</v>
          </cell>
          <cell r="C115">
            <v>0</v>
          </cell>
          <cell r="D115">
            <v>0</v>
          </cell>
          <cell r="E115">
            <v>0</v>
          </cell>
          <cell r="F115">
            <v>7621949.4513274338</v>
          </cell>
          <cell r="G115">
            <v>8726801</v>
          </cell>
          <cell r="H115">
            <v>1104851.5486725664</v>
          </cell>
          <cell r="I115">
            <v>0</v>
          </cell>
          <cell r="J115">
            <v>0</v>
          </cell>
          <cell r="K115">
            <v>0</v>
          </cell>
          <cell r="L115">
            <v>0</v>
          </cell>
          <cell r="M115">
            <v>0</v>
          </cell>
          <cell r="N115">
            <v>0</v>
          </cell>
        </row>
        <row r="117">
          <cell r="A117" t="str">
            <v>total</v>
          </cell>
          <cell r="B117" t="str">
            <v>NK US</v>
          </cell>
          <cell r="C117">
            <v>0</v>
          </cell>
          <cell r="D117">
            <v>0</v>
          </cell>
          <cell r="E117">
            <v>0</v>
          </cell>
          <cell r="F117">
            <v>4622690</v>
          </cell>
          <cell r="G117">
            <v>5307706</v>
          </cell>
          <cell r="H117">
            <v>685016</v>
          </cell>
          <cell r="I117">
            <v>0</v>
          </cell>
          <cell r="J117">
            <v>0</v>
          </cell>
          <cell r="K117">
            <v>0</v>
          </cell>
          <cell r="L117">
            <v>0</v>
          </cell>
          <cell r="M117">
            <v>0</v>
          </cell>
          <cell r="N117">
            <v>0</v>
          </cell>
        </row>
        <row r="118">
          <cell r="B118" t="str">
            <v>NK Canada</v>
          </cell>
          <cell r="C118">
            <v>0</v>
          </cell>
          <cell r="D118">
            <v>0</v>
          </cell>
          <cell r="E118">
            <v>0</v>
          </cell>
          <cell r="F118">
            <v>211055</v>
          </cell>
          <cell r="G118">
            <v>322722</v>
          </cell>
          <cell r="H118">
            <v>111667</v>
          </cell>
          <cell r="I118">
            <v>0</v>
          </cell>
          <cell r="J118">
            <v>0</v>
          </cell>
          <cell r="K118">
            <v>0</v>
          </cell>
          <cell r="L118">
            <v>0</v>
          </cell>
          <cell r="M118">
            <v>0</v>
          </cell>
          <cell r="N118">
            <v>0</v>
          </cell>
        </row>
        <row r="119">
          <cell r="B119" t="str">
            <v>GH</v>
          </cell>
          <cell r="C119">
            <v>0</v>
          </cell>
          <cell r="D119">
            <v>0</v>
          </cell>
          <cell r="E119">
            <v>0</v>
          </cell>
          <cell r="F119">
            <v>2017973.4513274336</v>
          </cell>
          <cell r="G119">
            <v>2143514</v>
          </cell>
          <cell r="H119">
            <v>125540.54867256642</v>
          </cell>
          <cell r="I119">
            <v>0</v>
          </cell>
          <cell r="J119">
            <v>0</v>
          </cell>
          <cell r="K119">
            <v>0</v>
          </cell>
          <cell r="L119">
            <v>0</v>
          </cell>
          <cell r="M119">
            <v>0</v>
          </cell>
          <cell r="N119">
            <v>0</v>
          </cell>
        </row>
        <row r="120">
          <cell r="B120" t="str">
            <v>Garst</v>
          </cell>
          <cell r="C120">
            <v>0</v>
          </cell>
          <cell r="D120">
            <v>0</v>
          </cell>
          <cell r="E120">
            <v>0</v>
          </cell>
          <cell r="F120">
            <v>2589337</v>
          </cell>
          <cell r="G120">
            <v>2893794</v>
          </cell>
          <cell r="H120">
            <v>304457</v>
          </cell>
          <cell r="I120">
            <v>0</v>
          </cell>
          <cell r="J120">
            <v>0</v>
          </cell>
          <cell r="K120">
            <v>0</v>
          </cell>
          <cell r="L120">
            <v>0</v>
          </cell>
          <cell r="M120">
            <v>0</v>
          </cell>
          <cell r="N120">
            <v>0</v>
          </cell>
        </row>
        <row r="121">
          <cell r="B121" t="str">
            <v>Total</v>
          </cell>
          <cell r="C121">
            <v>0</v>
          </cell>
          <cell r="D121">
            <v>0</v>
          </cell>
          <cell r="E121">
            <v>0</v>
          </cell>
          <cell r="F121">
            <v>9441055.4513274338</v>
          </cell>
          <cell r="G121">
            <v>10667736</v>
          </cell>
          <cell r="H121">
            <v>1226680.5486725664</v>
          </cell>
          <cell r="I121">
            <v>0</v>
          </cell>
          <cell r="J121">
            <v>0</v>
          </cell>
          <cell r="K121">
            <v>0</v>
          </cell>
          <cell r="L121">
            <v>0</v>
          </cell>
          <cell r="M121">
            <v>0</v>
          </cell>
          <cell r="N121">
            <v>0</v>
          </cell>
        </row>
        <row r="124">
          <cell r="A124" t="str">
            <v>Return Provision %</v>
          </cell>
        </row>
        <row r="125">
          <cell r="A125" t="str">
            <v>Corn</v>
          </cell>
        </row>
        <row r="126">
          <cell r="A126" t="str">
            <v xml:space="preserve">  NK US</v>
          </cell>
          <cell r="E126">
            <v>0.16021000000000002</v>
          </cell>
          <cell r="F126">
            <v>0.23400000000000001</v>
          </cell>
          <cell r="G126">
            <v>0.20499999999999999</v>
          </cell>
        </row>
        <row r="127">
          <cell r="A127" t="str">
            <v xml:space="preserve">  NK Can</v>
          </cell>
          <cell r="E127">
            <v>0.21236910315153099</v>
          </cell>
          <cell r="F127">
            <v>0.21236910315153099</v>
          </cell>
          <cell r="G127">
            <v>0.17399999999999999</v>
          </cell>
        </row>
        <row r="128">
          <cell r="A128" t="str">
            <v xml:space="preserve">  GH</v>
          </cell>
          <cell r="E128">
            <v>0.17</v>
          </cell>
          <cell r="F128">
            <v>0.12</v>
          </cell>
          <cell r="G128">
            <v>0.12</v>
          </cell>
        </row>
        <row r="129">
          <cell r="A129" t="str">
            <v xml:space="preserve">  Garst</v>
          </cell>
          <cell r="E129">
            <v>0.17</v>
          </cell>
          <cell r="F129">
            <v>0.17</v>
          </cell>
          <cell r="G129">
            <v>0.17</v>
          </cell>
        </row>
        <row r="130">
          <cell r="A130" t="str">
            <v>Soybean</v>
          </cell>
        </row>
        <row r="131">
          <cell r="A131" t="str">
            <v xml:space="preserve">  NK US</v>
          </cell>
          <cell r="E131">
            <v>0.1</v>
          </cell>
          <cell r="F131">
            <v>0.12</v>
          </cell>
          <cell r="G131">
            <v>0.12</v>
          </cell>
        </row>
        <row r="132">
          <cell r="A132" t="str">
            <v xml:space="preserve">  NK Can</v>
          </cell>
          <cell r="E132">
            <v>8.9424333639485085E-2</v>
          </cell>
          <cell r="F132">
            <v>0.1</v>
          </cell>
          <cell r="G132">
            <v>0.16300000000000001</v>
          </cell>
        </row>
        <row r="133">
          <cell r="A133" t="str">
            <v xml:space="preserve">  GH</v>
          </cell>
          <cell r="E133">
            <v>7.0000000000000007E-2</v>
          </cell>
          <cell r="F133">
            <v>9.6000000000000002E-2</v>
          </cell>
          <cell r="G133">
            <v>0.1</v>
          </cell>
        </row>
        <row r="134">
          <cell r="A134" t="str">
            <v xml:space="preserve">  Garst</v>
          </cell>
          <cell r="E134">
            <v>0.1</v>
          </cell>
          <cell r="F134">
            <v>0.1</v>
          </cell>
          <cell r="G134">
            <v>0.1</v>
          </cell>
        </row>
        <row r="137">
          <cell r="A137" t="str">
            <v>YTD Net Units</v>
          </cell>
          <cell r="C137" t="str">
            <v>Jan</v>
          </cell>
          <cell r="D137" t="str">
            <v>Feb</v>
          </cell>
          <cell r="E137" t="str">
            <v>Mar</v>
          </cell>
          <cell r="F137" t="str">
            <v>Apr</v>
          </cell>
          <cell r="G137" t="str">
            <v>May</v>
          </cell>
          <cell r="H137" t="str">
            <v>Jun</v>
          </cell>
          <cell r="I137" t="str">
            <v>Jul</v>
          </cell>
          <cell r="J137" t="str">
            <v>Aug</v>
          </cell>
          <cell r="K137" t="str">
            <v>Sep</v>
          </cell>
          <cell r="L137" t="str">
            <v>Oct</v>
          </cell>
          <cell r="M137" t="str">
            <v>Nov</v>
          </cell>
          <cell r="N137" t="str">
            <v>Dec</v>
          </cell>
        </row>
        <row r="138">
          <cell r="A138" t="str">
            <v>Corn</v>
          </cell>
        </row>
        <row r="139">
          <cell r="A139" t="str">
            <v>Cruiser Low</v>
          </cell>
          <cell r="B139" t="str">
            <v>NK US</v>
          </cell>
          <cell r="C139">
            <v>396678</v>
          </cell>
          <cell r="D139">
            <v>599211</v>
          </cell>
          <cell r="E139">
            <v>865720</v>
          </cell>
          <cell r="F139">
            <v>1016970.708</v>
          </cell>
          <cell r="G139">
            <v>1087223.7150000001</v>
          </cell>
        </row>
        <row r="140">
          <cell r="B140" t="str">
            <v>NK Canada</v>
          </cell>
          <cell r="C140">
            <v>29343</v>
          </cell>
          <cell r="D140">
            <v>56876</v>
          </cell>
          <cell r="E140">
            <v>102797</v>
          </cell>
          <cell r="F140">
            <v>132565.36861766898</v>
          </cell>
          <cell r="G140">
            <v>143677.74400000001</v>
          </cell>
        </row>
        <row r="141">
          <cell r="B141" t="str">
            <v>GH</v>
          </cell>
          <cell r="C141">
            <v>322910</v>
          </cell>
          <cell r="D141">
            <v>500095</v>
          </cell>
          <cell r="E141">
            <v>731382</v>
          </cell>
          <cell r="F141">
            <v>807610.32</v>
          </cell>
          <cell r="G141">
            <v>822066.08</v>
          </cell>
        </row>
        <row r="142">
          <cell r="B142" t="str">
            <v>Garst</v>
          </cell>
          <cell r="C142">
            <v>346267</v>
          </cell>
          <cell r="D142">
            <v>554186</v>
          </cell>
          <cell r="E142">
            <v>780861</v>
          </cell>
          <cell r="F142">
            <v>894209.63</v>
          </cell>
          <cell r="G142">
            <v>898842.69</v>
          </cell>
        </row>
        <row r="143">
          <cell r="B143" t="str">
            <v>Total</v>
          </cell>
          <cell r="C143">
            <v>1095198</v>
          </cell>
          <cell r="D143">
            <v>1710368</v>
          </cell>
          <cell r="E143">
            <v>2480760</v>
          </cell>
          <cell r="F143">
            <v>2851356.0266176686</v>
          </cell>
          <cell r="G143">
            <v>2951810.2289999998</v>
          </cell>
          <cell r="H143">
            <v>0</v>
          </cell>
          <cell r="I143">
            <v>0</v>
          </cell>
          <cell r="J143">
            <v>0</v>
          </cell>
          <cell r="K143">
            <v>0</v>
          </cell>
          <cell r="L143">
            <v>0</v>
          </cell>
          <cell r="M143">
            <v>0</v>
          </cell>
          <cell r="N143">
            <v>0</v>
          </cell>
        </row>
        <row r="145">
          <cell r="A145" t="str">
            <v>Cruiser High</v>
          </cell>
          <cell r="B145" t="str">
            <v>NK US</v>
          </cell>
          <cell r="C145">
            <v>1227</v>
          </cell>
          <cell r="D145">
            <v>1972</v>
          </cell>
          <cell r="E145">
            <v>15777</v>
          </cell>
          <cell r="F145">
            <v>26248.522000000001</v>
          </cell>
          <cell r="G145">
            <v>29372.865000000002</v>
          </cell>
        </row>
        <row r="146">
          <cell r="B146" t="str">
            <v>NK Canada</v>
          </cell>
          <cell r="C146">
            <v>0</v>
          </cell>
          <cell r="D146">
            <v>0</v>
          </cell>
          <cell r="E146">
            <v>0</v>
          </cell>
          <cell r="F146">
            <v>0</v>
          </cell>
          <cell r="G146">
            <v>0</v>
          </cell>
        </row>
        <row r="147">
          <cell r="B147" t="str">
            <v>GH</v>
          </cell>
          <cell r="C147">
            <v>269</v>
          </cell>
          <cell r="D147">
            <v>3423</v>
          </cell>
          <cell r="E147">
            <v>10227</v>
          </cell>
          <cell r="F147">
            <v>11286.88</v>
          </cell>
          <cell r="G147">
            <v>11293.04</v>
          </cell>
        </row>
        <row r="148">
          <cell r="B148" t="str">
            <v>Garst</v>
          </cell>
          <cell r="C148">
            <v>5310</v>
          </cell>
          <cell r="D148">
            <v>14038</v>
          </cell>
          <cell r="E148">
            <v>20937</v>
          </cell>
          <cell r="F148">
            <v>22468.93</v>
          </cell>
          <cell r="G148">
            <v>22601.73</v>
          </cell>
        </row>
        <row r="149">
          <cell r="B149" t="str">
            <v>Total</v>
          </cell>
          <cell r="C149">
            <v>6806</v>
          </cell>
          <cell r="D149">
            <v>19433</v>
          </cell>
          <cell r="E149">
            <v>46941</v>
          </cell>
          <cell r="F149">
            <v>60004.332000000002</v>
          </cell>
          <cell r="G149">
            <v>63267.634999999995</v>
          </cell>
          <cell r="H149">
            <v>0</v>
          </cell>
          <cell r="I149">
            <v>0</v>
          </cell>
          <cell r="J149">
            <v>0</v>
          </cell>
          <cell r="K149">
            <v>0</v>
          </cell>
          <cell r="L149">
            <v>0</v>
          </cell>
          <cell r="M149">
            <v>0</v>
          </cell>
          <cell r="N149">
            <v>0</v>
          </cell>
        </row>
        <row r="151">
          <cell r="A151" t="str">
            <v>Standard/Other</v>
          </cell>
          <cell r="B151" t="str">
            <v>NK US</v>
          </cell>
          <cell r="C151">
            <v>5230</v>
          </cell>
          <cell r="D151">
            <v>10806</v>
          </cell>
          <cell r="E151">
            <v>19091</v>
          </cell>
          <cell r="F151">
            <v>20238.406000000075</v>
          </cell>
          <cell r="G151">
            <v>22751.31</v>
          </cell>
        </row>
        <row r="152">
          <cell r="B152" t="str">
            <v>NK Canada</v>
          </cell>
          <cell r="C152">
            <v>18511</v>
          </cell>
          <cell r="D152">
            <v>28031</v>
          </cell>
          <cell r="E152">
            <v>39986</v>
          </cell>
          <cell r="F152">
            <v>54019.261148825513</v>
          </cell>
          <cell r="G152">
            <v>62327.482000000004</v>
          </cell>
        </row>
        <row r="153">
          <cell r="B153" t="str">
            <v>GH</v>
          </cell>
          <cell r="C153">
            <v>75943</v>
          </cell>
          <cell r="D153">
            <v>111553</v>
          </cell>
          <cell r="E153">
            <v>206791</v>
          </cell>
          <cell r="F153">
            <v>234585.12</v>
          </cell>
          <cell r="G153">
            <v>240787.36000000002</v>
          </cell>
        </row>
        <row r="154">
          <cell r="B154" t="str">
            <v>Garst</v>
          </cell>
          <cell r="C154">
            <v>92178</v>
          </cell>
          <cell r="D154">
            <v>138510</v>
          </cell>
          <cell r="E154">
            <v>198562</v>
          </cell>
          <cell r="F154">
            <v>232360.16</v>
          </cell>
          <cell r="G154">
            <v>231604.86</v>
          </cell>
        </row>
        <row r="155">
          <cell r="B155" t="str">
            <v>Total</v>
          </cell>
          <cell r="C155">
            <v>191862</v>
          </cell>
          <cell r="D155">
            <v>288900</v>
          </cell>
          <cell r="E155">
            <v>464430</v>
          </cell>
          <cell r="F155">
            <v>541202.94714882551</v>
          </cell>
          <cell r="G155">
            <v>557471.01199999999</v>
          </cell>
          <cell r="H155">
            <v>0</v>
          </cell>
          <cell r="I155">
            <v>0</v>
          </cell>
          <cell r="J155">
            <v>0</v>
          </cell>
          <cell r="K155">
            <v>0</v>
          </cell>
          <cell r="L155">
            <v>0</v>
          </cell>
          <cell r="M155">
            <v>0</v>
          </cell>
          <cell r="N155">
            <v>0</v>
          </cell>
        </row>
        <row r="157">
          <cell r="A157" t="str">
            <v>Gaucho</v>
          </cell>
          <cell r="B157" t="str">
            <v>NK US</v>
          </cell>
          <cell r="E157">
            <v>0</v>
          </cell>
          <cell r="F157">
            <v>0</v>
          </cell>
          <cell r="G157">
            <v>0</v>
          </cell>
        </row>
        <row r="158">
          <cell r="B158" t="str">
            <v>NK Canada</v>
          </cell>
          <cell r="F158">
            <v>0</v>
          </cell>
          <cell r="G158">
            <v>0</v>
          </cell>
        </row>
        <row r="159">
          <cell r="B159" t="str">
            <v>GH</v>
          </cell>
          <cell r="E159">
            <v>0</v>
          </cell>
          <cell r="F159">
            <v>0</v>
          </cell>
          <cell r="G159">
            <v>0</v>
          </cell>
        </row>
        <row r="160">
          <cell r="B160" t="str">
            <v>Garst</v>
          </cell>
          <cell r="F160">
            <v>0</v>
          </cell>
          <cell r="G160">
            <v>0</v>
          </cell>
        </row>
        <row r="161">
          <cell r="B161" t="str">
            <v>Total</v>
          </cell>
          <cell r="C161">
            <v>0</v>
          </cell>
          <cell r="D161">
            <v>0</v>
          </cell>
          <cell r="E161">
            <v>0</v>
          </cell>
          <cell r="F161">
            <v>0</v>
          </cell>
          <cell r="G161">
            <v>0</v>
          </cell>
          <cell r="H161">
            <v>0</v>
          </cell>
          <cell r="I161">
            <v>0</v>
          </cell>
          <cell r="J161">
            <v>0</v>
          </cell>
          <cell r="K161">
            <v>0</v>
          </cell>
          <cell r="L161">
            <v>0</v>
          </cell>
          <cell r="M161">
            <v>0</v>
          </cell>
          <cell r="N161">
            <v>0</v>
          </cell>
        </row>
        <row r="163">
          <cell r="A163" t="str">
            <v>Poncho</v>
          </cell>
          <cell r="B163" t="str">
            <v>NK US</v>
          </cell>
          <cell r="E163">
            <v>0</v>
          </cell>
          <cell r="F163">
            <v>0</v>
          </cell>
          <cell r="G163">
            <v>0</v>
          </cell>
        </row>
        <row r="164">
          <cell r="B164" t="str">
            <v>NK Canada</v>
          </cell>
          <cell r="C164">
            <v>1721</v>
          </cell>
          <cell r="D164">
            <v>1927</v>
          </cell>
          <cell r="E164">
            <v>12159</v>
          </cell>
          <cell r="F164">
            <v>16443.370233505488</v>
          </cell>
          <cell r="G164">
            <v>14442.61</v>
          </cell>
        </row>
        <row r="165">
          <cell r="B165" t="str">
            <v>GH</v>
          </cell>
          <cell r="C165">
            <v>4052</v>
          </cell>
          <cell r="D165">
            <v>7867</v>
          </cell>
          <cell r="E165">
            <v>13424</v>
          </cell>
          <cell r="F165">
            <v>19248.240000000002</v>
          </cell>
          <cell r="G165">
            <v>19598.48</v>
          </cell>
        </row>
        <row r="166">
          <cell r="B166" t="str">
            <v>Garst</v>
          </cell>
          <cell r="C166">
            <v>6674</v>
          </cell>
          <cell r="D166">
            <v>10633</v>
          </cell>
          <cell r="E166">
            <v>15996</v>
          </cell>
          <cell r="F166">
            <v>17415.060000000001</v>
          </cell>
          <cell r="G166">
            <v>17441.62</v>
          </cell>
        </row>
        <row r="167">
          <cell r="B167" t="str">
            <v>Total</v>
          </cell>
          <cell r="C167">
            <v>12447</v>
          </cell>
          <cell r="D167">
            <v>20427</v>
          </cell>
          <cell r="E167">
            <v>41579</v>
          </cell>
          <cell r="F167">
            <v>53106.670233505487</v>
          </cell>
          <cell r="G167">
            <v>51482.709999999992</v>
          </cell>
          <cell r="H167">
            <v>0</v>
          </cell>
          <cell r="I167">
            <v>0</v>
          </cell>
          <cell r="J167">
            <v>0</v>
          </cell>
          <cell r="K167">
            <v>0</v>
          </cell>
          <cell r="L167">
            <v>0</v>
          </cell>
          <cell r="M167">
            <v>0</v>
          </cell>
          <cell r="N167">
            <v>0</v>
          </cell>
        </row>
        <row r="169">
          <cell r="A169" t="str">
            <v>Cruiser Mid</v>
          </cell>
          <cell r="B169" t="str">
            <v>NK US</v>
          </cell>
          <cell r="F169">
            <v>41.364000000000004</v>
          </cell>
          <cell r="G169">
            <v>42.93</v>
          </cell>
        </row>
        <row r="170">
          <cell r="B170" t="str">
            <v>NK Canada</v>
          </cell>
          <cell r="F170">
            <v>0</v>
          </cell>
          <cell r="G170">
            <v>0</v>
          </cell>
        </row>
        <row r="171">
          <cell r="B171" t="str">
            <v>GH</v>
          </cell>
          <cell r="E171">
            <v>2114</v>
          </cell>
          <cell r="F171">
            <v>2312.64</v>
          </cell>
          <cell r="G171">
            <v>2312.64</v>
          </cell>
        </row>
        <row r="172">
          <cell r="B172" t="str">
            <v>Garst</v>
          </cell>
          <cell r="F172">
            <v>0</v>
          </cell>
          <cell r="G172">
            <v>0</v>
          </cell>
        </row>
        <row r="173">
          <cell r="B173" t="str">
            <v>Total</v>
          </cell>
          <cell r="C173">
            <v>0</v>
          </cell>
          <cell r="D173">
            <v>0</v>
          </cell>
          <cell r="E173">
            <v>2114</v>
          </cell>
          <cell r="F173">
            <v>2354.0039999999999</v>
          </cell>
          <cell r="G173">
            <v>2355.5699999999997</v>
          </cell>
          <cell r="H173">
            <v>0</v>
          </cell>
          <cell r="I173">
            <v>0</v>
          </cell>
          <cell r="J173">
            <v>0</v>
          </cell>
          <cell r="K173">
            <v>0</v>
          </cell>
          <cell r="L173">
            <v>0</v>
          </cell>
          <cell r="M173">
            <v>0</v>
          </cell>
          <cell r="N173">
            <v>0</v>
          </cell>
        </row>
        <row r="175">
          <cell r="A175" t="str">
            <v>total</v>
          </cell>
          <cell r="B175" t="str">
            <v>NK US</v>
          </cell>
          <cell r="C175">
            <v>403135</v>
          </cell>
          <cell r="D175">
            <v>611989</v>
          </cell>
          <cell r="E175">
            <v>900588</v>
          </cell>
          <cell r="F175">
            <v>1063499</v>
          </cell>
          <cell r="G175">
            <v>1139390.82</v>
          </cell>
        </row>
        <row r="176">
          <cell r="B176" t="str">
            <v>NK Canada</v>
          </cell>
          <cell r="C176">
            <v>49575</v>
          </cell>
          <cell r="D176">
            <v>86834</v>
          </cell>
          <cell r="E176">
            <v>154942</v>
          </cell>
          <cell r="F176">
            <v>203028</v>
          </cell>
          <cell r="G176">
            <v>220447.83600000001</v>
          </cell>
        </row>
        <row r="177">
          <cell r="B177" t="str">
            <v>GH</v>
          </cell>
          <cell r="C177">
            <v>403174</v>
          </cell>
          <cell r="D177">
            <v>622938</v>
          </cell>
          <cell r="E177">
            <v>963938</v>
          </cell>
          <cell r="F177">
            <v>1075043.2</v>
          </cell>
          <cell r="G177">
            <v>1096057.5999999999</v>
          </cell>
        </row>
        <row r="178">
          <cell r="B178" t="str">
            <v>Garst</v>
          </cell>
          <cell r="C178">
            <v>450429</v>
          </cell>
          <cell r="D178">
            <v>717367</v>
          </cell>
          <cell r="E178">
            <v>1016356</v>
          </cell>
          <cell r="F178">
            <v>1166453.78</v>
          </cell>
          <cell r="G178">
            <v>1170490.8999999999</v>
          </cell>
        </row>
        <row r="179">
          <cell r="B179" t="str">
            <v>Total</v>
          </cell>
          <cell r="C179">
            <v>1306313</v>
          </cell>
          <cell r="D179">
            <v>2039128</v>
          </cell>
          <cell r="E179">
            <v>3035824</v>
          </cell>
          <cell r="F179">
            <v>3508023.98</v>
          </cell>
          <cell r="G179">
            <v>3626387.156</v>
          </cell>
          <cell r="H179">
            <v>0</v>
          </cell>
          <cell r="I179">
            <v>0</v>
          </cell>
          <cell r="J179">
            <v>0</v>
          </cell>
          <cell r="K179">
            <v>0</v>
          </cell>
          <cell r="L179">
            <v>0</v>
          </cell>
          <cell r="M179">
            <v>0</v>
          </cell>
          <cell r="N179">
            <v>0</v>
          </cell>
        </row>
        <row r="181">
          <cell r="A181" t="str">
            <v>Soybeans</v>
          </cell>
        </row>
        <row r="182">
          <cell r="A182" t="str">
            <v>Cruiser Maxx</v>
          </cell>
          <cell r="B182" t="str">
            <v>NK US</v>
          </cell>
          <cell r="C182">
            <v>49572</v>
          </cell>
          <cell r="D182">
            <v>77177</v>
          </cell>
          <cell r="E182">
            <v>131790</v>
          </cell>
          <cell r="F182">
            <v>191006.64</v>
          </cell>
          <cell r="G182">
            <v>210165.12</v>
          </cell>
        </row>
        <row r="183">
          <cell r="B183" t="str">
            <v>NK Canada</v>
          </cell>
          <cell r="C183">
            <v>0</v>
          </cell>
          <cell r="D183">
            <v>0</v>
          </cell>
          <cell r="E183">
            <v>76</v>
          </cell>
          <cell r="F183">
            <v>3500.1</v>
          </cell>
          <cell r="G183">
            <v>5123.277</v>
          </cell>
        </row>
        <row r="184">
          <cell r="B184" t="str">
            <v>GH</v>
          </cell>
          <cell r="C184">
            <v>449359</v>
          </cell>
          <cell r="D184">
            <v>523249</v>
          </cell>
          <cell r="E184">
            <v>630059</v>
          </cell>
          <cell r="F184">
            <v>694855.98400000005</v>
          </cell>
          <cell r="G184">
            <v>709712.1</v>
          </cell>
        </row>
        <row r="185">
          <cell r="B185" t="str">
            <v>Garst</v>
          </cell>
          <cell r="C185">
            <v>38626</v>
          </cell>
          <cell r="D185">
            <v>68460</v>
          </cell>
          <cell r="E185">
            <v>102811</v>
          </cell>
          <cell r="F185">
            <v>138688.20000000001</v>
          </cell>
          <cell r="G185">
            <v>149787</v>
          </cell>
        </row>
        <row r="186">
          <cell r="B186" t="str">
            <v>Total</v>
          </cell>
          <cell r="C186">
            <v>537557</v>
          </cell>
          <cell r="D186">
            <v>668886</v>
          </cell>
          <cell r="E186">
            <v>864736</v>
          </cell>
          <cell r="F186">
            <v>1028050.9240000001</v>
          </cell>
          <cell r="G186">
            <v>1074787.497</v>
          </cell>
          <cell r="H186">
            <v>0</v>
          </cell>
          <cell r="I186">
            <v>0</v>
          </cell>
          <cell r="J186">
            <v>0</v>
          </cell>
          <cell r="K186">
            <v>0</v>
          </cell>
          <cell r="L186">
            <v>0</v>
          </cell>
          <cell r="M186">
            <v>0</v>
          </cell>
          <cell r="N186">
            <v>0</v>
          </cell>
        </row>
        <row r="188">
          <cell r="A188" t="str">
            <v>Apron Maxx</v>
          </cell>
          <cell r="B188" t="str">
            <v>NK US</v>
          </cell>
          <cell r="E188">
            <v>76191</v>
          </cell>
          <cell r="F188">
            <v>102491.84</v>
          </cell>
          <cell r="G188">
            <v>111161.60000000001</v>
          </cell>
        </row>
        <row r="189">
          <cell r="B189" t="str">
            <v>NK Canada</v>
          </cell>
          <cell r="E189">
            <v>21882</v>
          </cell>
          <cell r="F189">
            <v>72443.7</v>
          </cell>
          <cell r="G189">
            <v>97988.426999999996</v>
          </cell>
        </row>
        <row r="190">
          <cell r="B190" t="str">
            <v>GH</v>
          </cell>
          <cell r="E190">
            <v>231585</v>
          </cell>
          <cell r="F190">
            <v>256385.24800000002</v>
          </cell>
          <cell r="G190">
            <v>258470.1</v>
          </cell>
        </row>
        <row r="191">
          <cell r="B191" t="str">
            <v>Garst</v>
          </cell>
          <cell r="E191">
            <v>135752</v>
          </cell>
          <cell r="F191">
            <v>175362.3</v>
          </cell>
          <cell r="G191">
            <v>189369.9</v>
          </cell>
        </row>
        <row r="192">
          <cell r="B192" t="str">
            <v>Total</v>
          </cell>
          <cell r="C192">
            <v>0</v>
          </cell>
          <cell r="D192">
            <v>0</v>
          </cell>
          <cell r="E192">
            <v>465410</v>
          </cell>
          <cell r="F192">
            <v>606683.08799999999</v>
          </cell>
          <cell r="G192">
            <v>656990.027</v>
          </cell>
          <cell r="H192">
            <v>0</v>
          </cell>
          <cell r="I192">
            <v>0</v>
          </cell>
          <cell r="J192">
            <v>0</v>
          </cell>
          <cell r="K192">
            <v>0</v>
          </cell>
          <cell r="L192">
            <v>0</v>
          </cell>
          <cell r="M192">
            <v>0</v>
          </cell>
          <cell r="N192">
            <v>0</v>
          </cell>
        </row>
        <row r="194">
          <cell r="A194" t="str">
            <v>Standard/Other</v>
          </cell>
          <cell r="B194" t="str">
            <v>NK US</v>
          </cell>
          <cell r="C194">
            <v>2297188</v>
          </cell>
          <cell r="D194">
            <v>2793534</v>
          </cell>
          <cell r="E194">
            <v>3280591</v>
          </cell>
          <cell r="F194">
            <v>3774468.72</v>
          </cell>
          <cell r="G194">
            <v>4349454.5599999996</v>
          </cell>
        </row>
        <row r="195">
          <cell r="B195" t="str">
            <v>NK Canada</v>
          </cell>
          <cell r="C195">
            <v>31568</v>
          </cell>
          <cell r="D195">
            <v>47581</v>
          </cell>
          <cell r="E195">
            <v>74902</v>
          </cell>
          <cell r="F195">
            <v>114005.7</v>
          </cell>
          <cell r="G195">
            <v>167006.60999999999</v>
          </cell>
        </row>
        <row r="196">
          <cell r="B196" t="str">
            <v>GH</v>
          </cell>
          <cell r="C196">
            <v>551065</v>
          </cell>
          <cell r="D196">
            <v>708676</v>
          </cell>
          <cell r="E196">
            <v>715747</v>
          </cell>
          <cell r="F196">
            <v>873006.76799999992</v>
          </cell>
          <cell r="G196">
            <v>960980.4</v>
          </cell>
        </row>
        <row r="197">
          <cell r="B197" t="str">
            <v>Garst</v>
          </cell>
          <cell r="C197">
            <v>1161061</v>
          </cell>
          <cell r="D197">
            <v>1471368</v>
          </cell>
          <cell r="E197">
            <v>1739945</v>
          </cell>
          <cell r="F197">
            <v>2016352.8</v>
          </cell>
          <cell r="G197">
            <v>2265257.7000000002</v>
          </cell>
        </row>
        <row r="198">
          <cell r="B198" t="str">
            <v>Total</v>
          </cell>
          <cell r="C198">
            <v>4040882</v>
          </cell>
          <cell r="D198">
            <v>5021159</v>
          </cell>
          <cell r="E198">
            <v>5811185</v>
          </cell>
          <cell r="F198">
            <v>6777833.9879999999</v>
          </cell>
          <cell r="G198">
            <v>7742699.2700000005</v>
          </cell>
          <cell r="H198">
            <v>0</v>
          </cell>
          <cell r="I198">
            <v>0</v>
          </cell>
          <cell r="J198">
            <v>0</v>
          </cell>
          <cell r="K198">
            <v>0</v>
          </cell>
          <cell r="L198">
            <v>0</v>
          </cell>
          <cell r="M198">
            <v>0</v>
          </cell>
          <cell r="N198">
            <v>0</v>
          </cell>
        </row>
        <row r="200">
          <cell r="A200" t="str">
            <v>total</v>
          </cell>
          <cell r="B200" t="str">
            <v>NK US</v>
          </cell>
          <cell r="C200">
            <v>2346760</v>
          </cell>
          <cell r="D200">
            <v>2870711</v>
          </cell>
          <cell r="E200">
            <v>3488572</v>
          </cell>
          <cell r="F200">
            <v>4067967.2</v>
          </cell>
          <cell r="G200">
            <v>4670781.2799999993</v>
          </cell>
          <cell r="H200">
            <v>0</v>
          </cell>
          <cell r="I200">
            <v>0</v>
          </cell>
          <cell r="J200">
            <v>0</v>
          </cell>
          <cell r="K200">
            <v>0</v>
          </cell>
          <cell r="L200">
            <v>0</v>
          </cell>
          <cell r="M200">
            <v>0</v>
          </cell>
          <cell r="N200">
            <v>0</v>
          </cell>
        </row>
        <row r="201">
          <cell r="B201" t="str">
            <v>NK Canada</v>
          </cell>
          <cell r="C201">
            <v>31568</v>
          </cell>
          <cell r="D201">
            <v>47581</v>
          </cell>
          <cell r="E201">
            <v>96860</v>
          </cell>
          <cell r="F201">
            <v>189949.5</v>
          </cell>
          <cell r="G201">
            <v>270118.31400000001</v>
          </cell>
          <cell r="H201">
            <v>0</v>
          </cell>
          <cell r="I201">
            <v>0</v>
          </cell>
          <cell r="J201">
            <v>0</v>
          </cell>
          <cell r="K201">
            <v>0</v>
          </cell>
          <cell r="L201">
            <v>0</v>
          </cell>
          <cell r="M201">
            <v>0</v>
          </cell>
          <cell r="N201">
            <v>0</v>
          </cell>
        </row>
        <row r="202">
          <cell r="B202" t="str">
            <v>GH</v>
          </cell>
          <cell r="C202">
            <v>1000424</v>
          </cell>
          <cell r="D202">
            <v>1231925</v>
          </cell>
          <cell r="E202">
            <v>1577391</v>
          </cell>
          <cell r="F202">
            <v>1824248</v>
          </cell>
          <cell r="G202">
            <v>1929162.6</v>
          </cell>
          <cell r="H202">
            <v>0</v>
          </cell>
          <cell r="I202">
            <v>0</v>
          </cell>
          <cell r="J202">
            <v>0</v>
          </cell>
          <cell r="K202">
            <v>0</v>
          </cell>
          <cell r="L202">
            <v>0</v>
          </cell>
          <cell r="M202">
            <v>0</v>
          </cell>
          <cell r="N202">
            <v>0</v>
          </cell>
        </row>
        <row r="203">
          <cell r="B203" t="str">
            <v>Garst</v>
          </cell>
          <cell r="C203">
            <v>1199687</v>
          </cell>
          <cell r="D203">
            <v>1539828</v>
          </cell>
          <cell r="E203">
            <v>1978508</v>
          </cell>
          <cell r="F203">
            <v>2330403.2999999998</v>
          </cell>
          <cell r="G203">
            <v>2604414.6</v>
          </cell>
          <cell r="H203">
            <v>0</v>
          </cell>
          <cell r="I203">
            <v>0</v>
          </cell>
          <cell r="J203">
            <v>0</v>
          </cell>
          <cell r="K203">
            <v>0</v>
          </cell>
          <cell r="L203">
            <v>0</v>
          </cell>
          <cell r="M203">
            <v>0</v>
          </cell>
          <cell r="N203">
            <v>0</v>
          </cell>
        </row>
        <row r="204">
          <cell r="B204" t="str">
            <v>Total</v>
          </cell>
          <cell r="C204">
            <v>4578439</v>
          </cell>
          <cell r="D204">
            <v>5690045</v>
          </cell>
          <cell r="E204">
            <v>7141331</v>
          </cell>
          <cell r="F204">
            <v>8412568</v>
          </cell>
          <cell r="G204">
            <v>9474476.7939999998</v>
          </cell>
          <cell r="H204">
            <v>0</v>
          </cell>
          <cell r="I204">
            <v>0</v>
          </cell>
          <cell r="J204">
            <v>0</v>
          </cell>
          <cell r="K204">
            <v>0</v>
          </cell>
          <cell r="L204">
            <v>0</v>
          </cell>
          <cell r="M204">
            <v>0</v>
          </cell>
          <cell r="N204">
            <v>0</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BTP"/>
      <sheetName val="Metropoint"/>
      <sheetName val="Valley Square"/>
    </sheetNames>
    <sheetDataSet>
      <sheetData sheetId="0" refreshError="1"/>
      <sheetData sheetId="1" refreshError="1"/>
      <sheetData sheetId="2" refreshError="1"/>
      <sheetData sheetId="3" refreshError="1">
        <row r="6">
          <cell r="C6">
            <v>0.03</v>
          </cell>
        </row>
        <row r="7">
          <cell r="C7">
            <v>0.09</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Chem Mov Summaryqty"/>
      <sheetName val="CP Chem Mov Summary $"/>
      <sheetName val="pivot"/>
      <sheetName val="detail"/>
      <sheetName val="dwnld - US Chem Purchase 12-09"/>
      <sheetName val="Loc lookup"/>
    </sheetNames>
    <sheetDataSet>
      <sheetData sheetId="0"/>
      <sheetData sheetId="1"/>
      <sheetData sheetId="2"/>
      <sheetData sheetId="3"/>
      <sheetData sheetId="4"/>
      <sheetData sheetId="5">
        <row r="1">
          <cell r="A1" t="str">
            <v>Storage Location</v>
          </cell>
          <cell r="B1" t="str">
            <v>Plant</v>
          </cell>
        </row>
        <row r="2">
          <cell r="A2" t="str">
            <v>ADVA</v>
          </cell>
          <cell r="B2" t="str">
            <v>Sunflower</v>
          </cell>
        </row>
        <row r="3">
          <cell r="A3" t="str">
            <v>AMPT</v>
          </cell>
          <cell r="B3" t="str">
            <v>Soy</v>
          </cell>
        </row>
        <row r="4">
          <cell r="A4" t="str">
            <v>AMWP</v>
          </cell>
          <cell r="B4" t="str">
            <v>Soy</v>
          </cell>
        </row>
        <row r="5">
          <cell r="A5" t="str">
            <v>BA01</v>
          </cell>
          <cell r="B5" t="str">
            <v>Soy</v>
          </cell>
        </row>
        <row r="6">
          <cell r="A6" t="str">
            <v>BEPT</v>
          </cell>
          <cell r="B6" t="str">
            <v>Soy</v>
          </cell>
        </row>
        <row r="7">
          <cell r="A7" t="str">
            <v>BEWP</v>
          </cell>
          <cell r="B7" t="str">
            <v>Soy</v>
          </cell>
        </row>
        <row r="8">
          <cell r="A8" t="str">
            <v>BL01</v>
          </cell>
          <cell r="B8" t="str">
            <v>Corn</v>
          </cell>
        </row>
        <row r="9">
          <cell r="A9" t="str">
            <v>BLPT</v>
          </cell>
          <cell r="B9" t="str">
            <v>Corn</v>
          </cell>
        </row>
        <row r="10">
          <cell r="A10" t="str">
            <v>BNSF</v>
          </cell>
          <cell r="B10" t="str">
            <v>Soy</v>
          </cell>
        </row>
        <row r="11">
          <cell r="A11" t="str">
            <v>BP01</v>
          </cell>
          <cell r="B11" t="str">
            <v>Corn</v>
          </cell>
        </row>
        <row r="12">
          <cell r="A12" t="str">
            <v>BPPT</v>
          </cell>
          <cell r="B12" t="str">
            <v>Corn</v>
          </cell>
        </row>
        <row r="13">
          <cell r="A13" t="str">
            <v>BRPT</v>
          </cell>
          <cell r="B13" t="str">
            <v>Soy</v>
          </cell>
        </row>
        <row r="14">
          <cell r="A14" t="str">
            <v>CACH</v>
          </cell>
          <cell r="B14" t="str">
            <v>Soy</v>
          </cell>
        </row>
        <row r="15">
          <cell r="A15" t="str">
            <v>CCPT</v>
          </cell>
          <cell r="B15" t="str">
            <v>Corn</v>
          </cell>
        </row>
        <row r="16">
          <cell r="A16" t="str">
            <v>CGSD</v>
          </cell>
          <cell r="B16" t="str">
            <v>Soy</v>
          </cell>
        </row>
        <row r="17">
          <cell r="A17" t="str">
            <v>CLPT</v>
          </cell>
          <cell r="B17" t="str">
            <v>Corn</v>
          </cell>
        </row>
        <row r="18">
          <cell r="A18" t="str">
            <v>CRWP</v>
          </cell>
          <cell r="B18" t="str">
            <v>Corn</v>
          </cell>
        </row>
        <row r="19">
          <cell r="A19" t="str">
            <v>DAPT</v>
          </cell>
          <cell r="B19" t="str">
            <v>Soy</v>
          </cell>
        </row>
        <row r="20">
          <cell r="A20" t="str">
            <v>EURE</v>
          </cell>
          <cell r="B20" t="str">
            <v>Soy</v>
          </cell>
        </row>
        <row r="21">
          <cell r="A21" t="str">
            <v>FL01</v>
          </cell>
          <cell r="B21" t="str">
            <v>Soy</v>
          </cell>
        </row>
        <row r="22">
          <cell r="A22" t="str">
            <v>FSCH</v>
          </cell>
          <cell r="B22" t="str">
            <v>Soy</v>
          </cell>
        </row>
        <row r="23">
          <cell r="A23" t="str">
            <v>FWLR</v>
          </cell>
          <cell r="B23" t="str">
            <v>Soy</v>
          </cell>
        </row>
        <row r="24">
          <cell r="A24" t="str">
            <v>G1PT</v>
          </cell>
          <cell r="B24" t="str">
            <v>Corn</v>
          </cell>
        </row>
        <row r="25">
          <cell r="A25" t="str">
            <v>G3PT</v>
          </cell>
          <cell r="B25" t="str">
            <v>Corn</v>
          </cell>
        </row>
        <row r="26">
          <cell r="A26" t="str">
            <v>G5PT</v>
          </cell>
          <cell r="B26" t="str">
            <v>Soy</v>
          </cell>
        </row>
        <row r="27">
          <cell r="A27" t="str">
            <v>G6PT</v>
          </cell>
          <cell r="B27" t="str">
            <v>Corn</v>
          </cell>
        </row>
        <row r="28">
          <cell r="A28" t="str">
            <v>G7PT</v>
          </cell>
          <cell r="B28" t="str">
            <v>Soy</v>
          </cell>
        </row>
        <row r="29">
          <cell r="A29" t="str">
            <v>G7WP</v>
          </cell>
          <cell r="B29" t="str">
            <v>Soy</v>
          </cell>
        </row>
        <row r="30">
          <cell r="A30" t="str">
            <v>GHPT</v>
          </cell>
          <cell r="B30" t="str">
            <v>Corn</v>
          </cell>
        </row>
        <row r="31">
          <cell r="A31" t="str">
            <v>GHWP</v>
          </cell>
          <cell r="B31" t="str">
            <v>Corn</v>
          </cell>
        </row>
        <row r="32">
          <cell r="A32" t="str">
            <v>HSC1</v>
          </cell>
          <cell r="B32" t="str">
            <v>Soy</v>
          </cell>
        </row>
        <row r="33">
          <cell r="A33" t="str">
            <v>HRNG</v>
          </cell>
          <cell r="B33" t="str">
            <v>Soy</v>
          </cell>
        </row>
        <row r="34">
          <cell r="A34" t="str">
            <v>HTPT</v>
          </cell>
          <cell r="B34" t="str">
            <v>Corn</v>
          </cell>
        </row>
        <row r="35">
          <cell r="A35" t="str">
            <v>JEPT</v>
          </cell>
          <cell r="B35" t="str">
            <v>Soy</v>
          </cell>
        </row>
        <row r="36">
          <cell r="A36" t="str">
            <v>JEWP</v>
          </cell>
          <cell r="B36" t="str">
            <v>Soy</v>
          </cell>
        </row>
        <row r="37">
          <cell r="A37" t="str">
            <v>LOL2</v>
          </cell>
          <cell r="B37" t="str">
            <v>Soy</v>
          </cell>
        </row>
        <row r="38">
          <cell r="A38" t="str">
            <v>LOL7</v>
          </cell>
          <cell r="B38" t="str">
            <v>Soy</v>
          </cell>
        </row>
        <row r="39">
          <cell r="A39" t="str">
            <v>LT01</v>
          </cell>
          <cell r="B39" t="str">
            <v>Corn</v>
          </cell>
        </row>
        <row r="40">
          <cell r="A40" t="str">
            <v>LTPT</v>
          </cell>
          <cell r="B40" t="str">
            <v>Corn</v>
          </cell>
        </row>
        <row r="41">
          <cell r="A41" t="str">
            <v>MIDS</v>
          </cell>
          <cell r="B41" t="str">
            <v>Soy</v>
          </cell>
        </row>
        <row r="42">
          <cell r="A42" t="str">
            <v>PA01</v>
          </cell>
          <cell r="B42" t="str">
            <v>Corn</v>
          </cell>
        </row>
        <row r="43">
          <cell r="A43" t="str">
            <v>PAPT</v>
          </cell>
          <cell r="B43" t="str">
            <v>Corn</v>
          </cell>
        </row>
        <row r="44">
          <cell r="A44" t="str">
            <v>PAWP</v>
          </cell>
          <cell r="B44" t="str">
            <v>Corn</v>
          </cell>
        </row>
        <row r="45">
          <cell r="A45" t="str">
            <v>PHPT</v>
          </cell>
          <cell r="B45" t="str">
            <v>Corn</v>
          </cell>
        </row>
        <row r="46">
          <cell r="A46" t="str">
            <v>PHWP</v>
          </cell>
          <cell r="B46" t="str">
            <v>Corn</v>
          </cell>
        </row>
        <row r="47">
          <cell r="A47" t="str">
            <v>PKWP</v>
          </cell>
          <cell r="B47" t="str">
            <v>Corn</v>
          </cell>
        </row>
        <row r="48">
          <cell r="A48" t="str">
            <v>PSAG</v>
          </cell>
          <cell r="B48" t="str">
            <v>Soy</v>
          </cell>
        </row>
        <row r="49">
          <cell r="A49" t="str">
            <v>PSIL</v>
          </cell>
          <cell r="B49" t="str">
            <v>Soy</v>
          </cell>
        </row>
        <row r="50">
          <cell r="A50" t="str">
            <v>PSNC</v>
          </cell>
          <cell r="B50" t="str">
            <v>Soy</v>
          </cell>
        </row>
        <row r="51">
          <cell r="A51" t="str">
            <v>PSSI</v>
          </cell>
          <cell r="B51" t="str">
            <v>Soy</v>
          </cell>
        </row>
        <row r="52">
          <cell r="A52" t="str">
            <v>RE02</v>
          </cell>
          <cell r="B52" t="str">
            <v>Soy</v>
          </cell>
        </row>
        <row r="53">
          <cell r="A53" t="str">
            <v>SOPT</v>
          </cell>
          <cell r="B53" t="str">
            <v>Corn</v>
          </cell>
        </row>
        <row r="54">
          <cell r="A54" t="str">
            <v>STR2</v>
          </cell>
          <cell r="B54" t="str">
            <v>Soy</v>
          </cell>
        </row>
        <row r="55">
          <cell r="A55" t="str">
            <v>STRA</v>
          </cell>
          <cell r="B55" t="str">
            <v>Soy</v>
          </cell>
        </row>
        <row r="56">
          <cell r="A56" t="str">
            <v>SWPA</v>
          </cell>
          <cell r="B56" t="str">
            <v>Soy</v>
          </cell>
        </row>
        <row r="57">
          <cell r="A57" t="str">
            <v>SYWR</v>
          </cell>
          <cell r="B57" t="str">
            <v>Soy</v>
          </cell>
        </row>
        <row r="58">
          <cell r="A58" t="str">
            <v>TANN</v>
          </cell>
          <cell r="B58" t="str">
            <v>Soy</v>
          </cell>
        </row>
        <row r="59">
          <cell r="A59" t="str">
            <v>TUPT</v>
          </cell>
          <cell r="B59" t="str">
            <v>Soy</v>
          </cell>
        </row>
        <row r="60">
          <cell r="A60" t="str">
            <v>TUWP</v>
          </cell>
          <cell r="B60" t="str">
            <v>Soy</v>
          </cell>
        </row>
        <row r="61">
          <cell r="A61" t="str">
            <v>WAPT</v>
          </cell>
          <cell r="B61" t="str">
            <v>Corn</v>
          </cell>
        </row>
        <row r="62">
          <cell r="A62" t="str">
            <v>WH01</v>
          </cell>
          <cell r="B62" t="str">
            <v>Corn</v>
          </cell>
        </row>
        <row r="63">
          <cell r="A63" t="str">
            <v>WLPT</v>
          </cell>
          <cell r="B63" t="str">
            <v>Soy</v>
          </cell>
        </row>
        <row r="64">
          <cell r="A64" t="str">
            <v>WLWP</v>
          </cell>
          <cell r="B64" t="str">
            <v>Soy</v>
          </cell>
        </row>
        <row r="65">
          <cell r="A65" t="str">
            <v>WLPK</v>
          </cell>
          <cell r="B65" t="str">
            <v>Soy</v>
          </cell>
        </row>
        <row r="66">
          <cell r="A66" t="str">
            <v>WNPT</v>
          </cell>
          <cell r="B66" t="str">
            <v>Corn</v>
          </cell>
        </row>
        <row r="67">
          <cell r="A67" t="str">
            <v>WPWP</v>
          </cell>
          <cell r="B67" t="str">
            <v>Corn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q # &amp; Non Seq #"/>
      <sheetName val="Sheet1"/>
      <sheetName val="Summary"/>
      <sheetName val="Process Order List"/>
      <sheetName val="Ext Co Prod"/>
      <sheetName val="Par Multi"/>
      <sheetName val="Pivot Summaries"/>
      <sheetName val="YTD - US 52111000 detail"/>
      <sheetName val="52111000 Jan FBL3N detail"/>
      <sheetName val="SAP"/>
      <sheetName val="US Plant Codes"/>
      <sheetName val="Ord Type table"/>
      <sheetName val="LT e-mail"/>
      <sheetName val="Sheet2"/>
      <sheetName val="Dec 2011 Ext Co Prod"/>
      <sheetName val="Jan 2012 Ext Co Prod"/>
      <sheetName val="Dec 2011 Par Multi"/>
      <sheetName val="Jan 2012 Par Mul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US01</v>
          </cell>
          <cell r="C2" t="str">
            <v>G. Valley</v>
          </cell>
          <cell r="D2" t="str">
            <v>Internal</v>
          </cell>
        </row>
        <row r="3">
          <cell r="B3" t="str">
            <v>USA1</v>
          </cell>
          <cell r="C3" t="str">
            <v>Argentina</v>
          </cell>
          <cell r="D3" t="str">
            <v>Winter</v>
          </cell>
          <cell r="E3" t="str">
            <v>CORN &amp;  SOYA</v>
          </cell>
          <cell r="F3" t="str">
            <v>Ames</v>
          </cell>
        </row>
        <row r="4">
          <cell r="B4" t="str">
            <v>USA2</v>
          </cell>
          <cell r="C4" t="str">
            <v>COON RAPIDS, IA</v>
          </cell>
          <cell r="D4" t="str">
            <v>Internal</v>
          </cell>
          <cell r="E4" t="str">
            <v>CORN</v>
          </cell>
          <cell r="F4" t="str">
            <v>Coon Rapids</v>
          </cell>
        </row>
        <row r="5">
          <cell r="B5" t="str">
            <v>USA3</v>
          </cell>
          <cell r="C5" t="str">
            <v>KEKAHA, HI</v>
          </cell>
          <cell r="D5" t="str">
            <v>Parent</v>
          </cell>
          <cell r="E5" t="str">
            <v>CORN</v>
          </cell>
          <cell r="F5" t="str">
            <v>Kekaha</v>
          </cell>
        </row>
        <row r="6">
          <cell r="B6" t="str">
            <v>USA4</v>
          </cell>
          <cell r="C6" t="str">
            <v>LONE TREE, IA</v>
          </cell>
          <cell r="D6" t="str">
            <v>Internal</v>
          </cell>
          <cell r="E6" t="str">
            <v>CORN</v>
          </cell>
          <cell r="F6" t="str">
            <v>Lone Tree</v>
          </cell>
        </row>
        <row r="7">
          <cell r="B7" t="str">
            <v>USA5</v>
          </cell>
          <cell r="C7" t="str">
            <v>PARIS, IL</v>
          </cell>
          <cell r="D7" t="str">
            <v>Internal</v>
          </cell>
          <cell r="E7" t="str">
            <v>CORN</v>
          </cell>
          <cell r="F7" t="str">
            <v>Paris</v>
          </cell>
        </row>
        <row r="8">
          <cell r="B8" t="str">
            <v>USA6</v>
          </cell>
          <cell r="C8" t="str">
            <v>PEKIN, IL</v>
          </cell>
          <cell r="D8" t="str">
            <v>Internal</v>
          </cell>
          <cell r="E8" t="str">
            <v>CORN &amp; SOYBEANS</v>
          </cell>
          <cell r="F8" t="str">
            <v>Pekin</v>
          </cell>
        </row>
        <row r="9">
          <cell r="B9" t="str">
            <v>USA7</v>
          </cell>
          <cell r="C9" t="str">
            <v>PHILLIPS, NE</v>
          </cell>
          <cell r="D9" t="str">
            <v>Internal</v>
          </cell>
          <cell r="E9" t="str">
            <v>CORN</v>
          </cell>
          <cell r="F9" t="str">
            <v>Phillips</v>
          </cell>
        </row>
        <row r="10">
          <cell r="B10" t="str">
            <v>USA8</v>
          </cell>
          <cell r="C10" t="str">
            <v>SLATER, IA</v>
          </cell>
          <cell r="D10" t="str">
            <v>Parent</v>
          </cell>
          <cell r="E10" t="str">
            <v>CORN</v>
          </cell>
          <cell r="F10" t="str">
            <v>Slater</v>
          </cell>
        </row>
        <row r="11">
          <cell r="B11" t="str">
            <v>USA9</v>
          </cell>
          <cell r="C11" t="str">
            <v>WASHINGTON, IA</v>
          </cell>
          <cell r="D11" t="str">
            <v>Parent</v>
          </cell>
          <cell r="E11" t="str">
            <v>CORN &amp; SOYBEANS</v>
          </cell>
          <cell r="F11" t="str">
            <v>Washington</v>
          </cell>
        </row>
        <row r="12">
          <cell r="B12" t="str">
            <v>USB0</v>
          </cell>
          <cell r="C12" t="str">
            <v>WATERLOO, NE</v>
          </cell>
          <cell r="D12" t="str">
            <v>Internal</v>
          </cell>
          <cell r="E12" t="str">
            <v>CORN, COMMERCIAL</v>
          </cell>
          <cell r="F12" t="str">
            <v>Waterloo</v>
          </cell>
        </row>
        <row r="13">
          <cell r="B13" t="str">
            <v>USB1</v>
          </cell>
          <cell r="C13" t="str">
            <v>WATERLOO, NE</v>
          </cell>
          <cell r="D13" t="str">
            <v>Parent</v>
          </cell>
          <cell r="E13" t="str">
            <v>CORN, BASIC SEEDS</v>
          </cell>
          <cell r="F13" t="str">
            <v>Waterloo</v>
          </cell>
        </row>
        <row r="14">
          <cell r="B14" t="str">
            <v>USB2</v>
          </cell>
          <cell r="C14" t="str">
            <v>WATERLOO, NE</v>
          </cell>
          <cell r="D14" t="str">
            <v>Regulatory</v>
          </cell>
          <cell r="E14" t="str">
            <v>CORN, REG. PROD.</v>
          </cell>
          <cell r="F14" t="str">
            <v>Waterloo</v>
          </cell>
        </row>
        <row r="15">
          <cell r="B15" t="str">
            <v>USB3</v>
          </cell>
          <cell r="C15" t="str">
            <v>BELLE PLAINE, IA</v>
          </cell>
          <cell r="D15" t="str">
            <v>External</v>
          </cell>
          <cell r="E15" t="str">
            <v>CORN</v>
          </cell>
          <cell r="F15" t="str">
            <v>Belle Plaine</v>
          </cell>
        </row>
        <row r="16">
          <cell r="B16" t="str">
            <v>USB4</v>
          </cell>
          <cell r="C16" t="str">
            <v>BLUFFTON, IN</v>
          </cell>
          <cell r="D16" t="str">
            <v>External</v>
          </cell>
          <cell r="E16" t="str">
            <v>CORN</v>
          </cell>
          <cell r="F16" t="str">
            <v>Bluffton</v>
          </cell>
        </row>
        <row r="17">
          <cell r="B17" t="str">
            <v>USB5</v>
          </cell>
          <cell r="C17" t="str">
            <v>CLINTON, IL</v>
          </cell>
          <cell r="D17" t="str">
            <v>External</v>
          </cell>
          <cell r="E17" t="str">
            <v>CORN</v>
          </cell>
          <cell r="F17" t="str">
            <v>Clinton</v>
          </cell>
        </row>
        <row r="18">
          <cell r="B18" t="str">
            <v>USB6</v>
          </cell>
          <cell r="C18" t="str">
            <v>CUBA CITY, WI</v>
          </cell>
          <cell r="D18" t="str">
            <v>External</v>
          </cell>
          <cell r="E18" t="str">
            <v>CORN</v>
          </cell>
          <cell r="F18" t="str">
            <v>Cuba City</v>
          </cell>
        </row>
        <row r="19">
          <cell r="B19" t="str">
            <v>USB7</v>
          </cell>
          <cell r="C19" t="str">
            <v>MADISON, WI</v>
          </cell>
          <cell r="D19" t="str">
            <v>External</v>
          </cell>
          <cell r="E19" t="str">
            <v>CORN</v>
          </cell>
          <cell r="F19" t="str">
            <v>Madison</v>
          </cell>
        </row>
        <row r="20">
          <cell r="B20" t="str">
            <v>USB8</v>
          </cell>
          <cell r="C20" t="str">
            <v>MUNCIE, IL</v>
          </cell>
          <cell r="D20" t="str">
            <v>External</v>
          </cell>
          <cell r="E20" t="str">
            <v>CORN</v>
          </cell>
          <cell r="F20" t="str">
            <v>Munice</v>
          </cell>
        </row>
        <row r="21">
          <cell r="B21" t="str">
            <v>USB9</v>
          </cell>
          <cell r="C21" t="str">
            <v>KUNIA, HI</v>
          </cell>
          <cell r="D21" t="str">
            <v>Parent</v>
          </cell>
          <cell r="E21" t="str">
            <v>CORN</v>
          </cell>
          <cell r="F21" t="str">
            <v>Kunia</v>
          </cell>
        </row>
        <row r="22">
          <cell r="B22" t="str">
            <v>USC0</v>
          </cell>
          <cell r="C22" t="str">
            <v>CHILE</v>
          </cell>
          <cell r="D22" t="str">
            <v>Winter</v>
          </cell>
          <cell r="E22" t="str">
            <v>CORN</v>
          </cell>
          <cell r="F22" t="str">
            <v>Santiago</v>
          </cell>
        </row>
        <row r="23">
          <cell r="B23" t="str">
            <v>USC1</v>
          </cell>
          <cell r="C23" t="str">
            <v>HAMPTON, IA</v>
          </cell>
          <cell r="D23" t="str">
            <v>Parent</v>
          </cell>
          <cell r="E23" t="str">
            <v>CORN &amp; SOYBEANS</v>
          </cell>
          <cell r="F23" t="str">
            <v>Hampton</v>
          </cell>
        </row>
        <row r="24">
          <cell r="B24" t="str">
            <v>USC2</v>
          </cell>
          <cell r="C24" t="str">
            <v>South America PS</v>
          </cell>
          <cell r="D24" t="str">
            <v>Parent</v>
          </cell>
          <cell r="E24" t="str">
            <v>CORN</v>
          </cell>
        </row>
        <row r="25">
          <cell r="B25" t="str">
            <v>USC3</v>
          </cell>
          <cell r="C25" t="str">
            <v>REMINGTON, IN</v>
          </cell>
          <cell r="D25" t="str">
            <v>External</v>
          </cell>
          <cell r="E25" t="str">
            <v>CORN</v>
          </cell>
          <cell r="F25" t="str">
            <v>Remington</v>
          </cell>
        </row>
        <row r="26">
          <cell r="B26" t="str">
            <v>USC4</v>
          </cell>
          <cell r="C26" t="str">
            <v>FRANCESVILLE, IN</v>
          </cell>
          <cell r="D26" t="str">
            <v>External</v>
          </cell>
          <cell r="E26" t="str">
            <v>CORN</v>
          </cell>
          <cell r="F26" t="str">
            <v>Francesville</v>
          </cell>
        </row>
        <row r="27">
          <cell r="B27" t="str">
            <v>USC6</v>
          </cell>
          <cell r="C27" t="str">
            <v>Becks (Phoenix Brand)</v>
          </cell>
          <cell r="D27" t="str">
            <v>External</v>
          </cell>
          <cell r="E27" t="str">
            <v>CORN</v>
          </cell>
        </row>
        <row r="28">
          <cell r="B28" t="str">
            <v>USS5</v>
          </cell>
          <cell r="C28" t="str">
            <v>TUSCOLA, IL</v>
          </cell>
          <cell r="D28" t="str">
            <v>External</v>
          </cell>
        </row>
        <row r="29">
          <cell r="B29" t="str">
            <v>CA01</v>
          </cell>
          <cell r="C29" t="str">
            <v>COTTAM, ON</v>
          </cell>
          <cell r="D29" t="str">
            <v>Internal</v>
          </cell>
          <cell r="E29" t="str">
            <v>CORN</v>
          </cell>
          <cell r="F29" t="str">
            <v>COTTAM</v>
          </cell>
        </row>
        <row r="30">
          <cell r="B30" t="str">
            <v>CAC1</v>
          </cell>
          <cell r="C30" t="str">
            <v>COTTAM, ON</v>
          </cell>
          <cell r="D30" t="str">
            <v>Internal</v>
          </cell>
        </row>
        <row r="31">
          <cell r="B31" t="str">
            <v>USK7</v>
          </cell>
          <cell r="C31" t="str">
            <v>Argentina</v>
          </cell>
          <cell r="D31" t="str">
            <v>Winter</v>
          </cell>
          <cell r="E31" t="str">
            <v>CORN</v>
          </cell>
        </row>
        <row r="32">
          <cell r="B32" t="str">
            <v>USG0</v>
          </cell>
          <cell r="C32" t="str">
            <v>AMBOY, MN</v>
          </cell>
          <cell r="D32" t="str">
            <v>Internal</v>
          </cell>
          <cell r="E32" t="str">
            <v>CORN &amp; SOYBEAN</v>
          </cell>
          <cell r="F32" t="str">
            <v>Amboy</v>
          </cell>
        </row>
        <row r="33">
          <cell r="B33" t="str">
            <v>US13</v>
          </cell>
          <cell r="C33" t="str">
            <v>Whiting</v>
          </cell>
          <cell r="D33" t="str">
            <v>External</v>
          </cell>
        </row>
        <row r="34">
          <cell r="B34" t="str">
            <v>USKO</v>
          </cell>
          <cell r="C34" t="str">
            <v>Garrison &amp; Townsend</v>
          </cell>
          <cell r="D34" t="str">
            <v>External</v>
          </cell>
        </row>
        <row r="35">
          <cell r="B35" t="str">
            <v>USA0</v>
          </cell>
          <cell r="C35" t="str">
            <v>MINNETONKA, MN</v>
          </cell>
          <cell r="E35" t="str">
            <v>CORN &amp; SOYBEANS</v>
          </cell>
          <cell r="F35" t="str">
            <v>Minnetonka</v>
          </cell>
        </row>
        <row r="36">
          <cell r="B36" t="str">
            <v>USG1</v>
          </cell>
          <cell r="C36" t="str">
            <v>BAY, AR</v>
          </cell>
          <cell r="E36" t="str">
            <v>SOYBEANS</v>
          </cell>
          <cell r="F36" t="str">
            <v>Bay</v>
          </cell>
        </row>
        <row r="37">
          <cell r="B37" t="str">
            <v>USG2</v>
          </cell>
          <cell r="C37" t="str">
            <v>BELMOND, IA</v>
          </cell>
          <cell r="E37" t="str">
            <v>SOYBEANS</v>
          </cell>
          <cell r="F37" t="str">
            <v>Belmond</v>
          </cell>
        </row>
        <row r="38">
          <cell r="B38" t="str">
            <v>USG3</v>
          </cell>
          <cell r="C38" t="str">
            <v>BROOKINGS, SD</v>
          </cell>
          <cell r="E38" t="str">
            <v>SOYBEANS</v>
          </cell>
          <cell r="F38" t="str">
            <v>Brookings</v>
          </cell>
        </row>
        <row r="39">
          <cell r="B39" t="str">
            <v>USG4</v>
          </cell>
          <cell r="C39" t="str">
            <v>CARROLL, IA</v>
          </cell>
          <cell r="E39" t="str">
            <v>SOYBEANS</v>
          </cell>
          <cell r="F39" t="str">
            <v>Carroll</v>
          </cell>
        </row>
        <row r="40">
          <cell r="B40" t="str">
            <v>USG5</v>
          </cell>
          <cell r="C40" t="str">
            <v>CARROLL, IA</v>
          </cell>
          <cell r="E40" t="str">
            <v>CORN &amp;  SOYA</v>
          </cell>
          <cell r="F40" t="str">
            <v>Carroll</v>
          </cell>
        </row>
        <row r="41">
          <cell r="B41" t="str">
            <v>USG6</v>
          </cell>
          <cell r="C41" t="str">
            <v>DANVERS, MN</v>
          </cell>
          <cell r="E41" t="str">
            <v>SOYBEANS</v>
          </cell>
          <cell r="F41" t="str">
            <v>Danvers</v>
          </cell>
        </row>
        <row r="42">
          <cell r="B42" t="str">
            <v>USG7</v>
          </cell>
          <cell r="C42" t="str">
            <v>DASSEL, MN</v>
          </cell>
          <cell r="E42" t="str">
            <v>SOYBEANS</v>
          </cell>
          <cell r="F42" t="str">
            <v>Cokato</v>
          </cell>
        </row>
        <row r="43">
          <cell r="B43" t="str">
            <v>USG8</v>
          </cell>
          <cell r="C43" t="str">
            <v>JEFFERSON, IA</v>
          </cell>
          <cell r="E43" t="str">
            <v>SOYBEANS</v>
          </cell>
          <cell r="F43" t="str">
            <v>Jefferson</v>
          </cell>
        </row>
        <row r="44">
          <cell r="B44" t="str">
            <v>USG9</v>
          </cell>
          <cell r="C44" t="str">
            <v>TUSCOLA, IL</v>
          </cell>
          <cell r="E44" t="str">
            <v>SOYBEANS</v>
          </cell>
          <cell r="F44" t="str">
            <v>Tuscola</v>
          </cell>
        </row>
        <row r="45">
          <cell r="B45" t="str">
            <v>USH1</v>
          </cell>
          <cell r="C45" t="str">
            <v>WATERLOO, IA</v>
          </cell>
          <cell r="E45" t="str">
            <v>SOYBEANS</v>
          </cell>
          <cell r="F45" t="str">
            <v>Waterloo</v>
          </cell>
        </row>
        <row r="46">
          <cell r="B46" t="str">
            <v>USH2</v>
          </cell>
          <cell r="C46" t="str">
            <v>HUNTINGTON, IN</v>
          </cell>
          <cell r="E46" t="str">
            <v>SOYBEANS</v>
          </cell>
          <cell r="F46" t="str">
            <v>Huntington</v>
          </cell>
        </row>
        <row r="47">
          <cell r="B47" t="str">
            <v>USH3</v>
          </cell>
          <cell r="C47" t="str">
            <v>SHELBYVILLE, IN</v>
          </cell>
          <cell r="E47" t="str">
            <v>SOYBEANS</v>
          </cell>
          <cell r="F47" t="str">
            <v>Shelbyville</v>
          </cell>
        </row>
        <row r="48">
          <cell r="B48" t="str">
            <v>USH4</v>
          </cell>
          <cell r="C48" t="str">
            <v>SEED PRODUCTION LLC</v>
          </cell>
          <cell r="E48" t="str">
            <v>SOYBEANS</v>
          </cell>
          <cell r="F48" t="str">
            <v>Celina</v>
          </cell>
        </row>
        <row r="49">
          <cell r="B49" t="str">
            <v>USH5</v>
          </cell>
          <cell r="C49" t="str">
            <v>NASHVILLE, IL</v>
          </cell>
          <cell r="E49" t="str">
            <v>SOYBEANS</v>
          </cell>
          <cell r="F49" t="str">
            <v>Nashville</v>
          </cell>
        </row>
        <row r="50">
          <cell r="B50" t="str">
            <v>USH6</v>
          </cell>
          <cell r="C50" t="str">
            <v>GEMEINGARDT SEEDS IN</v>
          </cell>
          <cell r="E50" t="str">
            <v>SOYBEANS</v>
          </cell>
          <cell r="F50" t="str">
            <v>Anniston</v>
          </cell>
        </row>
        <row r="51">
          <cell r="B51" t="str">
            <v>USH7</v>
          </cell>
          <cell r="C51" t="str">
            <v>NEW CASTLE, IN</v>
          </cell>
          <cell r="E51" t="str">
            <v>SOYBEANS</v>
          </cell>
          <cell r="F51" t="str">
            <v>New Castle</v>
          </cell>
        </row>
        <row r="52">
          <cell r="B52" t="str">
            <v>USH8</v>
          </cell>
          <cell r="C52" t="str">
            <v>CASH, AR</v>
          </cell>
          <cell r="E52" t="str">
            <v>SOYBEANS</v>
          </cell>
          <cell r="F52" t="str">
            <v>Cash</v>
          </cell>
        </row>
        <row r="53">
          <cell r="B53" t="str">
            <v>USH9</v>
          </cell>
          <cell r="C53" t="str">
            <v>RIDGWAY, IL</v>
          </cell>
          <cell r="E53" t="str">
            <v>SOYBEANS</v>
          </cell>
          <cell r="F53" t="str">
            <v>Ridgway</v>
          </cell>
        </row>
        <row r="54">
          <cell r="B54" t="str">
            <v>USI0</v>
          </cell>
          <cell r="C54" t="str">
            <v>CARLISLE, AR</v>
          </cell>
          <cell r="E54" t="str">
            <v>SOYBEANS</v>
          </cell>
          <cell r="F54" t="str">
            <v>Carlisle</v>
          </cell>
        </row>
        <row r="55">
          <cell r="B55" t="str">
            <v>USI1</v>
          </cell>
          <cell r="C55" t="str">
            <v>STUTTGART, AR</v>
          </cell>
          <cell r="E55" t="str">
            <v>SOYBEANS</v>
          </cell>
          <cell r="F55" t="str">
            <v>Stuttgart</v>
          </cell>
        </row>
        <row r="56">
          <cell r="B56" t="str">
            <v>USI2</v>
          </cell>
          <cell r="C56" t="str">
            <v>BERNIE, MO</v>
          </cell>
          <cell r="E56" t="str">
            <v>SOYBEANS</v>
          </cell>
          <cell r="F56" t="str">
            <v>Bernie</v>
          </cell>
        </row>
        <row r="57">
          <cell r="B57" t="str">
            <v>USI3</v>
          </cell>
          <cell r="C57" t="str">
            <v>MOUNT OLIVE,NC</v>
          </cell>
          <cell r="E57" t="str">
            <v>SOYBEANS</v>
          </cell>
          <cell r="F57" t="str">
            <v>Mt Olive</v>
          </cell>
        </row>
        <row r="58">
          <cell r="B58" t="str">
            <v>USI4</v>
          </cell>
          <cell r="C58" t="str">
            <v>BELHAVEN, NC</v>
          </cell>
          <cell r="E58" t="str">
            <v>SOYBEANS</v>
          </cell>
          <cell r="F58" t="str">
            <v>Belhaven</v>
          </cell>
        </row>
        <row r="59">
          <cell r="B59" t="str">
            <v>USI5</v>
          </cell>
          <cell r="C59" t="str">
            <v>HERTFORD, NC</v>
          </cell>
          <cell r="E59" t="str">
            <v>SOYBEANS</v>
          </cell>
          <cell r="F59" t="str">
            <v>Hertford</v>
          </cell>
        </row>
        <row r="60">
          <cell r="B60" t="str">
            <v>USI6</v>
          </cell>
          <cell r="C60" t="str">
            <v>CHAMPLAIN, VA</v>
          </cell>
          <cell r="E60" t="str">
            <v>SOYBEANS</v>
          </cell>
          <cell r="F60" t="str">
            <v>Champlain</v>
          </cell>
        </row>
        <row r="61">
          <cell r="B61" t="str">
            <v>USI7</v>
          </cell>
          <cell r="C61" t="str">
            <v>WASHINGTON, NC</v>
          </cell>
          <cell r="E61" t="str">
            <v>SOYBEANS</v>
          </cell>
          <cell r="F61" t="str">
            <v>Washington</v>
          </cell>
        </row>
        <row r="62">
          <cell r="B62" t="str">
            <v>USI8</v>
          </cell>
          <cell r="C62" t="str">
            <v>EMMAUS, PA</v>
          </cell>
          <cell r="E62" t="str">
            <v>SOYBEANS</v>
          </cell>
          <cell r="F62" t="str">
            <v>Emmaus</v>
          </cell>
        </row>
        <row r="63">
          <cell r="B63" t="str">
            <v>USI9</v>
          </cell>
          <cell r="C63" t="str">
            <v>HALL, NY</v>
          </cell>
          <cell r="E63" t="str">
            <v>SOYBEANS</v>
          </cell>
          <cell r="F63" t="str">
            <v>Hall</v>
          </cell>
        </row>
        <row r="64">
          <cell r="B64" t="str">
            <v>USJ0</v>
          </cell>
          <cell r="C64" t="str">
            <v>EVEREST, KS</v>
          </cell>
          <cell r="E64" t="str">
            <v>SOYBEANS</v>
          </cell>
          <cell r="F64" t="str">
            <v>Everest</v>
          </cell>
        </row>
        <row r="65">
          <cell r="B65" t="str">
            <v>USJ1</v>
          </cell>
          <cell r="C65" t="str">
            <v>REESE, MI</v>
          </cell>
          <cell r="E65" t="str">
            <v>SOYBEANS</v>
          </cell>
          <cell r="F65" t="str">
            <v>Reest</v>
          </cell>
        </row>
        <row r="66">
          <cell r="B66" t="str">
            <v>USJ2</v>
          </cell>
          <cell r="C66" t="str">
            <v>FOLWER, MI</v>
          </cell>
          <cell r="E66" t="str">
            <v>SOYBEANS</v>
          </cell>
          <cell r="F66" t="str">
            <v>Fowler</v>
          </cell>
        </row>
        <row r="67">
          <cell r="B67" t="str">
            <v>USJ3</v>
          </cell>
          <cell r="C67" t="str">
            <v>MARSHALL, MO</v>
          </cell>
          <cell r="E67" t="str">
            <v>SOYBEANS</v>
          </cell>
          <cell r="F67" t="str">
            <v>Marshall</v>
          </cell>
        </row>
        <row r="68">
          <cell r="B68" t="str">
            <v>USJ4</v>
          </cell>
          <cell r="C68" t="str">
            <v>RALSTON,IA</v>
          </cell>
          <cell r="E68" t="str">
            <v>SOYBEANS</v>
          </cell>
          <cell r="F68" t="str">
            <v>Ralston</v>
          </cell>
        </row>
        <row r="69">
          <cell r="B69" t="str">
            <v>USJ5</v>
          </cell>
          <cell r="C69" t="str">
            <v>HOMESTEAD, FL</v>
          </cell>
          <cell r="E69" t="str">
            <v>SOYBEANS</v>
          </cell>
          <cell r="F69" t="str">
            <v>Homestead</v>
          </cell>
        </row>
        <row r="70">
          <cell r="B70" t="str">
            <v>USJ6</v>
          </cell>
          <cell r="C70" t="str">
            <v>ADEL, IA</v>
          </cell>
          <cell r="E70" t="str">
            <v>SOYBEANS</v>
          </cell>
          <cell r="F70" t="str">
            <v>Adel</v>
          </cell>
        </row>
        <row r="71">
          <cell r="B71" t="str">
            <v>USJ7</v>
          </cell>
          <cell r="C71" t="str">
            <v>MAPLETON, ND</v>
          </cell>
          <cell r="E71" t="str">
            <v>SOYBEANS</v>
          </cell>
          <cell r="F71" t="str">
            <v>Mapleton</v>
          </cell>
        </row>
        <row r="72">
          <cell r="B72" t="str">
            <v>USJ8</v>
          </cell>
          <cell r="C72" t="str">
            <v>NORTHERN TIER SEED</v>
          </cell>
          <cell r="E72" t="str">
            <v>SOYBEANS</v>
          </cell>
          <cell r="F72" t="str">
            <v>Thompson</v>
          </cell>
        </row>
        <row r="73">
          <cell r="B73" t="str">
            <v>USJ9</v>
          </cell>
          <cell r="C73" t="str">
            <v>CROSBYTON, TX</v>
          </cell>
          <cell r="E73" t="str">
            <v>SORGHUM</v>
          </cell>
          <cell r="F73" t="str">
            <v>Crosbyton</v>
          </cell>
        </row>
        <row r="74">
          <cell r="B74" t="str">
            <v>USK0</v>
          </cell>
          <cell r="C74" t="str">
            <v>HEREFORD, TX</v>
          </cell>
          <cell r="E74" t="str">
            <v>SORGHUM</v>
          </cell>
          <cell r="F74" t="str">
            <v>Hereford</v>
          </cell>
        </row>
        <row r="75">
          <cell r="B75" t="str">
            <v>USK4</v>
          </cell>
          <cell r="C75" t="str">
            <v>CONROE, TX</v>
          </cell>
          <cell r="E75" t="str">
            <v>SOYBEANS</v>
          </cell>
          <cell r="F75" t="str">
            <v>Conroe</v>
          </cell>
        </row>
        <row r="76">
          <cell r="B76" t="str">
            <v>USK5</v>
          </cell>
          <cell r="C76" t="str">
            <v>KINSTON, NC</v>
          </cell>
          <cell r="E76" t="str">
            <v>SOYBEANS</v>
          </cell>
          <cell r="F76" t="str">
            <v>Kinston</v>
          </cell>
        </row>
        <row r="77">
          <cell r="B77" t="str">
            <v>USK6</v>
          </cell>
          <cell r="C77" t="str">
            <v>EAST PRAIRIE, MO</v>
          </cell>
          <cell r="E77" t="str">
            <v>SOYBEANS</v>
          </cell>
          <cell r="F77" t="str">
            <v>East Prairie</v>
          </cell>
        </row>
        <row r="78">
          <cell r="B78" t="str">
            <v>USK8</v>
          </cell>
          <cell r="C78" t="str">
            <v>Sunflower</v>
          </cell>
          <cell r="E78" t="str">
            <v>SUNFLOWERS</v>
          </cell>
          <cell r="F78" t="str">
            <v>Glenn</v>
          </cell>
        </row>
        <row r="79">
          <cell r="B79" t="str">
            <v>USK9</v>
          </cell>
          <cell r="C79" t="str">
            <v>Sunflower</v>
          </cell>
          <cell r="E79" t="str">
            <v>SUNFLOWERS</v>
          </cell>
          <cell r="F79" t="str">
            <v>Breckenridge</v>
          </cell>
        </row>
        <row r="80">
          <cell r="B80" t="str">
            <v>CA20</v>
          </cell>
          <cell r="C80" t="str">
            <v>Agromart Processing Co.</v>
          </cell>
          <cell r="E80" t="str">
            <v>Soybeans</v>
          </cell>
        </row>
        <row r="81">
          <cell r="B81" t="str">
            <v>CA21</v>
          </cell>
          <cell r="C81" t="str">
            <v>Agworks Inc.</v>
          </cell>
          <cell r="E81" t="str">
            <v>Soybeans</v>
          </cell>
        </row>
        <row r="82">
          <cell r="B82" t="str">
            <v>CA22</v>
          </cell>
          <cell r="C82" t="str">
            <v>Bev Manning</v>
          </cell>
          <cell r="E82" t="str">
            <v>Soybeans</v>
          </cell>
        </row>
        <row r="83">
          <cell r="B83" t="str">
            <v>CA23</v>
          </cell>
          <cell r="C83" t="str">
            <v>Brussels Agromart</v>
          </cell>
          <cell r="E83" t="str">
            <v>Soybeans</v>
          </cell>
        </row>
        <row r="84">
          <cell r="B84" t="str">
            <v>CA24</v>
          </cell>
          <cell r="C84" t="str">
            <v>Dunlop Farms</v>
          </cell>
          <cell r="E84" t="str">
            <v>Soybeans</v>
          </cell>
        </row>
        <row r="85">
          <cell r="B85" t="str">
            <v>CA25</v>
          </cell>
          <cell r="C85" t="str">
            <v>Grand River Bean</v>
          </cell>
          <cell r="E85" t="str">
            <v>Soybeans</v>
          </cell>
        </row>
        <row r="86">
          <cell r="B86" t="str">
            <v>CA26</v>
          </cell>
          <cell r="C86" t="str">
            <v>Hendrick Seeds</v>
          </cell>
          <cell r="E86" t="str">
            <v>Soybeans</v>
          </cell>
        </row>
        <row r="87">
          <cell r="B87" t="str">
            <v>CA27</v>
          </cell>
          <cell r="C87" t="str">
            <v>Hensall District CO-OP</v>
          </cell>
          <cell r="E87" t="str">
            <v>Soybeans</v>
          </cell>
        </row>
        <row r="88">
          <cell r="B88" t="str">
            <v>CA28</v>
          </cell>
          <cell r="C88" t="str">
            <v>Jackson Seeds</v>
          </cell>
          <cell r="E88" t="str">
            <v>Soybeans</v>
          </cell>
        </row>
        <row r="89">
          <cell r="B89" t="str">
            <v>CA29</v>
          </cell>
          <cell r="C89" t="str">
            <v>MacKellar Farms</v>
          </cell>
          <cell r="E89" t="str">
            <v>Soybeans</v>
          </cell>
        </row>
        <row r="90">
          <cell r="B90" t="str">
            <v>CA30</v>
          </cell>
          <cell r="C90" t="str">
            <v>Oxford Agropro LTD.</v>
          </cell>
          <cell r="E90" t="str">
            <v>Soybeans</v>
          </cell>
        </row>
        <row r="91">
          <cell r="B91" t="str">
            <v>CA31</v>
          </cell>
          <cell r="C91" t="str">
            <v>Pickseed Canada Inc.</v>
          </cell>
          <cell r="E91" t="str">
            <v>Forage</v>
          </cell>
        </row>
        <row r="92">
          <cell r="B92" t="str">
            <v>CA32</v>
          </cell>
          <cell r="C92" t="str">
            <v>Recker Seeds &amp; Cleaning</v>
          </cell>
          <cell r="E92" t="str">
            <v>Soybeans</v>
          </cell>
        </row>
        <row r="93">
          <cell r="B93" t="str">
            <v>CA33</v>
          </cell>
          <cell r="C93" t="str">
            <v>Rosebank Seed Farms Ltd.</v>
          </cell>
          <cell r="E93" t="str">
            <v>Soybeans</v>
          </cell>
        </row>
        <row r="94">
          <cell r="B94" t="str">
            <v>CA34</v>
          </cell>
          <cell r="C94" t="str">
            <v>Summit Seeds Inc.</v>
          </cell>
          <cell r="E94" t="str">
            <v>Soybeans</v>
          </cell>
        </row>
        <row r="95">
          <cell r="B95" t="str">
            <v>CA35</v>
          </cell>
          <cell r="C95" t="str">
            <v>Warrindale Farm</v>
          </cell>
          <cell r="E95" t="str">
            <v>Soybeans</v>
          </cell>
        </row>
        <row r="96">
          <cell r="B96" t="str">
            <v>CA36</v>
          </cell>
          <cell r="C96" t="str">
            <v>Ens Farms Ltd.</v>
          </cell>
          <cell r="E96" t="str">
            <v>Soybeans</v>
          </cell>
        </row>
        <row r="97">
          <cell r="B97" t="str">
            <v>CA37</v>
          </cell>
          <cell r="C97" t="str">
            <v>Les Grains Semtech</v>
          </cell>
          <cell r="E97" t="str">
            <v>Soya Business</v>
          </cell>
        </row>
      </sheetData>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irections-Assumptions"/>
      <sheetName val="Budgeting Assumptions"/>
      <sheetName val="CC Reconciliation (Act Rate)"/>
      <sheetName val="Plant Sum (Act Rate)"/>
      <sheetName val="Plant Activity Cost (Act Rate)"/>
      <sheetName val="CC Reconciliation (Phased)"/>
      <sheetName val="Plant Sum (Phased)"/>
      <sheetName val="Plant Activity Cost (Phased)"/>
      <sheetName val="550"/>
      <sheetName val="515"/>
      <sheetName val="553"/>
      <sheetName val="564"/>
      <sheetName val="560"/>
      <sheetName val="557"/>
      <sheetName val="511"/>
      <sheetName val="Plant Adm 501 &amp; 585 R&amp;M &amp; Depre"/>
      <sheetName val="501"/>
      <sheetName val="585"/>
      <sheetName val="Plant 575 Rework"/>
      <sheetName val="575"/>
      <sheetName val="Plant 590 Seed Quality"/>
      <sheetName val="590"/>
      <sheetName val="592 PCL Lab"/>
      <sheetName val="592"/>
      <sheetName val="150 Plant Warehouse &amp; Dist."/>
      <sheetName val="150"/>
      <sheetName val="155 Whse-Distr. Dispatch"/>
      <sheetName val="155"/>
    </sheetNames>
    <sheetDataSet>
      <sheetData sheetId="0"/>
      <sheetData sheetId="1"/>
      <sheetData sheetId="2"/>
      <sheetData sheetId="3"/>
      <sheetData sheetId="4"/>
      <sheetData sheetId="5"/>
      <sheetData sheetId="6"/>
      <sheetData sheetId="7"/>
      <sheetData sheetId="8"/>
      <sheetData sheetId="9">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US22P015503111100000</v>
          </cell>
          <cell r="B4" t="str">
            <v>Lone Tree</v>
          </cell>
          <cell r="C4" t="str">
            <v>Jan-Dec</v>
          </cell>
          <cell r="D4" t="str">
            <v>US22P01550</v>
          </cell>
          <cell r="E4" t="str">
            <v>550</v>
          </cell>
          <cell r="F4" t="str">
            <v>Field Production</v>
          </cell>
          <cell r="G4" t="str">
            <v>01</v>
          </cell>
          <cell r="H4">
            <v>3111100000</v>
          </cell>
          <cell r="I4" t="str">
            <v>WAGES,SALARIES,ALLOWANCES AND COMMI/PERM</v>
          </cell>
          <cell r="J4" t="str">
            <v>VALID</v>
          </cell>
          <cell r="K4">
            <v>697</v>
          </cell>
          <cell r="L4">
            <v>210</v>
          </cell>
          <cell r="M4">
            <v>476</v>
          </cell>
          <cell r="N4">
            <v>1288</v>
          </cell>
          <cell r="O4">
            <v>12380</v>
          </cell>
          <cell r="P4">
            <v>16358</v>
          </cell>
          <cell r="Q4">
            <v>18407</v>
          </cell>
          <cell r="R4">
            <v>12179</v>
          </cell>
          <cell r="S4">
            <v>2018</v>
          </cell>
          <cell r="T4">
            <v>2947</v>
          </cell>
          <cell r="U4">
            <v>2527</v>
          </cell>
          <cell r="V4">
            <v>-459</v>
          </cell>
          <cell r="W4">
            <v>574</v>
          </cell>
          <cell r="X4">
            <v>0</v>
          </cell>
          <cell r="Y4">
            <v>0</v>
          </cell>
          <cell r="Z4">
            <v>2741</v>
          </cell>
          <cell r="AA4">
            <v>18880</v>
          </cell>
          <cell r="AB4">
            <v>19417</v>
          </cell>
          <cell r="AC4">
            <v>21817</v>
          </cell>
          <cell r="AD4">
            <v>19396</v>
          </cell>
          <cell r="AE4">
            <v>1898</v>
          </cell>
          <cell r="AF4">
            <v>1387</v>
          </cell>
          <cell r="AG4">
            <v>2199</v>
          </cell>
          <cell r="AH4">
            <v>2573</v>
          </cell>
          <cell r="AI4">
            <v>789</v>
          </cell>
          <cell r="AJ4">
            <v>-453</v>
          </cell>
          <cell r="AK4">
            <v>138</v>
          </cell>
          <cell r="AL4">
            <v>1972</v>
          </cell>
          <cell r="AM4">
            <v>22269</v>
          </cell>
          <cell r="AN4">
            <v>30070</v>
          </cell>
          <cell r="AO4">
            <v>11449</v>
          </cell>
          <cell r="AP4">
            <v>5685</v>
          </cell>
          <cell r="AQ4">
            <v>5584</v>
          </cell>
          <cell r="AR4">
            <v>5515</v>
          </cell>
          <cell r="AS4">
            <v>2696</v>
          </cell>
          <cell r="AT4">
            <v>205</v>
          </cell>
          <cell r="AU4">
            <v>205</v>
          </cell>
          <cell r="AV4">
            <v>205</v>
          </cell>
          <cell r="AW4">
            <v>-410</v>
          </cell>
          <cell r="AX4">
            <v>9512</v>
          </cell>
          <cell r="BS4">
            <v>69028</v>
          </cell>
          <cell r="BT4">
            <v>90882</v>
          </cell>
          <cell r="BU4">
            <v>85919</v>
          </cell>
          <cell r="BV4">
            <v>9512</v>
          </cell>
          <cell r="BW4">
            <v>0</v>
          </cell>
          <cell r="BX4">
            <v>69028</v>
          </cell>
          <cell r="BY4">
            <v>90882</v>
          </cell>
          <cell r="BZ4">
            <v>85919</v>
          </cell>
          <cell r="CA4">
            <v>9512</v>
          </cell>
          <cell r="CB4">
            <v>0</v>
          </cell>
        </row>
        <row r="5">
          <cell r="A5" t="str">
            <v>US22P015503111100012</v>
          </cell>
          <cell r="B5" t="str">
            <v>Lone Tree</v>
          </cell>
          <cell r="C5" t="str">
            <v>Jan-Dec</v>
          </cell>
          <cell r="D5" t="str">
            <v>US22P01550</v>
          </cell>
          <cell r="E5" t="str">
            <v>550</v>
          </cell>
          <cell r="F5" t="str">
            <v>Field Production</v>
          </cell>
          <cell r="G5" t="str">
            <v>01</v>
          </cell>
          <cell r="H5">
            <v>3111100012</v>
          </cell>
          <cell r="I5" t="str">
            <v>OVERTIME HOURS /PERMANENTS</v>
          </cell>
          <cell r="J5" t="str">
            <v>VALID</v>
          </cell>
          <cell r="K5">
            <v>159</v>
          </cell>
          <cell r="L5">
            <v>422</v>
          </cell>
          <cell r="M5">
            <v>-95</v>
          </cell>
          <cell r="N5">
            <v>22</v>
          </cell>
          <cell r="O5">
            <v>10191</v>
          </cell>
          <cell r="P5">
            <v>2383</v>
          </cell>
          <cell r="Q5">
            <v>14668</v>
          </cell>
          <cell r="R5">
            <v>-1394</v>
          </cell>
          <cell r="S5">
            <v>4176</v>
          </cell>
          <cell r="T5">
            <v>-170</v>
          </cell>
          <cell r="U5">
            <v>162</v>
          </cell>
          <cell r="V5">
            <v>97</v>
          </cell>
          <cell r="W5">
            <v>0</v>
          </cell>
          <cell r="X5">
            <v>0</v>
          </cell>
          <cell r="Y5">
            <v>0</v>
          </cell>
          <cell r="Z5">
            <v>1034</v>
          </cell>
          <cell r="AA5">
            <v>16042</v>
          </cell>
          <cell r="AB5">
            <v>1744</v>
          </cell>
          <cell r="AC5">
            <v>19635</v>
          </cell>
          <cell r="AD5">
            <v>2150</v>
          </cell>
          <cell r="AE5">
            <v>1750</v>
          </cell>
          <cell r="AF5">
            <v>1198</v>
          </cell>
          <cell r="AG5">
            <v>200</v>
          </cell>
          <cell r="AH5">
            <v>306</v>
          </cell>
          <cell r="AI5">
            <v>0</v>
          </cell>
          <cell r="AJ5">
            <v>0</v>
          </cell>
          <cell r="AK5">
            <v>0</v>
          </cell>
          <cell r="AL5">
            <v>630</v>
          </cell>
          <cell r="AM5">
            <v>10169</v>
          </cell>
          <cell r="AN5">
            <v>11452</v>
          </cell>
          <cell r="AO5">
            <v>2255</v>
          </cell>
          <cell r="AP5">
            <v>682</v>
          </cell>
          <cell r="AQ5">
            <v>385</v>
          </cell>
          <cell r="AR5">
            <v>3023</v>
          </cell>
          <cell r="AS5">
            <v>0</v>
          </cell>
          <cell r="AT5">
            <v>0</v>
          </cell>
          <cell r="AU5">
            <v>0</v>
          </cell>
          <cell r="AV5">
            <v>0</v>
          </cell>
          <cell r="AW5">
            <v>0</v>
          </cell>
          <cell r="AX5">
            <v>496</v>
          </cell>
          <cell r="BS5">
            <v>30621</v>
          </cell>
          <cell r="BT5">
            <v>44059</v>
          </cell>
          <cell r="BU5">
            <v>28596</v>
          </cell>
          <cell r="BV5">
            <v>496</v>
          </cell>
          <cell r="BW5">
            <v>0</v>
          </cell>
          <cell r="BX5">
            <v>30621</v>
          </cell>
          <cell r="BY5">
            <v>44059</v>
          </cell>
          <cell r="BZ5">
            <v>28596</v>
          </cell>
          <cell r="CA5">
            <v>496</v>
          </cell>
          <cell r="CB5">
            <v>0</v>
          </cell>
        </row>
        <row r="6">
          <cell r="A6" t="str">
            <v>US22P015503111100900</v>
          </cell>
          <cell r="B6" t="str">
            <v>Lone Tree</v>
          </cell>
          <cell r="C6" t="str">
            <v>Jan-Dec</v>
          </cell>
          <cell r="D6" t="str">
            <v>US22P01550</v>
          </cell>
          <cell r="E6" t="str">
            <v>550</v>
          </cell>
          <cell r="F6" t="str">
            <v>Field Production</v>
          </cell>
          <cell r="G6" t="str">
            <v>01</v>
          </cell>
          <cell r="H6">
            <v>3111100900</v>
          </cell>
          <cell r="I6" t="str">
            <v>WAGES &amp; SALARIES / SEASONALS</v>
          </cell>
          <cell r="J6" t="str">
            <v>VALID</v>
          </cell>
          <cell r="K6">
            <v>0</v>
          </cell>
          <cell r="L6">
            <v>0</v>
          </cell>
          <cell r="M6">
            <v>0</v>
          </cell>
          <cell r="N6">
            <v>0</v>
          </cell>
          <cell r="O6">
            <v>486</v>
          </cell>
          <cell r="P6">
            <v>624</v>
          </cell>
          <cell r="Q6">
            <v>648</v>
          </cell>
          <cell r="R6">
            <v>365</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BS6">
            <v>2123</v>
          </cell>
          <cell r="BT6">
            <v>0</v>
          </cell>
          <cell r="BU6">
            <v>0</v>
          </cell>
          <cell r="BV6">
            <v>0</v>
          </cell>
          <cell r="BW6">
            <v>0</v>
          </cell>
          <cell r="BX6">
            <v>2123</v>
          </cell>
          <cell r="BY6">
            <v>0</v>
          </cell>
          <cell r="BZ6">
            <v>0</v>
          </cell>
          <cell r="CA6">
            <v>0</v>
          </cell>
          <cell r="CB6">
            <v>0</v>
          </cell>
        </row>
        <row r="7">
          <cell r="A7" t="str">
            <v>US22P015503121300013</v>
          </cell>
          <cell r="B7" t="str">
            <v>Lone Tree</v>
          </cell>
          <cell r="C7" t="str">
            <v>Jan-Dec</v>
          </cell>
          <cell r="D7" t="str">
            <v>US22P01550</v>
          </cell>
          <cell r="E7" t="str">
            <v>550</v>
          </cell>
          <cell r="F7" t="str">
            <v>Field Production</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293</v>
          </cell>
          <cell r="AJ7">
            <v>-169</v>
          </cell>
          <cell r="AK7">
            <v>51</v>
          </cell>
          <cell r="AL7">
            <v>968</v>
          </cell>
          <cell r="AM7">
            <v>12067</v>
          </cell>
          <cell r="AN7">
            <v>14612</v>
          </cell>
          <cell r="AO7">
            <v>5932</v>
          </cell>
          <cell r="AP7">
            <v>2369</v>
          </cell>
          <cell r="AQ7">
            <v>2220</v>
          </cell>
          <cell r="AR7">
            <v>3176</v>
          </cell>
          <cell r="AS7">
            <v>1003</v>
          </cell>
          <cell r="AT7">
            <v>76</v>
          </cell>
          <cell r="AU7">
            <v>75</v>
          </cell>
          <cell r="AV7">
            <v>75</v>
          </cell>
          <cell r="AW7">
            <v>-150</v>
          </cell>
          <cell r="AX7">
            <v>3663</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42598</v>
          </cell>
          <cell r="BV7">
            <v>3663</v>
          </cell>
          <cell r="BW7">
            <v>0</v>
          </cell>
          <cell r="BX7">
            <v>0</v>
          </cell>
          <cell r="BY7">
            <v>0</v>
          </cell>
          <cell r="BZ7">
            <v>42598</v>
          </cell>
          <cell r="CA7">
            <v>3663</v>
          </cell>
          <cell r="CB7">
            <v>0</v>
          </cell>
        </row>
        <row r="8">
          <cell r="A8" t="str">
            <v>US22P015503201300001</v>
          </cell>
          <cell r="B8" t="str">
            <v>Lone Tree</v>
          </cell>
          <cell r="C8" t="str">
            <v>Jan-Dec</v>
          </cell>
          <cell r="D8" t="str">
            <v>US22P01550</v>
          </cell>
          <cell r="E8" t="str">
            <v>550</v>
          </cell>
          <cell r="F8" t="str">
            <v>Field Production</v>
          </cell>
          <cell r="G8" t="str">
            <v>01</v>
          </cell>
          <cell r="H8">
            <v>3201300001</v>
          </cell>
          <cell r="I8" t="str">
            <v>HIRED PERSONNEL FROM 3RD PARTIES</v>
          </cell>
          <cell r="J8" t="str">
            <v>VALID</v>
          </cell>
          <cell r="K8">
            <v>308</v>
          </cell>
          <cell r="L8">
            <v>368</v>
          </cell>
          <cell r="M8">
            <v>0</v>
          </cell>
          <cell r="N8">
            <v>0</v>
          </cell>
          <cell r="O8">
            <v>16545</v>
          </cell>
          <cell r="P8">
            <v>20595</v>
          </cell>
          <cell r="Q8">
            <v>175433</v>
          </cell>
          <cell r="R8">
            <v>89290</v>
          </cell>
          <cell r="S8">
            <v>11802</v>
          </cell>
          <cell r="T8">
            <v>22836</v>
          </cell>
          <cell r="U8">
            <v>3454</v>
          </cell>
          <cell r="V8">
            <v>0</v>
          </cell>
          <cell r="W8">
            <v>0</v>
          </cell>
          <cell r="X8">
            <v>0</v>
          </cell>
          <cell r="Y8">
            <v>0</v>
          </cell>
          <cell r="Z8">
            <v>0</v>
          </cell>
          <cell r="AA8">
            <v>3386</v>
          </cell>
          <cell r="AB8">
            <v>27212</v>
          </cell>
          <cell r="AC8">
            <v>278400</v>
          </cell>
          <cell r="AD8">
            <v>55488</v>
          </cell>
          <cell r="AE8">
            <v>27366</v>
          </cell>
          <cell r="AF8">
            <v>11431</v>
          </cell>
          <cell r="AG8">
            <v>1972</v>
          </cell>
          <cell r="AH8">
            <v>0</v>
          </cell>
          <cell r="AI8">
            <v>0</v>
          </cell>
          <cell r="AJ8">
            <v>0</v>
          </cell>
          <cell r="AK8">
            <v>61</v>
          </cell>
          <cell r="AL8">
            <v>473</v>
          </cell>
          <cell r="AM8">
            <v>2832</v>
          </cell>
          <cell r="AN8">
            <v>16097</v>
          </cell>
          <cell r="AO8">
            <v>11620</v>
          </cell>
          <cell r="AP8">
            <v>4900</v>
          </cell>
          <cell r="AQ8">
            <v>19574</v>
          </cell>
          <cell r="AR8">
            <v>14643</v>
          </cell>
          <cell r="AS8">
            <v>1835</v>
          </cell>
          <cell r="AT8">
            <v>718</v>
          </cell>
          <cell r="AU8">
            <v>410</v>
          </cell>
          <cell r="AV8">
            <v>0</v>
          </cell>
          <cell r="AW8">
            <v>0</v>
          </cell>
          <cell r="AX8">
            <v>0</v>
          </cell>
          <cell r="BS8">
            <v>340631</v>
          </cell>
          <cell r="BT8">
            <v>405255</v>
          </cell>
          <cell r="BU8">
            <v>72753</v>
          </cell>
          <cell r="BV8">
            <v>410</v>
          </cell>
          <cell r="BW8">
            <v>0</v>
          </cell>
          <cell r="BX8">
            <v>340631</v>
          </cell>
          <cell r="BY8">
            <v>405255</v>
          </cell>
          <cell r="BZ8">
            <v>72753</v>
          </cell>
          <cell r="CA8">
            <v>410</v>
          </cell>
          <cell r="CB8">
            <v>0</v>
          </cell>
        </row>
        <row r="9">
          <cell r="A9" t="str">
            <v>US22P015503201300012</v>
          </cell>
          <cell r="B9" t="str">
            <v>Lone Tree</v>
          </cell>
          <cell r="C9" t="str">
            <v>Jan-Dec</v>
          </cell>
          <cell r="D9" t="str">
            <v>US22P01550</v>
          </cell>
          <cell r="E9" t="str">
            <v>550</v>
          </cell>
          <cell r="F9" t="str">
            <v>Field Production</v>
          </cell>
          <cell r="G9" t="str">
            <v>01</v>
          </cell>
          <cell r="H9">
            <v>3201300012</v>
          </cell>
          <cell r="I9" t="str">
            <v>HIRED PERSONNEL THIRD PARTY - ROUGING</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107546</v>
          </cell>
          <cell r="AP9">
            <v>19230</v>
          </cell>
          <cell r="AQ9">
            <v>3070</v>
          </cell>
          <cell r="AR9">
            <v>0</v>
          </cell>
          <cell r="AS9">
            <v>0</v>
          </cell>
          <cell r="AT9">
            <v>0</v>
          </cell>
          <cell r="AU9">
            <v>0</v>
          </cell>
          <cell r="AV9">
            <v>0</v>
          </cell>
          <cell r="AW9">
            <v>0</v>
          </cell>
          <cell r="AX9">
            <v>0</v>
          </cell>
          <cell r="BS9">
            <v>0</v>
          </cell>
          <cell r="BT9">
            <v>0</v>
          </cell>
          <cell r="BU9">
            <v>129846</v>
          </cell>
          <cell r="BV9">
            <v>0</v>
          </cell>
          <cell r="BW9">
            <v>0</v>
          </cell>
          <cell r="BX9">
            <v>0</v>
          </cell>
          <cell r="BY9">
            <v>0</v>
          </cell>
          <cell r="BZ9">
            <v>129846</v>
          </cell>
          <cell r="CA9">
            <v>0</v>
          </cell>
          <cell r="CB9">
            <v>0</v>
          </cell>
        </row>
        <row r="10">
          <cell r="A10" t="str">
            <v>US22P015503201400029</v>
          </cell>
          <cell r="B10" t="str">
            <v>Lone Tree</v>
          </cell>
          <cell r="C10" t="str">
            <v>Jan-Dec</v>
          </cell>
          <cell r="D10" t="str">
            <v>US22P01550</v>
          </cell>
          <cell r="E10" t="str">
            <v>550</v>
          </cell>
          <cell r="F10" t="str">
            <v>Field Production</v>
          </cell>
          <cell r="G10" t="str">
            <v>01</v>
          </cell>
          <cell r="H10">
            <v>3201400029</v>
          </cell>
          <cell r="I10" t="str">
            <v>OTH OUTSIDE SERVICES OTHER</v>
          </cell>
          <cell r="J10" t="str">
            <v>VALID</v>
          </cell>
          <cell r="K10">
            <v>944</v>
          </cell>
          <cell r="L10">
            <v>184</v>
          </cell>
          <cell r="M10">
            <v>145</v>
          </cell>
          <cell r="N10">
            <v>277</v>
          </cell>
          <cell r="O10">
            <v>586</v>
          </cell>
          <cell r="P10">
            <v>11937</v>
          </cell>
          <cell r="Q10">
            <v>33671</v>
          </cell>
          <cell r="R10">
            <v>29095</v>
          </cell>
          <cell r="S10">
            <v>66447</v>
          </cell>
          <cell r="T10">
            <v>306754</v>
          </cell>
          <cell r="U10">
            <v>2157</v>
          </cell>
          <cell r="V10">
            <v>180</v>
          </cell>
          <cell r="W10">
            <v>597</v>
          </cell>
          <cell r="X10">
            <v>75</v>
          </cell>
          <cell r="Y10">
            <v>262</v>
          </cell>
          <cell r="Z10">
            <v>198</v>
          </cell>
          <cell r="AA10">
            <v>498</v>
          </cell>
          <cell r="AB10">
            <v>64</v>
          </cell>
          <cell r="AC10">
            <v>368</v>
          </cell>
          <cell r="AD10">
            <v>624</v>
          </cell>
          <cell r="AE10">
            <v>90881</v>
          </cell>
          <cell r="AF10">
            <v>276623</v>
          </cell>
          <cell r="AG10">
            <v>115870</v>
          </cell>
          <cell r="AH10">
            <v>243</v>
          </cell>
          <cell r="AI10">
            <v>162</v>
          </cell>
          <cell r="AJ10">
            <v>162</v>
          </cell>
          <cell r="AK10">
            <v>0</v>
          </cell>
          <cell r="AL10">
            <v>335</v>
          </cell>
          <cell r="AM10">
            <v>360</v>
          </cell>
          <cell r="AN10">
            <v>253</v>
          </cell>
          <cell r="AO10">
            <v>668</v>
          </cell>
          <cell r="AP10">
            <v>0</v>
          </cell>
          <cell r="AQ10">
            <v>585</v>
          </cell>
          <cell r="AR10">
            <v>84342</v>
          </cell>
          <cell r="AS10">
            <v>201639</v>
          </cell>
          <cell r="AT10">
            <v>10355</v>
          </cell>
          <cell r="AU10">
            <v>46301</v>
          </cell>
          <cell r="AV10">
            <v>0</v>
          </cell>
          <cell r="AW10">
            <v>354</v>
          </cell>
          <cell r="AX10">
            <v>0</v>
          </cell>
          <cell r="BS10">
            <v>452377</v>
          </cell>
          <cell r="BT10">
            <v>486303</v>
          </cell>
          <cell r="BU10">
            <v>298861</v>
          </cell>
          <cell r="BV10">
            <v>46655</v>
          </cell>
          <cell r="BW10">
            <v>0</v>
          </cell>
          <cell r="BX10">
            <v>452377</v>
          </cell>
          <cell r="BY10">
            <v>486303</v>
          </cell>
          <cell r="BZ10">
            <v>298861</v>
          </cell>
          <cell r="CA10">
            <v>46655</v>
          </cell>
          <cell r="CB10">
            <v>0</v>
          </cell>
        </row>
        <row r="11">
          <cell r="A11" t="str">
            <v>US22P015503201400051</v>
          </cell>
          <cell r="B11" t="str">
            <v>Lone Tree</v>
          </cell>
          <cell r="C11" t="str">
            <v>Jan-Dec</v>
          </cell>
          <cell r="D11" t="str">
            <v>US22P01550</v>
          </cell>
          <cell r="E11" t="str">
            <v>550</v>
          </cell>
          <cell r="F11" t="str">
            <v>Field Production</v>
          </cell>
          <cell r="G11" t="str">
            <v>01</v>
          </cell>
          <cell r="H11">
            <v>3201400051</v>
          </cell>
          <cell r="I11" t="str">
            <v>MAINTENANCE EQUIPMENT</v>
          </cell>
          <cell r="J11" t="str">
            <v>VALID</v>
          </cell>
          <cell r="K11">
            <v>0</v>
          </cell>
          <cell r="L11">
            <v>0</v>
          </cell>
          <cell r="M11">
            <v>0</v>
          </cell>
          <cell r="N11">
            <v>0</v>
          </cell>
          <cell r="O11">
            <v>0</v>
          </cell>
          <cell r="P11">
            <v>0</v>
          </cell>
          <cell r="Q11">
            <v>468</v>
          </cell>
          <cell r="R11">
            <v>23</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111</v>
          </cell>
          <cell r="AI11">
            <v>699</v>
          </cell>
          <cell r="AJ11">
            <v>0</v>
          </cell>
          <cell r="AK11">
            <v>0</v>
          </cell>
          <cell r="AL11">
            <v>0</v>
          </cell>
          <cell r="AM11">
            <v>151</v>
          </cell>
          <cell r="AN11">
            <v>0</v>
          </cell>
          <cell r="AO11">
            <v>122</v>
          </cell>
          <cell r="AP11">
            <v>0</v>
          </cell>
          <cell r="AQ11">
            <v>88605</v>
          </cell>
          <cell r="AR11">
            <v>-88605</v>
          </cell>
          <cell r="AS11">
            <v>258</v>
          </cell>
          <cell r="AT11">
            <v>0</v>
          </cell>
          <cell r="AU11">
            <v>0</v>
          </cell>
          <cell r="AV11">
            <v>0</v>
          </cell>
          <cell r="AW11">
            <v>0</v>
          </cell>
          <cell r="AX11">
            <v>0</v>
          </cell>
          <cell r="BS11">
            <v>491</v>
          </cell>
          <cell r="BT11">
            <v>111</v>
          </cell>
          <cell r="BU11">
            <v>1230</v>
          </cell>
          <cell r="BV11">
            <v>0</v>
          </cell>
          <cell r="BW11">
            <v>0</v>
          </cell>
          <cell r="BX11">
            <v>491</v>
          </cell>
          <cell r="BY11">
            <v>111</v>
          </cell>
          <cell r="BZ11">
            <v>1230</v>
          </cell>
          <cell r="CA11">
            <v>0</v>
          </cell>
          <cell r="CB11">
            <v>0</v>
          </cell>
        </row>
        <row r="12">
          <cell r="A12" t="str">
            <v>US22P015503201400054</v>
          </cell>
          <cell r="B12" t="str">
            <v>Lone Tree</v>
          </cell>
          <cell r="C12" t="str">
            <v>Jan-Dec</v>
          </cell>
          <cell r="D12" t="str">
            <v>US22P01550</v>
          </cell>
          <cell r="E12" t="str">
            <v>550</v>
          </cell>
          <cell r="F12" t="str">
            <v>Field Production</v>
          </cell>
          <cell r="G12" t="str">
            <v>01</v>
          </cell>
          <cell r="H12">
            <v>3201400054</v>
          </cell>
          <cell r="I12" t="str">
            <v>TECHNICAL SERVICES</v>
          </cell>
          <cell r="J12" t="str">
            <v>VALID</v>
          </cell>
          <cell r="K12">
            <v>0</v>
          </cell>
          <cell r="L12">
            <v>0</v>
          </cell>
          <cell r="M12">
            <v>0</v>
          </cell>
          <cell r="N12">
            <v>0</v>
          </cell>
          <cell r="O12">
            <v>0</v>
          </cell>
          <cell r="P12">
            <v>0</v>
          </cell>
          <cell r="Q12">
            <v>0</v>
          </cell>
          <cell r="R12">
            <v>0</v>
          </cell>
          <cell r="S12">
            <v>0</v>
          </cell>
          <cell r="T12">
            <v>5040</v>
          </cell>
          <cell r="U12">
            <v>0</v>
          </cell>
          <cell r="V12">
            <v>0</v>
          </cell>
          <cell r="W12">
            <v>70</v>
          </cell>
          <cell r="X12">
            <v>0</v>
          </cell>
          <cell r="Y12">
            <v>0</v>
          </cell>
          <cell r="Z12">
            <v>0</v>
          </cell>
          <cell r="AA12">
            <v>29596</v>
          </cell>
          <cell r="AB12">
            <v>0</v>
          </cell>
          <cell r="AC12">
            <v>0</v>
          </cell>
          <cell r="AD12">
            <v>0</v>
          </cell>
          <cell r="AE12">
            <v>0</v>
          </cell>
          <cell r="AF12">
            <v>0</v>
          </cell>
          <cell r="AG12">
            <v>0</v>
          </cell>
          <cell r="AH12">
            <v>0</v>
          </cell>
          <cell r="AI12">
            <v>0</v>
          </cell>
          <cell r="AJ12">
            <v>432</v>
          </cell>
          <cell r="AK12">
            <v>216</v>
          </cell>
          <cell r="AL12">
            <v>228</v>
          </cell>
          <cell r="AM12">
            <v>39453</v>
          </cell>
          <cell r="AN12">
            <v>270</v>
          </cell>
          <cell r="AO12">
            <v>0</v>
          </cell>
          <cell r="AP12">
            <v>0</v>
          </cell>
          <cell r="AQ12">
            <v>0</v>
          </cell>
          <cell r="AR12">
            <v>0</v>
          </cell>
          <cell r="AS12">
            <v>0</v>
          </cell>
          <cell r="AT12">
            <v>0</v>
          </cell>
          <cell r="AU12">
            <v>0</v>
          </cell>
          <cell r="AV12">
            <v>0</v>
          </cell>
          <cell r="AW12">
            <v>0</v>
          </cell>
          <cell r="AX12">
            <v>0</v>
          </cell>
          <cell r="BS12">
            <v>5040</v>
          </cell>
          <cell r="BT12">
            <v>29666</v>
          </cell>
          <cell r="BU12">
            <v>40599</v>
          </cell>
          <cell r="BV12">
            <v>0</v>
          </cell>
          <cell r="BW12">
            <v>0</v>
          </cell>
          <cell r="BX12">
            <v>5040</v>
          </cell>
          <cell r="BY12">
            <v>29666</v>
          </cell>
          <cell r="BZ12">
            <v>40599</v>
          </cell>
          <cell r="CA12">
            <v>0</v>
          </cell>
          <cell r="CB12">
            <v>0</v>
          </cell>
        </row>
        <row r="13">
          <cell r="A13" t="str">
            <v>US22P015503201400056</v>
          </cell>
          <cell r="B13" t="str">
            <v>Lone Tree</v>
          </cell>
          <cell r="C13" t="str">
            <v>Jan-Dec</v>
          </cell>
          <cell r="D13" t="str">
            <v>US22P01550</v>
          </cell>
          <cell r="E13" t="str">
            <v>550</v>
          </cell>
          <cell r="F13" t="str">
            <v>Field Production</v>
          </cell>
          <cell r="G13" t="str">
            <v>01</v>
          </cell>
          <cell r="H13">
            <v>3201400056</v>
          </cell>
          <cell r="I13" t="str">
            <v>FIELD AND PRODUCTION EXPENSES</v>
          </cell>
          <cell r="J13" t="str">
            <v>VALID</v>
          </cell>
          <cell r="K13">
            <v>0</v>
          </cell>
          <cell r="L13">
            <v>0</v>
          </cell>
          <cell r="M13">
            <v>0</v>
          </cell>
          <cell r="N13">
            <v>0</v>
          </cell>
          <cell r="O13">
            <v>0</v>
          </cell>
          <cell r="P13">
            <v>0</v>
          </cell>
          <cell r="Q13">
            <v>0</v>
          </cell>
          <cell r="R13">
            <v>0</v>
          </cell>
          <cell r="S13">
            <v>263</v>
          </cell>
          <cell r="T13">
            <v>0</v>
          </cell>
          <cell r="U13">
            <v>0</v>
          </cell>
          <cell r="V13">
            <v>2026</v>
          </cell>
          <cell r="W13">
            <v>24</v>
          </cell>
          <cell r="X13">
            <v>228</v>
          </cell>
          <cell r="Y13">
            <v>1215</v>
          </cell>
          <cell r="Z13">
            <v>1830</v>
          </cell>
          <cell r="AA13">
            <v>486</v>
          </cell>
          <cell r="AB13">
            <v>349</v>
          </cell>
          <cell r="AC13">
            <v>28180</v>
          </cell>
          <cell r="AD13">
            <v>31240</v>
          </cell>
          <cell r="AE13">
            <v>190</v>
          </cell>
          <cell r="AF13">
            <v>50</v>
          </cell>
          <cell r="AG13">
            <v>4700</v>
          </cell>
          <cell r="AH13">
            <v>1000</v>
          </cell>
          <cell r="AI13">
            <v>0</v>
          </cell>
          <cell r="AJ13">
            <v>707</v>
          </cell>
          <cell r="AK13">
            <v>111</v>
          </cell>
          <cell r="AL13">
            <v>0</v>
          </cell>
          <cell r="AM13">
            <v>806</v>
          </cell>
          <cell r="AN13">
            <v>277</v>
          </cell>
          <cell r="AO13">
            <v>4623</v>
          </cell>
          <cell r="AP13">
            <v>43477</v>
          </cell>
          <cell r="AQ13">
            <v>0</v>
          </cell>
          <cell r="AR13">
            <v>48561</v>
          </cell>
          <cell r="AS13">
            <v>2602</v>
          </cell>
          <cell r="AT13">
            <v>3345</v>
          </cell>
          <cell r="AU13">
            <v>-45981</v>
          </cell>
          <cell r="AV13">
            <v>-290</v>
          </cell>
          <cell r="AW13">
            <v>81</v>
          </cell>
          <cell r="AX13">
            <v>0</v>
          </cell>
          <cell r="BS13">
            <v>2289</v>
          </cell>
          <cell r="BT13">
            <v>69492</v>
          </cell>
          <cell r="BU13">
            <v>104509</v>
          </cell>
          <cell r="BV13">
            <v>-46190</v>
          </cell>
          <cell r="BW13">
            <v>0</v>
          </cell>
          <cell r="BX13">
            <v>2289</v>
          </cell>
          <cell r="BY13">
            <v>69492</v>
          </cell>
          <cell r="BZ13">
            <v>104509</v>
          </cell>
          <cell r="CA13">
            <v>-46190</v>
          </cell>
          <cell r="CB13">
            <v>0</v>
          </cell>
        </row>
        <row r="14">
          <cell r="A14" t="str">
            <v>US22P015503201400057</v>
          </cell>
          <cell r="B14" t="str">
            <v>Lone Tree</v>
          </cell>
          <cell r="C14" t="str">
            <v>Jan-Dec</v>
          </cell>
          <cell r="D14" t="str">
            <v>US22P01550</v>
          </cell>
          <cell r="E14" t="str">
            <v>550</v>
          </cell>
          <cell r="F14" t="str">
            <v>Field Production</v>
          </cell>
          <cell r="G14" t="str">
            <v>01</v>
          </cell>
          <cell r="H14">
            <v>3201400057</v>
          </cell>
          <cell r="I14" t="str">
            <v>FIELD AND PRODUCTION SERVICES - SPRAYING</v>
          </cell>
          <cell r="J14" t="str">
            <v>VALID</v>
          </cell>
          <cell r="K14">
            <v>0</v>
          </cell>
          <cell r="L14">
            <v>0</v>
          </cell>
          <cell r="M14">
            <v>0</v>
          </cell>
          <cell r="N14">
            <v>0</v>
          </cell>
          <cell r="O14">
            <v>0</v>
          </cell>
          <cell r="P14">
            <v>3127</v>
          </cell>
          <cell r="Q14">
            <v>53245</v>
          </cell>
          <cell r="R14">
            <v>562124</v>
          </cell>
          <cell r="S14">
            <v>111913</v>
          </cell>
          <cell r="T14">
            <v>0</v>
          </cell>
          <cell r="U14">
            <v>0</v>
          </cell>
          <cell r="V14">
            <v>114306</v>
          </cell>
          <cell r="W14">
            <v>5156</v>
          </cell>
          <cell r="X14">
            <v>0</v>
          </cell>
          <cell r="Y14">
            <v>0</v>
          </cell>
          <cell r="Z14">
            <v>0</v>
          </cell>
          <cell r="AA14">
            <v>0</v>
          </cell>
          <cell r="AB14">
            <v>10554</v>
          </cell>
          <cell r="AC14">
            <v>218083</v>
          </cell>
          <cell r="AD14">
            <v>508275</v>
          </cell>
          <cell r="AE14">
            <v>4736</v>
          </cell>
          <cell r="AF14">
            <v>13057</v>
          </cell>
          <cell r="AG14">
            <v>-4309</v>
          </cell>
          <cell r="AH14">
            <v>139536</v>
          </cell>
          <cell r="AI14">
            <v>0</v>
          </cell>
          <cell r="AJ14">
            <v>0</v>
          </cell>
          <cell r="AK14">
            <v>0</v>
          </cell>
          <cell r="AL14">
            <v>0</v>
          </cell>
          <cell r="AM14">
            <v>0</v>
          </cell>
          <cell r="AN14">
            <v>4850</v>
          </cell>
          <cell r="AO14">
            <v>76671</v>
          </cell>
          <cell r="AP14">
            <v>293230</v>
          </cell>
          <cell r="AQ14">
            <v>211921</v>
          </cell>
          <cell r="AR14">
            <v>-22481</v>
          </cell>
          <cell r="AS14">
            <v>0</v>
          </cell>
          <cell r="AT14">
            <v>73018</v>
          </cell>
          <cell r="AU14">
            <v>0</v>
          </cell>
          <cell r="AV14">
            <v>682</v>
          </cell>
          <cell r="AW14">
            <v>0</v>
          </cell>
          <cell r="AX14">
            <v>0</v>
          </cell>
          <cell r="BS14">
            <v>844715</v>
          </cell>
          <cell r="BT14">
            <v>895088</v>
          </cell>
          <cell r="BU14">
            <v>637209</v>
          </cell>
          <cell r="BV14">
            <v>682</v>
          </cell>
          <cell r="BW14">
            <v>0</v>
          </cell>
          <cell r="BX14">
            <v>844715</v>
          </cell>
          <cell r="BY14">
            <v>895088</v>
          </cell>
          <cell r="BZ14">
            <v>637209</v>
          </cell>
          <cell r="CA14">
            <v>682</v>
          </cell>
          <cell r="CB14">
            <v>0</v>
          </cell>
        </row>
        <row r="15">
          <cell r="A15" t="str">
            <v>US22P015503311400099</v>
          </cell>
          <cell r="B15" t="str">
            <v>Lone Tree</v>
          </cell>
          <cell r="C15" t="str">
            <v>Jan-Dec</v>
          </cell>
          <cell r="D15" t="str">
            <v>US22P01550</v>
          </cell>
          <cell r="E15" t="str">
            <v>550</v>
          </cell>
          <cell r="F15" t="str">
            <v>Field Production</v>
          </cell>
          <cell r="G15" t="str">
            <v>01</v>
          </cell>
          <cell r="H15">
            <v>3311400099</v>
          </cell>
          <cell r="I15" t="str">
            <v>CO DEPRECIATION</v>
          </cell>
          <cell r="J15" t="str">
            <v>VALID</v>
          </cell>
          <cell r="K15">
            <v>116</v>
          </cell>
          <cell r="L15">
            <v>116</v>
          </cell>
          <cell r="M15">
            <v>116</v>
          </cell>
          <cell r="N15">
            <v>116</v>
          </cell>
          <cell r="O15">
            <v>156</v>
          </cell>
          <cell r="P15">
            <v>958</v>
          </cell>
          <cell r="Q15">
            <v>958</v>
          </cell>
          <cell r="R15">
            <v>958</v>
          </cell>
          <cell r="S15">
            <v>958</v>
          </cell>
          <cell r="T15">
            <v>156</v>
          </cell>
          <cell r="U15">
            <v>314</v>
          </cell>
          <cell r="V15">
            <v>156</v>
          </cell>
          <cell r="W15">
            <v>156</v>
          </cell>
          <cell r="X15">
            <v>156</v>
          </cell>
          <cell r="Y15">
            <v>156</v>
          </cell>
          <cell r="Z15">
            <v>156</v>
          </cell>
          <cell r="AA15">
            <v>156</v>
          </cell>
          <cell r="AB15">
            <v>156</v>
          </cell>
          <cell r="AC15">
            <v>156</v>
          </cell>
          <cell r="AD15">
            <v>156</v>
          </cell>
          <cell r="AE15">
            <v>2435</v>
          </cell>
          <cell r="AF15">
            <v>409</v>
          </cell>
          <cell r="AG15">
            <v>409</v>
          </cell>
          <cell r="AH15">
            <v>409</v>
          </cell>
          <cell r="AI15">
            <v>409</v>
          </cell>
          <cell r="AJ15">
            <v>386</v>
          </cell>
          <cell r="AK15">
            <v>219</v>
          </cell>
          <cell r="AL15">
            <v>156</v>
          </cell>
          <cell r="AM15">
            <v>156</v>
          </cell>
          <cell r="AN15">
            <v>156</v>
          </cell>
          <cell r="AO15">
            <v>156</v>
          </cell>
          <cell r="AP15">
            <v>156</v>
          </cell>
          <cell r="AQ15">
            <v>156</v>
          </cell>
          <cell r="AR15">
            <v>156</v>
          </cell>
          <cell r="AS15">
            <v>156</v>
          </cell>
          <cell r="AT15">
            <v>156</v>
          </cell>
          <cell r="AU15">
            <v>116</v>
          </cell>
          <cell r="AV15">
            <v>116</v>
          </cell>
          <cell r="AW15">
            <v>116</v>
          </cell>
          <cell r="AX15">
            <v>116</v>
          </cell>
          <cell r="BS15">
            <v>5078</v>
          </cell>
          <cell r="BT15">
            <v>4910</v>
          </cell>
          <cell r="BU15">
            <v>2418</v>
          </cell>
          <cell r="BV15">
            <v>464</v>
          </cell>
          <cell r="BW15">
            <v>0</v>
          </cell>
          <cell r="BX15">
            <v>5078</v>
          </cell>
          <cell r="BY15">
            <v>4910</v>
          </cell>
          <cell r="BZ15">
            <v>2418</v>
          </cell>
          <cell r="CA15">
            <v>464</v>
          </cell>
          <cell r="CB15">
            <v>0</v>
          </cell>
        </row>
        <row r="16">
          <cell r="A16" t="str">
            <v>US22P015503311500300</v>
          </cell>
          <cell r="B16" t="str">
            <v>Lone Tree</v>
          </cell>
          <cell r="C16" t="str">
            <v>Jan-Dec</v>
          </cell>
          <cell r="D16" t="str">
            <v>US22P01550</v>
          </cell>
          <cell r="E16" t="str">
            <v>550</v>
          </cell>
          <cell r="F16" t="str">
            <v>Field Production</v>
          </cell>
          <cell r="G16" t="str">
            <v>01</v>
          </cell>
          <cell r="H16">
            <v>3311500300</v>
          </cell>
          <cell r="I16" t="str">
            <v>Amort. Exp. - Fin. Leased</v>
          </cell>
          <cell r="J16" t="str">
            <v>VALID</v>
          </cell>
          <cell r="K16">
            <v>3786</v>
          </cell>
          <cell r="L16">
            <v>3566</v>
          </cell>
          <cell r="M16">
            <v>7455</v>
          </cell>
          <cell r="N16">
            <v>5303</v>
          </cell>
          <cell r="O16">
            <v>5873</v>
          </cell>
          <cell r="P16">
            <v>5869</v>
          </cell>
          <cell r="Q16">
            <v>6287</v>
          </cell>
          <cell r="R16">
            <v>9525</v>
          </cell>
          <cell r="S16">
            <v>5874</v>
          </cell>
          <cell r="T16">
            <v>5850</v>
          </cell>
          <cell r="U16">
            <v>5936</v>
          </cell>
          <cell r="V16">
            <v>5326</v>
          </cell>
          <cell r="W16">
            <v>5353</v>
          </cell>
          <cell r="X16">
            <v>5364</v>
          </cell>
          <cell r="Y16">
            <v>5370</v>
          </cell>
          <cell r="Z16">
            <v>5332</v>
          </cell>
          <cell r="AA16">
            <v>4956</v>
          </cell>
          <cell r="AB16">
            <v>3913</v>
          </cell>
          <cell r="AC16">
            <v>3199</v>
          </cell>
          <cell r="AD16">
            <v>3206</v>
          </cell>
          <cell r="AE16">
            <v>3746</v>
          </cell>
          <cell r="AF16">
            <v>3177</v>
          </cell>
          <cell r="AG16">
            <v>3136</v>
          </cell>
          <cell r="AH16">
            <v>4601</v>
          </cell>
          <cell r="AI16">
            <v>3727</v>
          </cell>
          <cell r="AJ16">
            <v>3728</v>
          </cell>
          <cell r="AK16">
            <v>6527</v>
          </cell>
          <cell r="AL16">
            <v>4875</v>
          </cell>
          <cell r="AM16">
            <v>4855</v>
          </cell>
          <cell r="AN16">
            <v>4827</v>
          </cell>
          <cell r="AO16">
            <v>9180</v>
          </cell>
          <cell r="AP16">
            <v>-2363</v>
          </cell>
          <cell r="AQ16">
            <v>-7660</v>
          </cell>
          <cell r="AR16">
            <v>6951</v>
          </cell>
          <cell r="AS16">
            <v>1084</v>
          </cell>
          <cell r="AT16">
            <v>1027</v>
          </cell>
          <cell r="AU16">
            <v>932</v>
          </cell>
          <cell r="AV16">
            <v>932</v>
          </cell>
          <cell r="AW16">
            <v>1024</v>
          </cell>
          <cell r="AX16">
            <v>934</v>
          </cell>
          <cell r="BS16">
            <v>70650</v>
          </cell>
          <cell r="BT16">
            <v>51353</v>
          </cell>
          <cell r="BU16">
            <v>36758</v>
          </cell>
          <cell r="BV16">
            <v>3822</v>
          </cell>
          <cell r="BW16">
            <v>0</v>
          </cell>
          <cell r="BX16">
            <v>70650</v>
          </cell>
          <cell r="BY16">
            <v>51353</v>
          </cell>
          <cell r="BZ16">
            <v>36758</v>
          </cell>
          <cell r="CA16">
            <v>3822</v>
          </cell>
          <cell r="CB16">
            <v>0</v>
          </cell>
        </row>
        <row r="17">
          <cell r="A17" t="str">
            <v>US22P015503921200001</v>
          </cell>
          <cell r="B17" t="str">
            <v>Lone Tree</v>
          </cell>
          <cell r="C17" t="str">
            <v>Jan-Dec</v>
          </cell>
          <cell r="D17" t="str">
            <v>US22P01550</v>
          </cell>
          <cell r="E17" t="str">
            <v>550</v>
          </cell>
          <cell r="F17" t="str">
            <v>Field Production</v>
          </cell>
          <cell r="G17" t="str">
            <v>01</v>
          </cell>
          <cell r="H17">
            <v>3921200001</v>
          </cell>
          <cell r="I17" t="str">
            <v>FUEL</v>
          </cell>
          <cell r="J17" t="str">
            <v>VALID</v>
          </cell>
          <cell r="K17">
            <v>-474</v>
          </cell>
          <cell r="L17">
            <v>0</v>
          </cell>
          <cell r="M17">
            <v>0</v>
          </cell>
          <cell r="N17">
            <v>0</v>
          </cell>
          <cell r="O17">
            <v>16</v>
          </cell>
          <cell r="P17">
            <v>3135</v>
          </cell>
          <cell r="Q17">
            <v>130</v>
          </cell>
          <cell r="R17">
            <v>300</v>
          </cell>
          <cell r="S17">
            <v>0</v>
          </cell>
          <cell r="T17">
            <v>0</v>
          </cell>
          <cell r="U17">
            <v>0</v>
          </cell>
          <cell r="V17">
            <v>0</v>
          </cell>
          <cell r="W17">
            <v>513</v>
          </cell>
          <cell r="X17">
            <v>0</v>
          </cell>
          <cell r="Y17">
            <v>404</v>
          </cell>
          <cell r="Z17">
            <v>381</v>
          </cell>
          <cell r="AA17">
            <v>159</v>
          </cell>
          <cell r="AB17">
            <v>3775</v>
          </cell>
          <cell r="AC17">
            <v>8715</v>
          </cell>
          <cell r="AD17">
            <v>3338</v>
          </cell>
          <cell r="AE17">
            <v>4474</v>
          </cell>
          <cell r="AF17">
            <v>228</v>
          </cell>
          <cell r="AG17">
            <v>0</v>
          </cell>
          <cell r="AH17">
            <v>338</v>
          </cell>
          <cell r="AI17">
            <v>0</v>
          </cell>
          <cell r="AJ17">
            <v>455</v>
          </cell>
          <cell r="AK17">
            <v>482</v>
          </cell>
          <cell r="AL17">
            <v>0</v>
          </cell>
          <cell r="AM17">
            <v>0</v>
          </cell>
          <cell r="AN17">
            <v>1340</v>
          </cell>
          <cell r="AO17">
            <v>4716</v>
          </cell>
          <cell r="AP17">
            <v>2705</v>
          </cell>
          <cell r="AQ17">
            <v>1440</v>
          </cell>
          <cell r="AR17">
            <v>0</v>
          </cell>
          <cell r="AS17">
            <v>0</v>
          </cell>
          <cell r="AT17">
            <v>0</v>
          </cell>
          <cell r="AU17">
            <v>701</v>
          </cell>
          <cell r="AV17">
            <v>0</v>
          </cell>
          <cell r="AW17">
            <v>0</v>
          </cell>
          <cell r="AX17">
            <v>0</v>
          </cell>
          <cell r="BS17">
            <v>3107</v>
          </cell>
          <cell r="BT17">
            <v>22325</v>
          </cell>
          <cell r="BU17">
            <v>11138</v>
          </cell>
          <cell r="BV17">
            <v>701</v>
          </cell>
          <cell r="BW17">
            <v>0</v>
          </cell>
          <cell r="BX17">
            <v>3107</v>
          </cell>
          <cell r="BY17">
            <v>22325</v>
          </cell>
          <cell r="BZ17">
            <v>11138</v>
          </cell>
          <cell r="CA17">
            <v>701</v>
          </cell>
          <cell r="CB17">
            <v>0</v>
          </cell>
        </row>
        <row r="18">
          <cell r="A18" t="str">
            <v>US22P015503921200003</v>
          </cell>
          <cell r="B18" t="str">
            <v>Lone Tree</v>
          </cell>
          <cell r="C18" t="str">
            <v>Jan-Dec</v>
          </cell>
          <cell r="D18" t="str">
            <v>US22P01550</v>
          </cell>
          <cell r="E18" t="str">
            <v>550</v>
          </cell>
          <cell r="F18" t="str">
            <v>Field Production</v>
          </cell>
          <cell r="G18" t="str">
            <v>01</v>
          </cell>
          <cell r="H18">
            <v>3921200003</v>
          </cell>
          <cell r="I18" t="str">
            <v>GAS</v>
          </cell>
          <cell r="J18" t="str">
            <v>VALID</v>
          </cell>
          <cell r="K18">
            <v>48</v>
          </cell>
          <cell r="L18">
            <v>719</v>
          </cell>
          <cell r="M18">
            <v>1013</v>
          </cell>
          <cell r="N18">
            <v>943</v>
          </cell>
          <cell r="O18">
            <v>1400</v>
          </cell>
          <cell r="P18">
            <v>13436</v>
          </cell>
          <cell r="Q18">
            <v>0</v>
          </cell>
          <cell r="R18">
            <v>9436</v>
          </cell>
          <cell r="S18">
            <v>18398</v>
          </cell>
          <cell r="T18">
            <v>4101</v>
          </cell>
          <cell r="U18">
            <v>6369</v>
          </cell>
          <cell r="V18">
            <v>1252</v>
          </cell>
          <cell r="W18">
            <v>18</v>
          </cell>
          <cell r="X18">
            <v>1567</v>
          </cell>
          <cell r="Y18">
            <v>1588</v>
          </cell>
          <cell r="Z18">
            <v>1239</v>
          </cell>
          <cell r="AA18">
            <v>2308</v>
          </cell>
          <cell r="AB18">
            <v>17275</v>
          </cell>
          <cell r="AC18">
            <v>575</v>
          </cell>
          <cell r="AD18">
            <v>9743</v>
          </cell>
          <cell r="AE18">
            <v>9313</v>
          </cell>
          <cell r="AF18">
            <v>5626</v>
          </cell>
          <cell r="AG18">
            <v>6969</v>
          </cell>
          <cell r="AH18">
            <v>2745</v>
          </cell>
          <cell r="AI18">
            <v>3763</v>
          </cell>
          <cell r="AJ18">
            <v>26</v>
          </cell>
          <cell r="AK18">
            <v>3267</v>
          </cell>
          <cell r="AL18">
            <v>4316</v>
          </cell>
          <cell r="AM18">
            <v>3633</v>
          </cell>
          <cell r="AN18">
            <v>23790</v>
          </cell>
          <cell r="AO18">
            <v>108</v>
          </cell>
          <cell r="AP18">
            <v>1283</v>
          </cell>
          <cell r="AQ18">
            <v>2003</v>
          </cell>
          <cell r="AR18">
            <v>815</v>
          </cell>
          <cell r="AS18">
            <v>1290</v>
          </cell>
          <cell r="AT18">
            <v>297</v>
          </cell>
          <cell r="AU18">
            <v>214</v>
          </cell>
          <cell r="AV18">
            <v>0</v>
          </cell>
          <cell r="AW18">
            <v>206</v>
          </cell>
          <cell r="AX18">
            <v>389</v>
          </cell>
          <cell r="BS18">
            <v>57115</v>
          </cell>
          <cell r="BT18">
            <v>58966</v>
          </cell>
          <cell r="BU18">
            <v>44591</v>
          </cell>
          <cell r="BV18">
            <v>809</v>
          </cell>
          <cell r="BW18">
            <v>0</v>
          </cell>
          <cell r="BX18">
            <v>57115</v>
          </cell>
          <cell r="BY18">
            <v>58966</v>
          </cell>
          <cell r="BZ18">
            <v>44591</v>
          </cell>
          <cell r="CA18">
            <v>809</v>
          </cell>
          <cell r="CB18">
            <v>0</v>
          </cell>
        </row>
        <row r="19">
          <cell r="A19" t="str">
            <v>US22P015503921200006</v>
          </cell>
          <cell r="B19" t="str">
            <v>Lone Tree</v>
          </cell>
          <cell r="C19" t="str">
            <v>Jan-Dec</v>
          </cell>
          <cell r="D19" t="str">
            <v>US22P01550</v>
          </cell>
          <cell r="E19" t="str">
            <v>550</v>
          </cell>
          <cell r="F19" t="str">
            <v>Field Production</v>
          </cell>
          <cell r="G19" t="str">
            <v>01</v>
          </cell>
          <cell r="H19">
            <v>3921200006</v>
          </cell>
          <cell r="I19" t="str">
            <v>FACTORY SUPPLIES MAINTENANCE SUPPLIES</v>
          </cell>
          <cell r="J19" t="str">
            <v>VALID</v>
          </cell>
          <cell r="K19">
            <v>0</v>
          </cell>
          <cell r="L19">
            <v>0</v>
          </cell>
          <cell r="M19">
            <v>20</v>
          </cell>
          <cell r="N19">
            <v>2797</v>
          </cell>
          <cell r="O19">
            <v>1531</v>
          </cell>
          <cell r="P19">
            <v>2854</v>
          </cell>
          <cell r="Q19">
            <v>942</v>
          </cell>
          <cell r="R19">
            <v>4038</v>
          </cell>
          <cell r="S19">
            <v>890</v>
          </cell>
          <cell r="T19">
            <v>46</v>
          </cell>
          <cell r="U19">
            <v>40</v>
          </cell>
          <cell r="V19">
            <v>0</v>
          </cell>
          <cell r="W19">
            <v>26</v>
          </cell>
          <cell r="X19">
            <v>0</v>
          </cell>
          <cell r="Y19">
            <v>0</v>
          </cell>
          <cell r="Z19">
            <v>3004</v>
          </cell>
          <cell r="AA19">
            <v>0</v>
          </cell>
          <cell r="AB19">
            <v>7253</v>
          </cell>
          <cell r="AC19">
            <v>346</v>
          </cell>
          <cell r="AD19">
            <v>628</v>
          </cell>
          <cell r="AE19">
            <v>243</v>
          </cell>
          <cell r="AF19">
            <v>30</v>
          </cell>
          <cell r="AG19">
            <v>600</v>
          </cell>
          <cell r="AH19">
            <v>987</v>
          </cell>
          <cell r="AI19">
            <v>40</v>
          </cell>
          <cell r="AJ19">
            <v>0</v>
          </cell>
          <cell r="AK19">
            <v>0</v>
          </cell>
          <cell r="AL19">
            <v>440</v>
          </cell>
          <cell r="AM19">
            <v>2623</v>
          </cell>
          <cell r="AN19">
            <v>118</v>
          </cell>
          <cell r="AO19">
            <v>1159</v>
          </cell>
          <cell r="AP19">
            <v>1363</v>
          </cell>
          <cell r="AQ19">
            <v>0</v>
          </cell>
          <cell r="AR19">
            <v>5265</v>
          </cell>
          <cell r="AS19">
            <v>65</v>
          </cell>
          <cell r="AT19">
            <v>1757</v>
          </cell>
          <cell r="AU19">
            <v>306</v>
          </cell>
          <cell r="AV19">
            <v>0</v>
          </cell>
          <cell r="AW19">
            <v>0</v>
          </cell>
          <cell r="AX19">
            <v>37</v>
          </cell>
          <cell r="BS19">
            <v>13158</v>
          </cell>
          <cell r="BT19">
            <v>13117</v>
          </cell>
          <cell r="BU19">
            <v>12830</v>
          </cell>
          <cell r="BV19">
            <v>343</v>
          </cell>
          <cell r="BW19">
            <v>0</v>
          </cell>
          <cell r="BX19">
            <v>13158</v>
          </cell>
          <cell r="BY19">
            <v>13117</v>
          </cell>
          <cell r="BZ19">
            <v>12830</v>
          </cell>
          <cell r="CA19">
            <v>343</v>
          </cell>
          <cell r="CB19">
            <v>0</v>
          </cell>
        </row>
        <row r="20">
          <cell r="A20" t="str">
            <v>US22P015503921200026</v>
          </cell>
          <cell r="B20" t="str">
            <v>Lone Tree</v>
          </cell>
          <cell r="C20" t="str">
            <v>Jan-Dec</v>
          </cell>
          <cell r="D20" t="str">
            <v>US22P01550</v>
          </cell>
          <cell r="E20" t="str">
            <v>550</v>
          </cell>
          <cell r="F20" t="str">
            <v>Field Production</v>
          </cell>
          <cell r="G20" t="str">
            <v>01</v>
          </cell>
          <cell r="H20">
            <v>3921200026</v>
          </cell>
          <cell r="I20" t="str">
            <v>MISCELLANEOUS COSTS ON VEHICLES</v>
          </cell>
          <cell r="J20" t="str">
            <v>VALID</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87</v>
          </cell>
          <cell r="AH20">
            <v>1244</v>
          </cell>
          <cell r="AI20">
            <v>48</v>
          </cell>
          <cell r="AJ20">
            <v>53</v>
          </cell>
          <cell r="AK20">
            <v>265</v>
          </cell>
          <cell r="AL20">
            <v>186</v>
          </cell>
          <cell r="AM20">
            <v>45</v>
          </cell>
          <cell r="AN20">
            <v>564</v>
          </cell>
          <cell r="AO20">
            <v>0</v>
          </cell>
          <cell r="AP20">
            <v>0</v>
          </cell>
          <cell r="AQ20">
            <v>0</v>
          </cell>
          <cell r="AR20">
            <v>2</v>
          </cell>
          <cell r="AS20">
            <v>0</v>
          </cell>
          <cell r="AT20">
            <v>2</v>
          </cell>
          <cell r="AU20">
            <v>3</v>
          </cell>
          <cell r="AV20">
            <v>-3</v>
          </cell>
          <cell r="AW20">
            <v>45</v>
          </cell>
          <cell r="AX20">
            <v>-24</v>
          </cell>
          <cell r="BS20">
            <v>0</v>
          </cell>
          <cell r="BT20">
            <v>1331</v>
          </cell>
          <cell r="BU20">
            <v>1165</v>
          </cell>
          <cell r="BV20">
            <v>21</v>
          </cell>
          <cell r="BW20">
            <v>0</v>
          </cell>
          <cell r="BX20">
            <v>0</v>
          </cell>
          <cell r="BY20">
            <v>1331</v>
          </cell>
          <cell r="BZ20">
            <v>1165</v>
          </cell>
          <cell r="CA20">
            <v>21</v>
          </cell>
          <cell r="CB20">
            <v>0</v>
          </cell>
        </row>
        <row r="21">
          <cell r="A21" t="str">
            <v>US22P015503921200037</v>
          </cell>
          <cell r="B21" t="str">
            <v>Lone Tree</v>
          </cell>
          <cell r="C21" t="str">
            <v>Jan-Dec</v>
          </cell>
          <cell r="D21" t="str">
            <v>US22P01550</v>
          </cell>
          <cell r="E21" t="str">
            <v>550</v>
          </cell>
          <cell r="F21" t="str">
            <v>Field Production</v>
          </cell>
          <cell r="G21" t="str">
            <v>01</v>
          </cell>
          <cell r="H21">
            <v>3921200037</v>
          </cell>
          <cell r="I21" t="str">
            <v>EXHAUSTIVE EQUIPMENT</v>
          </cell>
          <cell r="J21" t="str">
            <v>VALID</v>
          </cell>
          <cell r="K21">
            <v>0</v>
          </cell>
          <cell r="L21">
            <v>0</v>
          </cell>
          <cell r="M21">
            <v>0</v>
          </cell>
          <cell r="N21">
            <v>0</v>
          </cell>
          <cell r="O21">
            <v>0</v>
          </cell>
          <cell r="P21">
            <v>0</v>
          </cell>
          <cell r="Q21">
            <v>1672</v>
          </cell>
          <cell r="R21">
            <v>157</v>
          </cell>
          <cell r="S21">
            <v>0</v>
          </cell>
          <cell r="T21">
            <v>0</v>
          </cell>
          <cell r="U21">
            <v>13</v>
          </cell>
          <cell r="V21">
            <v>85</v>
          </cell>
          <cell r="W21">
            <v>75</v>
          </cell>
          <cell r="X21">
            <v>215</v>
          </cell>
          <cell r="Y21">
            <v>0</v>
          </cell>
          <cell r="Z21">
            <v>0</v>
          </cell>
          <cell r="AA21">
            <v>1138</v>
          </cell>
          <cell r="AB21">
            <v>1839</v>
          </cell>
          <cell r="AC21">
            <v>3150</v>
          </cell>
          <cell r="AD21">
            <v>1078</v>
          </cell>
          <cell r="AE21">
            <v>362</v>
          </cell>
          <cell r="AF21">
            <v>248</v>
          </cell>
          <cell r="AG21">
            <v>80</v>
          </cell>
          <cell r="AH21">
            <v>275</v>
          </cell>
          <cell r="AI21">
            <v>0</v>
          </cell>
          <cell r="AJ21">
            <v>19</v>
          </cell>
          <cell r="AK21">
            <v>532</v>
          </cell>
          <cell r="AL21">
            <v>421</v>
          </cell>
          <cell r="AM21">
            <v>1223</v>
          </cell>
          <cell r="AN21">
            <v>2982</v>
          </cell>
          <cell r="AO21">
            <v>1009</v>
          </cell>
          <cell r="AP21">
            <v>1507</v>
          </cell>
          <cell r="AQ21">
            <v>393</v>
          </cell>
          <cell r="AR21">
            <v>1595</v>
          </cell>
          <cell r="AS21">
            <v>719</v>
          </cell>
          <cell r="AT21">
            <v>88</v>
          </cell>
          <cell r="AU21">
            <v>0</v>
          </cell>
          <cell r="AV21">
            <v>693</v>
          </cell>
          <cell r="AW21">
            <v>267</v>
          </cell>
          <cell r="AX21">
            <v>126</v>
          </cell>
          <cell r="BS21">
            <v>1927</v>
          </cell>
          <cell r="BT21">
            <v>8460</v>
          </cell>
          <cell r="BU21">
            <v>10488</v>
          </cell>
          <cell r="BV21">
            <v>1086</v>
          </cell>
          <cell r="BW21">
            <v>0</v>
          </cell>
          <cell r="BX21">
            <v>1927</v>
          </cell>
          <cell r="BY21">
            <v>8460</v>
          </cell>
          <cell r="BZ21">
            <v>10488</v>
          </cell>
          <cell r="CA21">
            <v>1086</v>
          </cell>
          <cell r="CB21">
            <v>0</v>
          </cell>
        </row>
        <row r="22">
          <cell r="A22" t="str">
            <v>US22P015503921200100</v>
          </cell>
          <cell r="B22" t="str">
            <v>Lone Tree</v>
          </cell>
          <cell r="C22" t="str">
            <v>Jan-Dec</v>
          </cell>
          <cell r="D22" t="str">
            <v>US22P01550</v>
          </cell>
          <cell r="E22" t="str">
            <v>550</v>
          </cell>
          <cell r="F22" t="str">
            <v>Field Production</v>
          </cell>
          <cell r="G22" t="str">
            <v>01</v>
          </cell>
          <cell r="H22">
            <v>3921200100</v>
          </cell>
          <cell r="I22" t="str">
            <v>FIELD &amp; PRODUCTION SUPPLIES</v>
          </cell>
          <cell r="J22" t="str">
            <v>VALID</v>
          </cell>
          <cell r="K22">
            <v>0</v>
          </cell>
          <cell r="L22">
            <v>0</v>
          </cell>
          <cell r="M22">
            <v>0</v>
          </cell>
          <cell r="N22">
            <v>0</v>
          </cell>
          <cell r="O22">
            <v>165</v>
          </cell>
          <cell r="P22">
            <v>145</v>
          </cell>
          <cell r="Q22">
            <v>263</v>
          </cell>
          <cell r="R22">
            <v>688</v>
          </cell>
          <cell r="S22">
            <v>0</v>
          </cell>
          <cell r="T22">
            <v>0</v>
          </cell>
          <cell r="U22">
            <v>40</v>
          </cell>
          <cell r="V22">
            <v>555</v>
          </cell>
          <cell r="W22">
            <v>0</v>
          </cell>
          <cell r="X22">
            <v>1000</v>
          </cell>
          <cell r="Y22">
            <v>0</v>
          </cell>
          <cell r="Z22">
            <v>663</v>
          </cell>
          <cell r="AA22">
            <v>0</v>
          </cell>
          <cell r="AB22">
            <v>0</v>
          </cell>
          <cell r="AC22">
            <v>2020</v>
          </cell>
          <cell r="AD22">
            <v>6</v>
          </cell>
          <cell r="AE22">
            <v>0</v>
          </cell>
          <cell r="AF22">
            <v>0</v>
          </cell>
          <cell r="AG22">
            <v>0</v>
          </cell>
          <cell r="AH22">
            <v>80</v>
          </cell>
          <cell r="AI22">
            <v>0</v>
          </cell>
          <cell r="AJ22">
            <v>0</v>
          </cell>
          <cell r="AK22">
            <v>0</v>
          </cell>
          <cell r="AL22">
            <v>0</v>
          </cell>
          <cell r="AM22">
            <v>0</v>
          </cell>
          <cell r="AN22">
            <v>0</v>
          </cell>
          <cell r="AO22">
            <v>115</v>
          </cell>
          <cell r="AP22">
            <v>0</v>
          </cell>
          <cell r="AQ22">
            <v>6</v>
          </cell>
          <cell r="AR22">
            <v>0</v>
          </cell>
          <cell r="AS22">
            <v>645</v>
          </cell>
          <cell r="AT22">
            <v>0</v>
          </cell>
          <cell r="AU22">
            <v>1448</v>
          </cell>
          <cell r="AV22">
            <v>0</v>
          </cell>
          <cell r="AW22">
            <v>0</v>
          </cell>
          <cell r="AX22">
            <v>26</v>
          </cell>
          <cell r="BS22">
            <v>1856</v>
          </cell>
          <cell r="BT22">
            <v>3769</v>
          </cell>
          <cell r="BU22">
            <v>766</v>
          </cell>
          <cell r="BV22">
            <v>1474</v>
          </cell>
          <cell r="BW22">
            <v>0</v>
          </cell>
          <cell r="BX22">
            <v>1856</v>
          </cell>
          <cell r="BY22">
            <v>3769</v>
          </cell>
          <cell r="BZ22">
            <v>766</v>
          </cell>
          <cell r="CA22">
            <v>1474</v>
          </cell>
          <cell r="CB22">
            <v>0</v>
          </cell>
        </row>
        <row r="23">
          <cell r="A23" t="str">
            <v>US22P015503951100005</v>
          </cell>
          <cell r="B23" t="str">
            <v>Lone Tree</v>
          </cell>
          <cell r="C23" t="str">
            <v>Jan-Dec</v>
          </cell>
          <cell r="D23" t="str">
            <v>US22P01550</v>
          </cell>
          <cell r="E23" t="str">
            <v>550</v>
          </cell>
          <cell r="F23" t="str">
            <v>Field Production</v>
          </cell>
          <cell r="G23" t="str">
            <v>01</v>
          </cell>
          <cell r="H23">
            <v>3951100005</v>
          </cell>
          <cell r="I23" t="str">
            <v>OTHER RENTALS</v>
          </cell>
          <cell r="J23" t="str">
            <v>VALID</v>
          </cell>
          <cell r="K23">
            <v>0</v>
          </cell>
          <cell r="L23">
            <v>0</v>
          </cell>
          <cell r="M23">
            <v>0</v>
          </cell>
          <cell r="N23">
            <v>0</v>
          </cell>
          <cell r="O23">
            <v>0</v>
          </cell>
          <cell r="P23">
            <v>0</v>
          </cell>
          <cell r="Q23">
            <v>1124</v>
          </cell>
          <cell r="R23">
            <v>2247</v>
          </cell>
          <cell r="S23">
            <v>0</v>
          </cell>
          <cell r="T23">
            <v>2995</v>
          </cell>
          <cell r="U23">
            <v>1124</v>
          </cell>
          <cell r="V23">
            <v>1124</v>
          </cell>
          <cell r="W23">
            <v>-97</v>
          </cell>
          <cell r="X23">
            <v>0</v>
          </cell>
          <cell r="Y23">
            <v>0</v>
          </cell>
          <cell r="Z23">
            <v>0</v>
          </cell>
          <cell r="AA23">
            <v>1224</v>
          </cell>
          <cell r="AB23">
            <v>3824</v>
          </cell>
          <cell r="AC23">
            <v>10169</v>
          </cell>
          <cell r="AD23">
            <v>6523</v>
          </cell>
          <cell r="AE23">
            <v>4300</v>
          </cell>
          <cell r="AF23">
            <v>758</v>
          </cell>
          <cell r="AG23">
            <v>0</v>
          </cell>
          <cell r="AH23">
            <v>0</v>
          </cell>
          <cell r="AI23">
            <v>0</v>
          </cell>
          <cell r="AJ23">
            <v>0</v>
          </cell>
          <cell r="AK23">
            <v>0</v>
          </cell>
          <cell r="AL23">
            <v>0</v>
          </cell>
          <cell r="AM23">
            <v>1565</v>
          </cell>
          <cell r="AN23">
            <v>963</v>
          </cell>
          <cell r="AO23">
            <v>3450</v>
          </cell>
          <cell r="AP23">
            <v>3313</v>
          </cell>
          <cell r="AQ23">
            <v>1150</v>
          </cell>
          <cell r="AR23">
            <v>1150</v>
          </cell>
          <cell r="AS23">
            <v>0</v>
          </cell>
          <cell r="AT23">
            <v>4800</v>
          </cell>
          <cell r="AU23">
            <v>2500</v>
          </cell>
          <cell r="AV23">
            <v>1150</v>
          </cell>
          <cell r="AW23">
            <v>0</v>
          </cell>
          <cell r="AX23">
            <v>0</v>
          </cell>
          <cell r="BS23">
            <v>8614</v>
          </cell>
          <cell r="BT23">
            <v>26701</v>
          </cell>
          <cell r="BU23">
            <v>16391</v>
          </cell>
          <cell r="BV23">
            <v>3650</v>
          </cell>
          <cell r="BW23">
            <v>0</v>
          </cell>
          <cell r="BX23">
            <v>8614</v>
          </cell>
          <cell r="BY23">
            <v>26701</v>
          </cell>
          <cell r="BZ23">
            <v>16391</v>
          </cell>
          <cell r="CA23">
            <v>3650</v>
          </cell>
          <cell r="CB23">
            <v>0</v>
          </cell>
        </row>
        <row r="24">
          <cell r="A24" t="str">
            <v>US22P015503951200002</v>
          </cell>
          <cell r="B24" t="str">
            <v>Lone Tree</v>
          </cell>
          <cell r="C24" t="str">
            <v>Jan-Dec</v>
          </cell>
          <cell r="D24" t="str">
            <v>US22P01550</v>
          </cell>
          <cell r="E24" t="str">
            <v>550</v>
          </cell>
          <cell r="F24" t="str">
            <v>Field Production</v>
          </cell>
          <cell r="G24" t="str">
            <v>01</v>
          </cell>
          <cell r="H24">
            <v>3951200002</v>
          </cell>
          <cell r="I24" t="str">
            <v>OPERATING LEASES - VEHICLES (SHORT DURAT</v>
          </cell>
          <cell r="J24" t="str">
            <v>VALID</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BS24">
            <v>0</v>
          </cell>
          <cell r="BT24">
            <v>0</v>
          </cell>
          <cell r="BU24">
            <v>0</v>
          </cell>
          <cell r="BV24">
            <v>0</v>
          </cell>
          <cell r="BW24">
            <v>0</v>
          </cell>
          <cell r="BX24">
            <v>0</v>
          </cell>
          <cell r="BY24">
            <v>0</v>
          </cell>
          <cell r="BZ24">
            <v>0</v>
          </cell>
          <cell r="CA24">
            <v>0</v>
          </cell>
          <cell r="CB24">
            <v>0</v>
          </cell>
        </row>
        <row r="25">
          <cell r="A25" t="str">
            <v>US22P015503961100000</v>
          </cell>
          <cell r="B25" t="str">
            <v>Lone Tree</v>
          </cell>
          <cell r="C25" t="str">
            <v>Jan-Dec</v>
          </cell>
          <cell r="D25" t="str">
            <v>US22P01550</v>
          </cell>
          <cell r="E25" t="str">
            <v>550</v>
          </cell>
          <cell r="F25" t="str">
            <v>Field Production</v>
          </cell>
          <cell r="G25" t="str">
            <v>01</v>
          </cell>
          <cell r="H25">
            <v>3961100000</v>
          </cell>
          <cell r="I25" t="str">
            <v>COMPREHENSIVE INSURANCES</v>
          </cell>
          <cell r="J25" t="str">
            <v>VALID</v>
          </cell>
          <cell r="K25">
            <v>0</v>
          </cell>
          <cell r="L25">
            <v>0</v>
          </cell>
          <cell r="M25">
            <v>0</v>
          </cell>
          <cell r="N25">
            <v>0</v>
          </cell>
          <cell r="O25">
            <v>0</v>
          </cell>
          <cell r="P25">
            <v>0</v>
          </cell>
          <cell r="Q25">
            <v>0</v>
          </cell>
          <cell r="R25">
            <v>0</v>
          </cell>
          <cell r="S25">
            <v>0</v>
          </cell>
          <cell r="T25">
            <v>0</v>
          </cell>
          <cell r="U25">
            <v>91545</v>
          </cell>
          <cell r="V25">
            <v>0</v>
          </cell>
          <cell r="W25">
            <v>0</v>
          </cell>
          <cell r="X25">
            <v>-35612</v>
          </cell>
          <cell r="Y25">
            <v>0</v>
          </cell>
          <cell r="Z25">
            <v>0</v>
          </cell>
          <cell r="AA25">
            <v>0</v>
          </cell>
          <cell r="AB25">
            <v>0</v>
          </cell>
          <cell r="AC25">
            <v>0</v>
          </cell>
          <cell r="AD25">
            <v>0</v>
          </cell>
          <cell r="AE25">
            <v>0</v>
          </cell>
          <cell r="AF25">
            <v>150028</v>
          </cell>
          <cell r="AG25">
            <v>0</v>
          </cell>
          <cell r="AH25">
            <v>-17602</v>
          </cell>
          <cell r="AI25">
            <v>0</v>
          </cell>
          <cell r="AJ25">
            <v>0</v>
          </cell>
          <cell r="AK25">
            <v>0</v>
          </cell>
          <cell r="AL25">
            <v>0</v>
          </cell>
          <cell r="AM25">
            <v>0</v>
          </cell>
          <cell r="AN25">
            <v>0</v>
          </cell>
          <cell r="AO25">
            <v>0</v>
          </cell>
          <cell r="AP25">
            <v>0</v>
          </cell>
          <cell r="AQ25">
            <v>0</v>
          </cell>
          <cell r="AR25">
            <v>149808</v>
          </cell>
          <cell r="AS25">
            <v>0</v>
          </cell>
          <cell r="AT25">
            <v>0</v>
          </cell>
          <cell r="AU25">
            <v>-15972</v>
          </cell>
          <cell r="AV25">
            <v>0</v>
          </cell>
          <cell r="AW25">
            <v>0</v>
          </cell>
          <cell r="AX25">
            <v>0</v>
          </cell>
          <cell r="BS25">
            <v>91545</v>
          </cell>
          <cell r="BT25">
            <v>96814</v>
          </cell>
          <cell r="BU25">
            <v>149808</v>
          </cell>
          <cell r="BV25">
            <v>-15972</v>
          </cell>
          <cell r="BW25">
            <v>0</v>
          </cell>
          <cell r="BX25">
            <v>91545</v>
          </cell>
          <cell r="BY25">
            <v>96814</v>
          </cell>
          <cell r="BZ25">
            <v>149808</v>
          </cell>
          <cell r="CA25">
            <v>-15972</v>
          </cell>
          <cell r="CB25">
            <v>0</v>
          </cell>
        </row>
        <row r="26">
          <cell r="A26" t="str">
            <v>US22P015503111100020</v>
          </cell>
          <cell r="B26" t="str">
            <v>Lone Tree</v>
          </cell>
          <cell r="C26" t="str">
            <v>Jan-Dec</v>
          </cell>
          <cell r="D26" t="str">
            <v>US22P01550</v>
          </cell>
          <cell r="E26" t="str">
            <v>550</v>
          </cell>
          <cell r="F26" t="str">
            <v>Field Production</v>
          </cell>
          <cell r="G26" t="str">
            <v>01</v>
          </cell>
          <cell r="H26">
            <v>3111100020</v>
          </cell>
          <cell r="I26" t="str">
            <v>INCENTIVE PLAN (functions)</v>
          </cell>
          <cell r="J26" t="str">
            <v>INVALID</v>
          </cell>
          <cell r="K26">
            <v>0</v>
          </cell>
          <cell r="L26">
            <v>0</v>
          </cell>
          <cell r="M26">
            <v>0</v>
          </cell>
          <cell r="N26">
            <v>0</v>
          </cell>
          <cell r="O26">
            <v>0</v>
          </cell>
          <cell r="P26">
            <v>0</v>
          </cell>
          <cell r="Q26">
            <v>0</v>
          </cell>
          <cell r="R26">
            <v>0</v>
          </cell>
          <cell r="S26">
            <v>0</v>
          </cell>
          <cell r="T26">
            <v>0</v>
          </cell>
          <cell r="U26">
            <v>0</v>
          </cell>
          <cell r="V26">
            <v>0</v>
          </cell>
          <cell r="W26">
            <v>123</v>
          </cell>
          <cell r="X26">
            <v>-123</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BS26">
            <v>0</v>
          </cell>
          <cell r="BT26">
            <v>0</v>
          </cell>
          <cell r="BU26">
            <v>0</v>
          </cell>
          <cell r="BV26">
            <v>0</v>
          </cell>
          <cell r="BW26">
            <v>0</v>
          </cell>
          <cell r="BX26">
            <v>0</v>
          </cell>
          <cell r="BY26">
            <v>0</v>
          </cell>
          <cell r="BZ26">
            <v>0</v>
          </cell>
          <cell r="CA26">
            <v>0</v>
          </cell>
          <cell r="CB26">
            <v>0</v>
          </cell>
        </row>
        <row r="27">
          <cell r="A27" t="str">
            <v>US22P015503131100005</v>
          </cell>
          <cell r="B27" t="str">
            <v>Lone Tree</v>
          </cell>
          <cell r="C27" t="str">
            <v>Jan-Dec</v>
          </cell>
          <cell r="D27" t="str">
            <v>US22P01550</v>
          </cell>
          <cell r="E27" t="str">
            <v>550</v>
          </cell>
          <cell r="F27" t="str">
            <v>Field Production</v>
          </cell>
          <cell r="G27" t="str">
            <v>01</v>
          </cell>
          <cell r="H27">
            <v>3131100005</v>
          </cell>
          <cell r="I27" t="str">
            <v>MOVINGS</v>
          </cell>
          <cell r="J27" t="str">
            <v>INVALID</v>
          </cell>
          <cell r="K27">
            <v>0</v>
          </cell>
          <cell r="L27">
            <v>0</v>
          </cell>
          <cell r="M27">
            <v>0</v>
          </cell>
          <cell r="N27">
            <v>0</v>
          </cell>
          <cell r="O27">
            <v>0</v>
          </cell>
          <cell r="P27">
            <v>1000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750</v>
          </cell>
          <cell r="AO27">
            <v>0</v>
          </cell>
          <cell r="AP27">
            <v>0</v>
          </cell>
          <cell r="AQ27">
            <v>0</v>
          </cell>
          <cell r="AR27">
            <v>0</v>
          </cell>
          <cell r="AS27">
            <v>-750</v>
          </cell>
          <cell r="AT27">
            <v>0</v>
          </cell>
          <cell r="AU27">
            <v>0</v>
          </cell>
          <cell r="AV27">
            <v>0</v>
          </cell>
          <cell r="AW27">
            <v>0</v>
          </cell>
          <cell r="AX27">
            <v>0</v>
          </cell>
          <cell r="BS27">
            <v>1000</v>
          </cell>
          <cell r="BT27">
            <v>0</v>
          </cell>
          <cell r="BU27">
            <v>0</v>
          </cell>
          <cell r="BV27">
            <v>0</v>
          </cell>
          <cell r="BW27">
            <v>0</v>
          </cell>
          <cell r="BX27">
            <v>1000</v>
          </cell>
          <cell r="BY27">
            <v>0</v>
          </cell>
          <cell r="BZ27">
            <v>0</v>
          </cell>
          <cell r="CA27">
            <v>0</v>
          </cell>
          <cell r="CB27">
            <v>0</v>
          </cell>
        </row>
        <row r="28">
          <cell r="A28" t="str">
            <v>US22P015503131100007</v>
          </cell>
          <cell r="B28" t="str">
            <v>Lone Tree</v>
          </cell>
          <cell r="C28" t="str">
            <v>Jan-Dec</v>
          </cell>
          <cell r="D28" t="str">
            <v>US22P01550</v>
          </cell>
          <cell r="E28" t="str">
            <v>550</v>
          </cell>
          <cell r="F28" t="str">
            <v>Field Production</v>
          </cell>
          <cell r="G28" t="str">
            <v>01</v>
          </cell>
          <cell r="H28">
            <v>3131100007</v>
          </cell>
          <cell r="I28" t="str">
            <v>EXTERNAL TRAINING</v>
          </cell>
          <cell r="J28" t="str">
            <v>INVALID</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20</v>
          </cell>
          <cell r="AD28">
            <v>0</v>
          </cell>
          <cell r="AE28">
            <v>0</v>
          </cell>
          <cell r="AF28">
            <v>0</v>
          </cell>
          <cell r="AG28">
            <v>0</v>
          </cell>
          <cell r="AH28">
            <v>0</v>
          </cell>
          <cell r="AI28">
            <v>0</v>
          </cell>
          <cell r="AJ28">
            <v>40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BS28">
            <v>0</v>
          </cell>
          <cell r="BT28">
            <v>20</v>
          </cell>
          <cell r="BU28">
            <v>40</v>
          </cell>
          <cell r="BV28">
            <v>0</v>
          </cell>
          <cell r="BW28">
            <v>0</v>
          </cell>
          <cell r="BX28">
            <v>0</v>
          </cell>
          <cell r="BY28">
            <v>20</v>
          </cell>
          <cell r="BZ28">
            <v>40</v>
          </cell>
          <cell r="CA28">
            <v>0</v>
          </cell>
          <cell r="CB28">
            <v>0</v>
          </cell>
        </row>
        <row r="29">
          <cell r="A29" t="str">
            <v>US22P015503201300002</v>
          </cell>
          <cell r="B29" t="str">
            <v>Lone Tree</v>
          </cell>
          <cell r="C29" t="str">
            <v>Jan-Dec</v>
          </cell>
          <cell r="D29" t="str">
            <v>US22P01550</v>
          </cell>
          <cell r="E29" t="str">
            <v>550</v>
          </cell>
          <cell r="F29" t="str">
            <v>Field Production</v>
          </cell>
          <cell r="G29" t="str">
            <v>01</v>
          </cell>
          <cell r="H29">
            <v>3201300002</v>
          </cell>
          <cell r="I29" t="str">
            <v>O/S SERVICES</v>
          </cell>
          <cell r="J29" t="str">
            <v>INVALID</v>
          </cell>
          <cell r="K29">
            <v>0</v>
          </cell>
          <cell r="L29">
            <v>76</v>
          </cell>
          <cell r="M29">
            <v>0</v>
          </cell>
          <cell r="N29">
            <v>0</v>
          </cell>
          <cell r="O29">
            <v>0</v>
          </cell>
          <cell r="P29">
            <v>0</v>
          </cell>
          <cell r="Q29">
            <v>0</v>
          </cell>
          <cell r="R29">
            <v>220</v>
          </cell>
          <cell r="S29">
            <v>0</v>
          </cell>
          <cell r="T29">
            <v>0</v>
          </cell>
          <cell r="U29">
            <v>0</v>
          </cell>
          <cell r="V29">
            <v>0</v>
          </cell>
          <cell r="W29">
            <v>0</v>
          </cell>
          <cell r="X29">
            <v>0</v>
          </cell>
          <cell r="Y29">
            <v>0</v>
          </cell>
          <cell r="Z29">
            <v>0</v>
          </cell>
          <cell r="AA29">
            <v>0</v>
          </cell>
          <cell r="AB29">
            <v>0</v>
          </cell>
          <cell r="AC29">
            <v>147</v>
          </cell>
          <cell r="AD29">
            <v>0</v>
          </cell>
          <cell r="AE29">
            <v>0</v>
          </cell>
          <cell r="AF29">
            <v>0</v>
          </cell>
          <cell r="AG29">
            <v>0</v>
          </cell>
          <cell r="AH29">
            <v>0</v>
          </cell>
          <cell r="AI29">
            <v>0</v>
          </cell>
          <cell r="AJ29">
            <v>879</v>
          </cell>
          <cell r="AK29">
            <v>0</v>
          </cell>
          <cell r="AL29">
            <v>0</v>
          </cell>
          <cell r="AM29">
            <v>0</v>
          </cell>
          <cell r="AN29">
            <v>0</v>
          </cell>
          <cell r="AO29">
            <v>116</v>
          </cell>
          <cell r="AP29">
            <v>1005</v>
          </cell>
          <cell r="AQ29">
            <v>0</v>
          </cell>
          <cell r="AR29">
            <v>0</v>
          </cell>
          <cell r="AS29">
            <v>0</v>
          </cell>
          <cell r="AT29">
            <v>0</v>
          </cell>
          <cell r="AU29">
            <v>0</v>
          </cell>
          <cell r="AV29">
            <v>0</v>
          </cell>
          <cell r="AW29">
            <v>0</v>
          </cell>
          <cell r="AX29">
            <v>0</v>
          </cell>
          <cell r="BS29">
            <v>296</v>
          </cell>
          <cell r="BT29">
            <v>147</v>
          </cell>
          <cell r="BU29">
            <v>2000</v>
          </cell>
          <cell r="BV29">
            <v>0</v>
          </cell>
          <cell r="BW29">
            <v>0</v>
          </cell>
          <cell r="BX29">
            <v>296</v>
          </cell>
          <cell r="BY29">
            <v>147</v>
          </cell>
          <cell r="BZ29">
            <v>2000</v>
          </cell>
          <cell r="CA29">
            <v>0</v>
          </cell>
          <cell r="CB29">
            <v>0</v>
          </cell>
        </row>
        <row r="30">
          <cell r="A30" t="str">
            <v>US22P015503201300004</v>
          </cell>
          <cell r="B30" t="str">
            <v>Lone Tree</v>
          </cell>
          <cell r="C30" t="str">
            <v>Jan-Dec</v>
          </cell>
          <cell r="D30" t="str">
            <v>US22P01550</v>
          </cell>
          <cell r="E30" t="str">
            <v>550</v>
          </cell>
          <cell r="F30" t="str">
            <v>Field Production</v>
          </cell>
          <cell r="G30" t="str">
            <v>01</v>
          </cell>
          <cell r="H30">
            <v>3201300004</v>
          </cell>
          <cell r="I30" t="str">
            <v>O/S SERVICES - COMPUTER PROGRAMMING</v>
          </cell>
          <cell r="J30" t="str">
            <v>INVALID</v>
          </cell>
          <cell r="K30">
            <v>0</v>
          </cell>
          <cell r="L30">
            <v>0</v>
          </cell>
          <cell r="M30">
            <v>0</v>
          </cell>
          <cell r="N30">
            <v>100</v>
          </cell>
          <cell r="O30">
            <v>515</v>
          </cell>
          <cell r="P30">
            <v>2028</v>
          </cell>
          <cell r="Q30">
            <v>0</v>
          </cell>
          <cell r="R30">
            <v>0</v>
          </cell>
          <cell r="S30">
            <v>0</v>
          </cell>
          <cell r="T30">
            <v>0</v>
          </cell>
          <cell r="U30">
            <v>0</v>
          </cell>
          <cell r="V30">
            <v>1350</v>
          </cell>
          <cell r="W30">
            <v>0</v>
          </cell>
          <cell r="X30">
            <v>100</v>
          </cell>
          <cell r="Y30">
            <v>0</v>
          </cell>
          <cell r="Z30">
            <v>0</v>
          </cell>
          <cell r="AA30">
            <v>0</v>
          </cell>
          <cell r="AB30">
            <v>300</v>
          </cell>
          <cell r="AC30">
            <v>0</v>
          </cell>
          <cell r="AD30">
            <v>0</v>
          </cell>
          <cell r="AE30">
            <v>0</v>
          </cell>
          <cell r="AF30">
            <v>0</v>
          </cell>
          <cell r="AG30">
            <v>0</v>
          </cell>
          <cell r="AH30">
            <v>1350</v>
          </cell>
          <cell r="AI30">
            <v>0</v>
          </cell>
          <cell r="AJ30">
            <v>0</v>
          </cell>
          <cell r="AK30">
            <v>200</v>
          </cell>
          <cell r="AL30">
            <v>0</v>
          </cell>
          <cell r="AM30">
            <v>300</v>
          </cell>
          <cell r="AN30">
            <v>0</v>
          </cell>
          <cell r="AO30">
            <v>0</v>
          </cell>
          <cell r="AP30">
            <v>0</v>
          </cell>
          <cell r="AQ30">
            <v>0</v>
          </cell>
          <cell r="AR30">
            <v>0</v>
          </cell>
          <cell r="AS30">
            <v>0</v>
          </cell>
          <cell r="AT30">
            <v>1350</v>
          </cell>
          <cell r="AU30">
            <v>0</v>
          </cell>
          <cell r="AV30">
            <v>0</v>
          </cell>
          <cell r="AW30">
            <v>0</v>
          </cell>
          <cell r="AX30">
            <v>0</v>
          </cell>
          <cell r="BS30">
            <v>3993</v>
          </cell>
          <cell r="BT30">
            <v>1750</v>
          </cell>
          <cell r="BU30">
            <v>1850</v>
          </cell>
          <cell r="BV30">
            <v>0</v>
          </cell>
          <cell r="BW30">
            <v>0</v>
          </cell>
          <cell r="BX30">
            <v>3993</v>
          </cell>
          <cell r="BY30">
            <v>1750</v>
          </cell>
          <cell r="BZ30">
            <v>1850</v>
          </cell>
          <cell r="CA30">
            <v>0</v>
          </cell>
          <cell r="CB30">
            <v>0</v>
          </cell>
        </row>
        <row r="31">
          <cell r="A31" t="str">
            <v>US22P015503201400050</v>
          </cell>
          <cell r="B31" t="str">
            <v>Lone Tree</v>
          </cell>
          <cell r="C31" t="str">
            <v>Jan-Dec</v>
          </cell>
          <cell r="D31" t="str">
            <v>US22P01550</v>
          </cell>
          <cell r="E31" t="str">
            <v>550</v>
          </cell>
          <cell r="F31" t="str">
            <v>Field Production</v>
          </cell>
          <cell r="G31" t="str">
            <v>01</v>
          </cell>
          <cell r="H31">
            <v>3201400050</v>
          </cell>
          <cell r="I31" t="str">
            <v>MAINTENANCE FORKLIFTS</v>
          </cell>
          <cell r="J31" t="str">
            <v>INVALID</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591</v>
          </cell>
          <cell r="AC31">
            <v>0</v>
          </cell>
          <cell r="AD31">
            <v>0</v>
          </cell>
          <cell r="AE31">
            <v>0</v>
          </cell>
          <cell r="AF31">
            <v>0</v>
          </cell>
          <cell r="AG31">
            <v>0</v>
          </cell>
          <cell r="AH31">
            <v>0</v>
          </cell>
          <cell r="AI31">
            <v>0</v>
          </cell>
          <cell r="AJ31">
            <v>0</v>
          </cell>
          <cell r="AK31">
            <v>0</v>
          </cell>
          <cell r="AL31">
            <v>0</v>
          </cell>
          <cell r="AM31">
            <v>0</v>
          </cell>
          <cell r="AN31">
            <v>0</v>
          </cell>
          <cell r="AO31">
            <v>0</v>
          </cell>
          <cell r="AP31">
            <v>448</v>
          </cell>
          <cell r="AQ31">
            <v>0</v>
          </cell>
          <cell r="AR31">
            <v>0</v>
          </cell>
          <cell r="AS31">
            <v>0</v>
          </cell>
          <cell r="AT31">
            <v>0</v>
          </cell>
          <cell r="AU31">
            <v>0</v>
          </cell>
          <cell r="AV31">
            <v>0</v>
          </cell>
          <cell r="AW31">
            <v>0</v>
          </cell>
          <cell r="AX31">
            <v>0</v>
          </cell>
          <cell r="BS31">
            <v>0</v>
          </cell>
          <cell r="BT31">
            <v>591</v>
          </cell>
          <cell r="BU31">
            <v>448</v>
          </cell>
          <cell r="BV31">
            <v>0</v>
          </cell>
          <cell r="BW31">
            <v>0</v>
          </cell>
          <cell r="BX31">
            <v>0</v>
          </cell>
          <cell r="BY31">
            <v>591</v>
          </cell>
          <cell r="BZ31">
            <v>448</v>
          </cell>
          <cell r="CA31">
            <v>0</v>
          </cell>
          <cell r="CB31">
            <v>0</v>
          </cell>
        </row>
        <row r="32">
          <cell r="A32" t="str">
            <v>US22P015503201400059</v>
          </cell>
          <cell r="B32" t="str">
            <v>Lone Tree</v>
          </cell>
          <cell r="C32" t="str">
            <v>Jan-Dec</v>
          </cell>
          <cell r="D32" t="str">
            <v>US22P01550</v>
          </cell>
          <cell r="E32" t="str">
            <v>550</v>
          </cell>
          <cell r="F32" t="str">
            <v>Field Production</v>
          </cell>
          <cell r="G32" t="str">
            <v>01</v>
          </cell>
          <cell r="H32">
            <v>3201400059</v>
          </cell>
          <cell r="I32" t="str">
            <v>FIELD &amp; PRODN SERV- CONDITIONING OUTSIDE</v>
          </cell>
          <cell r="J32" t="str">
            <v>INVALID</v>
          </cell>
          <cell r="K32">
            <v>0</v>
          </cell>
          <cell r="L32">
            <v>0</v>
          </cell>
          <cell r="M32">
            <v>0</v>
          </cell>
          <cell r="N32">
            <v>0</v>
          </cell>
          <cell r="O32">
            <v>0</v>
          </cell>
          <cell r="P32">
            <v>0</v>
          </cell>
          <cell r="Q32">
            <v>0</v>
          </cell>
          <cell r="R32">
            <v>15926</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BS32">
            <v>15926</v>
          </cell>
          <cell r="BT32">
            <v>0</v>
          </cell>
          <cell r="BU32">
            <v>0</v>
          </cell>
          <cell r="BV32">
            <v>0</v>
          </cell>
          <cell r="BW32">
            <v>0</v>
          </cell>
          <cell r="BX32">
            <v>15926</v>
          </cell>
          <cell r="BY32">
            <v>0</v>
          </cell>
          <cell r="BZ32">
            <v>0</v>
          </cell>
          <cell r="CA32">
            <v>0</v>
          </cell>
          <cell r="CB32">
            <v>0</v>
          </cell>
        </row>
        <row r="33">
          <cell r="A33" t="str">
            <v>US22P015503911100041</v>
          </cell>
          <cell r="B33" t="str">
            <v>Lone Tree</v>
          </cell>
          <cell r="C33" t="str">
            <v>Jan-Dec</v>
          </cell>
          <cell r="D33" t="str">
            <v>US22P01550</v>
          </cell>
          <cell r="E33" t="str">
            <v>550</v>
          </cell>
          <cell r="F33" t="str">
            <v>Field Production</v>
          </cell>
          <cell r="G33" t="str">
            <v>01</v>
          </cell>
          <cell r="H33">
            <v>3911100041</v>
          </cell>
          <cell r="I33" t="str">
            <v>TRAVEL EXPENSES - ENTERTAINMENT</v>
          </cell>
          <cell r="J33" t="str">
            <v>INVALID</v>
          </cell>
          <cell r="K33">
            <v>0</v>
          </cell>
          <cell r="L33">
            <v>0</v>
          </cell>
          <cell r="M33">
            <v>0</v>
          </cell>
          <cell r="N33">
            <v>0</v>
          </cell>
          <cell r="O33">
            <v>0</v>
          </cell>
          <cell r="P33">
            <v>0</v>
          </cell>
          <cell r="Q33">
            <v>0</v>
          </cell>
          <cell r="R33">
            <v>0</v>
          </cell>
          <cell r="S33">
            <v>0</v>
          </cell>
          <cell r="T33">
            <v>124</v>
          </cell>
          <cell r="U33">
            <v>0</v>
          </cell>
          <cell r="V33">
            <v>0</v>
          </cell>
          <cell r="W33">
            <v>0</v>
          </cell>
          <cell r="X33">
            <v>0</v>
          </cell>
          <cell r="Y33">
            <v>0</v>
          </cell>
          <cell r="Z33">
            <v>0</v>
          </cell>
          <cell r="AA33">
            <v>169</v>
          </cell>
          <cell r="AB33">
            <v>18</v>
          </cell>
          <cell r="AC33">
            <v>65</v>
          </cell>
          <cell r="AD33">
            <v>1900</v>
          </cell>
          <cell r="AE33">
            <v>1859</v>
          </cell>
          <cell r="AF33">
            <v>2075</v>
          </cell>
          <cell r="AG33">
            <v>647</v>
          </cell>
          <cell r="AH33">
            <v>153</v>
          </cell>
          <cell r="AI33">
            <v>51</v>
          </cell>
          <cell r="AJ33">
            <v>132</v>
          </cell>
          <cell r="AK33">
            <v>11</v>
          </cell>
          <cell r="AL33">
            <v>157</v>
          </cell>
          <cell r="AM33">
            <v>0</v>
          </cell>
          <cell r="AN33">
            <v>331</v>
          </cell>
          <cell r="AO33">
            <v>1247</v>
          </cell>
          <cell r="AP33">
            <v>501</v>
          </cell>
          <cell r="AQ33">
            <v>1484</v>
          </cell>
          <cell r="AR33">
            <v>2603</v>
          </cell>
          <cell r="AS33">
            <v>-3847</v>
          </cell>
          <cell r="AT33">
            <v>-115</v>
          </cell>
          <cell r="AU33">
            <v>0</v>
          </cell>
          <cell r="AV33">
            <v>0</v>
          </cell>
          <cell r="AW33">
            <v>0</v>
          </cell>
          <cell r="AX33">
            <v>0</v>
          </cell>
          <cell r="BS33">
            <v>124</v>
          </cell>
          <cell r="BT33">
            <v>6886</v>
          </cell>
          <cell r="BU33">
            <v>2555</v>
          </cell>
          <cell r="BV33">
            <v>0</v>
          </cell>
          <cell r="BW33">
            <v>0</v>
          </cell>
          <cell r="BX33">
            <v>124</v>
          </cell>
          <cell r="BY33">
            <v>6886</v>
          </cell>
          <cell r="BZ33">
            <v>2555</v>
          </cell>
          <cell r="CA33">
            <v>0</v>
          </cell>
          <cell r="CB33">
            <v>0</v>
          </cell>
        </row>
        <row r="34">
          <cell r="A34" t="str">
            <v>US22P015503911200014</v>
          </cell>
          <cell r="B34" t="str">
            <v>Lone Tree</v>
          </cell>
          <cell r="C34" t="str">
            <v>Jan-Dec</v>
          </cell>
          <cell r="D34" t="str">
            <v>US22P01550</v>
          </cell>
          <cell r="E34" t="str">
            <v>550</v>
          </cell>
          <cell r="F34" t="str">
            <v>Field Production</v>
          </cell>
          <cell r="G34" t="str">
            <v>01</v>
          </cell>
          <cell r="H34">
            <v>3911200014</v>
          </cell>
          <cell r="I34" t="str">
            <v>PROMOTIONAL EXPENSES OTHERS</v>
          </cell>
          <cell r="J34" t="str">
            <v>INVALID</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105</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BS34">
            <v>0</v>
          </cell>
          <cell r="BT34">
            <v>105</v>
          </cell>
          <cell r="BU34">
            <v>0</v>
          </cell>
          <cell r="BV34">
            <v>0</v>
          </cell>
          <cell r="BW34">
            <v>0</v>
          </cell>
          <cell r="BX34">
            <v>0</v>
          </cell>
          <cell r="BY34">
            <v>105</v>
          </cell>
          <cell r="BZ34">
            <v>0</v>
          </cell>
          <cell r="CA34">
            <v>0</v>
          </cell>
          <cell r="CB34">
            <v>0</v>
          </cell>
        </row>
        <row r="35">
          <cell r="A35" t="str">
            <v>US22P015503921100001</v>
          </cell>
          <cell r="B35" t="str">
            <v>Lone Tree</v>
          </cell>
          <cell r="C35" t="str">
            <v>Jan-Dec</v>
          </cell>
          <cell r="D35" t="str">
            <v>US22P01550</v>
          </cell>
          <cell r="E35" t="str">
            <v>550</v>
          </cell>
          <cell r="F35" t="str">
            <v>Field Production</v>
          </cell>
          <cell r="G35" t="str">
            <v>01</v>
          </cell>
          <cell r="H35">
            <v>3921100001</v>
          </cell>
          <cell r="I35" t="str">
            <v>UTILITY EXPENSES ELECTRICITY</v>
          </cell>
          <cell r="J35" t="str">
            <v>INVALID</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200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BS35">
            <v>0</v>
          </cell>
          <cell r="BT35">
            <v>0</v>
          </cell>
          <cell r="BU35">
            <v>200</v>
          </cell>
          <cell r="BV35">
            <v>0</v>
          </cell>
          <cell r="BW35">
            <v>0</v>
          </cell>
          <cell r="BX35">
            <v>0</v>
          </cell>
          <cell r="BY35">
            <v>0</v>
          </cell>
          <cell r="BZ35">
            <v>200</v>
          </cell>
          <cell r="CA35">
            <v>0</v>
          </cell>
          <cell r="CB35">
            <v>0</v>
          </cell>
        </row>
        <row r="36">
          <cell r="A36" t="str">
            <v>US22P015503921200023</v>
          </cell>
          <cell r="B36" t="str">
            <v>Lone Tree</v>
          </cell>
          <cell r="C36" t="str">
            <v>Jan-Dec</v>
          </cell>
          <cell r="D36" t="str">
            <v>US22P01550</v>
          </cell>
          <cell r="E36" t="str">
            <v>550</v>
          </cell>
          <cell r="F36" t="str">
            <v>Field Production</v>
          </cell>
          <cell r="G36" t="str">
            <v>01</v>
          </cell>
          <cell r="H36">
            <v>3921200023</v>
          </cell>
          <cell r="I36" t="str">
            <v>CHEMICAL SUPPLIES</v>
          </cell>
          <cell r="J36" t="str">
            <v>INVALID</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330</v>
          </cell>
          <cell r="AK36">
            <v>0</v>
          </cell>
          <cell r="AL36">
            <v>680</v>
          </cell>
          <cell r="AM36">
            <v>0</v>
          </cell>
          <cell r="AN36">
            <v>0</v>
          </cell>
          <cell r="AO36">
            <v>0</v>
          </cell>
          <cell r="AP36">
            <v>0</v>
          </cell>
          <cell r="AQ36">
            <v>0</v>
          </cell>
          <cell r="AR36">
            <v>0</v>
          </cell>
          <cell r="AS36">
            <v>0</v>
          </cell>
          <cell r="AT36">
            <v>0</v>
          </cell>
          <cell r="AU36">
            <v>0</v>
          </cell>
          <cell r="AV36">
            <v>0</v>
          </cell>
          <cell r="AW36">
            <v>0</v>
          </cell>
          <cell r="AX36">
            <v>0</v>
          </cell>
          <cell r="BS36">
            <v>0</v>
          </cell>
          <cell r="BT36">
            <v>0</v>
          </cell>
          <cell r="BU36">
            <v>1010</v>
          </cell>
          <cell r="BV36">
            <v>0</v>
          </cell>
          <cell r="BW36">
            <v>0</v>
          </cell>
          <cell r="BX36">
            <v>0</v>
          </cell>
          <cell r="BY36">
            <v>0</v>
          </cell>
          <cell r="BZ36">
            <v>1010</v>
          </cell>
          <cell r="CA36">
            <v>0</v>
          </cell>
          <cell r="CB36">
            <v>0</v>
          </cell>
        </row>
        <row r="37">
          <cell r="A37" t="str">
            <v>US22P015503941100002</v>
          </cell>
          <cell r="B37" t="str">
            <v>Lone Tree</v>
          </cell>
          <cell r="C37" t="str">
            <v>Jan-Dec</v>
          </cell>
          <cell r="D37" t="str">
            <v>US22P01550</v>
          </cell>
          <cell r="E37" t="str">
            <v>550</v>
          </cell>
          <cell r="F37" t="str">
            <v>Field Production</v>
          </cell>
          <cell r="G37" t="str">
            <v>01</v>
          </cell>
          <cell r="H37">
            <v>3941100002</v>
          </cell>
          <cell r="I37" t="str">
            <v>FREIGHT BETWEEN PLANTS</v>
          </cell>
          <cell r="J37" t="str">
            <v>INVALID</v>
          </cell>
          <cell r="K37">
            <v>2772</v>
          </cell>
          <cell r="L37">
            <v>1056</v>
          </cell>
          <cell r="M37">
            <v>0</v>
          </cell>
          <cell r="N37">
            <v>0</v>
          </cell>
          <cell r="O37">
            <v>2826</v>
          </cell>
          <cell r="P37">
            <v>281</v>
          </cell>
          <cell r="Q37">
            <v>0</v>
          </cell>
          <cell r="R37">
            <v>0</v>
          </cell>
          <cell r="S37">
            <v>0</v>
          </cell>
          <cell r="T37">
            <v>11716</v>
          </cell>
          <cell r="U37">
            <v>5509</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BS37">
            <v>24160</v>
          </cell>
          <cell r="BT37">
            <v>0</v>
          </cell>
          <cell r="BU37">
            <v>0</v>
          </cell>
          <cell r="BV37">
            <v>0</v>
          </cell>
          <cell r="BW37">
            <v>0</v>
          </cell>
          <cell r="BX37">
            <v>24160</v>
          </cell>
          <cell r="BY37">
            <v>0</v>
          </cell>
          <cell r="BZ37">
            <v>0</v>
          </cell>
          <cell r="CA37">
            <v>0</v>
          </cell>
          <cell r="CB37">
            <v>0</v>
          </cell>
        </row>
        <row r="38">
          <cell r="A38" t="str">
            <v>US22P015503991200003</v>
          </cell>
          <cell r="B38" t="str">
            <v>Lone Tree</v>
          </cell>
          <cell r="C38" t="str">
            <v>Jan-Dec</v>
          </cell>
          <cell r="D38" t="str">
            <v>US22P01550</v>
          </cell>
          <cell r="E38" t="str">
            <v>550</v>
          </cell>
          <cell r="F38" t="str">
            <v>Field Production</v>
          </cell>
          <cell r="G38" t="str">
            <v>01</v>
          </cell>
          <cell r="H38">
            <v>3991200003</v>
          </cell>
          <cell r="I38" t="str">
            <v>COSTS FROM CREDIT NOTES FOR QUALITY CLAI</v>
          </cell>
          <cell r="J38" t="str">
            <v>INVALID</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52</v>
          </cell>
          <cell r="AP38">
            <v>0</v>
          </cell>
          <cell r="AQ38">
            <v>0</v>
          </cell>
          <cell r="AR38">
            <v>0</v>
          </cell>
          <cell r="AS38">
            <v>0</v>
          </cell>
          <cell r="AT38">
            <v>0</v>
          </cell>
          <cell r="AU38">
            <v>0</v>
          </cell>
          <cell r="AV38">
            <v>0</v>
          </cell>
          <cell r="AW38">
            <v>0</v>
          </cell>
          <cell r="AX38">
            <v>0</v>
          </cell>
          <cell r="BS38">
            <v>0</v>
          </cell>
          <cell r="BT38">
            <v>0</v>
          </cell>
          <cell r="BU38">
            <v>52</v>
          </cell>
          <cell r="BV38">
            <v>0</v>
          </cell>
          <cell r="BW38">
            <v>0</v>
          </cell>
          <cell r="BX38">
            <v>0</v>
          </cell>
          <cell r="BY38">
            <v>0</v>
          </cell>
          <cell r="BZ38">
            <v>52</v>
          </cell>
          <cell r="CA38">
            <v>0</v>
          </cell>
          <cell r="CB38">
            <v>0</v>
          </cell>
        </row>
        <row r="39">
          <cell r="A39" t="str">
            <v>US22P015503991200012</v>
          </cell>
          <cell r="B39" t="str">
            <v>Lone Tree</v>
          </cell>
          <cell r="C39" t="str">
            <v>Jan-Dec</v>
          </cell>
          <cell r="D39" t="str">
            <v>US22P01550</v>
          </cell>
          <cell r="E39" t="str">
            <v>550</v>
          </cell>
          <cell r="F39" t="str">
            <v>Field Production</v>
          </cell>
          <cell r="G39" t="str">
            <v>01</v>
          </cell>
          <cell r="H39">
            <v>3991200012</v>
          </cell>
          <cell r="I39" t="str">
            <v>DELIVERY SERVICES</v>
          </cell>
          <cell r="J39" t="str">
            <v>INVALID</v>
          </cell>
          <cell r="K39">
            <v>0</v>
          </cell>
          <cell r="L39">
            <v>0</v>
          </cell>
          <cell r="M39">
            <v>0</v>
          </cell>
          <cell r="N39">
            <v>0</v>
          </cell>
          <cell r="O39">
            <v>0</v>
          </cell>
          <cell r="P39">
            <v>6</v>
          </cell>
          <cell r="Q39">
            <v>0</v>
          </cell>
          <cell r="R39">
            <v>13</v>
          </cell>
          <cell r="S39">
            <v>0</v>
          </cell>
          <cell r="T39">
            <v>0</v>
          </cell>
          <cell r="U39">
            <v>0</v>
          </cell>
          <cell r="V39">
            <v>0</v>
          </cell>
          <cell r="W39">
            <v>0</v>
          </cell>
          <cell r="X39">
            <v>0</v>
          </cell>
          <cell r="Y39">
            <v>0</v>
          </cell>
          <cell r="Z39">
            <v>0</v>
          </cell>
          <cell r="AA39">
            <v>0</v>
          </cell>
          <cell r="AB39">
            <v>0</v>
          </cell>
          <cell r="AC39">
            <v>11</v>
          </cell>
          <cell r="AD39">
            <v>6</v>
          </cell>
          <cell r="AE39">
            <v>0</v>
          </cell>
          <cell r="AF39">
            <v>0</v>
          </cell>
          <cell r="AG39">
            <v>0</v>
          </cell>
          <cell r="AH39">
            <v>0</v>
          </cell>
          <cell r="AI39">
            <v>0</v>
          </cell>
          <cell r="AJ39">
            <v>0</v>
          </cell>
          <cell r="AK39">
            <v>0</v>
          </cell>
          <cell r="AL39">
            <v>0</v>
          </cell>
          <cell r="AM39">
            <v>0</v>
          </cell>
          <cell r="AN39">
            <v>0</v>
          </cell>
          <cell r="AO39">
            <v>10</v>
          </cell>
          <cell r="AP39">
            <v>0</v>
          </cell>
          <cell r="AQ39">
            <v>8</v>
          </cell>
          <cell r="AR39">
            <v>0</v>
          </cell>
          <cell r="AS39">
            <v>-8</v>
          </cell>
          <cell r="AT39">
            <v>0</v>
          </cell>
          <cell r="AU39">
            <v>0</v>
          </cell>
          <cell r="AV39">
            <v>0</v>
          </cell>
          <cell r="AW39">
            <v>0</v>
          </cell>
          <cell r="AX39">
            <v>0</v>
          </cell>
          <cell r="BS39">
            <v>19</v>
          </cell>
          <cell r="BT39">
            <v>17</v>
          </cell>
          <cell r="BU39">
            <v>10</v>
          </cell>
          <cell r="BV39">
            <v>0</v>
          </cell>
          <cell r="BW39">
            <v>0</v>
          </cell>
          <cell r="BX39">
            <v>19</v>
          </cell>
          <cell r="BY39">
            <v>17</v>
          </cell>
          <cell r="BZ39">
            <v>10</v>
          </cell>
          <cell r="CA39">
            <v>0</v>
          </cell>
          <cell r="CB39">
            <v>0</v>
          </cell>
        </row>
        <row r="40">
          <cell r="A40" t="str">
            <v>US22P015503991200099</v>
          </cell>
          <cell r="B40" t="str">
            <v>Lone Tree</v>
          </cell>
          <cell r="C40" t="str">
            <v>Jan-Dec</v>
          </cell>
          <cell r="D40" t="str">
            <v>US22P01550</v>
          </cell>
          <cell r="E40" t="str">
            <v>550</v>
          </cell>
          <cell r="F40" t="str">
            <v>Field Production</v>
          </cell>
          <cell r="G40" t="str">
            <v>01</v>
          </cell>
          <cell r="H40">
            <v>3991200099</v>
          </cell>
          <cell r="I40" t="str">
            <v>OTHER EXPENSES TO 3RD PARTIES - ADJUSTME</v>
          </cell>
          <cell r="J40" t="str">
            <v>INVALID</v>
          </cell>
          <cell r="K40">
            <v>0</v>
          </cell>
          <cell r="L40">
            <v>270</v>
          </cell>
          <cell r="M40">
            <v>200</v>
          </cell>
          <cell r="N40">
            <v>0</v>
          </cell>
          <cell r="O40">
            <v>1287</v>
          </cell>
          <cell r="P40">
            <v>2052</v>
          </cell>
          <cell r="Q40">
            <v>21</v>
          </cell>
          <cell r="R40">
            <v>675</v>
          </cell>
          <cell r="S40">
            <v>0</v>
          </cell>
          <cell r="T40">
            <v>0</v>
          </cell>
          <cell r="U40">
            <v>1236</v>
          </cell>
          <cell r="V40">
            <v>0</v>
          </cell>
          <cell r="W40">
            <v>0</v>
          </cell>
          <cell r="X40">
            <v>0</v>
          </cell>
          <cell r="Y40">
            <v>0</v>
          </cell>
          <cell r="Z40">
            <v>55</v>
          </cell>
          <cell r="AA40">
            <v>12</v>
          </cell>
          <cell r="AB40">
            <v>1151</v>
          </cell>
          <cell r="AC40">
            <v>303</v>
          </cell>
          <cell r="AD40">
            <v>1684</v>
          </cell>
          <cell r="AE40">
            <v>496</v>
          </cell>
          <cell r="AF40">
            <v>51</v>
          </cell>
          <cell r="AG40">
            <v>2583</v>
          </cell>
          <cell r="AH40">
            <v>30</v>
          </cell>
          <cell r="AI40">
            <v>0</v>
          </cell>
          <cell r="AJ40">
            <v>152</v>
          </cell>
          <cell r="AK40">
            <v>100</v>
          </cell>
          <cell r="AL40">
            <v>83</v>
          </cell>
          <cell r="AM40">
            <v>213</v>
          </cell>
          <cell r="AN40">
            <v>84</v>
          </cell>
          <cell r="AO40">
            <v>1796</v>
          </cell>
          <cell r="AP40">
            <v>157</v>
          </cell>
          <cell r="AQ40">
            <v>26</v>
          </cell>
          <cell r="AR40">
            <v>233</v>
          </cell>
          <cell r="AS40">
            <v>1292</v>
          </cell>
          <cell r="AT40">
            <v>-1273</v>
          </cell>
          <cell r="AU40">
            <v>0</v>
          </cell>
          <cell r="AV40">
            <v>0</v>
          </cell>
          <cell r="AW40">
            <v>0</v>
          </cell>
          <cell r="AX40">
            <v>0</v>
          </cell>
          <cell r="BS40">
            <v>5741</v>
          </cell>
          <cell r="BT40">
            <v>6365</v>
          </cell>
          <cell r="BU40">
            <v>2863</v>
          </cell>
          <cell r="BV40">
            <v>0</v>
          </cell>
          <cell r="BW40">
            <v>0</v>
          </cell>
          <cell r="BX40">
            <v>5741</v>
          </cell>
          <cell r="BY40">
            <v>6365</v>
          </cell>
          <cell r="BZ40">
            <v>2863</v>
          </cell>
          <cell r="CA40">
            <v>0</v>
          </cell>
          <cell r="CB40">
            <v>0</v>
          </cell>
        </row>
        <row r="41">
          <cell r="A41" t="str">
            <v>US22P015503991200201</v>
          </cell>
          <cell r="B41" t="str">
            <v>Lone Tree</v>
          </cell>
          <cell r="C41" t="str">
            <v>Jan-Dec</v>
          </cell>
          <cell r="D41" t="str">
            <v>US22P01550</v>
          </cell>
          <cell r="E41" t="str">
            <v>550</v>
          </cell>
          <cell r="F41" t="str">
            <v>Field Production</v>
          </cell>
          <cell r="G41" t="str">
            <v>01</v>
          </cell>
          <cell r="H41">
            <v>3991200201</v>
          </cell>
          <cell r="I41" t="str">
            <v>ALLOCATIONS OTHER IN/OUT LOAD AC</v>
          </cell>
          <cell r="J41" t="str">
            <v>INVALID</v>
          </cell>
          <cell r="K41">
            <v>0</v>
          </cell>
          <cell r="L41">
            <v>0</v>
          </cell>
          <cell r="M41">
            <v>0</v>
          </cell>
          <cell r="N41">
            <v>0</v>
          </cell>
          <cell r="O41">
            <v>0</v>
          </cell>
          <cell r="P41">
            <v>0</v>
          </cell>
          <cell r="Q41">
            <v>0</v>
          </cell>
          <cell r="R41">
            <v>0</v>
          </cell>
          <cell r="S41">
            <v>0</v>
          </cell>
          <cell r="T41">
            <v>0</v>
          </cell>
          <cell r="U41">
            <v>0</v>
          </cell>
          <cell r="V41">
            <v>0</v>
          </cell>
          <cell r="W41">
            <v>0</v>
          </cell>
          <cell r="X41">
            <v>-10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BS41">
            <v>0</v>
          </cell>
          <cell r="BT41">
            <v>-10</v>
          </cell>
          <cell r="BU41">
            <v>0</v>
          </cell>
          <cell r="BV41">
            <v>0</v>
          </cell>
          <cell r="BW41">
            <v>0</v>
          </cell>
          <cell r="BX41">
            <v>0</v>
          </cell>
          <cell r="BY41">
            <v>-10</v>
          </cell>
          <cell r="BZ41">
            <v>0</v>
          </cell>
          <cell r="CA41">
            <v>0</v>
          </cell>
          <cell r="CB41">
            <v>0</v>
          </cell>
        </row>
        <row r="42">
          <cell r="A42" t="str">
            <v>US22P015509420000025</v>
          </cell>
          <cell r="B42" t="str">
            <v>Lone Tree</v>
          </cell>
          <cell r="C42" t="str">
            <v>Jan-Dec</v>
          </cell>
          <cell r="D42" t="str">
            <v>US22P01550</v>
          </cell>
          <cell r="E42" t="str">
            <v>550</v>
          </cell>
          <cell r="F42" t="str">
            <v>Field Production</v>
          </cell>
          <cell r="G42" t="str">
            <v>01</v>
          </cell>
          <cell r="H42">
            <v>9420000025</v>
          </cell>
          <cell r="I42" t="str">
            <v>EMPLOYEE BENEFIT ALLOCATION</v>
          </cell>
          <cell r="J42" t="str">
            <v>VALID - NON BUDGET</v>
          </cell>
          <cell r="K42">
            <v>294</v>
          </cell>
          <cell r="L42">
            <v>208</v>
          </cell>
          <cell r="M42">
            <v>122</v>
          </cell>
          <cell r="N42">
            <v>404</v>
          </cell>
          <cell r="O42">
            <v>7785</v>
          </cell>
          <cell r="P42">
            <v>4031</v>
          </cell>
          <cell r="Q42">
            <v>10181</v>
          </cell>
          <cell r="R42">
            <v>3434</v>
          </cell>
          <cell r="S42">
            <v>2550</v>
          </cell>
          <cell r="T42">
            <v>893</v>
          </cell>
          <cell r="U42">
            <v>1039</v>
          </cell>
          <cell r="V42">
            <v>-157</v>
          </cell>
          <cell r="W42">
            <v>239</v>
          </cell>
          <cell r="X42">
            <v>0</v>
          </cell>
          <cell r="Y42">
            <v>0</v>
          </cell>
          <cell r="Z42">
            <v>1312</v>
          </cell>
          <cell r="AA42">
            <v>14386</v>
          </cell>
          <cell r="AB42">
            <v>8646</v>
          </cell>
          <cell r="AC42">
            <v>15852</v>
          </cell>
          <cell r="AD42">
            <v>7195</v>
          </cell>
          <cell r="AE42">
            <v>1226</v>
          </cell>
          <cell r="AF42">
            <v>908</v>
          </cell>
          <cell r="AG42">
            <v>665</v>
          </cell>
          <cell r="AH42">
            <v>832</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BS42">
            <v>30784</v>
          </cell>
          <cell r="BT42">
            <v>51261</v>
          </cell>
          <cell r="BU42">
            <v>0</v>
          </cell>
          <cell r="BV42">
            <v>0</v>
          </cell>
          <cell r="BW42">
            <v>0</v>
          </cell>
          <cell r="BX42">
            <v>30784</v>
          </cell>
          <cell r="BY42">
            <v>51261</v>
          </cell>
          <cell r="BZ42">
            <v>0</v>
          </cell>
          <cell r="CA42">
            <v>0</v>
          </cell>
          <cell r="CB42">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s"/>
      <sheetName val="Corn Inventory Provision"/>
      <sheetName val="COGS Return Adjustment"/>
      <sheetName val="BExRepositorySheet"/>
      <sheetName val="corn and soybean gp summary"/>
      <sheetName val="corn gp summary"/>
      <sheetName val="soybean gp summary"/>
      <sheetName val="Consol Pre-Close"/>
      <sheetName val="NKUS - Pre-Close"/>
      <sheetName val="Garst - Pre-Close"/>
      <sheetName val="GH - Pre-Close"/>
      <sheetName val="NKCan - Pre-Close"/>
      <sheetName val="NKCan (USD) - Pre-Close"/>
      <sheetName val="GLG - Pre-Close"/>
      <sheetName val="Misc - Pre-Close"/>
      <sheetName val="Quick Page"/>
      <sheetName val="C&amp;S GP Brand Summary"/>
      <sheetName val="Parameters"/>
      <sheetName val="&gt;&gt;NK US&gt;&gt;"/>
      <sheetName val="NK US Act Corn GL Detail"/>
      <sheetName val="NK US Act Soybean GL Detail"/>
      <sheetName val="&gt;&gt;Garst&gt;&gt;"/>
      <sheetName val="Garst Act Corn GL Detail"/>
      <sheetName val="Garst Act Soybean GL Detail"/>
      <sheetName val="&gt;&gt;GH&gt;&gt;"/>
      <sheetName val="GH Act Corn GL Detail"/>
      <sheetName val="GH Act Soybean GL Detail"/>
      <sheetName val="&gt;&gt;NK CAN&gt;&gt;"/>
      <sheetName val="NK Can Act Corn GL Detail USD$"/>
      <sheetName val="NK Can Act Corn GL Detail"/>
      <sheetName val="NK Can Act Soy GL Detail USD$"/>
      <sheetName val="NK Can Act Soybean GL Detail"/>
      <sheetName val="&gt;&gt;GLG&gt;&gt;"/>
      <sheetName val="GLG Act Corn GL Detail"/>
      <sheetName val="GLG Act Soybean GL Detail"/>
      <sheetName val="&gt;&gt;EDWH&gt;&gt;"/>
      <sheetName val="pivot_EDWH"/>
      <sheetName val="data_EDWH"/>
      <sheetName val="&lt;&lt;EDWH&lt;&lt;"/>
      <sheetName val="MTD budget sales"/>
      <sheetName val="YTD budget sales"/>
      <sheetName val="YTD act 08 sales"/>
      <sheetName val="MTD act 08 sales"/>
      <sheetName val="YTD act 06 sales (2)"/>
      <sheetName val="MTD act 06 sales (2)"/>
      <sheetName val="MTD budget sales07"/>
      <sheetName val="YTD budget sales07"/>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refreshError="1"/>
      <sheetData sheetId="16">
        <row r="24">
          <cell r="D24">
            <v>6.3901743427962092</v>
          </cell>
        </row>
        <row r="428">
          <cell r="A428">
            <v>13</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74">
          <cell r="N174">
            <v>1.0549999999999999</v>
          </cell>
        </row>
      </sheetData>
      <sheetData sheetId="29" refreshError="1"/>
      <sheetData sheetId="30">
        <row r="174">
          <cell r="N174">
            <v>1.0549999999999999</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07">
          <cell r="K107">
            <v>20.127611518493474</v>
          </cell>
        </row>
      </sheetData>
      <sheetData sheetId="42" refreshError="1"/>
      <sheetData sheetId="43" refreshError="1"/>
      <sheetData sheetId="44" refreshError="1"/>
      <sheetData sheetId="45" refreshError="1"/>
      <sheetData sheetId="4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ons-Assumptions"/>
      <sheetName val="Budgeting Assumptions"/>
      <sheetName val="CC Reconciliation (Act Rate)"/>
      <sheetName val="Plant Sum (Act Rate)"/>
      <sheetName val="Plant Activity Cost (Act Rate)"/>
      <sheetName val="Site Cost Assumptions"/>
      <sheetName val="CC Reconciliation (Phased)"/>
      <sheetName val="Plant Sum (Phased)"/>
      <sheetName val="Plant Activity Cost (Phased)"/>
      <sheetName val="550-Corn"/>
      <sheetName val="515-Corn"/>
      <sheetName val="553"/>
      <sheetName val="564"/>
      <sheetName val="560-Corn"/>
      <sheetName val="557-Corn"/>
      <sheetName val="511-Corn"/>
      <sheetName val="Plant Adm 501 &amp; 585 R&amp;M &amp; Depre"/>
      <sheetName val="501-Corn"/>
      <sheetName val="501-ZA"/>
      <sheetName val="501-Soy"/>
      <sheetName val="585"/>
      <sheetName val="Plant 575 Rework"/>
      <sheetName val="575"/>
      <sheetName val="Plant 590 Seed Quality"/>
      <sheetName val="590"/>
      <sheetName val="592 PCL Lab"/>
      <sheetName val="592"/>
      <sheetName val="150 Plant Warehouse &amp; Dist."/>
      <sheetName val="150"/>
      <sheetName val="155 Whse-Distr. Dispatch"/>
      <sheetName val="155"/>
      <sheetName val="Soy&gt;&gt;"/>
      <sheetName val="Soy -Read First"/>
      <sheetName val="Soy - Plant Assumptions"/>
      <sheetName val="Metric Page"/>
      <sheetName val="Pivot Summ"/>
      <sheetName val="Grower Premium"/>
      <sheetName val="511-Soy"/>
      <sheetName val="513-Soy"/>
      <sheetName val="515-Soy"/>
      <sheetName val="550-Soy"/>
      <sheetName val="557-Soy"/>
      <sheetName val="560-Soy"/>
      <sheetName val="09 crop summ"/>
      <sheetName val="ZA&gt;&gt;"/>
      <sheetName val="ZA"/>
    </sheetNames>
    <sheetDataSet>
      <sheetData sheetId="0" refreshError="1"/>
      <sheetData sheetId="1" refreshError="1"/>
      <sheetData sheetId="2" refreshError="1"/>
      <sheetData sheetId="3" refreshError="1"/>
      <sheetData sheetId="4">
        <row r="5">
          <cell r="A5" t="str">
            <v>US59P015503111100000</v>
          </cell>
          <cell r="C5">
            <v>3111100000</v>
          </cell>
          <cell r="D5" t="str">
            <v>WAGES,SALARIES,ALLOWANCES AND COMMI/PERM</v>
          </cell>
          <cell r="E5">
            <v>0</v>
          </cell>
          <cell r="F5" t="e">
            <v>#DIV/0!</v>
          </cell>
          <cell r="H5">
            <v>0</v>
          </cell>
        </row>
        <row r="6">
          <cell r="A6" t="str">
            <v>US59P015503111100012</v>
          </cell>
          <cell r="C6">
            <v>3111100012</v>
          </cell>
          <cell r="D6" t="str">
            <v>OVERTIME HOURS /PERMANENTS</v>
          </cell>
          <cell r="E6">
            <v>0</v>
          </cell>
          <cell r="F6" t="e">
            <v>#DIV/0!</v>
          </cell>
          <cell r="H6">
            <v>0</v>
          </cell>
        </row>
        <row r="7">
          <cell r="A7" t="str">
            <v>US59P015503111100900</v>
          </cell>
          <cell r="C7">
            <v>3111100900</v>
          </cell>
          <cell r="D7" t="str">
            <v>WAGES &amp; SALARIES / SEASONALS</v>
          </cell>
          <cell r="E7">
            <v>0</v>
          </cell>
          <cell r="F7" t="e">
            <v>#DIV/0!</v>
          </cell>
          <cell r="H7">
            <v>0</v>
          </cell>
        </row>
        <row r="8">
          <cell r="A8" t="str">
            <v>US59P015503121300013</v>
          </cell>
          <cell r="C8">
            <v>3121300013</v>
          </cell>
          <cell r="D8" t="str">
            <v>FRINGE BENEFITS</v>
          </cell>
          <cell r="E8" t="e">
            <v>#DIV/0!</v>
          </cell>
          <cell r="F8" t="e">
            <v>#DIV/0!</v>
          </cell>
          <cell r="H8">
            <v>0.48800000000005639</v>
          </cell>
        </row>
        <row r="9">
          <cell r="A9" t="str">
            <v>US59P015509420000025</v>
          </cell>
          <cell r="C9">
            <v>9420000025</v>
          </cell>
          <cell r="D9" t="str">
            <v>EMPLOYEE BENEFIT ALLOCATION</v>
          </cell>
        </row>
        <row r="10">
          <cell r="D10" t="str">
            <v>TOTAL FRINGE &amp; EMPLOYEE BENEFIT ALLOCATION</v>
          </cell>
          <cell r="E10" t="e">
            <v>#DIV/0!</v>
          </cell>
          <cell r="F10" t="e">
            <v>#DIV/0!</v>
          </cell>
          <cell r="H10">
            <v>0.48800000000005639</v>
          </cell>
        </row>
        <row r="11">
          <cell r="A11" t="str">
            <v>US59P01550</v>
          </cell>
          <cell r="D11" t="str">
            <v>Total Labor</v>
          </cell>
          <cell r="E11" t="e">
            <v>#DIV/0!</v>
          </cell>
          <cell r="F11" t="e">
            <v>#DIV/0!</v>
          </cell>
          <cell r="H11">
            <v>0.48800000000005639</v>
          </cell>
        </row>
        <row r="12">
          <cell r="A12" t="str">
            <v>US59P015503201300001</v>
          </cell>
          <cell r="C12">
            <v>3201300001</v>
          </cell>
          <cell r="D12" t="str">
            <v>HIRED PERSONNEL FROM 3RD PARTIES</v>
          </cell>
          <cell r="E12">
            <v>0</v>
          </cell>
          <cell r="F12" t="e">
            <v>#DIV/0!</v>
          </cell>
          <cell r="H12">
            <v>0</v>
          </cell>
        </row>
        <row r="13">
          <cell r="A13" t="str">
            <v>US59P015503201300012</v>
          </cell>
          <cell r="C13">
            <v>3201300012</v>
          </cell>
          <cell r="D13" t="str">
            <v>HIRED PERSONNEL THIRD PARTY - ROUGING</v>
          </cell>
          <cell r="E13">
            <v>0</v>
          </cell>
          <cell r="F13" t="e">
            <v>#DIV/0!</v>
          </cell>
          <cell r="H13">
            <v>0</v>
          </cell>
        </row>
        <row r="14">
          <cell r="A14" t="str">
            <v>US59P015503201400029</v>
          </cell>
          <cell r="C14">
            <v>3201400029</v>
          </cell>
          <cell r="D14" t="str">
            <v>OTH OUTSIDE SERVICES OTHER</v>
          </cell>
          <cell r="E14">
            <v>0</v>
          </cell>
          <cell r="F14" t="e">
            <v>#DIV/0!</v>
          </cell>
          <cell r="H14">
            <v>0</v>
          </cell>
        </row>
        <row r="15">
          <cell r="A15" t="str">
            <v>US59P015503201400051</v>
          </cell>
          <cell r="C15">
            <v>3201400051</v>
          </cell>
          <cell r="D15" t="str">
            <v>MAINTENANCE EQUIPMENT</v>
          </cell>
          <cell r="E15">
            <v>0</v>
          </cell>
          <cell r="F15" t="e">
            <v>#DIV/0!</v>
          </cell>
          <cell r="H15">
            <v>0</v>
          </cell>
        </row>
        <row r="16">
          <cell r="A16" t="str">
            <v>US59P015503201400054</v>
          </cell>
          <cell r="C16">
            <v>3201400054</v>
          </cell>
          <cell r="D16" t="str">
            <v>TECHNICAL SERVICES</v>
          </cell>
          <cell r="E16">
            <v>0</v>
          </cell>
          <cell r="F16" t="e">
            <v>#DIV/0!</v>
          </cell>
          <cell r="H16">
            <v>0</v>
          </cell>
        </row>
        <row r="17">
          <cell r="A17" t="str">
            <v>US59P015503201400056</v>
          </cell>
          <cell r="C17">
            <v>3201400056</v>
          </cell>
          <cell r="D17" t="str">
            <v>FIELD AND PRODUCTION EXPENSES</v>
          </cell>
          <cell r="E17">
            <v>0</v>
          </cell>
          <cell r="F17" t="e">
            <v>#DIV/0!</v>
          </cell>
          <cell r="H17">
            <v>0</v>
          </cell>
        </row>
        <row r="18">
          <cell r="A18" t="str">
            <v>US59P015503201400057</v>
          </cell>
          <cell r="C18">
            <v>3201400057</v>
          </cell>
          <cell r="D18" t="str">
            <v>FIELD AND PRODUCTION SERVICES - SPRAYING</v>
          </cell>
          <cell r="E18">
            <v>0</v>
          </cell>
          <cell r="F18" t="e">
            <v>#DIV/0!</v>
          </cell>
          <cell r="H18">
            <v>0</v>
          </cell>
        </row>
        <row r="19">
          <cell r="A19" t="str">
            <v>US59P015503311400099</v>
          </cell>
          <cell r="C19">
            <v>3311400099</v>
          </cell>
          <cell r="D19" t="str">
            <v>CO DEPRECIATION</v>
          </cell>
          <cell r="E19" t="e">
            <v>#DIV/0!</v>
          </cell>
          <cell r="F19" t="e">
            <v>#DIV/0!</v>
          </cell>
          <cell r="H19">
            <v>404</v>
          </cell>
        </row>
        <row r="20">
          <cell r="A20" t="str">
            <v>US59P015503311500300</v>
          </cell>
          <cell r="C20">
            <v>3311500300</v>
          </cell>
          <cell r="D20" t="str">
            <v>AMORT. EXP. - FIN. LEASED</v>
          </cell>
          <cell r="E20">
            <v>0</v>
          </cell>
          <cell r="F20" t="e">
            <v>#DIV/0!</v>
          </cell>
          <cell r="H20">
            <v>0</v>
          </cell>
        </row>
        <row r="21">
          <cell r="A21" t="str">
            <v>US59P015503921200001</v>
          </cell>
          <cell r="C21">
            <v>3921200001</v>
          </cell>
          <cell r="D21" t="str">
            <v>FUEL</v>
          </cell>
          <cell r="E21">
            <v>0</v>
          </cell>
          <cell r="F21" t="e">
            <v>#DIV/0!</v>
          </cell>
          <cell r="H21">
            <v>0</v>
          </cell>
        </row>
        <row r="22">
          <cell r="A22" t="str">
            <v>US59P015503921200003</v>
          </cell>
          <cell r="C22">
            <v>3921200003</v>
          </cell>
          <cell r="D22" t="str">
            <v>GAS</v>
          </cell>
          <cell r="E22">
            <v>0</v>
          </cell>
          <cell r="F22" t="e">
            <v>#DIV/0!</v>
          </cell>
          <cell r="H22">
            <v>0</v>
          </cell>
        </row>
        <row r="23">
          <cell r="A23" t="str">
            <v>US59P015503921200006</v>
          </cell>
          <cell r="C23">
            <v>3921200006</v>
          </cell>
          <cell r="D23" t="str">
            <v>FACTORY SUPPLIES MAINTENANCE SUPPLIES</v>
          </cell>
          <cell r="E23">
            <v>0</v>
          </cell>
          <cell r="F23" t="e">
            <v>#DIV/0!</v>
          </cell>
          <cell r="H23">
            <v>0</v>
          </cell>
        </row>
        <row r="24">
          <cell r="A24" t="str">
            <v>US59P015503921200026</v>
          </cell>
          <cell r="C24">
            <v>3921200026</v>
          </cell>
          <cell r="D24" t="str">
            <v>MISC. COSTS VEHICLE</v>
          </cell>
          <cell r="E24">
            <v>0</v>
          </cell>
          <cell r="F24" t="e">
            <v>#DIV/0!</v>
          </cell>
          <cell r="H24">
            <v>0</v>
          </cell>
        </row>
        <row r="25">
          <cell r="A25" t="str">
            <v>US59P015503921200037</v>
          </cell>
          <cell r="C25">
            <v>3921200037</v>
          </cell>
          <cell r="D25" t="str">
            <v>EXHAUSTIVE EQUIPMENT</v>
          </cell>
          <cell r="E25">
            <v>0</v>
          </cell>
          <cell r="F25" t="e">
            <v>#DIV/0!</v>
          </cell>
          <cell r="H25">
            <v>0</v>
          </cell>
        </row>
        <row r="26">
          <cell r="A26" t="str">
            <v>US59P015503921200100</v>
          </cell>
          <cell r="C26">
            <v>3921200100</v>
          </cell>
          <cell r="D26" t="str">
            <v>FIELD &amp; PRODUCTION SUPPLIES</v>
          </cell>
          <cell r="E26">
            <v>0</v>
          </cell>
          <cell r="F26" t="e">
            <v>#DIV/0!</v>
          </cell>
          <cell r="H26">
            <v>0</v>
          </cell>
        </row>
        <row r="27">
          <cell r="A27" t="str">
            <v>US59P015503951100005</v>
          </cell>
          <cell r="C27">
            <v>3951100005</v>
          </cell>
          <cell r="D27" t="str">
            <v>OTHER RENTALS</v>
          </cell>
          <cell r="E27">
            <v>0</v>
          </cell>
          <cell r="F27" t="e">
            <v>#DIV/0!</v>
          </cell>
          <cell r="H27">
            <v>0</v>
          </cell>
        </row>
        <row r="28">
          <cell r="A28" t="str">
            <v>US59P015503951200002</v>
          </cell>
          <cell r="C28">
            <v>3951200002</v>
          </cell>
          <cell r="D28" t="str">
            <v>OPERATING LEASES - VEHICLES (SHORT DURAT</v>
          </cell>
          <cell r="E28">
            <v>0</v>
          </cell>
          <cell r="F28" t="e">
            <v>#DIV/0!</v>
          </cell>
          <cell r="H28">
            <v>0</v>
          </cell>
        </row>
        <row r="29">
          <cell r="A29" t="str">
            <v>US59P015503961100000</v>
          </cell>
          <cell r="C29">
            <v>3961100000</v>
          </cell>
          <cell r="D29" t="str">
            <v>COMPREHENSIVE INSURANCES</v>
          </cell>
          <cell r="E29" t="e">
            <v>#DIV/0!</v>
          </cell>
          <cell r="F29">
            <v>0</v>
          </cell>
          <cell r="H29">
            <v>0</v>
          </cell>
        </row>
        <row r="41">
          <cell r="A41" t="str">
            <v>US59P015533111100000</v>
          </cell>
          <cell r="C41">
            <v>3111100000</v>
          </cell>
          <cell r="D41" t="str">
            <v>WAGES,SALARIES,ALLOWANCES AND COMMI/PERM</v>
          </cell>
          <cell r="E41" t="e">
            <v>#DIV/0!</v>
          </cell>
          <cell r="F41">
            <v>0</v>
          </cell>
          <cell r="G41" t="e">
            <v>#DIV/0!</v>
          </cell>
          <cell r="H41">
            <v>0</v>
          </cell>
        </row>
        <row r="42">
          <cell r="A42" t="str">
            <v>US59P015533111100012</v>
          </cell>
          <cell r="C42">
            <v>3111100012</v>
          </cell>
          <cell r="D42" t="str">
            <v>OVERTIME HOURS /PERMANENTS</v>
          </cell>
          <cell r="E42" t="e">
            <v>#DIV/0!</v>
          </cell>
          <cell r="F42">
            <v>0</v>
          </cell>
          <cell r="G42" t="e">
            <v>#DIV/0!</v>
          </cell>
          <cell r="H42">
            <v>0</v>
          </cell>
        </row>
        <row r="43">
          <cell r="A43" t="str">
            <v>US59P015533111100900</v>
          </cell>
          <cell r="C43">
            <v>3111100900</v>
          </cell>
          <cell r="D43" t="str">
            <v>WAGES &amp; SALARIES / SEASONALS</v>
          </cell>
          <cell r="E43" t="e">
            <v>#DIV/0!</v>
          </cell>
          <cell r="F43">
            <v>0</v>
          </cell>
          <cell r="G43" t="e">
            <v>#DIV/0!</v>
          </cell>
          <cell r="H43">
            <v>0</v>
          </cell>
        </row>
        <row r="44">
          <cell r="A44" t="str">
            <v>US59P015533121300013</v>
          </cell>
          <cell r="C44">
            <v>3121300013</v>
          </cell>
          <cell r="D44" t="str">
            <v>FRINGE BENEFITS</v>
          </cell>
          <cell r="E44" t="e">
            <v>#DIV/0!</v>
          </cell>
          <cell r="F44" t="e">
            <v>#DIV/0!</v>
          </cell>
          <cell r="G44" t="e">
            <v>#DIV/0!</v>
          </cell>
          <cell r="H44">
            <v>0.73199999999999998</v>
          </cell>
        </row>
        <row r="45">
          <cell r="A45" t="str">
            <v>US59P015539420000025</v>
          </cell>
          <cell r="C45">
            <v>9420000025</v>
          </cell>
          <cell r="D45" t="str">
            <v>EMPLOYEE BENEFIT ALLOCATION</v>
          </cell>
        </row>
        <row r="46">
          <cell r="D46" t="str">
            <v>TOTAL FRINGE &amp; EMPLOYEE BENEFIT ALLOCATION</v>
          </cell>
          <cell r="E46" t="e">
            <v>#DIV/0!</v>
          </cell>
          <cell r="F46" t="e">
            <v>#DIV/0!</v>
          </cell>
          <cell r="G46" t="e">
            <v>#DIV/0!</v>
          </cell>
          <cell r="H46">
            <v>0.73199999999999998</v>
          </cell>
        </row>
        <row r="47">
          <cell r="D47" t="str">
            <v>Total Labor</v>
          </cell>
          <cell r="E47" t="e">
            <v>#DIV/0!</v>
          </cell>
          <cell r="F47" t="e">
            <v>#DIV/0!</v>
          </cell>
          <cell r="G47" t="e">
            <v>#DIV/0!</v>
          </cell>
          <cell r="H47">
            <v>0.73199999999999998</v>
          </cell>
        </row>
        <row r="48">
          <cell r="A48" t="str">
            <v>US59P015533201300001</v>
          </cell>
          <cell r="C48">
            <v>3201300001</v>
          </cell>
          <cell r="D48" t="str">
            <v>HIRED PERSONNEL FROM 3RD PARTIES</v>
          </cell>
          <cell r="E48" t="e">
            <v>#DIV/0!</v>
          </cell>
          <cell r="F48">
            <v>0</v>
          </cell>
          <cell r="G48" t="e">
            <v>#DIV/0!</v>
          </cell>
          <cell r="H48">
            <v>0</v>
          </cell>
        </row>
        <row r="49">
          <cell r="A49" t="str">
            <v>US59P015533201400051</v>
          </cell>
          <cell r="C49">
            <v>3201400051</v>
          </cell>
          <cell r="D49" t="str">
            <v>MAINTENANCE EQUIPMENT</v>
          </cell>
          <cell r="E49" t="e">
            <v>#DIV/0!</v>
          </cell>
          <cell r="F49">
            <v>0</v>
          </cell>
          <cell r="G49" t="e">
            <v>#DIV/0!</v>
          </cell>
          <cell r="H49">
            <v>0</v>
          </cell>
        </row>
        <row r="50">
          <cell r="A50" t="str">
            <v>US59P015533201400056</v>
          </cell>
          <cell r="C50">
            <v>3201400056</v>
          </cell>
          <cell r="D50" t="str">
            <v>FIELD AND PRODUCTION EXPENSES</v>
          </cell>
          <cell r="E50" t="e">
            <v>#DIV/0!</v>
          </cell>
          <cell r="F50" t="e">
            <v>#DIV/0!</v>
          </cell>
          <cell r="G50">
            <v>0</v>
          </cell>
          <cell r="H50">
            <v>0</v>
          </cell>
        </row>
        <row r="51">
          <cell r="A51" t="str">
            <v>US59P015533201400058</v>
          </cell>
          <cell r="C51">
            <v>3201400058</v>
          </cell>
          <cell r="D51" t="str">
            <v>FIELD AND PRODUCTION SERVICES - DETASSEL</v>
          </cell>
          <cell r="E51" t="e">
            <v>#DIV/0!</v>
          </cell>
          <cell r="F51" t="e">
            <v>#DIV/0!</v>
          </cell>
          <cell r="G51">
            <v>0</v>
          </cell>
          <cell r="H51">
            <v>0</v>
          </cell>
        </row>
        <row r="52">
          <cell r="A52" t="str">
            <v>US59P015533311400099</v>
          </cell>
          <cell r="C52">
            <v>3311400099</v>
          </cell>
          <cell r="D52" t="str">
            <v>CO DEPRECIATION</v>
          </cell>
          <cell r="E52" t="e">
            <v>#DIV/0!</v>
          </cell>
          <cell r="F52" t="e">
            <v>#DIV/0!</v>
          </cell>
          <cell r="G52" t="e">
            <v>#DIV/0!</v>
          </cell>
          <cell r="H52">
            <v>66364</v>
          </cell>
        </row>
        <row r="53">
          <cell r="A53" t="str">
            <v>US59P015533921200001</v>
          </cell>
          <cell r="C53">
            <v>3921200001</v>
          </cell>
          <cell r="D53" t="str">
            <v>FUEL</v>
          </cell>
          <cell r="E53" t="e">
            <v>#DIV/0!</v>
          </cell>
          <cell r="F53">
            <v>0</v>
          </cell>
          <cell r="G53" t="e">
            <v>#DIV/0!</v>
          </cell>
          <cell r="H53">
            <v>0</v>
          </cell>
        </row>
        <row r="54">
          <cell r="A54" t="str">
            <v>US59P015533921200003</v>
          </cell>
          <cell r="C54">
            <v>3921200003</v>
          </cell>
          <cell r="D54" t="str">
            <v>GAS</v>
          </cell>
          <cell r="E54" t="e">
            <v>#DIV/0!</v>
          </cell>
          <cell r="F54">
            <v>0</v>
          </cell>
          <cell r="G54" t="e">
            <v>#DIV/0!</v>
          </cell>
          <cell r="H54">
            <v>0</v>
          </cell>
        </row>
        <row r="55">
          <cell r="A55" t="str">
            <v>US59P015533921200006</v>
          </cell>
          <cell r="C55">
            <v>3921200006</v>
          </cell>
          <cell r="D55" t="str">
            <v>FACTORY SUPPLIES MAINTENANCE SUPPLIES</v>
          </cell>
          <cell r="E55" t="e">
            <v>#DIV/0!</v>
          </cell>
          <cell r="F55">
            <v>0</v>
          </cell>
          <cell r="G55" t="e">
            <v>#DIV/0!</v>
          </cell>
          <cell r="H55">
            <v>0</v>
          </cell>
        </row>
        <row r="56">
          <cell r="A56" t="str">
            <v>US59P015533921200037</v>
          </cell>
          <cell r="C56">
            <v>3921200037</v>
          </cell>
          <cell r="D56" t="str">
            <v>EXHAUSTIVE EQUIPMENT</v>
          </cell>
          <cell r="E56" t="e">
            <v>#DIV/0!</v>
          </cell>
          <cell r="F56">
            <v>0</v>
          </cell>
          <cell r="G56" t="e">
            <v>#DIV/0!</v>
          </cell>
          <cell r="H56">
            <v>0</v>
          </cell>
        </row>
        <row r="57">
          <cell r="A57" t="str">
            <v>US59P015533951100005</v>
          </cell>
          <cell r="C57">
            <v>3951100005</v>
          </cell>
          <cell r="D57" t="str">
            <v>OTHER RENTALS</v>
          </cell>
          <cell r="E57" t="e">
            <v>#DIV/0!</v>
          </cell>
          <cell r="F57">
            <v>0</v>
          </cell>
          <cell r="G57" t="e">
            <v>#DIV/0!</v>
          </cell>
          <cell r="H57">
            <v>0</v>
          </cell>
        </row>
        <row r="58">
          <cell r="A58" t="str">
            <v>US59P015533961100000</v>
          </cell>
          <cell r="C58">
            <v>3961100000</v>
          </cell>
          <cell r="D58" t="str">
            <v>COMPREHENSIVE INSURANCES</v>
          </cell>
          <cell r="E58" t="e">
            <v>#DIV/0!</v>
          </cell>
          <cell r="F58">
            <v>0</v>
          </cell>
          <cell r="G58" t="e">
            <v>#DIV/0!</v>
          </cell>
          <cell r="H58">
            <v>0</v>
          </cell>
        </row>
        <row r="64">
          <cell r="A64" t="str">
            <v>US59P015643111100000</v>
          </cell>
          <cell r="C64">
            <v>3111100000</v>
          </cell>
          <cell r="D64" t="str">
            <v>WAGES,SALARIES,ALLOWANCES AND COMMI/PERM</v>
          </cell>
          <cell r="E64" t="e">
            <v>#DIV/0!</v>
          </cell>
          <cell r="F64">
            <v>0</v>
          </cell>
          <cell r="H64">
            <v>0</v>
          </cell>
        </row>
        <row r="65">
          <cell r="A65" t="str">
            <v>US59P015643111100012</v>
          </cell>
          <cell r="C65">
            <v>3111100012</v>
          </cell>
          <cell r="D65" t="str">
            <v>OVERTIME HOURS /PERMANENTS</v>
          </cell>
          <cell r="E65" t="e">
            <v>#DIV/0!</v>
          </cell>
          <cell r="F65">
            <v>0</v>
          </cell>
          <cell r="H65">
            <v>0</v>
          </cell>
        </row>
        <row r="66">
          <cell r="A66" t="str">
            <v>US59P015643111100900</v>
          </cell>
          <cell r="C66">
            <v>3111100900</v>
          </cell>
          <cell r="D66" t="str">
            <v>WAGES &amp; SALARIES / SEASONALS</v>
          </cell>
          <cell r="E66" t="e">
            <v>#DIV/0!</v>
          </cell>
          <cell r="F66">
            <v>0</v>
          </cell>
          <cell r="H66">
            <v>0</v>
          </cell>
        </row>
        <row r="67">
          <cell r="A67" t="str">
            <v>US59P015643121300013</v>
          </cell>
          <cell r="C67">
            <v>3121300013</v>
          </cell>
          <cell r="D67" t="str">
            <v>FRINGE BENEFITS</v>
          </cell>
          <cell r="E67" t="e">
            <v>#DIV/0!</v>
          </cell>
          <cell r="F67" t="e">
            <v>#DIV/0!</v>
          </cell>
          <cell r="H67">
            <v>0</v>
          </cell>
        </row>
        <row r="68">
          <cell r="A68" t="str">
            <v>US59P015649420000025</v>
          </cell>
          <cell r="C68">
            <v>9420000025</v>
          </cell>
          <cell r="D68" t="str">
            <v>EMPLOYEE BENEFIT ALLOCATION</v>
          </cell>
        </row>
        <row r="69">
          <cell r="D69" t="str">
            <v>TOTAL FRINGE &amp; EMPLOYEE BENEFIT ALLOCATION</v>
          </cell>
          <cell r="E69" t="e">
            <v>#DIV/0!</v>
          </cell>
          <cell r="F69" t="e">
            <v>#DIV/0!</v>
          </cell>
          <cell r="H69">
            <v>0</v>
          </cell>
        </row>
        <row r="70">
          <cell r="D70" t="str">
            <v>Total Labor</v>
          </cell>
          <cell r="E70" t="e">
            <v>#DIV/0!</v>
          </cell>
          <cell r="F70" t="e">
            <v>#DIV/0!</v>
          </cell>
          <cell r="H70">
            <v>0</v>
          </cell>
        </row>
        <row r="71">
          <cell r="A71" t="str">
            <v>US59P015643201300001</v>
          </cell>
          <cell r="C71">
            <v>3201300001</v>
          </cell>
          <cell r="D71" t="str">
            <v>HIRED PERSONNEL FROM 3RD PARTIES</v>
          </cell>
          <cell r="E71" t="e">
            <v>#DIV/0!</v>
          </cell>
          <cell r="F71">
            <v>0</v>
          </cell>
          <cell r="H71">
            <v>0</v>
          </cell>
        </row>
        <row r="72">
          <cell r="A72" t="str">
            <v>US59P015643201400029</v>
          </cell>
          <cell r="C72">
            <v>3201400029</v>
          </cell>
          <cell r="D72" t="str">
            <v>OTH OUTSIDE SERVICES OTHER</v>
          </cell>
          <cell r="E72" t="e">
            <v>#DIV/0!</v>
          </cell>
          <cell r="F72">
            <v>0</v>
          </cell>
          <cell r="H72">
            <v>0</v>
          </cell>
        </row>
        <row r="73">
          <cell r="A73" t="str">
            <v>US59P015643201400036</v>
          </cell>
          <cell r="C73">
            <v>3201400036</v>
          </cell>
          <cell r="D73" t="str">
            <v>OTHER MAINTENANCE BUILDINGS</v>
          </cell>
          <cell r="E73" t="e">
            <v>#DIV/0!</v>
          </cell>
          <cell r="F73">
            <v>0</v>
          </cell>
          <cell r="H73">
            <v>0</v>
          </cell>
        </row>
        <row r="74">
          <cell r="A74" t="str">
            <v>US59P015643201400051</v>
          </cell>
          <cell r="C74">
            <v>3201400051</v>
          </cell>
          <cell r="D74" t="str">
            <v>MAINTENANCE EQUIPMENT</v>
          </cell>
          <cell r="E74" t="e">
            <v>#DIV/0!</v>
          </cell>
          <cell r="F74">
            <v>0</v>
          </cell>
          <cell r="H74">
            <v>0</v>
          </cell>
        </row>
        <row r="75">
          <cell r="A75" t="str">
            <v>US59P015643311400099</v>
          </cell>
          <cell r="C75">
            <v>3311400099</v>
          </cell>
          <cell r="D75" t="str">
            <v>CO DEPRECIATION</v>
          </cell>
          <cell r="E75" t="e">
            <v>#DIV/0!</v>
          </cell>
          <cell r="F75" t="e">
            <v>#DIV/0!</v>
          </cell>
          <cell r="H75">
            <v>266124</v>
          </cell>
        </row>
        <row r="76">
          <cell r="A76" t="str">
            <v>US59P015643921100001</v>
          </cell>
          <cell r="C76">
            <v>3921100001</v>
          </cell>
          <cell r="D76" t="str">
            <v>UTILITY EXPENSES ELECTRICITY</v>
          </cell>
          <cell r="E76" t="e">
            <v>#DIV/0!</v>
          </cell>
          <cell r="F76">
            <v>0</v>
          </cell>
          <cell r="H76">
            <v>0</v>
          </cell>
        </row>
        <row r="77">
          <cell r="A77" t="str">
            <v>US59P015643921200001</v>
          </cell>
          <cell r="C77">
            <v>3921200001</v>
          </cell>
          <cell r="D77" t="str">
            <v>FUEL</v>
          </cell>
          <cell r="E77" t="e">
            <v>#DIV/0!</v>
          </cell>
          <cell r="F77">
            <v>0</v>
          </cell>
          <cell r="H77">
            <v>0</v>
          </cell>
        </row>
        <row r="78">
          <cell r="A78" t="str">
            <v>US59P015643921200003</v>
          </cell>
          <cell r="C78">
            <v>3921200003</v>
          </cell>
          <cell r="D78" t="str">
            <v>GAS</v>
          </cell>
          <cell r="E78" t="e">
            <v>#DIV/0!</v>
          </cell>
          <cell r="F78">
            <v>0</v>
          </cell>
          <cell r="H78">
            <v>0</v>
          </cell>
        </row>
        <row r="79">
          <cell r="A79" t="str">
            <v>US59P015643921200006</v>
          </cell>
          <cell r="C79">
            <v>3921200006</v>
          </cell>
          <cell r="D79" t="str">
            <v>FACTORY SUPPLIES MAINTENANCE SUPPLIES</v>
          </cell>
          <cell r="E79" t="e">
            <v>#DIV/0!</v>
          </cell>
          <cell r="F79">
            <v>0</v>
          </cell>
          <cell r="H79">
            <v>0</v>
          </cell>
        </row>
        <row r="80">
          <cell r="A80" t="str">
            <v>US59P015643921200037</v>
          </cell>
          <cell r="C80">
            <v>3921200037</v>
          </cell>
          <cell r="D80" t="str">
            <v>EXHAUSTIVE EQUIPMENT</v>
          </cell>
          <cell r="E80" t="e">
            <v>#DIV/0!</v>
          </cell>
          <cell r="F80">
            <v>0</v>
          </cell>
          <cell r="H80">
            <v>0</v>
          </cell>
        </row>
        <row r="86">
          <cell r="A86" t="str">
            <v>US59P015603111100000</v>
          </cell>
          <cell r="C86">
            <v>3111100000</v>
          </cell>
          <cell r="D86" t="str">
            <v>WAGES,SALARIES,ALLOWANCES AND COMMI/PERM</v>
          </cell>
          <cell r="E86">
            <v>0</v>
          </cell>
          <cell r="H86">
            <v>0</v>
          </cell>
        </row>
        <row r="87">
          <cell r="A87" t="str">
            <v>US59P015603111100012</v>
          </cell>
          <cell r="C87">
            <v>3111100012</v>
          </cell>
          <cell r="D87" t="str">
            <v>OVERTIME HOURS /PERMANENTS</v>
          </cell>
          <cell r="E87">
            <v>0</v>
          </cell>
          <cell r="H87">
            <v>0</v>
          </cell>
        </row>
        <row r="88">
          <cell r="A88" t="str">
            <v>US59P015603111100900</v>
          </cell>
          <cell r="C88">
            <v>3111100900</v>
          </cell>
          <cell r="D88" t="str">
            <v>WAGES &amp; SALARIES / SEASONALS</v>
          </cell>
          <cell r="E88">
            <v>0</v>
          </cell>
          <cell r="H88">
            <v>0</v>
          </cell>
        </row>
        <row r="89">
          <cell r="A89" t="str">
            <v>US59P015603121300013</v>
          </cell>
          <cell r="C89">
            <v>3121300013</v>
          </cell>
          <cell r="D89" t="str">
            <v>FRINGE BENEFITS</v>
          </cell>
          <cell r="E89" t="e">
            <v>#DIV/0!</v>
          </cell>
          <cell r="H89">
            <v>0</v>
          </cell>
        </row>
        <row r="90">
          <cell r="A90" t="str">
            <v>US59P015609420000025</v>
          </cell>
          <cell r="C90">
            <v>9420000025</v>
          </cell>
          <cell r="D90" t="str">
            <v>EMPLOYEE BENEFIT ALLOCATION</v>
          </cell>
        </row>
        <row r="91">
          <cell r="D91" t="str">
            <v>TOTAL FRINGE &amp; EMPLOYEE BENEFIT ALLOCATION</v>
          </cell>
          <cell r="E91" t="e">
            <v>#DIV/0!</v>
          </cell>
          <cell r="H91">
            <v>0</v>
          </cell>
        </row>
        <row r="92">
          <cell r="D92" t="str">
            <v>Total Labor</v>
          </cell>
          <cell r="E92" t="e">
            <v>#DIV/0!</v>
          </cell>
          <cell r="H92">
            <v>0</v>
          </cell>
        </row>
        <row r="93">
          <cell r="A93" t="str">
            <v>US59P015603201300001</v>
          </cell>
          <cell r="C93">
            <v>3201300001</v>
          </cell>
          <cell r="D93" t="str">
            <v>HIRED PERSONNEL FROM 3RD PARTIES</v>
          </cell>
          <cell r="E93">
            <v>0</v>
          </cell>
          <cell r="H93">
            <v>0</v>
          </cell>
        </row>
        <row r="94">
          <cell r="A94" t="str">
            <v>US59P015603201400029</v>
          </cell>
          <cell r="C94">
            <v>3201400029</v>
          </cell>
          <cell r="D94" t="str">
            <v>OTH OUTSIDE SERVICES OTHER</v>
          </cell>
          <cell r="E94">
            <v>0</v>
          </cell>
          <cell r="H94">
            <v>0</v>
          </cell>
        </row>
        <row r="95">
          <cell r="A95" t="str">
            <v>US59P015603201400036</v>
          </cell>
          <cell r="C95">
            <v>3201400036</v>
          </cell>
          <cell r="D95" t="str">
            <v>OTHER MAINTENANCE BUILDINGS</v>
          </cell>
          <cell r="E95">
            <v>0</v>
          </cell>
          <cell r="H95">
            <v>0</v>
          </cell>
        </row>
        <row r="96">
          <cell r="A96" t="str">
            <v>US59P015603201400051</v>
          </cell>
          <cell r="C96">
            <v>3201400051</v>
          </cell>
          <cell r="D96" t="str">
            <v>MAINTENANCE EQUIPMENT</v>
          </cell>
          <cell r="E96">
            <v>0</v>
          </cell>
          <cell r="H96">
            <v>0</v>
          </cell>
        </row>
        <row r="97">
          <cell r="A97" t="str">
            <v>US59P015603311400099</v>
          </cell>
          <cell r="C97">
            <v>3311400099</v>
          </cell>
          <cell r="D97" t="str">
            <v>CO DEPRECIATION</v>
          </cell>
          <cell r="E97" t="e">
            <v>#DIV/0!</v>
          </cell>
          <cell r="H97">
            <v>319968</v>
          </cell>
        </row>
        <row r="98">
          <cell r="A98" t="str">
            <v>US59P015603921200001</v>
          </cell>
          <cell r="C98">
            <v>3921200001</v>
          </cell>
          <cell r="D98" t="str">
            <v>FUEL</v>
          </cell>
          <cell r="E98">
            <v>0</v>
          </cell>
          <cell r="H98">
            <v>0</v>
          </cell>
        </row>
        <row r="99">
          <cell r="A99" t="str">
            <v>US59P015603921200006</v>
          </cell>
          <cell r="C99">
            <v>3921200006</v>
          </cell>
          <cell r="D99" t="str">
            <v>FACTORY SUPPLIES MAINTENANCE SUPPLIES</v>
          </cell>
          <cell r="E99">
            <v>0</v>
          </cell>
          <cell r="H99">
            <v>0</v>
          </cell>
        </row>
        <row r="100">
          <cell r="A100" t="str">
            <v>US59P015603921200037</v>
          </cell>
          <cell r="C100">
            <v>3921200037</v>
          </cell>
          <cell r="D100" t="str">
            <v>EXHAUSTIVE EQUIPMENT</v>
          </cell>
          <cell r="E100">
            <v>0</v>
          </cell>
          <cell r="H100">
            <v>0</v>
          </cell>
        </row>
        <row r="101">
          <cell r="A101" t="str">
            <v>US59P015603921200100</v>
          </cell>
          <cell r="C101">
            <v>3921200100</v>
          </cell>
          <cell r="D101" t="str">
            <v>FIELD &amp; PRODUCTION SUPPLIES</v>
          </cell>
          <cell r="E101">
            <v>0</v>
          </cell>
          <cell r="H101">
            <v>0</v>
          </cell>
        </row>
        <row r="102">
          <cell r="A102" t="str">
            <v>US59P015603951100005</v>
          </cell>
          <cell r="C102">
            <v>3951100005</v>
          </cell>
          <cell r="D102" t="str">
            <v>OTHER RENTALS</v>
          </cell>
          <cell r="E102">
            <v>0</v>
          </cell>
          <cell r="H102">
            <v>0</v>
          </cell>
        </row>
      </sheetData>
      <sheetData sheetId="5" refreshError="1"/>
      <sheetData sheetId="6" refreshError="1"/>
      <sheetData sheetId="7" refreshError="1"/>
      <sheetData sheetId="8" refreshError="1"/>
      <sheetData sheetId="9">
        <row r="3">
          <cell r="A3" t="str">
            <v>CC/Cost Element</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US59P015503111100000</v>
          </cell>
          <cell r="B4" t="str">
            <v>Pekin</v>
          </cell>
          <cell r="C4" t="str">
            <v>Jan-Dec</v>
          </cell>
          <cell r="D4" t="str">
            <v>US59P01550</v>
          </cell>
          <cell r="E4" t="str">
            <v>550</v>
          </cell>
          <cell r="F4" t="str">
            <v>Field Production</v>
          </cell>
          <cell r="G4" t="str">
            <v>01</v>
          </cell>
          <cell r="H4">
            <v>3111100000</v>
          </cell>
          <cell r="I4" t="str">
            <v>WAGES,SALARIES,ALLOWANCES AND COMMI/PERM</v>
          </cell>
          <cell r="J4" t="str">
            <v>VALID</v>
          </cell>
          <cell r="K4">
            <v>0</v>
          </cell>
          <cell r="L4">
            <v>0</v>
          </cell>
          <cell r="M4">
            <v>0</v>
          </cell>
          <cell r="N4">
            <v>0</v>
          </cell>
          <cell r="O4">
            <v>0</v>
          </cell>
          <cell r="P4">
            <v>0</v>
          </cell>
          <cell r="Q4">
            <v>0</v>
          </cell>
          <cell r="R4">
            <v>0</v>
          </cell>
          <cell r="S4">
            <v>3242</v>
          </cell>
          <cell r="T4">
            <v>6398</v>
          </cell>
          <cell r="U4">
            <v>4908</v>
          </cell>
          <cell r="V4">
            <v>5141</v>
          </cell>
          <cell r="W4">
            <v>1212</v>
          </cell>
          <cell r="X4">
            <v>0</v>
          </cell>
          <cell r="Y4">
            <v>0</v>
          </cell>
          <cell r="Z4">
            <v>0</v>
          </cell>
          <cell r="AA4">
            <v>11929</v>
          </cell>
          <cell r="AB4">
            <v>8275</v>
          </cell>
          <cell r="AC4">
            <v>17584</v>
          </cell>
          <cell r="AD4">
            <v>26054</v>
          </cell>
          <cell r="AE4">
            <v>7499</v>
          </cell>
          <cell r="AF4">
            <v>2822</v>
          </cell>
          <cell r="AG4">
            <v>2650</v>
          </cell>
          <cell r="AH4">
            <v>2577</v>
          </cell>
          <cell r="AI4">
            <v>1387</v>
          </cell>
          <cell r="AJ4">
            <v>-454</v>
          </cell>
          <cell r="AK4">
            <v>1589</v>
          </cell>
          <cell r="AL4">
            <v>4372</v>
          </cell>
          <cell r="AM4">
            <v>8685</v>
          </cell>
          <cell r="AN4">
            <v>9590</v>
          </cell>
          <cell r="AO4">
            <v>-1240</v>
          </cell>
          <cell r="AP4">
            <v>-548</v>
          </cell>
          <cell r="AQ4">
            <v>238</v>
          </cell>
          <cell r="AR4">
            <v>-619</v>
          </cell>
          <cell r="AS4">
            <v>78</v>
          </cell>
          <cell r="AT4">
            <v>78</v>
          </cell>
          <cell r="AU4">
            <v>171</v>
          </cell>
          <cell r="AV4">
            <v>229</v>
          </cell>
          <cell r="AW4">
            <v>0</v>
          </cell>
          <cell r="AX4">
            <v>3908</v>
          </cell>
          <cell r="AY4">
            <v>4000</v>
          </cell>
          <cell r="AZ4">
            <v>4000</v>
          </cell>
          <cell r="BJ4">
            <v>4000</v>
          </cell>
          <cell r="BK4">
            <v>4000</v>
          </cell>
          <cell r="BL4">
            <v>4000</v>
          </cell>
          <cell r="BS4">
            <v>19689</v>
          </cell>
          <cell r="BT4">
            <v>80602</v>
          </cell>
          <cell r="BU4">
            <v>23156</v>
          </cell>
          <cell r="BV4">
            <v>12308</v>
          </cell>
          <cell r="BW4">
            <v>12000</v>
          </cell>
          <cell r="BX4">
            <v>19689</v>
          </cell>
          <cell r="BY4">
            <v>80602</v>
          </cell>
          <cell r="BZ4">
            <v>23156</v>
          </cell>
          <cell r="CA4">
            <v>4308</v>
          </cell>
          <cell r="CB4">
            <v>8000</v>
          </cell>
        </row>
        <row r="5">
          <cell r="A5" t="str">
            <v>US59P015503111100012</v>
          </cell>
          <cell r="B5" t="str">
            <v>Pekin</v>
          </cell>
          <cell r="C5" t="str">
            <v>Jan-Dec</v>
          </cell>
          <cell r="D5" t="str">
            <v>US59P01550</v>
          </cell>
          <cell r="E5" t="str">
            <v>550</v>
          </cell>
          <cell r="F5" t="str">
            <v>Field Production</v>
          </cell>
          <cell r="G5" t="str">
            <v>01</v>
          </cell>
          <cell r="H5">
            <v>3111100012</v>
          </cell>
          <cell r="I5" t="str">
            <v>OVERTIME HOURS /PERMANENTS</v>
          </cell>
          <cell r="J5" t="str">
            <v>VALID</v>
          </cell>
          <cell r="K5">
            <v>0</v>
          </cell>
          <cell r="L5">
            <v>0</v>
          </cell>
          <cell r="M5">
            <v>0</v>
          </cell>
          <cell r="N5">
            <v>0</v>
          </cell>
          <cell r="O5">
            <v>0</v>
          </cell>
          <cell r="P5">
            <v>0</v>
          </cell>
          <cell r="Q5">
            <v>0</v>
          </cell>
          <cell r="R5">
            <v>0</v>
          </cell>
          <cell r="S5">
            <v>2170</v>
          </cell>
          <cell r="T5">
            <v>8189</v>
          </cell>
          <cell r="U5">
            <v>-1893</v>
          </cell>
          <cell r="V5">
            <v>1586</v>
          </cell>
          <cell r="W5">
            <v>27</v>
          </cell>
          <cell r="X5">
            <v>0</v>
          </cell>
          <cell r="Y5">
            <v>0</v>
          </cell>
          <cell r="Z5">
            <v>0</v>
          </cell>
          <cell r="AA5">
            <v>2536</v>
          </cell>
          <cell r="AB5">
            <v>4122</v>
          </cell>
          <cell r="AC5">
            <v>10212</v>
          </cell>
          <cell r="AD5">
            <v>13351</v>
          </cell>
          <cell r="AE5">
            <v>1822</v>
          </cell>
          <cell r="AF5">
            <v>4753</v>
          </cell>
          <cell r="AG5">
            <v>-798</v>
          </cell>
          <cell r="AH5">
            <v>0</v>
          </cell>
          <cell r="AI5">
            <v>0</v>
          </cell>
          <cell r="AJ5">
            <v>0</v>
          </cell>
          <cell r="AK5">
            <v>753</v>
          </cell>
          <cell r="AL5">
            <v>734</v>
          </cell>
          <cell r="AM5">
            <v>3398</v>
          </cell>
          <cell r="AN5">
            <v>525</v>
          </cell>
          <cell r="AO5">
            <v>0</v>
          </cell>
          <cell r="AP5">
            <v>0</v>
          </cell>
          <cell r="AQ5">
            <v>0</v>
          </cell>
          <cell r="AR5">
            <v>0</v>
          </cell>
          <cell r="AS5">
            <v>0</v>
          </cell>
          <cell r="AT5">
            <v>0</v>
          </cell>
          <cell r="AU5">
            <v>0</v>
          </cell>
          <cell r="AV5">
            <v>0</v>
          </cell>
          <cell r="AW5">
            <v>0</v>
          </cell>
          <cell r="AX5">
            <v>24</v>
          </cell>
          <cell r="AY5">
            <v>350</v>
          </cell>
          <cell r="AZ5">
            <v>350</v>
          </cell>
          <cell r="BJ5">
            <v>500</v>
          </cell>
          <cell r="BK5">
            <v>500</v>
          </cell>
          <cell r="BL5">
            <v>500</v>
          </cell>
          <cell r="BS5">
            <v>10052</v>
          </cell>
          <cell r="BT5">
            <v>36025</v>
          </cell>
          <cell r="BU5">
            <v>5410</v>
          </cell>
          <cell r="BV5">
            <v>724</v>
          </cell>
          <cell r="BW5">
            <v>1500</v>
          </cell>
          <cell r="BX5">
            <v>10052</v>
          </cell>
          <cell r="BY5">
            <v>36025</v>
          </cell>
          <cell r="BZ5">
            <v>5410</v>
          </cell>
          <cell r="CA5">
            <v>24</v>
          </cell>
          <cell r="CB5">
            <v>700</v>
          </cell>
        </row>
        <row r="6">
          <cell r="A6" t="str">
            <v>US59P015503111100900</v>
          </cell>
          <cell r="B6" t="str">
            <v>Pekin</v>
          </cell>
          <cell r="C6" t="str">
            <v>Jan-Dec</v>
          </cell>
          <cell r="D6" t="str">
            <v>US59P01550</v>
          </cell>
          <cell r="E6" t="str">
            <v>550</v>
          </cell>
          <cell r="F6" t="str">
            <v>Field Production</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BS6">
            <v>0</v>
          </cell>
          <cell r="BT6">
            <v>0</v>
          </cell>
          <cell r="BU6">
            <v>0</v>
          </cell>
          <cell r="BV6">
            <v>0</v>
          </cell>
          <cell r="BW6">
            <v>0</v>
          </cell>
          <cell r="BX6">
            <v>0</v>
          </cell>
          <cell r="BY6">
            <v>0</v>
          </cell>
          <cell r="BZ6">
            <v>0</v>
          </cell>
          <cell r="CA6">
            <v>0</v>
          </cell>
          <cell r="CB6">
            <v>0</v>
          </cell>
        </row>
        <row r="7">
          <cell r="A7" t="str">
            <v>US59P015503121300013</v>
          </cell>
          <cell r="B7" t="str">
            <v>Pekin</v>
          </cell>
          <cell r="C7" t="str">
            <v>Jan-Dec</v>
          </cell>
          <cell r="D7" t="str">
            <v>US59P01550</v>
          </cell>
          <cell r="E7" t="str">
            <v>550</v>
          </cell>
          <cell r="F7" t="str">
            <v>Field Production</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516</v>
          </cell>
          <cell r="AJ7">
            <v>-169</v>
          </cell>
          <cell r="AK7">
            <v>871</v>
          </cell>
          <cell r="AL7">
            <v>1900</v>
          </cell>
          <cell r="AM7">
            <v>4495</v>
          </cell>
          <cell r="AN7">
            <v>3231</v>
          </cell>
          <cell r="AO7">
            <v>70</v>
          </cell>
          <cell r="AP7">
            <v>-204</v>
          </cell>
          <cell r="AQ7">
            <v>89</v>
          </cell>
          <cell r="AR7">
            <v>-230</v>
          </cell>
          <cell r="AS7">
            <v>29</v>
          </cell>
          <cell r="AT7">
            <v>29</v>
          </cell>
          <cell r="AU7">
            <v>63</v>
          </cell>
          <cell r="AV7">
            <v>84</v>
          </cell>
          <cell r="AW7">
            <v>0</v>
          </cell>
          <cell r="AX7">
            <v>1439</v>
          </cell>
          <cell r="AY7">
            <v>1592.1</v>
          </cell>
          <cell r="AZ7">
            <v>1592.1</v>
          </cell>
          <cell r="BA7">
            <v>0</v>
          </cell>
          <cell r="BB7">
            <v>0</v>
          </cell>
          <cell r="BC7">
            <v>0</v>
          </cell>
          <cell r="BD7">
            <v>0</v>
          </cell>
          <cell r="BE7">
            <v>0</v>
          </cell>
          <cell r="BF7">
            <v>0</v>
          </cell>
          <cell r="BG7">
            <v>0</v>
          </cell>
          <cell r="BH7">
            <v>0</v>
          </cell>
          <cell r="BI7">
            <v>0</v>
          </cell>
          <cell r="BJ7">
            <v>1647</v>
          </cell>
          <cell r="BK7">
            <v>1647</v>
          </cell>
          <cell r="BL7">
            <v>1647</v>
          </cell>
          <cell r="BM7">
            <v>0</v>
          </cell>
          <cell r="BN7">
            <v>0</v>
          </cell>
          <cell r="BO7">
            <v>0</v>
          </cell>
          <cell r="BP7">
            <v>0</v>
          </cell>
          <cell r="BQ7">
            <v>0</v>
          </cell>
          <cell r="BR7">
            <v>0</v>
          </cell>
          <cell r="BS7">
            <v>0</v>
          </cell>
          <cell r="BT7">
            <v>0</v>
          </cell>
          <cell r="BU7">
            <v>10627</v>
          </cell>
          <cell r="BV7">
            <v>4770.2</v>
          </cell>
          <cell r="BW7">
            <v>4941</v>
          </cell>
          <cell r="BX7">
            <v>0</v>
          </cell>
          <cell r="BY7">
            <v>0</v>
          </cell>
          <cell r="BZ7">
            <v>10627</v>
          </cell>
          <cell r="CA7">
            <v>1586</v>
          </cell>
          <cell r="CB7">
            <v>3184.2</v>
          </cell>
        </row>
        <row r="8">
          <cell r="A8" t="str">
            <v>US59P015503201300001</v>
          </cell>
          <cell r="B8" t="str">
            <v>Pekin</v>
          </cell>
          <cell r="C8" t="str">
            <v>Jan-Dec</v>
          </cell>
          <cell r="D8" t="str">
            <v>US59P01550</v>
          </cell>
          <cell r="E8" t="str">
            <v>550</v>
          </cell>
          <cell r="F8" t="str">
            <v>Field Production</v>
          </cell>
          <cell r="G8" t="str">
            <v>01</v>
          </cell>
          <cell r="H8">
            <v>3201300001</v>
          </cell>
          <cell r="I8" t="str">
            <v>HIRED PERSONNEL FROM 3RD PARTIES</v>
          </cell>
          <cell r="J8" t="str">
            <v>VALID</v>
          </cell>
          <cell r="K8">
            <v>-20509</v>
          </cell>
          <cell r="L8">
            <v>3420</v>
          </cell>
          <cell r="M8">
            <v>2756</v>
          </cell>
          <cell r="N8">
            <v>1733</v>
          </cell>
          <cell r="O8">
            <v>574</v>
          </cell>
          <cell r="P8">
            <v>574</v>
          </cell>
          <cell r="Q8">
            <v>17625</v>
          </cell>
          <cell r="R8">
            <v>28408</v>
          </cell>
          <cell r="S8">
            <v>20638</v>
          </cell>
          <cell r="T8">
            <v>11483</v>
          </cell>
          <cell r="U8">
            <v>75</v>
          </cell>
          <cell r="V8">
            <v>1274</v>
          </cell>
          <cell r="W8">
            <v>1719</v>
          </cell>
          <cell r="X8">
            <v>9782</v>
          </cell>
          <cell r="Y8">
            <v>1602</v>
          </cell>
          <cell r="Z8">
            <v>1898</v>
          </cell>
          <cell r="AA8">
            <v>604</v>
          </cell>
          <cell r="AB8">
            <v>8608</v>
          </cell>
          <cell r="AC8">
            <v>14304</v>
          </cell>
          <cell r="AD8">
            <v>19607</v>
          </cell>
          <cell r="AE8">
            <v>10771</v>
          </cell>
          <cell r="AF8">
            <v>7325</v>
          </cell>
          <cell r="AG8">
            <v>904</v>
          </cell>
          <cell r="AH8">
            <v>3159</v>
          </cell>
          <cell r="AI8">
            <v>0</v>
          </cell>
          <cell r="AJ8">
            <v>0</v>
          </cell>
          <cell r="AK8">
            <v>-1103</v>
          </cell>
          <cell r="AL8">
            <v>0</v>
          </cell>
          <cell r="AM8">
            <v>0</v>
          </cell>
          <cell r="AN8">
            <v>6465</v>
          </cell>
          <cell r="AO8">
            <v>5494</v>
          </cell>
          <cell r="AP8">
            <v>11268</v>
          </cell>
          <cell r="AQ8">
            <v>2048</v>
          </cell>
          <cell r="AR8">
            <v>6117</v>
          </cell>
          <cell r="AS8">
            <v>609</v>
          </cell>
          <cell r="AT8">
            <v>0</v>
          </cell>
          <cell r="AU8">
            <v>0</v>
          </cell>
          <cell r="AV8">
            <v>0</v>
          </cell>
          <cell r="AW8">
            <v>0</v>
          </cell>
          <cell r="AX8">
            <v>0</v>
          </cell>
          <cell r="AZ8">
            <v>3000</v>
          </cell>
          <cell r="BA8">
            <v>6500</v>
          </cell>
          <cell r="BB8">
            <v>6500</v>
          </cell>
          <cell r="BC8">
            <v>6500</v>
          </cell>
          <cell r="BD8">
            <v>6500</v>
          </cell>
          <cell r="BL8">
            <v>6500</v>
          </cell>
          <cell r="BM8">
            <v>6500</v>
          </cell>
          <cell r="BN8">
            <v>6500</v>
          </cell>
          <cell r="BO8">
            <v>6500</v>
          </cell>
          <cell r="BP8">
            <v>6500</v>
          </cell>
          <cell r="BS8">
            <v>68051</v>
          </cell>
          <cell r="BT8">
            <v>80283</v>
          </cell>
          <cell r="BU8">
            <v>30898</v>
          </cell>
          <cell r="BV8">
            <v>29000</v>
          </cell>
          <cell r="BW8">
            <v>32500</v>
          </cell>
          <cell r="BX8">
            <v>68051</v>
          </cell>
          <cell r="BY8">
            <v>80283</v>
          </cell>
          <cell r="BZ8">
            <v>30898</v>
          </cell>
          <cell r="CA8">
            <v>0</v>
          </cell>
          <cell r="CB8">
            <v>29000</v>
          </cell>
        </row>
        <row r="9">
          <cell r="A9" t="str">
            <v>US59P015503201300012</v>
          </cell>
          <cell r="B9" t="str">
            <v>Pekin</v>
          </cell>
          <cell r="C9" t="str">
            <v>Jan-Dec</v>
          </cell>
          <cell r="D9" t="str">
            <v>US59P01550</v>
          </cell>
          <cell r="E9" t="str">
            <v>550</v>
          </cell>
          <cell r="F9" t="str">
            <v>Field Production</v>
          </cell>
          <cell r="G9" t="str">
            <v>01</v>
          </cell>
          <cell r="H9">
            <v>3201300012</v>
          </cell>
          <cell r="I9" t="str">
            <v>HIRED PERSONNEL THIRD PARTY - ROUGING</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94609</v>
          </cell>
          <cell r="AD9">
            <v>0</v>
          </cell>
          <cell r="AE9">
            <v>0</v>
          </cell>
          <cell r="AF9">
            <v>0</v>
          </cell>
          <cell r="AG9">
            <v>0</v>
          </cell>
          <cell r="AH9">
            <v>0</v>
          </cell>
          <cell r="AI9">
            <v>0</v>
          </cell>
          <cell r="AJ9">
            <v>0</v>
          </cell>
          <cell r="AK9">
            <v>0</v>
          </cell>
          <cell r="AL9">
            <v>0</v>
          </cell>
          <cell r="AM9">
            <v>0</v>
          </cell>
          <cell r="AN9">
            <v>0</v>
          </cell>
          <cell r="AO9">
            <v>56140</v>
          </cell>
          <cell r="AP9">
            <v>825</v>
          </cell>
          <cell r="AQ9">
            <v>0</v>
          </cell>
          <cell r="AR9">
            <v>0</v>
          </cell>
          <cell r="AS9">
            <v>0</v>
          </cell>
          <cell r="AT9">
            <v>0</v>
          </cell>
          <cell r="AU9">
            <v>0</v>
          </cell>
          <cell r="AV9">
            <v>0</v>
          </cell>
          <cell r="AW9">
            <v>0</v>
          </cell>
          <cell r="AX9">
            <v>0</v>
          </cell>
          <cell r="BA9">
            <v>45000</v>
          </cell>
          <cell r="BM9">
            <v>45000</v>
          </cell>
          <cell r="BS9">
            <v>0</v>
          </cell>
          <cell r="BT9">
            <v>94609</v>
          </cell>
          <cell r="BU9">
            <v>56965</v>
          </cell>
          <cell r="BV9">
            <v>45000</v>
          </cell>
          <cell r="BW9">
            <v>45000</v>
          </cell>
          <cell r="BX9">
            <v>0</v>
          </cell>
          <cell r="BY9">
            <v>94609</v>
          </cell>
          <cell r="BZ9">
            <v>56965</v>
          </cell>
          <cell r="CA9">
            <v>0</v>
          </cell>
          <cell r="CB9">
            <v>45000</v>
          </cell>
        </row>
        <row r="10">
          <cell r="A10" t="str">
            <v>US59P015503201400029</v>
          </cell>
          <cell r="B10" t="str">
            <v>Pekin</v>
          </cell>
          <cell r="C10" t="str">
            <v>Jan-Dec</v>
          </cell>
          <cell r="D10" t="str">
            <v>US59P01550</v>
          </cell>
          <cell r="E10" t="str">
            <v>550</v>
          </cell>
          <cell r="F10" t="str">
            <v>Field Production</v>
          </cell>
          <cell r="G10" t="str">
            <v>01</v>
          </cell>
          <cell r="H10">
            <v>3201400029</v>
          </cell>
          <cell r="I10" t="str">
            <v>OTH OUTSIDE SERVICES OTHER</v>
          </cell>
          <cell r="J10" t="str">
            <v>VALID</v>
          </cell>
          <cell r="K10">
            <v>0</v>
          </cell>
          <cell r="L10">
            <v>0</v>
          </cell>
          <cell r="M10">
            <v>0</v>
          </cell>
          <cell r="N10">
            <v>0</v>
          </cell>
          <cell r="O10">
            <v>0</v>
          </cell>
          <cell r="P10">
            <v>0</v>
          </cell>
          <cell r="Q10">
            <v>0</v>
          </cell>
          <cell r="R10">
            <v>0</v>
          </cell>
          <cell r="S10">
            <v>487</v>
          </cell>
          <cell r="T10">
            <v>0</v>
          </cell>
          <cell r="U10">
            <v>0</v>
          </cell>
          <cell r="V10">
            <v>39</v>
          </cell>
          <cell r="W10">
            <v>-138</v>
          </cell>
          <cell r="X10">
            <v>0</v>
          </cell>
          <cell r="Y10">
            <v>0</v>
          </cell>
          <cell r="Z10">
            <v>0</v>
          </cell>
          <cell r="AA10">
            <v>270</v>
          </cell>
          <cell r="AB10">
            <v>373</v>
          </cell>
          <cell r="AC10">
            <v>29</v>
          </cell>
          <cell r="AD10">
            <v>0</v>
          </cell>
          <cell r="AE10">
            <v>1400</v>
          </cell>
          <cell r="AF10">
            <v>100</v>
          </cell>
          <cell r="AG10">
            <v>2400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93075</v>
          </cell>
          <cell r="AV10">
            <v>0</v>
          </cell>
          <cell r="AW10">
            <v>0</v>
          </cell>
          <cell r="AX10">
            <v>0</v>
          </cell>
          <cell r="BD10">
            <v>69000</v>
          </cell>
          <cell r="BG10">
            <v>69000</v>
          </cell>
          <cell r="BS10">
            <v>526</v>
          </cell>
          <cell r="BT10">
            <v>4434</v>
          </cell>
          <cell r="BU10">
            <v>0</v>
          </cell>
          <cell r="BV10">
            <v>162075</v>
          </cell>
          <cell r="BW10">
            <v>69000</v>
          </cell>
          <cell r="BX10">
            <v>526</v>
          </cell>
          <cell r="BY10">
            <v>4434</v>
          </cell>
          <cell r="BZ10">
            <v>0</v>
          </cell>
          <cell r="CA10">
            <v>93075</v>
          </cell>
          <cell r="CB10">
            <v>69000</v>
          </cell>
        </row>
        <row r="11">
          <cell r="A11" t="str">
            <v>US59P015503201400051</v>
          </cell>
          <cell r="B11" t="str">
            <v>Pekin</v>
          </cell>
          <cell r="C11" t="str">
            <v>Jan-Dec</v>
          </cell>
          <cell r="D11" t="str">
            <v>US59P01550</v>
          </cell>
          <cell r="E11" t="str">
            <v>550</v>
          </cell>
          <cell r="F11" t="str">
            <v>Field Production</v>
          </cell>
          <cell r="G11" t="str">
            <v>01</v>
          </cell>
          <cell r="H11">
            <v>3201400051</v>
          </cell>
          <cell r="I11" t="str">
            <v>MAINTENANCE EQUIPMENT</v>
          </cell>
          <cell r="J11" t="str">
            <v>VALID</v>
          </cell>
          <cell r="K11">
            <v>0</v>
          </cell>
          <cell r="L11">
            <v>0</v>
          </cell>
          <cell r="M11">
            <v>0</v>
          </cell>
          <cell r="N11">
            <v>0</v>
          </cell>
          <cell r="O11">
            <v>0</v>
          </cell>
          <cell r="P11">
            <v>72</v>
          </cell>
          <cell r="Q11">
            <v>0</v>
          </cell>
          <cell r="R11">
            <v>0</v>
          </cell>
          <cell r="S11">
            <v>0</v>
          </cell>
          <cell r="T11">
            <v>3018</v>
          </cell>
          <cell r="U11">
            <v>0</v>
          </cell>
          <cell r="V11">
            <v>0</v>
          </cell>
          <cell r="W11">
            <v>323</v>
          </cell>
          <cell r="X11">
            <v>75</v>
          </cell>
          <cell r="Y11">
            <v>0</v>
          </cell>
          <cell r="Z11">
            <v>264</v>
          </cell>
          <cell r="AA11">
            <v>323</v>
          </cell>
          <cell r="AB11">
            <v>41</v>
          </cell>
          <cell r="AC11">
            <v>0</v>
          </cell>
          <cell r="AD11">
            <v>3324</v>
          </cell>
          <cell r="AE11">
            <v>2850</v>
          </cell>
          <cell r="AF11">
            <v>0</v>
          </cell>
          <cell r="AG11">
            <v>1339</v>
          </cell>
          <cell r="AH11">
            <v>0</v>
          </cell>
          <cell r="AI11">
            <v>0</v>
          </cell>
          <cell r="AJ11">
            <v>0</v>
          </cell>
          <cell r="AK11">
            <v>270</v>
          </cell>
          <cell r="AL11">
            <v>480</v>
          </cell>
          <cell r="AM11">
            <v>0</v>
          </cell>
          <cell r="AN11">
            <v>193</v>
          </cell>
          <cell r="AO11">
            <v>0</v>
          </cell>
          <cell r="AP11">
            <v>4388</v>
          </cell>
          <cell r="AQ11">
            <v>0</v>
          </cell>
          <cell r="AR11">
            <v>1580</v>
          </cell>
          <cell r="AS11">
            <v>0</v>
          </cell>
          <cell r="AT11">
            <v>0</v>
          </cell>
          <cell r="AU11">
            <v>0</v>
          </cell>
          <cell r="AV11">
            <v>0</v>
          </cell>
          <cell r="AW11">
            <v>0</v>
          </cell>
          <cell r="AX11">
            <v>0</v>
          </cell>
          <cell r="BC11">
            <v>1000</v>
          </cell>
          <cell r="BD11">
            <v>1000</v>
          </cell>
          <cell r="BH11">
            <v>1000</v>
          </cell>
          <cell r="BI11">
            <v>1000</v>
          </cell>
          <cell r="BJ11">
            <v>1000</v>
          </cell>
          <cell r="BO11">
            <v>1000</v>
          </cell>
          <cell r="BP11">
            <v>1000</v>
          </cell>
          <cell r="BS11">
            <v>3090</v>
          </cell>
          <cell r="BT11">
            <v>8539</v>
          </cell>
          <cell r="BU11">
            <v>6911</v>
          </cell>
          <cell r="BV11">
            <v>2000</v>
          </cell>
          <cell r="BW11">
            <v>5000</v>
          </cell>
          <cell r="BX11">
            <v>3090</v>
          </cell>
          <cell r="BY11">
            <v>8539</v>
          </cell>
          <cell r="BZ11">
            <v>6911</v>
          </cell>
          <cell r="CA11">
            <v>0</v>
          </cell>
          <cell r="CB11">
            <v>2000</v>
          </cell>
        </row>
        <row r="12">
          <cell r="A12" t="str">
            <v>US59P015503201400054</v>
          </cell>
          <cell r="B12" t="str">
            <v>Pekin</v>
          </cell>
          <cell r="C12" t="str">
            <v>Jan-Dec</v>
          </cell>
          <cell r="D12" t="str">
            <v>US59P01550</v>
          </cell>
          <cell r="E12" t="str">
            <v>550</v>
          </cell>
          <cell r="F12" t="str">
            <v>Field Production</v>
          </cell>
          <cell r="G12" t="str">
            <v>01</v>
          </cell>
          <cell r="H12">
            <v>3201400054</v>
          </cell>
          <cell r="I12" t="str">
            <v>TECHNICAL SERVICES</v>
          </cell>
          <cell r="J12" t="str">
            <v>VALID</v>
          </cell>
          <cell r="K12">
            <v>0</v>
          </cell>
          <cell r="L12">
            <v>0</v>
          </cell>
          <cell r="M12">
            <v>0</v>
          </cell>
          <cell r="N12">
            <v>0</v>
          </cell>
          <cell r="O12">
            <v>0</v>
          </cell>
          <cell r="P12">
            <v>0</v>
          </cell>
          <cell r="Q12">
            <v>0</v>
          </cell>
          <cell r="R12">
            <v>0</v>
          </cell>
          <cell r="S12">
            <v>0</v>
          </cell>
          <cell r="T12">
            <v>0</v>
          </cell>
          <cell r="U12">
            <v>0</v>
          </cell>
          <cell r="V12">
            <v>13</v>
          </cell>
          <cell r="W12">
            <v>0</v>
          </cell>
          <cell r="X12">
            <v>0</v>
          </cell>
          <cell r="Y12">
            <v>0</v>
          </cell>
          <cell r="Z12">
            <v>0</v>
          </cell>
          <cell r="AA12">
            <v>19164</v>
          </cell>
          <cell r="AB12">
            <v>582</v>
          </cell>
          <cell r="AC12">
            <v>0</v>
          </cell>
          <cell r="AD12">
            <v>0</v>
          </cell>
          <cell r="AE12">
            <v>0</v>
          </cell>
          <cell r="AF12">
            <v>16</v>
          </cell>
          <cell r="AG12">
            <v>0</v>
          </cell>
          <cell r="AH12">
            <v>126</v>
          </cell>
          <cell r="AI12">
            <v>0</v>
          </cell>
          <cell r="AJ12">
            <v>0</v>
          </cell>
          <cell r="AK12">
            <v>0</v>
          </cell>
          <cell r="AL12">
            <v>0</v>
          </cell>
          <cell r="AM12">
            <v>38275</v>
          </cell>
          <cell r="AN12">
            <v>0</v>
          </cell>
          <cell r="AO12">
            <v>0</v>
          </cell>
          <cell r="AP12">
            <v>0</v>
          </cell>
          <cell r="AQ12">
            <v>8353</v>
          </cell>
          <cell r="AR12">
            <v>0</v>
          </cell>
          <cell r="AS12">
            <v>0</v>
          </cell>
          <cell r="AT12">
            <v>0</v>
          </cell>
          <cell r="AU12">
            <v>0</v>
          </cell>
          <cell r="AV12">
            <v>0</v>
          </cell>
          <cell r="AW12">
            <v>0</v>
          </cell>
          <cell r="AX12">
            <v>0</v>
          </cell>
          <cell r="AZ12">
            <v>26000</v>
          </cell>
          <cell r="BA12">
            <v>13000</v>
          </cell>
          <cell r="BB12">
            <v>5000</v>
          </cell>
          <cell r="BL12">
            <v>28000</v>
          </cell>
          <cell r="BM12">
            <v>15000</v>
          </cell>
          <cell r="BN12">
            <v>5000</v>
          </cell>
          <cell r="BS12">
            <v>13</v>
          </cell>
          <cell r="BT12">
            <v>19888</v>
          </cell>
          <cell r="BU12">
            <v>46628</v>
          </cell>
          <cell r="BV12">
            <v>44000</v>
          </cell>
          <cell r="BW12">
            <v>48000</v>
          </cell>
          <cell r="BX12">
            <v>13</v>
          </cell>
          <cell r="BY12">
            <v>19888</v>
          </cell>
          <cell r="BZ12">
            <v>46628</v>
          </cell>
          <cell r="CA12">
            <v>0</v>
          </cell>
          <cell r="CB12">
            <v>44000</v>
          </cell>
        </row>
        <row r="13">
          <cell r="A13" t="str">
            <v>US59P015503201400056</v>
          </cell>
          <cell r="B13" t="str">
            <v>Pekin</v>
          </cell>
          <cell r="C13" t="str">
            <v>Jan-Dec</v>
          </cell>
          <cell r="D13" t="str">
            <v>US59P01550</v>
          </cell>
          <cell r="E13" t="str">
            <v>550</v>
          </cell>
          <cell r="F13" t="str">
            <v>Field Production</v>
          </cell>
          <cell r="G13" t="str">
            <v>01</v>
          </cell>
          <cell r="H13">
            <v>3201400056</v>
          </cell>
          <cell r="I13" t="str">
            <v>FIELD AND PRODUCTION EXPENSES</v>
          </cell>
          <cell r="J13" t="str">
            <v>VALID</v>
          </cell>
          <cell r="K13">
            <v>68153</v>
          </cell>
          <cell r="L13">
            <v>67253</v>
          </cell>
          <cell r="M13">
            <v>-67253</v>
          </cell>
          <cell r="N13">
            <v>0</v>
          </cell>
          <cell r="O13">
            <v>243</v>
          </cell>
          <cell r="P13">
            <v>58330</v>
          </cell>
          <cell r="Q13">
            <v>75836</v>
          </cell>
          <cell r="R13">
            <v>22819</v>
          </cell>
          <cell r="S13">
            <v>122732</v>
          </cell>
          <cell r="T13">
            <v>118345</v>
          </cell>
          <cell r="U13">
            <v>0</v>
          </cell>
          <cell r="V13">
            <v>75171</v>
          </cell>
          <cell r="W13">
            <v>0</v>
          </cell>
          <cell r="X13">
            <v>100</v>
          </cell>
          <cell r="Y13">
            <v>0</v>
          </cell>
          <cell r="Z13">
            <v>8500</v>
          </cell>
          <cell r="AA13">
            <v>13960</v>
          </cell>
          <cell r="AB13">
            <v>36118</v>
          </cell>
          <cell r="AC13">
            <v>67722</v>
          </cell>
          <cell r="AD13">
            <v>270642</v>
          </cell>
          <cell r="AE13">
            <v>6193</v>
          </cell>
          <cell r="AF13">
            <v>2747</v>
          </cell>
          <cell r="AG13">
            <v>0</v>
          </cell>
          <cell r="AH13">
            <v>147789</v>
          </cell>
          <cell r="AI13">
            <v>10577</v>
          </cell>
          <cell r="AJ13">
            <v>0</v>
          </cell>
          <cell r="AK13">
            <v>0</v>
          </cell>
          <cell r="AL13">
            <v>7500</v>
          </cell>
          <cell r="AM13">
            <v>0</v>
          </cell>
          <cell r="AN13">
            <v>16065</v>
          </cell>
          <cell r="AO13">
            <v>-3710</v>
          </cell>
          <cell r="AP13">
            <v>32126</v>
          </cell>
          <cell r="AQ13">
            <v>57108</v>
          </cell>
          <cell r="AR13">
            <v>24678</v>
          </cell>
          <cell r="AS13">
            <v>2562</v>
          </cell>
          <cell r="AT13">
            <v>0</v>
          </cell>
          <cell r="AU13">
            <v>5425</v>
          </cell>
          <cell r="AV13">
            <v>0</v>
          </cell>
          <cell r="AW13">
            <v>0</v>
          </cell>
          <cell r="AX13">
            <v>0</v>
          </cell>
          <cell r="BC13">
            <v>13000</v>
          </cell>
          <cell r="BO13">
            <v>13000</v>
          </cell>
          <cell r="BS13">
            <v>541629</v>
          </cell>
          <cell r="BT13">
            <v>553771</v>
          </cell>
          <cell r="BU13">
            <v>146906</v>
          </cell>
          <cell r="BV13">
            <v>18425</v>
          </cell>
          <cell r="BW13">
            <v>13000</v>
          </cell>
          <cell r="BX13">
            <v>541629</v>
          </cell>
          <cell r="BY13">
            <v>553771</v>
          </cell>
          <cell r="BZ13">
            <v>146906</v>
          </cell>
          <cell r="CA13">
            <v>5425</v>
          </cell>
          <cell r="CB13">
            <v>13000</v>
          </cell>
        </row>
        <row r="14">
          <cell r="A14" t="str">
            <v>US59P015503201400057</v>
          </cell>
          <cell r="B14" t="str">
            <v>Pekin</v>
          </cell>
          <cell r="C14" t="str">
            <v>Jan-Dec</v>
          </cell>
          <cell r="D14" t="str">
            <v>US59P01550</v>
          </cell>
          <cell r="E14" t="str">
            <v>550</v>
          </cell>
          <cell r="F14" t="str">
            <v>Field Production</v>
          </cell>
          <cell r="G14" t="str">
            <v>01</v>
          </cell>
          <cell r="H14">
            <v>3201400057</v>
          </cell>
          <cell r="I14" t="str">
            <v>FIELD AND PRODUCTION SERVICES - SPRAYING</v>
          </cell>
          <cell r="J14" t="str">
            <v>VALID</v>
          </cell>
          <cell r="K14">
            <v>0</v>
          </cell>
          <cell r="L14">
            <v>0</v>
          </cell>
          <cell r="M14">
            <v>0</v>
          </cell>
          <cell r="N14">
            <v>0</v>
          </cell>
          <cell r="O14">
            <v>0</v>
          </cell>
          <cell r="P14">
            <v>0</v>
          </cell>
          <cell r="Q14">
            <v>14560</v>
          </cell>
          <cell r="R14">
            <v>0</v>
          </cell>
          <cell r="S14">
            <v>0</v>
          </cell>
          <cell r="T14">
            <v>0</v>
          </cell>
          <cell r="U14">
            <v>0</v>
          </cell>
          <cell r="V14">
            <v>0</v>
          </cell>
          <cell r="W14">
            <v>0</v>
          </cell>
          <cell r="X14">
            <v>0</v>
          </cell>
          <cell r="Y14">
            <v>0</v>
          </cell>
          <cell r="Z14">
            <v>0</v>
          </cell>
          <cell r="AA14">
            <v>0</v>
          </cell>
          <cell r="AB14">
            <v>0</v>
          </cell>
          <cell r="AC14">
            <v>0</v>
          </cell>
          <cell r="AD14">
            <v>0</v>
          </cell>
          <cell r="AE14">
            <v>291530</v>
          </cell>
          <cell r="AF14">
            <v>0</v>
          </cell>
          <cell r="AG14">
            <v>17094</v>
          </cell>
          <cell r="AH14">
            <v>0</v>
          </cell>
          <cell r="AI14">
            <v>0</v>
          </cell>
          <cell r="AJ14">
            <v>0</v>
          </cell>
          <cell r="AK14">
            <v>0</v>
          </cell>
          <cell r="AL14">
            <v>0</v>
          </cell>
          <cell r="AM14">
            <v>0</v>
          </cell>
          <cell r="AN14">
            <v>0</v>
          </cell>
          <cell r="AO14">
            <v>130080</v>
          </cell>
          <cell r="AP14">
            <v>198097</v>
          </cell>
          <cell r="AQ14">
            <v>37804</v>
          </cell>
          <cell r="AR14">
            <v>0</v>
          </cell>
          <cell r="AS14">
            <v>0</v>
          </cell>
          <cell r="AT14">
            <v>0</v>
          </cell>
          <cell r="AU14">
            <v>0</v>
          </cell>
          <cell r="AV14">
            <v>0</v>
          </cell>
          <cell r="AW14">
            <v>0</v>
          </cell>
          <cell r="AX14">
            <v>0</v>
          </cell>
          <cell r="BA14">
            <v>132000</v>
          </cell>
          <cell r="BB14">
            <v>132000</v>
          </cell>
          <cell r="BM14">
            <v>132000</v>
          </cell>
          <cell r="BN14">
            <v>132000</v>
          </cell>
          <cell r="BS14">
            <v>14560</v>
          </cell>
          <cell r="BT14">
            <v>308624</v>
          </cell>
          <cell r="BU14">
            <v>365981</v>
          </cell>
          <cell r="BV14">
            <v>264000</v>
          </cell>
          <cell r="BW14">
            <v>264000</v>
          </cell>
          <cell r="BX14">
            <v>14560</v>
          </cell>
          <cell r="BY14">
            <v>308624</v>
          </cell>
          <cell r="BZ14">
            <v>365981</v>
          </cell>
          <cell r="CA14">
            <v>0</v>
          </cell>
          <cell r="CB14">
            <v>264000</v>
          </cell>
        </row>
        <row r="15">
          <cell r="A15" t="str">
            <v>US59P015503311400099</v>
          </cell>
          <cell r="B15" t="str">
            <v>Pekin</v>
          </cell>
          <cell r="C15" t="str">
            <v>Jan-Dec</v>
          </cell>
          <cell r="D15" t="str">
            <v>US59P01550</v>
          </cell>
          <cell r="E15" t="str">
            <v>550</v>
          </cell>
          <cell r="F15" t="str">
            <v>Field Production</v>
          </cell>
          <cell r="G15" t="str">
            <v>01</v>
          </cell>
          <cell r="H15">
            <v>3311400099</v>
          </cell>
          <cell r="I15" t="str">
            <v>CO DEPRECIATION</v>
          </cell>
          <cell r="J15" t="str">
            <v>VALID</v>
          </cell>
          <cell r="K15">
            <v>392</v>
          </cell>
          <cell r="L15">
            <v>392</v>
          </cell>
          <cell r="M15">
            <v>392</v>
          </cell>
          <cell r="N15">
            <v>392</v>
          </cell>
          <cell r="O15">
            <v>392</v>
          </cell>
          <cell r="P15">
            <v>392</v>
          </cell>
          <cell r="Q15">
            <v>392</v>
          </cell>
          <cell r="R15">
            <v>392</v>
          </cell>
          <cell r="S15">
            <v>1296</v>
          </cell>
          <cell r="T15">
            <v>492</v>
          </cell>
          <cell r="U15">
            <v>492</v>
          </cell>
          <cell r="V15">
            <v>492</v>
          </cell>
          <cell r="W15">
            <v>492</v>
          </cell>
          <cell r="X15">
            <v>492</v>
          </cell>
          <cell r="Y15">
            <v>492</v>
          </cell>
          <cell r="Z15">
            <v>492</v>
          </cell>
          <cell r="AA15">
            <v>492</v>
          </cell>
          <cell r="AB15">
            <v>492</v>
          </cell>
          <cell r="AC15">
            <v>492</v>
          </cell>
          <cell r="AD15">
            <v>101</v>
          </cell>
          <cell r="AE15">
            <v>101</v>
          </cell>
          <cell r="AF15">
            <v>101</v>
          </cell>
          <cell r="AG15">
            <v>101</v>
          </cell>
          <cell r="AH15">
            <v>101</v>
          </cell>
          <cell r="AI15">
            <v>101</v>
          </cell>
          <cell r="AJ15">
            <v>101</v>
          </cell>
          <cell r="AK15">
            <v>101</v>
          </cell>
          <cell r="AL15">
            <v>101</v>
          </cell>
          <cell r="AM15">
            <v>101</v>
          </cell>
          <cell r="AN15">
            <v>101</v>
          </cell>
          <cell r="AO15">
            <v>101</v>
          </cell>
          <cell r="AP15">
            <v>101</v>
          </cell>
          <cell r="AQ15">
            <v>101</v>
          </cell>
          <cell r="AR15">
            <v>101</v>
          </cell>
          <cell r="AS15">
            <v>101</v>
          </cell>
          <cell r="AT15">
            <v>101</v>
          </cell>
          <cell r="AU15">
            <v>101</v>
          </cell>
          <cell r="AV15">
            <v>101</v>
          </cell>
          <cell r="AW15">
            <v>101</v>
          </cell>
          <cell r="AX15">
            <v>101</v>
          </cell>
          <cell r="BS15">
            <v>5908</v>
          </cell>
          <cell r="BT15">
            <v>3949</v>
          </cell>
          <cell r="BU15">
            <v>1212</v>
          </cell>
          <cell r="BV15">
            <v>404</v>
          </cell>
          <cell r="BW15">
            <v>0</v>
          </cell>
          <cell r="BX15">
            <v>5908</v>
          </cell>
          <cell r="BY15">
            <v>3949</v>
          </cell>
          <cell r="BZ15">
            <v>1212</v>
          </cell>
          <cell r="CA15">
            <v>404</v>
          </cell>
          <cell r="CB15">
            <v>0</v>
          </cell>
        </row>
        <row r="16">
          <cell r="A16" t="str">
            <v>US59P015503311500300</v>
          </cell>
          <cell r="B16" t="str">
            <v>Pekin</v>
          </cell>
          <cell r="C16" t="str">
            <v>Jan-Dec</v>
          </cell>
          <cell r="D16" t="str">
            <v>US59P01550</v>
          </cell>
          <cell r="E16" t="str">
            <v>550</v>
          </cell>
          <cell r="F16" t="str">
            <v>Field Production</v>
          </cell>
          <cell r="G16" t="str">
            <v>01</v>
          </cell>
          <cell r="H16">
            <v>3311500300</v>
          </cell>
          <cell r="I16" t="str">
            <v>Amort. Exp. - Fin. Leased</v>
          </cell>
          <cell r="J16" t="str">
            <v>VALID</v>
          </cell>
          <cell r="K16">
            <v>0</v>
          </cell>
          <cell r="L16">
            <v>0</v>
          </cell>
          <cell r="M16">
            <v>0</v>
          </cell>
          <cell r="N16">
            <v>0</v>
          </cell>
          <cell r="O16">
            <v>0</v>
          </cell>
          <cell r="P16">
            <v>0</v>
          </cell>
          <cell r="Q16">
            <v>0</v>
          </cell>
          <cell r="R16">
            <v>0</v>
          </cell>
          <cell r="S16">
            <v>0</v>
          </cell>
          <cell r="T16">
            <v>0</v>
          </cell>
          <cell r="U16">
            <v>8375</v>
          </cell>
          <cell r="V16">
            <v>0</v>
          </cell>
          <cell r="W16">
            <v>0</v>
          </cell>
          <cell r="X16">
            <v>0</v>
          </cell>
          <cell r="Y16">
            <v>0</v>
          </cell>
          <cell r="Z16">
            <v>0</v>
          </cell>
          <cell r="AA16">
            <v>0</v>
          </cell>
          <cell r="AB16">
            <v>0</v>
          </cell>
          <cell r="AC16">
            <v>0</v>
          </cell>
          <cell r="AD16">
            <v>34802</v>
          </cell>
          <cell r="AE16">
            <v>0</v>
          </cell>
          <cell r="AF16">
            <v>0</v>
          </cell>
          <cell r="AG16">
            <v>0</v>
          </cell>
          <cell r="AH16">
            <v>0</v>
          </cell>
          <cell r="AI16">
            <v>0</v>
          </cell>
          <cell r="AJ16">
            <v>0</v>
          </cell>
          <cell r="AK16">
            <v>0</v>
          </cell>
          <cell r="AL16">
            <v>0</v>
          </cell>
          <cell r="AM16">
            <v>0</v>
          </cell>
          <cell r="AN16">
            <v>0</v>
          </cell>
          <cell r="AO16">
            <v>0</v>
          </cell>
          <cell r="AP16">
            <v>34248</v>
          </cell>
          <cell r="AQ16">
            <v>0</v>
          </cell>
          <cell r="AR16">
            <v>0</v>
          </cell>
          <cell r="AS16">
            <v>0</v>
          </cell>
          <cell r="AT16">
            <v>0</v>
          </cell>
          <cell r="AU16">
            <v>0</v>
          </cell>
          <cell r="AV16">
            <v>0</v>
          </cell>
          <cell r="AW16">
            <v>0</v>
          </cell>
          <cell r="AX16">
            <v>0</v>
          </cell>
          <cell r="BS16">
            <v>8375</v>
          </cell>
          <cell r="BT16">
            <v>34802</v>
          </cell>
          <cell r="BU16">
            <v>34248</v>
          </cell>
          <cell r="BV16">
            <v>0</v>
          </cell>
          <cell r="BW16">
            <v>0</v>
          </cell>
          <cell r="BX16">
            <v>8375</v>
          </cell>
          <cell r="BY16">
            <v>34802</v>
          </cell>
          <cell r="BZ16">
            <v>34248</v>
          </cell>
          <cell r="CA16">
            <v>0</v>
          </cell>
          <cell r="CB16">
            <v>0</v>
          </cell>
        </row>
        <row r="17">
          <cell r="A17" t="str">
            <v>US59P015503921200001</v>
          </cell>
          <cell r="B17" t="str">
            <v>Pekin</v>
          </cell>
          <cell r="C17" t="str">
            <v>Jan-Dec</v>
          </cell>
          <cell r="D17" t="str">
            <v>US59P01550</v>
          </cell>
          <cell r="E17" t="str">
            <v>550</v>
          </cell>
          <cell r="F17" t="str">
            <v>Field Production</v>
          </cell>
          <cell r="G17" t="str">
            <v>01</v>
          </cell>
          <cell r="H17">
            <v>3921200001</v>
          </cell>
          <cell r="I17" t="str">
            <v>FUEL</v>
          </cell>
          <cell r="J17" t="str">
            <v>VALID</v>
          </cell>
          <cell r="K17">
            <v>0</v>
          </cell>
          <cell r="L17">
            <v>0</v>
          </cell>
          <cell r="M17">
            <v>0</v>
          </cell>
          <cell r="N17">
            <v>0</v>
          </cell>
          <cell r="O17">
            <v>0</v>
          </cell>
          <cell r="P17">
            <v>0</v>
          </cell>
          <cell r="Q17">
            <v>0</v>
          </cell>
          <cell r="R17">
            <v>0</v>
          </cell>
          <cell r="S17">
            <v>5853</v>
          </cell>
          <cell r="T17">
            <v>0</v>
          </cell>
          <cell r="U17">
            <v>0</v>
          </cell>
          <cell r="V17">
            <v>0</v>
          </cell>
          <cell r="W17">
            <v>382</v>
          </cell>
          <cell r="X17">
            <v>350</v>
          </cell>
          <cell r="Y17">
            <v>321</v>
          </cell>
          <cell r="Z17">
            <v>0</v>
          </cell>
          <cell r="AA17">
            <v>0</v>
          </cell>
          <cell r="AB17">
            <v>0</v>
          </cell>
          <cell r="AC17">
            <v>0</v>
          </cell>
          <cell r="AD17">
            <v>0</v>
          </cell>
          <cell r="AE17">
            <v>0</v>
          </cell>
          <cell r="AF17">
            <v>4454</v>
          </cell>
          <cell r="AG17">
            <v>0</v>
          </cell>
          <cell r="AH17">
            <v>2985</v>
          </cell>
          <cell r="AI17">
            <v>0</v>
          </cell>
          <cell r="AJ17">
            <v>0</v>
          </cell>
          <cell r="AK17">
            <v>0</v>
          </cell>
          <cell r="AL17">
            <v>0</v>
          </cell>
          <cell r="AM17">
            <v>277</v>
          </cell>
          <cell r="AN17">
            <v>15</v>
          </cell>
          <cell r="AO17">
            <v>0</v>
          </cell>
          <cell r="AP17">
            <v>1023</v>
          </cell>
          <cell r="AQ17">
            <v>0</v>
          </cell>
          <cell r="AR17">
            <v>-196</v>
          </cell>
          <cell r="AS17">
            <v>2723</v>
          </cell>
          <cell r="AT17">
            <v>-150</v>
          </cell>
          <cell r="AU17">
            <v>0</v>
          </cell>
          <cell r="AV17">
            <v>0</v>
          </cell>
          <cell r="AW17">
            <v>0</v>
          </cell>
          <cell r="AX17">
            <v>0</v>
          </cell>
          <cell r="AZ17">
            <v>500</v>
          </cell>
          <cell r="BL17">
            <v>500</v>
          </cell>
          <cell r="BS17">
            <v>5853</v>
          </cell>
          <cell r="BT17">
            <v>8492</v>
          </cell>
          <cell r="BU17">
            <v>3692</v>
          </cell>
          <cell r="BV17">
            <v>500</v>
          </cell>
          <cell r="BW17">
            <v>500</v>
          </cell>
          <cell r="BX17">
            <v>5853</v>
          </cell>
          <cell r="BY17">
            <v>8492</v>
          </cell>
          <cell r="BZ17">
            <v>3692</v>
          </cell>
          <cell r="CA17">
            <v>0</v>
          </cell>
          <cell r="CB17">
            <v>500</v>
          </cell>
        </row>
        <row r="18">
          <cell r="A18" t="str">
            <v>US59P015503921200003</v>
          </cell>
          <cell r="B18" t="str">
            <v>Pekin</v>
          </cell>
          <cell r="C18" t="str">
            <v>Jan-Dec</v>
          </cell>
          <cell r="D18" t="str">
            <v>US59P01550</v>
          </cell>
          <cell r="E18" t="str">
            <v>550</v>
          </cell>
          <cell r="F18" t="str">
            <v>Field Production</v>
          </cell>
          <cell r="G18" t="str">
            <v>01</v>
          </cell>
          <cell r="H18">
            <v>3921200003</v>
          </cell>
          <cell r="I18" t="str">
            <v>GAS</v>
          </cell>
          <cell r="J18" t="str">
            <v>VALID</v>
          </cell>
          <cell r="K18">
            <v>4003</v>
          </cell>
          <cell r="L18">
            <v>0</v>
          </cell>
          <cell r="M18">
            <v>0</v>
          </cell>
          <cell r="N18">
            <v>0</v>
          </cell>
          <cell r="O18">
            <v>513</v>
          </cell>
          <cell r="P18">
            <v>0</v>
          </cell>
          <cell r="Q18">
            <v>6803</v>
          </cell>
          <cell r="R18">
            <v>0</v>
          </cell>
          <cell r="S18">
            <v>0</v>
          </cell>
          <cell r="T18">
            <v>11675</v>
          </cell>
          <cell r="U18">
            <v>11264</v>
          </cell>
          <cell r="V18">
            <v>0</v>
          </cell>
          <cell r="W18">
            <v>0</v>
          </cell>
          <cell r="X18">
            <v>0</v>
          </cell>
          <cell r="Y18">
            <v>0</v>
          </cell>
          <cell r="Z18">
            <v>0</v>
          </cell>
          <cell r="AA18">
            <v>575</v>
          </cell>
          <cell r="AB18">
            <v>1927</v>
          </cell>
          <cell r="AC18">
            <v>0</v>
          </cell>
          <cell r="AD18">
            <v>5475</v>
          </cell>
          <cell r="AE18">
            <v>2763</v>
          </cell>
          <cell r="AF18">
            <v>3714</v>
          </cell>
          <cell r="AG18">
            <v>0</v>
          </cell>
          <cell r="AH18">
            <v>5779</v>
          </cell>
          <cell r="AI18">
            <v>0</v>
          </cell>
          <cell r="AJ18">
            <v>0</v>
          </cell>
          <cell r="AK18">
            <v>0</v>
          </cell>
          <cell r="AL18">
            <v>0</v>
          </cell>
          <cell r="AM18">
            <v>0</v>
          </cell>
          <cell r="AN18">
            <v>0</v>
          </cell>
          <cell r="AO18">
            <v>0</v>
          </cell>
          <cell r="AP18">
            <v>0</v>
          </cell>
          <cell r="AQ18">
            <v>0</v>
          </cell>
          <cell r="AR18">
            <v>0</v>
          </cell>
          <cell r="AS18">
            <v>103</v>
          </cell>
          <cell r="AT18">
            <v>0</v>
          </cell>
          <cell r="AU18">
            <v>0</v>
          </cell>
          <cell r="AV18">
            <v>0</v>
          </cell>
          <cell r="AW18">
            <v>0</v>
          </cell>
          <cell r="AX18">
            <v>0</v>
          </cell>
          <cell r="AZ18">
            <v>500</v>
          </cell>
          <cell r="BB18">
            <v>500</v>
          </cell>
          <cell r="BC18">
            <v>500</v>
          </cell>
          <cell r="BD18">
            <v>500</v>
          </cell>
          <cell r="BJ18">
            <v>500</v>
          </cell>
          <cell r="BK18">
            <v>500</v>
          </cell>
          <cell r="BL18">
            <v>500</v>
          </cell>
          <cell r="BN18">
            <v>500</v>
          </cell>
          <cell r="BO18">
            <v>500</v>
          </cell>
          <cell r="BS18">
            <v>34258</v>
          </cell>
          <cell r="BT18">
            <v>20233</v>
          </cell>
          <cell r="BU18">
            <v>103</v>
          </cell>
          <cell r="BV18">
            <v>2000</v>
          </cell>
          <cell r="BW18">
            <v>2500</v>
          </cell>
          <cell r="BX18">
            <v>34258</v>
          </cell>
          <cell r="BY18">
            <v>20233</v>
          </cell>
          <cell r="BZ18">
            <v>103</v>
          </cell>
          <cell r="CA18">
            <v>0</v>
          </cell>
          <cell r="CB18">
            <v>2000</v>
          </cell>
        </row>
        <row r="19">
          <cell r="A19" t="str">
            <v>US59P015503921200006</v>
          </cell>
          <cell r="B19" t="str">
            <v>Pekin</v>
          </cell>
          <cell r="C19" t="str">
            <v>Jan-Dec</v>
          </cell>
          <cell r="D19" t="str">
            <v>US59P01550</v>
          </cell>
          <cell r="E19" t="str">
            <v>550</v>
          </cell>
          <cell r="F19" t="str">
            <v>Field Production</v>
          </cell>
          <cell r="G19" t="str">
            <v>01</v>
          </cell>
          <cell r="H19">
            <v>3921200006</v>
          </cell>
          <cell r="I19" t="str">
            <v>FACTORY SUPPLIES MAINTENANCE SUPPLIES</v>
          </cell>
          <cell r="J19" t="str">
            <v>VALID</v>
          </cell>
          <cell r="K19">
            <v>823</v>
          </cell>
          <cell r="L19">
            <v>1235</v>
          </cell>
          <cell r="M19">
            <v>1281</v>
          </cell>
          <cell r="N19">
            <v>1532</v>
          </cell>
          <cell r="O19">
            <v>2896</v>
          </cell>
          <cell r="P19">
            <v>39254</v>
          </cell>
          <cell r="Q19">
            <v>4704</v>
          </cell>
          <cell r="R19">
            <v>13848</v>
          </cell>
          <cell r="S19">
            <v>6595</v>
          </cell>
          <cell r="T19">
            <v>2505</v>
          </cell>
          <cell r="U19">
            <v>5521</v>
          </cell>
          <cell r="V19">
            <v>7624</v>
          </cell>
          <cell r="W19">
            <v>1367</v>
          </cell>
          <cell r="X19">
            <v>333</v>
          </cell>
          <cell r="Y19">
            <v>1218</v>
          </cell>
          <cell r="Z19">
            <v>819</v>
          </cell>
          <cell r="AA19">
            <v>2875</v>
          </cell>
          <cell r="AB19">
            <v>2419</v>
          </cell>
          <cell r="AC19">
            <v>2118</v>
          </cell>
          <cell r="AD19">
            <v>1760</v>
          </cell>
          <cell r="AE19">
            <v>1276</v>
          </cell>
          <cell r="AF19">
            <v>3168</v>
          </cell>
          <cell r="AG19">
            <v>1930</v>
          </cell>
          <cell r="AH19">
            <v>1246</v>
          </cell>
          <cell r="AI19">
            <v>0</v>
          </cell>
          <cell r="AJ19">
            <v>338</v>
          </cell>
          <cell r="AK19">
            <v>5793</v>
          </cell>
          <cell r="AL19">
            <v>-1626</v>
          </cell>
          <cell r="AM19">
            <v>-8420</v>
          </cell>
          <cell r="AN19">
            <v>38</v>
          </cell>
          <cell r="AO19">
            <v>190</v>
          </cell>
          <cell r="AP19">
            <v>0</v>
          </cell>
          <cell r="AQ19">
            <v>0</v>
          </cell>
          <cell r="AR19">
            <v>0</v>
          </cell>
          <cell r="AS19">
            <v>14</v>
          </cell>
          <cell r="AT19">
            <v>-14000</v>
          </cell>
          <cell r="AU19">
            <v>0</v>
          </cell>
          <cell r="AV19">
            <v>0</v>
          </cell>
          <cell r="AW19">
            <v>0</v>
          </cell>
          <cell r="AX19">
            <v>0</v>
          </cell>
          <cell r="AZ19">
            <v>500</v>
          </cell>
          <cell r="BI19">
            <v>500</v>
          </cell>
          <cell r="BS19">
            <v>87818</v>
          </cell>
          <cell r="BT19">
            <v>20529</v>
          </cell>
          <cell r="BU19">
            <v>-17673</v>
          </cell>
          <cell r="BV19">
            <v>500</v>
          </cell>
          <cell r="BW19">
            <v>500</v>
          </cell>
          <cell r="BX19">
            <v>87818</v>
          </cell>
          <cell r="BY19">
            <v>20529</v>
          </cell>
          <cell r="BZ19">
            <v>-17673</v>
          </cell>
          <cell r="CA19">
            <v>0</v>
          </cell>
          <cell r="CB19">
            <v>500</v>
          </cell>
        </row>
        <row r="20">
          <cell r="A20" t="str">
            <v>US59P015503921200026</v>
          </cell>
          <cell r="B20" t="str">
            <v>Pekin</v>
          </cell>
          <cell r="C20" t="str">
            <v>Jan-Dec</v>
          </cell>
          <cell r="D20" t="str">
            <v>US59P01550</v>
          </cell>
          <cell r="E20" t="str">
            <v>550</v>
          </cell>
          <cell r="F20" t="str">
            <v>Field Production</v>
          </cell>
          <cell r="G20" t="str">
            <v>01</v>
          </cell>
          <cell r="H20">
            <v>3921200026</v>
          </cell>
          <cell r="I20" t="str">
            <v>MISC. COSTS VEHICLE</v>
          </cell>
          <cell r="J20" t="str">
            <v>VALID</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BS20">
            <v>0</v>
          </cell>
          <cell r="BT20">
            <v>0</v>
          </cell>
          <cell r="BU20">
            <v>0</v>
          </cell>
          <cell r="BV20">
            <v>0</v>
          </cell>
          <cell r="BW20">
            <v>0</v>
          </cell>
          <cell r="BX20">
            <v>0</v>
          </cell>
          <cell r="BY20">
            <v>0</v>
          </cell>
          <cell r="BZ20">
            <v>0</v>
          </cell>
          <cell r="CA20">
            <v>0</v>
          </cell>
          <cell r="CB20">
            <v>0</v>
          </cell>
        </row>
        <row r="21">
          <cell r="A21" t="str">
            <v>US59P015503921200037</v>
          </cell>
          <cell r="B21" t="str">
            <v>Pekin</v>
          </cell>
          <cell r="C21" t="str">
            <v>Jan-Dec</v>
          </cell>
          <cell r="D21" t="str">
            <v>US59P01550</v>
          </cell>
          <cell r="E21" t="str">
            <v>550</v>
          </cell>
          <cell r="F21" t="str">
            <v>Field Production</v>
          </cell>
          <cell r="G21" t="str">
            <v>01</v>
          </cell>
          <cell r="H21">
            <v>3921200037</v>
          </cell>
          <cell r="I21" t="str">
            <v>EXHAUSTIVE EQUIPMENT</v>
          </cell>
          <cell r="J21" t="str">
            <v>VALID</v>
          </cell>
          <cell r="K21">
            <v>0</v>
          </cell>
          <cell r="L21">
            <v>0</v>
          </cell>
          <cell r="M21">
            <v>0</v>
          </cell>
          <cell r="N21">
            <v>0</v>
          </cell>
          <cell r="O21">
            <v>0</v>
          </cell>
          <cell r="P21">
            <v>0</v>
          </cell>
          <cell r="Q21">
            <v>0</v>
          </cell>
          <cell r="R21">
            <v>136</v>
          </cell>
          <cell r="S21">
            <v>1145</v>
          </cell>
          <cell r="T21">
            <v>1078</v>
          </cell>
          <cell r="U21">
            <v>297</v>
          </cell>
          <cell r="V21">
            <v>569</v>
          </cell>
          <cell r="W21">
            <v>0</v>
          </cell>
          <cell r="X21">
            <v>117</v>
          </cell>
          <cell r="Y21">
            <v>0</v>
          </cell>
          <cell r="Z21">
            <v>0</v>
          </cell>
          <cell r="AA21">
            <v>121</v>
          </cell>
          <cell r="AB21">
            <v>115</v>
          </cell>
          <cell r="AC21">
            <v>139</v>
          </cell>
          <cell r="AD21">
            <v>117</v>
          </cell>
          <cell r="AE21">
            <v>6</v>
          </cell>
          <cell r="AF21">
            <v>0</v>
          </cell>
          <cell r="AG21">
            <v>0</v>
          </cell>
          <cell r="AH21">
            <v>0</v>
          </cell>
          <cell r="AI21">
            <v>0</v>
          </cell>
          <cell r="AJ21">
            <v>108</v>
          </cell>
          <cell r="AK21">
            <v>3009</v>
          </cell>
          <cell r="AL21">
            <v>673</v>
          </cell>
          <cell r="AM21">
            <v>122</v>
          </cell>
          <cell r="AN21">
            <v>135</v>
          </cell>
          <cell r="AO21">
            <v>0</v>
          </cell>
          <cell r="AP21">
            <v>15</v>
          </cell>
          <cell r="AQ21">
            <v>660</v>
          </cell>
          <cell r="AR21">
            <v>117</v>
          </cell>
          <cell r="AS21">
            <v>0</v>
          </cell>
          <cell r="AT21">
            <v>0</v>
          </cell>
          <cell r="AU21">
            <v>0</v>
          </cell>
          <cell r="AV21">
            <v>0</v>
          </cell>
          <cell r="AW21">
            <v>0</v>
          </cell>
          <cell r="AX21">
            <v>259</v>
          </cell>
          <cell r="BS21">
            <v>3225</v>
          </cell>
          <cell r="BT21">
            <v>615</v>
          </cell>
          <cell r="BU21">
            <v>4839</v>
          </cell>
          <cell r="BV21">
            <v>259</v>
          </cell>
          <cell r="BW21">
            <v>0</v>
          </cell>
          <cell r="BX21">
            <v>3225</v>
          </cell>
          <cell r="BY21">
            <v>615</v>
          </cell>
          <cell r="BZ21">
            <v>4839</v>
          </cell>
          <cell r="CA21">
            <v>259</v>
          </cell>
          <cell r="CB21">
            <v>0</v>
          </cell>
        </row>
        <row r="22">
          <cell r="A22" t="str">
            <v>US59P015503921200100</v>
          </cell>
          <cell r="B22" t="str">
            <v>Pekin</v>
          </cell>
          <cell r="C22" t="str">
            <v>Jan-Dec</v>
          </cell>
          <cell r="D22" t="str">
            <v>US59P01550</v>
          </cell>
          <cell r="E22" t="str">
            <v>550</v>
          </cell>
          <cell r="F22" t="str">
            <v>Field Production</v>
          </cell>
          <cell r="G22" t="str">
            <v>01</v>
          </cell>
          <cell r="H22">
            <v>3921200100</v>
          </cell>
          <cell r="I22" t="str">
            <v>FIELD &amp; PRODUCTION SUPPLIES</v>
          </cell>
          <cell r="J22" t="str">
            <v>VALID</v>
          </cell>
          <cell r="K22">
            <v>0</v>
          </cell>
          <cell r="L22">
            <v>7160</v>
          </cell>
          <cell r="M22">
            <v>2346</v>
          </cell>
          <cell r="N22">
            <v>78</v>
          </cell>
          <cell r="O22">
            <v>0</v>
          </cell>
          <cell r="P22">
            <v>0</v>
          </cell>
          <cell r="Q22">
            <v>0</v>
          </cell>
          <cell r="R22">
            <v>0</v>
          </cell>
          <cell r="S22">
            <v>0</v>
          </cell>
          <cell r="T22">
            <v>0</v>
          </cell>
          <cell r="U22">
            <v>0</v>
          </cell>
          <cell r="V22">
            <v>450</v>
          </cell>
          <cell r="W22">
            <v>0</v>
          </cell>
          <cell r="X22">
            <v>0</v>
          </cell>
          <cell r="Y22">
            <v>0</v>
          </cell>
          <cell r="Z22">
            <v>30</v>
          </cell>
          <cell r="AA22">
            <v>7905</v>
          </cell>
          <cell r="AB22">
            <v>12</v>
          </cell>
          <cell r="AC22">
            <v>291</v>
          </cell>
          <cell r="AD22">
            <v>633</v>
          </cell>
          <cell r="AE22">
            <v>0</v>
          </cell>
          <cell r="AF22">
            <v>0</v>
          </cell>
          <cell r="AG22">
            <v>0</v>
          </cell>
          <cell r="AH22">
            <v>0</v>
          </cell>
          <cell r="AI22">
            <v>0</v>
          </cell>
          <cell r="AJ22">
            <v>1875</v>
          </cell>
          <cell r="AK22">
            <v>0</v>
          </cell>
          <cell r="AL22">
            <v>0</v>
          </cell>
          <cell r="AM22">
            <v>0</v>
          </cell>
          <cell r="AN22">
            <v>0</v>
          </cell>
          <cell r="AO22">
            <v>336</v>
          </cell>
          <cell r="AP22">
            <v>0</v>
          </cell>
          <cell r="AQ22">
            <v>0</v>
          </cell>
          <cell r="AR22">
            <v>0</v>
          </cell>
          <cell r="AS22">
            <v>0</v>
          </cell>
          <cell r="AT22">
            <v>0</v>
          </cell>
          <cell r="AU22">
            <v>0</v>
          </cell>
          <cell r="AV22">
            <v>0</v>
          </cell>
          <cell r="AW22">
            <v>0</v>
          </cell>
          <cell r="AX22">
            <v>0</v>
          </cell>
          <cell r="AZ22">
            <v>500</v>
          </cell>
          <cell r="BI22">
            <v>500</v>
          </cell>
          <cell r="BS22">
            <v>10034</v>
          </cell>
          <cell r="BT22">
            <v>8871</v>
          </cell>
          <cell r="BU22">
            <v>2211</v>
          </cell>
          <cell r="BV22">
            <v>500</v>
          </cell>
          <cell r="BW22">
            <v>500</v>
          </cell>
          <cell r="BX22">
            <v>10034</v>
          </cell>
          <cell r="BY22">
            <v>8871</v>
          </cell>
          <cell r="BZ22">
            <v>2211</v>
          </cell>
          <cell r="CA22">
            <v>0</v>
          </cell>
          <cell r="CB22">
            <v>500</v>
          </cell>
        </row>
        <row r="23">
          <cell r="A23" t="str">
            <v>US59P015503951100005</v>
          </cell>
          <cell r="B23" t="str">
            <v>Pekin</v>
          </cell>
          <cell r="C23" t="str">
            <v>Jan-Dec</v>
          </cell>
          <cell r="D23" t="str">
            <v>US59P01550</v>
          </cell>
          <cell r="E23" t="str">
            <v>550</v>
          </cell>
          <cell r="F23" t="str">
            <v>Field Production</v>
          </cell>
          <cell r="G23" t="str">
            <v>01</v>
          </cell>
          <cell r="H23">
            <v>3951100005</v>
          </cell>
          <cell r="I23" t="str">
            <v>OTHER RENTALS</v>
          </cell>
          <cell r="J23" t="str">
            <v>VALID</v>
          </cell>
          <cell r="K23">
            <v>0</v>
          </cell>
          <cell r="L23">
            <v>0</v>
          </cell>
          <cell r="M23">
            <v>0</v>
          </cell>
          <cell r="N23">
            <v>0</v>
          </cell>
          <cell r="O23">
            <v>0</v>
          </cell>
          <cell r="P23">
            <v>0</v>
          </cell>
          <cell r="Q23">
            <v>0</v>
          </cell>
          <cell r="R23">
            <v>0</v>
          </cell>
          <cell r="S23">
            <v>128</v>
          </cell>
          <cell r="T23">
            <v>64</v>
          </cell>
          <cell r="U23">
            <v>0</v>
          </cell>
          <cell r="V23">
            <v>0</v>
          </cell>
          <cell r="W23">
            <v>0</v>
          </cell>
          <cell r="X23">
            <v>0</v>
          </cell>
          <cell r="Y23">
            <v>0</v>
          </cell>
          <cell r="Z23">
            <v>0</v>
          </cell>
          <cell r="AA23">
            <v>0</v>
          </cell>
          <cell r="AB23">
            <v>0</v>
          </cell>
          <cell r="AC23">
            <v>0</v>
          </cell>
          <cell r="AD23">
            <v>3962</v>
          </cell>
          <cell r="AE23">
            <v>0</v>
          </cell>
          <cell r="AF23">
            <v>0</v>
          </cell>
          <cell r="AG23">
            <v>0</v>
          </cell>
          <cell r="AH23">
            <v>0</v>
          </cell>
          <cell r="AI23">
            <v>0</v>
          </cell>
          <cell r="AJ23">
            <v>7400</v>
          </cell>
          <cell r="AK23">
            <v>0</v>
          </cell>
          <cell r="AL23">
            <v>0</v>
          </cell>
          <cell r="AM23">
            <v>0</v>
          </cell>
          <cell r="AN23">
            <v>2500</v>
          </cell>
          <cell r="AO23">
            <v>0</v>
          </cell>
          <cell r="AP23">
            <v>0</v>
          </cell>
          <cell r="AQ23">
            <v>0</v>
          </cell>
          <cell r="AR23">
            <v>0</v>
          </cell>
          <cell r="AS23">
            <v>0</v>
          </cell>
          <cell r="AT23">
            <v>0</v>
          </cell>
          <cell r="AU23">
            <v>0</v>
          </cell>
          <cell r="AV23">
            <v>0</v>
          </cell>
          <cell r="AW23">
            <v>0</v>
          </cell>
          <cell r="AX23">
            <v>0</v>
          </cell>
          <cell r="BA23">
            <v>2000</v>
          </cell>
          <cell r="BB23">
            <v>13800</v>
          </cell>
          <cell r="BC23">
            <v>2000</v>
          </cell>
          <cell r="BD23">
            <v>6800</v>
          </cell>
          <cell r="BJ23">
            <v>2000</v>
          </cell>
          <cell r="BM23">
            <v>2000</v>
          </cell>
          <cell r="BN23">
            <v>20000</v>
          </cell>
          <cell r="BO23">
            <v>6800</v>
          </cell>
          <cell r="BS23">
            <v>192</v>
          </cell>
          <cell r="BT23">
            <v>3962</v>
          </cell>
          <cell r="BU23">
            <v>9900</v>
          </cell>
          <cell r="BV23">
            <v>24600</v>
          </cell>
          <cell r="BW23">
            <v>30800</v>
          </cell>
          <cell r="BX23">
            <v>192</v>
          </cell>
          <cell r="BY23">
            <v>3962</v>
          </cell>
          <cell r="BZ23">
            <v>9900</v>
          </cell>
          <cell r="CA23">
            <v>0</v>
          </cell>
          <cell r="CB23">
            <v>24600</v>
          </cell>
        </row>
        <row r="24">
          <cell r="A24" t="str">
            <v>US59P015503951200002</v>
          </cell>
          <cell r="B24" t="str">
            <v>Pekin</v>
          </cell>
          <cell r="C24" t="str">
            <v>Jan-Dec</v>
          </cell>
          <cell r="D24" t="str">
            <v>US59P01550</v>
          </cell>
          <cell r="E24" t="str">
            <v>550</v>
          </cell>
          <cell r="F24" t="str">
            <v>Field Production</v>
          </cell>
          <cell r="G24" t="str">
            <v>01</v>
          </cell>
          <cell r="H24">
            <v>3951200002</v>
          </cell>
          <cell r="I24" t="str">
            <v>OPERATING LEASES - VEHICLES (SHORT DURAT</v>
          </cell>
          <cell r="J24" t="str">
            <v>VALID</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BA24">
            <v>1000</v>
          </cell>
          <cell r="BB24">
            <v>1000</v>
          </cell>
          <cell r="BM24">
            <v>1000</v>
          </cell>
          <cell r="BN24">
            <v>1000</v>
          </cell>
          <cell r="BS24">
            <v>0</v>
          </cell>
          <cell r="BT24">
            <v>0</v>
          </cell>
          <cell r="BU24">
            <v>0</v>
          </cell>
          <cell r="BV24">
            <v>2000</v>
          </cell>
          <cell r="BW24">
            <v>2000</v>
          </cell>
          <cell r="BX24">
            <v>0</v>
          </cell>
          <cell r="BY24">
            <v>0</v>
          </cell>
          <cell r="BZ24">
            <v>0</v>
          </cell>
          <cell r="CA24">
            <v>0</v>
          </cell>
          <cell r="CB24">
            <v>2000</v>
          </cell>
        </row>
        <row r="25">
          <cell r="A25" t="str">
            <v>US59P015503961100000</v>
          </cell>
          <cell r="B25" t="str">
            <v>Pekin</v>
          </cell>
          <cell r="C25" t="str">
            <v>Jan-Dec</v>
          </cell>
          <cell r="D25" t="str">
            <v>US59P01550</v>
          </cell>
          <cell r="E25" t="str">
            <v>550</v>
          </cell>
          <cell r="F25" t="str">
            <v>Field Production</v>
          </cell>
          <cell r="G25" t="str">
            <v>01</v>
          </cell>
          <cell r="H25">
            <v>3961100000</v>
          </cell>
          <cell r="I25" t="str">
            <v>COMPREHENSIVE INSURANCES</v>
          </cell>
          <cell r="J25" t="str">
            <v>VALID</v>
          </cell>
          <cell r="K25">
            <v>0</v>
          </cell>
          <cell r="L25">
            <v>0</v>
          </cell>
          <cell r="M25">
            <v>0</v>
          </cell>
          <cell r="N25">
            <v>0</v>
          </cell>
          <cell r="O25">
            <v>0</v>
          </cell>
          <cell r="P25">
            <v>0</v>
          </cell>
          <cell r="Q25">
            <v>0</v>
          </cell>
          <cell r="R25">
            <v>0</v>
          </cell>
          <cell r="S25">
            <v>0</v>
          </cell>
          <cell r="T25">
            <v>0</v>
          </cell>
          <cell r="U25">
            <v>62569</v>
          </cell>
          <cell r="V25">
            <v>0</v>
          </cell>
          <cell r="W25">
            <v>0</v>
          </cell>
          <cell r="X25">
            <v>0</v>
          </cell>
          <cell r="Y25">
            <v>0</v>
          </cell>
          <cell r="Z25">
            <v>0</v>
          </cell>
          <cell r="AA25">
            <v>0</v>
          </cell>
          <cell r="AB25">
            <v>0</v>
          </cell>
          <cell r="AC25">
            <v>0</v>
          </cell>
          <cell r="AD25">
            <v>0</v>
          </cell>
          <cell r="AE25">
            <v>0</v>
          </cell>
          <cell r="AF25">
            <v>108004</v>
          </cell>
          <cell r="AG25">
            <v>0</v>
          </cell>
          <cell r="AH25">
            <v>-12671</v>
          </cell>
          <cell r="AI25">
            <v>0</v>
          </cell>
          <cell r="AJ25">
            <v>0</v>
          </cell>
          <cell r="AK25">
            <v>0</v>
          </cell>
          <cell r="AL25">
            <v>0</v>
          </cell>
          <cell r="AM25">
            <v>0</v>
          </cell>
          <cell r="AN25">
            <v>0</v>
          </cell>
          <cell r="AO25">
            <v>0</v>
          </cell>
          <cell r="AP25">
            <v>0</v>
          </cell>
          <cell r="AQ25">
            <v>0</v>
          </cell>
          <cell r="AR25">
            <v>57071</v>
          </cell>
          <cell r="AS25">
            <v>0</v>
          </cell>
          <cell r="AT25">
            <v>0</v>
          </cell>
          <cell r="AU25">
            <v>-7114</v>
          </cell>
          <cell r="AV25">
            <v>0</v>
          </cell>
          <cell r="AW25">
            <v>0</v>
          </cell>
          <cell r="AX25">
            <v>0</v>
          </cell>
          <cell r="BD25">
            <v>60000</v>
          </cell>
          <cell r="BS25">
            <v>62569</v>
          </cell>
          <cell r="BT25">
            <v>95333</v>
          </cell>
          <cell r="BU25">
            <v>57071</v>
          </cell>
          <cell r="BV25">
            <v>52886</v>
          </cell>
          <cell r="BW25">
            <v>0</v>
          </cell>
          <cell r="BX25">
            <v>62569</v>
          </cell>
          <cell r="BY25">
            <v>95333</v>
          </cell>
          <cell r="BZ25">
            <v>57071</v>
          </cell>
          <cell r="CA25">
            <v>-7114</v>
          </cell>
          <cell r="CB25">
            <v>60000</v>
          </cell>
        </row>
        <row r="26">
          <cell r="A26" t="str">
            <v>US59P015503001500151</v>
          </cell>
          <cell r="B26" t="str">
            <v>Pekin</v>
          </cell>
          <cell r="C26" t="str">
            <v>Jan-Dec</v>
          </cell>
          <cell r="D26" t="str">
            <v>US59P01550</v>
          </cell>
          <cell r="E26" t="str">
            <v>550</v>
          </cell>
          <cell r="F26" t="str">
            <v>Field Production</v>
          </cell>
          <cell r="G26" t="str">
            <v>01</v>
          </cell>
          <cell r="H26">
            <v>3001500151</v>
          </cell>
          <cell r="I26" t="str">
            <v>INVENTORY MOVEMENT / PACKED COMMERCIAL D</v>
          </cell>
          <cell r="J26" t="str">
            <v>INVALID</v>
          </cell>
          <cell r="K26">
            <v>0</v>
          </cell>
          <cell r="L26">
            <v>0</v>
          </cell>
          <cell r="M26">
            <v>0</v>
          </cell>
          <cell r="N26">
            <v>0</v>
          </cell>
          <cell r="O26">
            <v>0</v>
          </cell>
          <cell r="P26">
            <v>0</v>
          </cell>
          <cell r="Q26">
            <v>5636</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BS26">
            <v>5636</v>
          </cell>
          <cell r="BT26">
            <v>0</v>
          </cell>
          <cell r="BU26">
            <v>0</v>
          </cell>
          <cell r="BV26">
            <v>0</v>
          </cell>
          <cell r="BW26">
            <v>0</v>
          </cell>
          <cell r="BX26">
            <v>5636</v>
          </cell>
          <cell r="BY26">
            <v>0</v>
          </cell>
          <cell r="BZ26">
            <v>0</v>
          </cell>
          <cell r="CA26">
            <v>0</v>
          </cell>
          <cell r="CB26">
            <v>0</v>
          </cell>
        </row>
        <row r="27">
          <cell r="A27" t="str">
            <v>US59P015503001509600</v>
          </cell>
          <cell r="B27" t="str">
            <v>Pekin</v>
          </cell>
          <cell r="C27" t="str">
            <v>Jan-Dec</v>
          </cell>
          <cell r="D27" t="str">
            <v>US59P01550</v>
          </cell>
          <cell r="E27" t="str">
            <v>550</v>
          </cell>
          <cell r="F27" t="str">
            <v>Field Production</v>
          </cell>
          <cell r="G27" t="str">
            <v>01</v>
          </cell>
          <cell r="H27">
            <v>3001509600</v>
          </cell>
          <cell r="I27" t="str">
            <v>INVENTORY MOVEMENTS-DISCARDS DIR/POST.</v>
          </cell>
          <cell r="J27" t="str">
            <v>INVALID</v>
          </cell>
          <cell r="K27">
            <v>0</v>
          </cell>
          <cell r="L27">
            <v>0</v>
          </cell>
          <cell r="M27">
            <v>0</v>
          </cell>
          <cell r="N27">
            <v>0</v>
          </cell>
          <cell r="O27">
            <v>0</v>
          </cell>
          <cell r="P27">
            <v>0</v>
          </cell>
          <cell r="Q27">
            <v>-5636</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BS27">
            <v>-5636</v>
          </cell>
          <cell r="BT27">
            <v>0</v>
          </cell>
          <cell r="BU27">
            <v>0</v>
          </cell>
          <cell r="BV27">
            <v>0</v>
          </cell>
          <cell r="BW27">
            <v>0</v>
          </cell>
          <cell r="BX27">
            <v>-5636</v>
          </cell>
          <cell r="BY27">
            <v>0</v>
          </cell>
          <cell r="BZ27">
            <v>0</v>
          </cell>
          <cell r="CA27">
            <v>0</v>
          </cell>
          <cell r="CB27">
            <v>0</v>
          </cell>
        </row>
        <row r="28">
          <cell r="A28" t="str">
            <v>US59P015503111100020</v>
          </cell>
          <cell r="B28" t="str">
            <v>Pekin</v>
          </cell>
          <cell r="C28" t="str">
            <v>Jan-Dec</v>
          </cell>
          <cell r="D28" t="str">
            <v>US59P01550</v>
          </cell>
          <cell r="E28" t="str">
            <v>550</v>
          </cell>
          <cell r="F28" t="str">
            <v>Field Production</v>
          </cell>
          <cell r="G28" t="str">
            <v>01</v>
          </cell>
          <cell r="H28">
            <v>3111100020</v>
          </cell>
          <cell r="I28" t="str">
            <v>INCENTIVE PLAN (functions)</v>
          </cell>
          <cell r="J28" t="str">
            <v>INVALID</v>
          </cell>
          <cell r="K28">
            <v>0</v>
          </cell>
          <cell r="L28">
            <v>0</v>
          </cell>
          <cell r="M28">
            <v>0</v>
          </cell>
          <cell r="N28">
            <v>0</v>
          </cell>
          <cell r="O28">
            <v>0</v>
          </cell>
          <cell r="P28">
            <v>0</v>
          </cell>
          <cell r="Q28">
            <v>0</v>
          </cell>
          <cell r="R28">
            <v>0</v>
          </cell>
          <cell r="S28">
            <v>0</v>
          </cell>
          <cell r="T28">
            <v>0</v>
          </cell>
          <cell r="U28">
            <v>0</v>
          </cell>
          <cell r="V28">
            <v>0</v>
          </cell>
          <cell r="W28">
            <v>139</v>
          </cell>
          <cell r="X28">
            <v>-139</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BS28">
            <v>0</v>
          </cell>
          <cell r="BT28">
            <v>0</v>
          </cell>
          <cell r="BU28">
            <v>0</v>
          </cell>
          <cell r="BV28">
            <v>0</v>
          </cell>
          <cell r="BW28">
            <v>0</v>
          </cell>
          <cell r="BX28">
            <v>0</v>
          </cell>
          <cell r="BY28">
            <v>0</v>
          </cell>
          <cell r="BZ28">
            <v>0</v>
          </cell>
          <cell r="CA28">
            <v>0</v>
          </cell>
          <cell r="CB28">
            <v>0</v>
          </cell>
        </row>
        <row r="29">
          <cell r="A29" t="str">
            <v>US59P015503201300002</v>
          </cell>
          <cell r="B29" t="str">
            <v>Pekin</v>
          </cell>
          <cell r="C29" t="str">
            <v>Jan-Dec</v>
          </cell>
          <cell r="D29" t="str">
            <v>US59P01550</v>
          </cell>
          <cell r="E29" t="str">
            <v>550</v>
          </cell>
          <cell r="F29" t="str">
            <v>Field Production</v>
          </cell>
          <cell r="G29" t="str">
            <v>01</v>
          </cell>
          <cell r="H29">
            <v>3201300002</v>
          </cell>
          <cell r="I29" t="str">
            <v>O/S SERVICES</v>
          </cell>
          <cell r="J29" t="str">
            <v>INVALID</v>
          </cell>
          <cell r="K29">
            <v>0</v>
          </cell>
          <cell r="L29">
            <v>350</v>
          </cell>
          <cell r="M29">
            <v>0</v>
          </cell>
          <cell r="N29">
            <v>0</v>
          </cell>
          <cell r="O29">
            <v>0</v>
          </cell>
          <cell r="P29">
            <v>1</v>
          </cell>
          <cell r="Q29">
            <v>0</v>
          </cell>
          <cell r="R29">
            <v>12012</v>
          </cell>
          <cell r="S29">
            <v>13590</v>
          </cell>
          <cell r="T29">
            <v>0</v>
          </cell>
          <cell r="U29">
            <v>3704</v>
          </cell>
          <cell r="V29">
            <v>5750</v>
          </cell>
          <cell r="W29">
            <v>0</v>
          </cell>
          <cell r="X29">
            <v>162</v>
          </cell>
          <cell r="Y29">
            <v>0</v>
          </cell>
          <cell r="Z29">
            <v>0</v>
          </cell>
          <cell r="AA29">
            <v>1</v>
          </cell>
          <cell r="AB29">
            <v>59</v>
          </cell>
          <cell r="AC29">
            <v>555</v>
          </cell>
          <cell r="AD29">
            <v>0</v>
          </cell>
          <cell r="AE29">
            <v>149</v>
          </cell>
          <cell r="AF29">
            <v>13</v>
          </cell>
          <cell r="AG29">
            <v>8313</v>
          </cell>
          <cell r="AH29">
            <v>0</v>
          </cell>
          <cell r="AI29">
            <v>0</v>
          </cell>
          <cell r="AJ29">
            <v>0</v>
          </cell>
          <cell r="AK29">
            <v>0</v>
          </cell>
          <cell r="AL29">
            <v>721</v>
          </cell>
          <cell r="AM29">
            <v>1928</v>
          </cell>
          <cell r="AN29">
            <v>0</v>
          </cell>
          <cell r="AO29">
            <v>447</v>
          </cell>
          <cell r="AP29">
            <v>0</v>
          </cell>
          <cell r="AQ29">
            <v>0</v>
          </cell>
          <cell r="AR29">
            <v>0</v>
          </cell>
          <cell r="AS29">
            <v>0</v>
          </cell>
          <cell r="AT29">
            <v>0</v>
          </cell>
          <cell r="AU29">
            <v>0</v>
          </cell>
          <cell r="AV29">
            <v>0</v>
          </cell>
          <cell r="AW29">
            <v>0</v>
          </cell>
          <cell r="AX29">
            <v>0</v>
          </cell>
          <cell r="BS29">
            <v>35407</v>
          </cell>
          <cell r="BT29">
            <v>9252</v>
          </cell>
          <cell r="BU29">
            <v>3096</v>
          </cell>
          <cell r="BV29">
            <v>0</v>
          </cell>
          <cell r="BW29">
            <v>0</v>
          </cell>
          <cell r="BX29">
            <v>35407</v>
          </cell>
          <cell r="BY29">
            <v>9252</v>
          </cell>
          <cell r="BZ29">
            <v>3096</v>
          </cell>
          <cell r="CA29">
            <v>0</v>
          </cell>
          <cell r="CB29">
            <v>0</v>
          </cell>
        </row>
        <row r="30">
          <cell r="A30" t="str">
            <v>US59P015503201300004</v>
          </cell>
          <cell r="B30" t="str">
            <v>Pekin</v>
          </cell>
          <cell r="C30" t="str">
            <v>Jan-Dec</v>
          </cell>
          <cell r="D30" t="str">
            <v>US59P01550</v>
          </cell>
          <cell r="E30" t="str">
            <v>550</v>
          </cell>
          <cell r="F30" t="str">
            <v>Field Production</v>
          </cell>
          <cell r="G30" t="str">
            <v>01</v>
          </cell>
          <cell r="H30">
            <v>3201300004</v>
          </cell>
          <cell r="I30" t="str">
            <v>O/S SERVICES - COMPUTER PROGRAMMING</v>
          </cell>
          <cell r="J30" t="str">
            <v>INVALID</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2895</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BS30">
            <v>0</v>
          </cell>
          <cell r="BT30">
            <v>2895</v>
          </cell>
          <cell r="BU30">
            <v>0</v>
          </cell>
          <cell r="BV30">
            <v>0</v>
          </cell>
          <cell r="BW30">
            <v>0</v>
          </cell>
          <cell r="BX30">
            <v>0</v>
          </cell>
          <cell r="BY30">
            <v>2895</v>
          </cell>
          <cell r="BZ30">
            <v>0</v>
          </cell>
          <cell r="CA30">
            <v>0</v>
          </cell>
          <cell r="CB30">
            <v>0</v>
          </cell>
        </row>
        <row r="31">
          <cell r="A31" t="str">
            <v>US59P015503201400003</v>
          </cell>
          <cell r="B31" t="str">
            <v>Pekin</v>
          </cell>
          <cell r="C31" t="str">
            <v>Jan-Dec</v>
          </cell>
          <cell r="D31" t="str">
            <v>US59P01550</v>
          </cell>
          <cell r="E31" t="str">
            <v>550</v>
          </cell>
          <cell r="F31" t="str">
            <v>Field Production</v>
          </cell>
          <cell r="G31" t="str">
            <v>01</v>
          </cell>
          <cell r="H31">
            <v>3201400003</v>
          </cell>
          <cell r="I31" t="str">
            <v>MAINTENANCE OF OFFICE EQUIPMENT AND FURN</v>
          </cell>
          <cell r="J31" t="str">
            <v>INVALID</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4977</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BS31">
            <v>0</v>
          </cell>
          <cell r="BT31">
            <v>4977</v>
          </cell>
          <cell r="BU31">
            <v>0</v>
          </cell>
          <cell r="BV31">
            <v>0</v>
          </cell>
          <cell r="BW31">
            <v>0</v>
          </cell>
          <cell r="BX31">
            <v>0</v>
          </cell>
          <cell r="BY31">
            <v>4977</v>
          </cell>
          <cell r="BZ31">
            <v>0</v>
          </cell>
          <cell r="CA31">
            <v>0</v>
          </cell>
          <cell r="CB31">
            <v>0</v>
          </cell>
        </row>
        <row r="32">
          <cell r="A32" t="str">
            <v>US59P015503201400052</v>
          </cell>
          <cell r="B32" t="str">
            <v>Pekin</v>
          </cell>
          <cell r="C32" t="str">
            <v>Jan-Dec</v>
          </cell>
          <cell r="D32" t="str">
            <v>US59P01550</v>
          </cell>
          <cell r="E32" t="str">
            <v>550</v>
          </cell>
          <cell r="F32" t="str">
            <v>Field Production</v>
          </cell>
          <cell r="G32" t="str">
            <v>01</v>
          </cell>
          <cell r="H32">
            <v>3201400052</v>
          </cell>
          <cell r="I32" t="str">
            <v>TRACKING</v>
          </cell>
          <cell r="J32" t="str">
            <v>INVALID</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1826</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BS32">
            <v>0</v>
          </cell>
          <cell r="BT32">
            <v>1826</v>
          </cell>
          <cell r="BU32">
            <v>0</v>
          </cell>
          <cell r="BV32">
            <v>0</v>
          </cell>
          <cell r="BW32">
            <v>0</v>
          </cell>
          <cell r="BX32">
            <v>0</v>
          </cell>
          <cell r="BY32">
            <v>1826</v>
          </cell>
          <cell r="BZ32">
            <v>0</v>
          </cell>
          <cell r="CA32">
            <v>0</v>
          </cell>
          <cell r="CB32">
            <v>0</v>
          </cell>
        </row>
        <row r="33">
          <cell r="A33" t="str">
            <v>US59P015503201400055</v>
          </cell>
          <cell r="B33" t="str">
            <v>Pekin</v>
          </cell>
          <cell r="C33" t="str">
            <v>Jan-Dec</v>
          </cell>
          <cell r="D33" t="str">
            <v>US59P01550</v>
          </cell>
          <cell r="E33" t="str">
            <v>550</v>
          </cell>
          <cell r="F33" t="str">
            <v>Field Production</v>
          </cell>
          <cell r="G33" t="str">
            <v>01</v>
          </cell>
          <cell r="H33">
            <v>3201400055</v>
          </cell>
          <cell r="I33" t="str">
            <v>LABORATORY TESTING</v>
          </cell>
          <cell r="J33" t="str">
            <v>INVALID</v>
          </cell>
          <cell r="K33">
            <v>0</v>
          </cell>
          <cell r="L33">
            <v>0</v>
          </cell>
          <cell r="M33">
            <v>46</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BS33">
            <v>46</v>
          </cell>
          <cell r="BT33">
            <v>0</v>
          </cell>
          <cell r="BU33">
            <v>0</v>
          </cell>
          <cell r="BV33">
            <v>0</v>
          </cell>
          <cell r="BW33">
            <v>0</v>
          </cell>
          <cell r="BX33">
            <v>46</v>
          </cell>
          <cell r="BY33">
            <v>0</v>
          </cell>
          <cell r="BZ33">
            <v>0</v>
          </cell>
          <cell r="CA33">
            <v>0</v>
          </cell>
          <cell r="CB33">
            <v>0</v>
          </cell>
        </row>
        <row r="34">
          <cell r="A34" t="str">
            <v>US59P015503201400058</v>
          </cell>
          <cell r="B34" t="str">
            <v>Pekin</v>
          </cell>
          <cell r="C34" t="str">
            <v>Jan-Dec</v>
          </cell>
          <cell r="D34" t="str">
            <v>US59P01550</v>
          </cell>
          <cell r="E34" t="str">
            <v>550</v>
          </cell>
          <cell r="F34" t="str">
            <v>Field Production</v>
          </cell>
          <cell r="G34" t="str">
            <v>01</v>
          </cell>
          <cell r="H34">
            <v>3201400058</v>
          </cell>
          <cell r="I34" t="str">
            <v>FIELD AND PRODUCTION SERVICES - DETASSEL</v>
          </cell>
          <cell r="J34" t="str">
            <v>INVALID</v>
          </cell>
          <cell r="K34">
            <v>0</v>
          </cell>
          <cell r="L34">
            <v>0</v>
          </cell>
          <cell r="M34">
            <v>0</v>
          </cell>
          <cell r="N34">
            <v>0</v>
          </cell>
          <cell r="O34">
            <v>0</v>
          </cell>
          <cell r="P34">
            <v>0</v>
          </cell>
          <cell r="Q34">
            <v>54973</v>
          </cell>
          <cell r="R34">
            <v>252457</v>
          </cell>
          <cell r="S34">
            <v>5036</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BS34">
            <v>312466</v>
          </cell>
          <cell r="BT34">
            <v>0</v>
          </cell>
          <cell r="BU34">
            <v>0</v>
          </cell>
          <cell r="BV34">
            <v>0</v>
          </cell>
          <cell r="BW34">
            <v>0</v>
          </cell>
          <cell r="BX34">
            <v>312466</v>
          </cell>
          <cell r="BY34">
            <v>0</v>
          </cell>
          <cell r="BZ34">
            <v>0</v>
          </cell>
          <cell r="CA34">
            <v>0</v>
          </cell>
          <cell r="CB34">
            <v>0</v>
          </cell>
        </row>
        <row r="35">
          <cell r="A35" t="str">
            <v>US59P015503921100001</v>
          </cell>
          <cell r="B35" t="str">
            <v>Pekin</v>
          </cell>
          <cell r="C35" t="str">
            <v>Jan-Dec</v>
          </cell>
          <cell r="D35" t="str">
            <v>US59P01550</v>
          </cell>
          <cell r="E35" t="str">
            <v>550</v>
          </cell>
          <cell r="F35" t="str">
            <v>Field Production</v>
          </cell>
          <cell r="G35" t="str">
            <v>01</v>
          </cell>
          <cell r="H35">
            <v>3921100001</v>
          </cell>
          <cell r="I35" t="str">
            <v>UTILITY EXPENSES ELECTRICITY</v>
          </cell>
          <cell r="J35" t="str">
            <v>INVALID</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855</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BS35">
            <v>0</v>
          </cell>
          <cell r="BT35">
            <v>855</v>
          </cell>
          <cell r="BU35">
            <v>0</v>
          </cell>
          <cell r="BV35">
            <v>0</v>
          </cell>
          <cell r="BW35">
            <v>0</v>
          </cell>
          <cell r="BX35">
            <v>0</v>
          </cell>
          <cell r="BY35">
            <v>855</v>
          </cell>
          <cell r="BZ35">
            <v>0</v>
          </cell>
          <cell r="CA35">
            <v>0</v>
          </cell>
          <cell r="CB35">
            <v>0</v>
          </cell>
        </row>
        <row r="36">
          <cell r="A36" t="str">
            <v>US59P015503941100001</v>
          </cell>
          <cell r="B36" t="str">
            <v>Pekin</v>
          </cell>
          <cell r="C36" t="str">
            <v>Jan-Dec</v>
          </cell>
          <cell r="D36" t="str">
            <v>US59P01550</v>
          </cell>
          <cell r="E36" t="str">
            <v>550</v>
          </cell>
          <cell r="F36" t="str">
            <v>Field Production</v>
          </cell>
          <cell r="G36" t="str">
            <v>01</v>
          </cell>
          <cell r="H36">
            <v>3941100001</v>
          </cell>
          <cell r="I36" t="str">
            <v>FREIGHT ON SALES</v>
          </cell>
          <cell r="J36" t="str">
            <v>INVALID</v>
          </cell>
          <cell r="K36">
            <v>0</v>
          </cell>
          <cell r="L36">
            <v>3252</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BS36">
            <v>3252</v>
          </cell>
          <cell r="BT36">
            <v>0</v>
          </cell>
          <cell r="BU36">
            <v>0</v>
          </cell>
          <cell r="BV36">
            <v>0</v>
          </cell>
          <cell r="BW36">
            <v>0</v>
          </cell>
          <cell r="BX36">
            <v>3252</v>
          </cell>
          <cell r="BY36">
            <v>0</v>
          </cell>
          <cell r="BZ36">
            <v>0</v>
          </cell>
          <cell r="CA36">
            <v>0</v>
          </cell>
          <cell r="CB36">
            <v>0</v>
          </cell>
        </row>
        <row r="37">
          <cell r="A37" t="str">
            <v>US59P015503941100002</v>
          </cell>
          <cell r="B37" t="str">
            <v>Pekin</v>
          </cell>
          <cell r="C37" t="str">
            <v>Jan-Dec</v>
          </cell>
          <cell r="D37" t="str">
            <v>US59P01550</v>
          </cell>
          <cell r="E37" t="str">
            <v>550</v>
          </cell>
          <cell r="F37" t="str">
            <v>Field Production</v>
          </cell>
          <cell r="G37" t="str">
            <v>01</v>
          </cell>
          <cell r="H37">
            <v>3941100002</v>
          </cell>
          <cell r="I37" t="str">
            <v>FREIGHT BETWEEN PLANTS</v>
          </cell>
          <cell r="J37" t="str">
            <v>INVALID</v>
          </cell>
          <cell r="K37">
            <v>-4374</v>
          </cell>
          <cell r="L37">
            <v>0</v>
          </cell>
          <cell r="M37">
            <v>0</v>
          </cell>
          <cell r="N37">
            <v>0</v>
          </cell>
          <cell r="O37">
            <v>0</v>
          </cell>
          <cell r="P37">
            <v>0</v>
          </cell>
          <cell r="Q37">
            <v>0</v>
          </cell>
          <cell r="R37">
            <v>0</v>
          </cell>
          <cell r="S37">
            <v>31157</v>
          </cell>
          <cell r="T37">
            <v>55088</v>
          </cell>
          <cell r="U37">
            <v>9235</v>
          </cell>
          <cell r="V37">
            <v>18132</v>
          </cell>
          <cell r="W37">
            <v>34891</v>
          </cell>
          <cell r="X37">
            <v>0</v>
          </cell>
          <cell r="Y37">
            <v>2594</v>
          </cell>
          <cell r="Z37">
            <v>0</v>
          </cell>
          <cell r="AA37">
            <v>0</v>
          </cell>
          <cell r="AB37">
            <v>0</v>
          </cell>
          <cell r="AC37">
            <v>0</v>
          </cell>
          <cell r="AD37">
            <v>0</v>
          </cell>
          <cell r="AE37">
            <v>0</v>
          </cell>
          <cell r="AF37">
            <v>0</v>
          </cell>
          <cell r="AG37">
            <v>2819</v>
          </cell>
          <cell r="AH37">
            <v>9019</v>
          </cell>
          <cell r="AI37">
            <v>0</v>
          </cell>
          <cell r="AJ37">
            <v>15566</v>
          </cell>
          <cell r="AK37">
            <v>26591</v>
          </cell>
          <cell r="AL37">
            <v>0</v>
          </cell>
          <cell r="AM37">
            <v>7529</v>
          </cell>
          <cell r="AN37">
            <v>0</v>
          </cell>
          <cell r="AO37">
            <v>0</v>
          </cell>
          <cell r="AP37">
            <v>0</v>
          </cell>
          <cell r="AQ37">
            <v>0</v>
          </cell>
          <cell r="AR37">
            <v>0</v>
          </cell>
          <cell r="AS37">
            <v>0</v>
          </cell>
          <cell r="AT37">
            <v>0</v>
          </cell>
          <cell r="AU37">
            <v>0</v>
          </cell>
          <cell r="AV37">
            <v>0</v>
          </cell>
          <cell r="AW37">
            <v>0</v>
          </cell>
          <cell r="AX37">
            <v>0</v>
          </cell>
          <cell r="BS37">
            <v>109238</v>
          </cell>
          <cell r="BT37">
            <v>49323</v>
          </cell>
          <cell r="BU37">
            <v>49686</v>
          </cell>
          <cell r="BV37">
            <v>0</v>
          </cell>
          <cell r="BW37">
            <v>0</v>
          </cell>
          <cell r="BX37">
            <v>109238</v>
          </cell>
          <cell r="BY37">
            <v>49323</v>
          </cell>
          <cell r="BZ37">
            <v>49686</v>
          </cell>
          <cell r="CA37">
            <v>0</v>
          </cell>
          <cell r="CB37">
            <v>0</v>
          </cell>
        </row>
        <row r="38">
          <cell r="A38" t="str">
            <v>US59P015503951200008</v>
          </cell>
          <cell r="B38" t="str">
            <v>Pekin</v>
          </cell>
          <cell r="C38" t="str">
            <v>Jan-Dec</v>
          </cell>
          <cell r="D38" t="str">
            <v>US59P01550</v>
          </cell>
          <cell r="E38" t="str">
            <v>550</v>
          </cell>
          <cell r="F38" t="str">
            <v>Field Production</v>
          </cell>
          <cell r="G38" t="str">
            <v>01</v>
          </cell>
          <cell r="H38">
            <v>3951200008</v>
          </cell>
          <cell r="I38" t="str">
            <v>OPERATING LEASES - PERSONAL COMPUTER</v>
          </cell>
          <cell r="J38" t="str">
            <v>INVALID</v>
          </cell>
          <cell r="K38">
            <v>0</v>
          </cell>
          <cell r="L38">
            <v>0</v>
          </cell>
          <cell r="M38">
            <v>84</v>
          </cell>
          <cell r="N38">
            <v>0</v>
          </cell>
          <cell r="O38">
            <v>0</v>
          </cell>
          <cell r="P38">
            <v>84</v>
          </cell>
          <cell r="Q38">
            <v>0</v>
          </cell>
          <cell r="R38">
            <v>0</v>
          </cell>
          <cell r="S38">
            <v>84</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BS38">
            <v>252</v>
          </cell>
          <cell r="BT38">
            <v>0</v>
          </cell>
          <cell r="BU38">
            <v>0</v>
          </cell>
          <cell r="BV38">
            <v>0</v>
          </cell>
          <cell r="BW38">
            <v>0</v>
          </cell>
          <cell r="BX38">
            <v>252</v>
          </cell>
          <cell r="BY38">
            <v>0</v>
          </cell>
          <cell r="BZ38">
            <v>0</v>
          </cell>
          <cell r="CA38">
            <v>0</v>
          </cell>
          <cell r="CB38">
            <v>0</v>
          </cell>
        </row>
        <row r="39">
          <cell r="A39" t="str">
            <v>US59P015503981100067</v>
          </cell>
          <cell r="B39" t="str">
            <v>Pekin</v>
          </cell>
          <cell r="C39" t="str">
            <v>Jan-Dec</v>
          </cell>
          <cell r="D39" t="str">
            <v>US59P01550</v>
          </cell>
          <cell r="E39" t="str">
            <v>550</v>
          </cell>
          <cell r="F39" t="str">
            <v>Field Production</v>
          </cell>
          <cell r="G39" t="str">
            <v>01</v>
          </cell>
          <cell r="H39">
            <v>3981100067</v>
          </cell>
          <cell r="I39" t="str">
            <v>NET BOOK VALUE OF FIXED ASSETS 3RD</v>
          </cell>
          <cell r="J39" t="str">
            <v>INVALID</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-100000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BS39">
            <v>0</v>
          </cell>
          <cell r="BT39">
            <v>-100000</v>
          </cell>
          <cell r="BU39">
            <v>0</v>
          </cell>
          <cell r="BV39">
            <v>0</v>
          </cell>
          <cell r="BW39">
            <v>0</v>
          </cell>
          <cell r="BX39">
            <v>0</v>
          </cell>
          <cell r="BY39">
            <v>-100000</v>
          </cell>
          <cell r="BZ39">
            <v>0</v>
          </cell>
          <cell r="CA39">
            <v>0</v>
          </cell>
          <cell r="CB39">
            <v>0</v>
          </cell>
        </row>
        <row r="40">
          <cell r="A40" t="str">
            <v>US59P015503981100078</v>
          </cell>
          <cell r="B40" t="str">
            <v>Pekin</v>
          </cell>
          <cell r="C40" t="str">
            <v>Jan-Dec</v>
          </cell>
          <cell r="D40" t="str">
            <v>US59P01550</v>
          </cell>
          <cell r="E40" t="str">
            <v>550</v>
          </cell>
          <cell r="F40" t="str">
            <v>Field Production</v>
          </cell>
          <cell r="G40" t="str">
            <v>01</v>
          </cell>
          <cell r="H40">
            <v>3981100078</v>
          </cell>
          <cell r="I40" t="str">
            <v>GAIN ON FIXED ASSET</v>
          </cell>
          <cell r="J40" t="str">
            <v>INVALID</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1629</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BS40">
            <v>0</v>
          </cell>
          <cell r="BT40">
            <v>1629</v>
          </cell>
          <cell r="BU40">
            <v>0</v>
          </cell>
          <cell r="BV40">
            <v>0</v>
          </cell>
          <cell r="BW40">
            <v>0</v>
          </cell>
          <cell r="BX40">
            <v>0</v>
          </cell>
          <cell r="BY40">
            <v>1629</v>
          </cell>
          <cell r="BZ40">
            <v>0</v>
          </cell>
          <cell r="CA40">
            <v>0</v>
          </cell>
          <cell r="CB40">
            <v>0</v>
          </cell>
        </row>
        <row r="41">
          <cell r="A41" t="str">
            <v>US59P015503991200012</v>
          </cell>
          <cell r="B41" t="str">
            <v>Pekin</v>
          </cell>
          <cell r="C41" t="str">
            <v>Jan-Dec</v>
          </cell>
          <cell r="D41" t="str">
            <v>US59P01550</v>
          </cell>
          <cell r="E41" t="str">
            <v>550</v>
          </cell>
          <cell r="F41" t="str">
            <v>Field Production</v>
          </cell>
          <cell r="G41" t="str">
            <v>01</v>
          </cell>
          <cell r="H41">
            <v>3991200012</v>
          </cell>
          <cell r="I41" t="str">
            <v>DELIVERY SERVICES</v>
          </cell>
          <cell r="J41" t="str">
            <v>INVALID</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36</v>
          </cell>
          <cell r="AS41">
            <v>0</v>
          </cell>
          <cell r="AT41">
            <v>-36</v>
          </cell>
          <cell r="AU41">
            <v>0</v>
          </cell>
          <cell r="AV41">
            <v>0</v>
          </cell>
          <cell r="AW41">
            <v>0</v>
          </cell>
          <cell r="AX41">
            <v>0</v>
          </cell>
          <cell r="BS41">
            <v>0</v>
          </cell>
          <cell r="BT41">
            <v>0</v>
          </cell>
          <cell r="BU41">
            <v>0</v>
          </cell>
          <cell r="BV41">
            <v>0</v>
          </cell>
          <cell r="BW41">
            <v>0</v>
          </cell>
          <cell r="BX41">
            <v>0</v>
          </cell>
          <cell r="BY41">
            <v>0</v>
          </cell>
          <cell r="BZ41">
            <v>0</v>
          </cell>
          <cell r="CA41">
            <v>0</v>
          </cell>
          <cell r="CB41">
            <v>0</v>
          </cell>
        </row>
        <row r="42">
          <cell r="A42" t="str">
            <v>US59P015503991200066</v>
          </cell>
          <cell r="B42" t="str">
            <v>Pekin</v>
          </cell>
          <cell r="C42" t="str">
            <v>Jan-Dec</v>
          </cell>
          <cell r="D42" t="str">
            <v>US59P01550</v>
          </cell>
          <cell r="E42" t="str">
            <v>550</v>
          </cell>
          <cell r="F42" t="str">
            <v>Field Production</v>
          </cell>
          <cell r="G42" t="str">
            <v>01</v>
          </cell>
          <cell r="H42">
            <v>3991200066</v>
          </cell>
          <cell r="I42" t="str">
            <v>HAZARDOUS WASTE DISPOSAL</v>
          </cell>
          <cell r="J42" t="str">
            <v>INVALID</v>
          </cell>
          <cell r="K42">
            <v>0</v>
          </cell>
          <cell r="L42">
            <v>0</v>
          </cell>
          <cell r="M42">
            <v>0</v>
          </cell>
          <cell r="N42">
            <v>0</v>
          </cell>
          <cell r="O42">
            <v>0</v>
          </cell>
          <cell r="P42">
            <v>1277</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BS42">
            <v>1277</v>
          </cell>
          <cell r="BT42">
            <v>0</v>
          </cell>
          <cell r="BU42">
            <v>0</v>
          </cell>
          <cell r="BV42">
            <v>0</v>
          </cell>
          <cell r="BW42">
            <v>0</v>
          </cell>
          <cell r="BX42">
            <v>1277</v>
          </cell>
          <cell r="BY42">
            <v>0</v>
          </cell>
          <cell r="BZ42">
            <v>0</v>
          </cell>
          <cell r="CA42">
            <v>0</v>
          </cell>
          <cell r="CB42">
            <v>0</v>
          </cell>
        </row>
        <row r="43">
          <cell r="A43" t="str">
            <v>US59P015503991200099</v>
          </cell>
          <cell r="B43" t="str">
            <v>Pekin</v>
          </cell>
          <cell r="C43" t="str">
            <v>Jan-Dec</v>
          </cell>
          <cell r="D43" t="str">
            <v>US59P01550</v>
          </cell>
          <cell r="E43" t="str">
            <v>550</v>
          </cell>
          <cell r="F43" t="str">
            <v>Field Production</v>
          </cell>
          <cell r="G43" t="str">
            <v>01</v>
          </cell>
          <cell r="H43">
            <v>3991200099</v>
          </cell>
          <cell r="I43" t="str">
            <v>OTHER EXPENSES TO 3RD PARTIES - ADJUSTME</v>
          </cell>
          <cell r="J43" t="str">
            <v>INVALID</v>
          </cell>
          <cell r="K43">
            <v>-773</v>
          </cell>
          <cell r="L43">
            <v>0</v>
          </cell>
          <cell r="M43">
            <v>0</v>
          </cell>
          <cell r="N43">
            <v>3378</v>
          </cell>
          <cell r="O43">
            <v>-2311</v>
          </cell>
          <cell r="P43">
            <v>0</v>
          </cell>
          <cell r="Q43">
            <v>0</v>
          </cell>
          <cell r="R43">
            <v>508</v>
          </cell>
          <cell r="S43">
            <v>1804</v>
          </cell>
          <cell r="T43">
            <v>2140</v>
          </cell>
          <cell r="U43">
            <v>105</v>
          </cell>
          <cell r="V43">
            <v>121</v>
          </cell>
          <cell r="W43">
            <v>0</v>
          </cell>
          <cell r="X43">
            <v>0</v>
          </cell>
          <cell r="Y43">
            <v>0</v>
          </cell>
          <cell r="Z43">
            <v>19</v>
          </cell>
          <cell r="AA43">
            <v>85</v>
          </cell>
          <cell r="AB43">
            <v>368</v>
          </cell>
          <cell r="AC43">
            <v>406</v>
          </cell>
          <cell r="AD43">
            <v>245</v>
          </cell>
          <cell r="AE43">
            <v>0</v>
          </cell>
          <cell r="AF43">
            <v>0</v>
          </cell>
          <cell r="AG43">
            <v>0</v>
          </cell>
          <cell r="AH43">
            <v>0</v>
          </cell>
          <cell r="AI43">
            <v>0</v>
          </cell>
          <cell r="AJ43">
            <v>1540</v>
          </cell>
          <cell r="AK43">
            <v>1666</v>
          </cell>
          <cell r="AL43">
            <v>19</v>
          </cell>
          <cell r="AM43">
            <v>162</v>
          </cell>
          <cell r="AN43">
            <v>253</v>
          </cell>
          <cell r="AO43">
            <v>34</v>
          </cell>
          <cell r="AP43">
            <v>0</v>
          </cell>
          <cell r="AQ43">
            <v>0</v>
          </cell>
          <cell r="AR43">
            <v>14</v>
          </cell>
          <cell r="AS43">
            <v>-14</v>
          </cell>
          <cell r="AT43">
            <v>25</v>
          </cell>
          <cell r="AU43">
            <v>0</v>
          </cell>
          <cell r="AV43">
            <v>0</v>
          </cell>
          <cell r="AW43">
            <v>0</v>
          </cell>
          <cell r="AX43">
            <v>0</v>
          </cell>
          <cell r="BS43">
            <v>4972</v>
          </cell>
          <cell r="BT43">
            <v>1123</v>
          </cell>
          <cell r="BU43">
            <v>3699</v>
          </cell>
          <cell r="BV43">
            <v>0</v>
          </cell>
          <cell r="BW43">
            <v>0</v>
          </cell>
          <cell r="BX43">
            <v>4972</v>
          </cell>
          <cell r="BY43">
            <v>1123</v>
          </cell>
          <cell r="BZ43">
            <v>3699</v>
          </cell>
          <cell r="CA43">
            <v>0</v>
          </cell>
          <cell r="CB43">
            <v>0</v>
          </cell>
        </row>
        <row r="44">
          <cell r="A44" t="str">
            <v>US59P015503991200201</v>
          </cell>
          <cell r="B44" t="str">
            <v>Pekin</v>
          </cell>
          <cell r="C44" t="str">
            <v>Jan-Dec</v>
          </cell>
          <cell r="D44" t="str">
            <v>US59P01550</v>
          </cell>
          <cell r="E44" t="str">
            <v>550</v>
          </cell>
          <cell r="F44" t="str">
            <v>Field Production</v>
          </cell>
          <cell r="G44" t="str">
            <v>01</v>
          </cell>
          <cell r="H44">
            <v>3991200201</v>
          </cell>
          <cell r="I44" t="str">
            <v>ALLOCATIONS OTHER IN/OUT LOAD AC</v>
          </cell>
          <cell r="J44" t="str">
            <v>INVALID</v>
          </cell>
          <cell r="K44">
            <v>0</v>
          </cell>
          <cell r="L44">
            <v>0</v>
          </cell>
          <cell r="M44">
            <v>0</v>
          </cell>
          <cell r="N44">
            <v>0</v>
          </cell>
          <cell r="O44">
            <v>0</v>
          </cell>
          <cell r="P44">
            <v>0</v>
          </cell>
          <cell r="Q44">
            <v>0</v>
          </cell>
          <cell r="R44">
            <v>0</v>
          </cell>
          <cell r="S44">
            <v>0</v>
          </cell>
          <cell r="T44">
            <v>0</v>
          </cell>
          <cell r="U44">
            <v>0</v>
          </cell>
          <cell r="V44">
            <v>0</v>
          </cell>
          <cell r="W44">
            <v>0</v>
          </cell>
          <cell r="X44">
            <v>-21</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BS44">
            <v>0</v>
          </cell>
          <cell r="BT44">
            <v>-21</v>
          </cell>
          <cell r="BU44">
            <v>0</v>
          </cell>
          <cell r="BV44">
            <v>0</v>
          </cell>
          <cell r="BW44">
            <v>0</v>
          </cell>
          <cell r="BX44">
            <v>0</v>
          </cell>
          <cell r="BY44">
            <v>-21</v>
          </cell>
          <cell r="BZ44">
            <v>0</v>
          </cell>
          <cell r="CA44">
            <v>0</v>
          </cell>
          <cell r="CB44">
            <v>0</v>
          </cell>
        </row>
        <row r="45">
          <cell r="A45" t="str">
            <v>US59P015509420000002</v>
          </cell>
          <cell r="B45" t="str">
            <v>Pekin</v>
          </cell>
          <cell r="C45" t="str">
            <v>Jan-Dec</v>
          </cell>
          <cell r="D45" t="str">
            <v>US59P01550</v>
          </cell>
          <cell r="E45" t="str">
            <v>550</v>
          </cell>
          <cell r="F45" t="str">
            <v>Field Production</v>
          </cell>
          <cell r="G45" t="str">
            <v>01</v>
          </cell>
          <cell r="H45">
            <v>9420000002</v>
          </cell>
          <cell r="I45" t="str">
            <v>Allocation by BA</v>
          </cell>
          <cell r="J45" t="str">
            <v>VALID - NON BUDGET</v>
          </cell>
          <cell r="K45">
            <v>4459</v>
          </cell>
          <cell r="L45">
            <v>6796</v>
          </cell>
          <cell r="M45">
            <v>4224</v>
          </cell>
          <cell r="N45">
            <v>2403</v>
          </cell>
          <cell r="O45">
            <v>3996</v>
          </cell>
          <cell r="P45">
            <v>4393</v>
          </cell>
          <cell r="Q45">
            <v>1553</v>
          </cell>
          <cell r="R45">
            <v>0</v>
          </cell>
          <cell r="S45">
            <v>12307</v>
          </cell>
          <cell r="T45">
            <v>-2775</v>
          </cell>
          <cell r="U45">
            <v>7437</v>
          </cell>
          <cell r="V45">
            <v>31078</v>
          </cell>
          <cell r="W45">
            <v>7779</v>
          </cell>
          <cell r="X45">
            <v>-265</v>
          </cell>
          <cell r="Y45">
            <v>0</v>
          </cell>
          <cell r="Z45">
            <v>0</v>
          </cell>
          <cell r="AA45">
            <v>0</v>
          </cell>
          <cell r="AB45">
            <v>0</v>
          </cell>
          <cell r="AC45">
            <v>0</v>
          </cell>
          <cell r="AD45">
            <v>0</v>
          </cell>
          <cell r="AE45">
            <v>0</v>
          </cell>
          <cell r="AF45">
            <v>0</v>
          </cell>
          <cell r="AG45">
            <v>0</v>
          </cell>
          <cell r="AH45">
            <v>0</v>
          </cell>
          <cell r="AI45">
            <v>483</v>
          </cell>
          <cell r="AJ45">
            <v>-1032</v>
          </cell>
          <cell r="AK45">
            <v>3342</v>
          </cell>
          <cell r="AL45">
            <v>4467</v>
          </cell>
          <cell r="AM45">
            <v>-1278</v>
          </cell>
          <cell r="AN45">
            <v>1799</v>
          </cell>
          <cell r="AO45">
            <v>-1274</v>
          </cell>
          <cell r="AP45">
            <v>-1313</v>
          </cell>
          <cell r="AQ45">
            <v>427</v>
          </cell>
          <cell r="AR45">
            <v>-1201</v>
          </cell>
          <cell r="AS45">
            <v>346</v>
          </cell>
          <cell r="AT45">
            <v>55</v>
          </cell>
          <cell r="AU45">
            <v>0</v>
          </cell>
          <cell r="AV45">
            <v>0</v>
          </cell>
          <cell r="AW45">
            <v>0</v>
          </cell>
          <cell r="AX45">
            <v>0</v>
          </cell>
          <cell r="BS45">
            <v>75871</v>
          </cell>
          <cell r="BT45">
            <v>7514</v>
          </cell>
          <cell r="BU45">
            <v>4821</v>
          </cell>
          <cell r="BV45">
            <v>0</v>
          </cell>
          <cell r="BW45">
            <v>0</v>
          </cell>
          <cell r="BX45">
            <v>75871</v>
          </cell>
          <cell r="BY45">
            <v>7514</v>
          </cell>
          <cell r="BZ45">
            <v>4821</v>
          </cell>
          <cell r="CA45">
            <v>0</v>
          </cell>
          <cell r="CB45">
            <v>0</v>
          </cell>
        </row>
        <row r="46">
          <cell r="A46" t="str">
            <v>US59P015509420000025</v>
          </cell>
          <cell r="B46" t="str">
            <v>Pekin</v>
          </cell>
          <cell r="C46" t="str">
            <v>Jan-Dec</v>
          </cell>
          <cell r="D46" t="str">
            <v>US59P01550</v>
          </cell>
          <cell r="E46" t="str">
            <v>550</v>
          </cell>
          <cell r="F46" t="str">
            <v>Field Production</v>
          </cell>
          <cell r="G46" t="str">
            <v>01</v>
          </cell>
          <cell r="H46">
            <v>9420000025</v>
          </cell>
          <cell r="I46" t="str">
            <v>EMPLOYEE BENEFIT ALLOCATION</v>
          </cell>
          <cell r="J46" t="str">
            <v>VALID - NON BUDGET</v>
          </cell>
          <cell r="K46">
            <v>0</v>
          </cell>
          <cell r="L46">
            <v>0</v>
          </cell>
          <cell r="M46">
            <v>0</v>
          </cell>
          <cell r="N46">
            <v>0</v>
          </cell>
          <cell r="O46">
            <v>0</v>
          </cell>
          <cell r="P46">
            <v>0</v>
          </cell>
          <cell r="Q46">
            <v>0</v>
          </cell>
          <cell r="R46">
            <v>0</v>
          </cell>
          <cell r="S46">
            <v>2236</v>
          </cell>
          <cell r="T46">
            <v>4626</v>
          </cell>
          <cell r="U46">
            <v>1165</v>
          </cell>
          <cell r="V46">
            <v>2595</v>
          </cell>
          <cell r="W46">
            <v>516</v>
          </cell>
          <cell r="X46">
            <v>0</v>
          </cell>
          <cell r="Y46">
            <v>0</v>
          </cell>
          <cell r="Z46">
            <v>0</v>
          </cell>
          <cell r="AA46">
            <v>5962</v>
          </cell>
          <cell r="AB46">
            <v>5048</v>
          </cell>
          <cell r="AC46">
            <v>10626</v>
          </cell>
          <cell r="AD46">
            <v>13289</v>
          </cell>
          <cell r="AE46">
            <v>3131</v>
          </cell>
          <cell r="AF46">
            <v>2676</v>
          </cell>
          <cell r="AG46">
            <v>507</v>
          </cell>
          <cell r="AH46">
            <v>744</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BS46">
            <v>10622</v>
          </cell>
          <cell r="BT46">
            <v>42499</v>
          </cell>
          <cell r="BU46">
            <v>0</v>
          </cell>
          <cell r="BV46">
            <v>0</v>
          </cell>
          <cell r="BW46">
            <v>0</v>
          </cell>
          <cell r="BX46">
            <v>10622</v>
          </cell>
          <cell r="BY46">
            <v>42499</v>
          </cell>
          <cell r="BZ46">
            <v>0</v>
          </cell>
          <cell r="CA46">
            <v>0</v>
          </cell>
          <cell r="CB46">
            <v>0</v>
          </cell>
        </row>
      </sheetData>
      <sheetData sheetId="10">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US59P015153991200099</v>
          </cell>
          <cell r="B4" t="str">
            <v>Pekin</v>
          </cell>
          <cell r="C4" t="str">
            <v>Jan-Dec</v>
          </cell>
          <cell r="D4" t="str">
            <v>US59P01515</v>
          </cell>
          <cell r="E4" t="str">
            <v>515</v>
          </cell>
          <cell r="F4" t="str">
            <v>License Fee Recovery</v>
          </cell>
          <cell r="G4" t="str">
            <v>01</v>
          </cell>
          <cell r="H4">
            <v>3991200099</v>
          </cell>
          <cell r="I4" t="str">
            <v>OTHER EXPENSES TO 3RD PARTIES - ADJUSTME</v>
          </cell>
          <cell r="J4" t="str">
            <v>VALID</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BE4">
            <v>-70152.625721292483</v>
          </cell>
          <cell r="BQ4">
            <v>-70152.625721292483</v>
          </cell>
          <cell r="BS4">
            <v>0</v>
          </cell>
          <cell r="BT4">
            <v>0</v>
          </cell>
          <cell r="BU4">
            <v>0</v>
          </cell>
          <cell r="BV4">
            <v>-70152.625721292483</v>
          </cell>
          <cell r="BW4">
            <v>-70152.625721292483</v>
          </cell>
          <cell r="BX4">
            <v>0</v>
          </cell>
          <cell r="BY4">
            <v>0</v>
          </cell>
          <cell r="BZ4">
            <v>0</v>
          </cell>
          <cell r="CA4">
            <v>0</v>
          </cell>
          <cell r="CB4">
            <v>-70152.625721292483</v>
          </cell>
        </row>
      </sheetData>
      <sheetData sheetId="11">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US59P015533111100000</v>
          </cell>
          <cell r="B4" t="str">
            <v>Pekin</v>
          </cell>
          <cell r="C4" t="str">
            <v>Jan-Dec</v>
          </cell>
          <cell r="D4" t="str">
            <v>US59P01553</v>
          </cell>
          <cell r="E4" t="str">
            <v>553</v>
          </cell>
          <cell r="F4" t="str">
            <v>Detasseling</v>
          </cell>
          <cell r="G4" t="str">
            <v>01</v>
          </cell>
          <cell r="H4">
            <v>3111100000</v>
          </cell>
          <cell r="I4" t="str">
            <v>WAGES,SALARIES,ALLOWANCES AND COMMI/PERM</v>
          </cell>
          <cell r="J4" t="str">
            <v>VALID</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4586</v>
          </cell>
          <cell r="AD4">
            <v>8751</v>
          </cell>
          <cell r="AE4">
            <v>1933</v>
          </cell>
          <cell r="AF4">
            <v>0</v>
          </cell>
          <cell r="AG4">
            <v>0</v>
          </cell>
          <cell r="AH4">
            <v>0</v>
          </cell>
          <cell r="AI4">
            <v>0</v>
          </cell>
          <cell r="AJ4">
            <v>0</v>
          </cell>
          <cell r="AK4">
            <v>0</v>
          </cell>
          <cell r="AL4">
            <v>0</v>
          </cell>
          <cell r="AM4">
            <v>0</v>
          </cell>
          <cell r="AN4">
            <v>0</v>
          </cell>
          <cell r="AO4">
            <v>20426</v>
          </cell>
          <cell r="AP4">
            <v>20230</v>
          </cell>
          <cell r="AQ4">
            <v>4168</v>
          </cell>
          <cell r="AR4">
            <v>0</v>
          </cell>
          <cell r="AS4">
            <v>0</v>
          </cell>
          <cell r="AT4">
            <v>0</v>
          </cell>
          <cell r="AU4">
            <v>0</v>
          </cell>
          <cell r="AV4">
            <v>0</v>
          </cell>
          <cell r="AW4">
            <v>0</v>
          </cell>
          <cell r="AX4">
            <v>0</v>
          </cell>
          <cell r="AZ4">
            <v>0</v>
          </cell>
          <cell r="BA4">
            <v>21000</v>
          </cell>
          <cell r="BB4">
            <v>21000</v>
          </cell>
          <cell r="BM4">
            <v>18400</v>
          </cell>
          <cell r="BN4">
            <v>18400</v>
          </cell>
          <cell r="BS4">
            <v>0</v>
          </cell>
          <cell r="BT4">
            <v>15270</v>
          </cell>
          <cell r="BU4">
            <v>44824</v>
          </cell>
          <cell r="BV4">
            <v>42000</v>
          </cell>
          <cell r="BW4">
            <v>36800</v>
          </cell>
          <cell r="BX4">
            <v>0</v>
          </cell>
          <cell r="BY4">
            <v>15270</v>
          </cell>
          <cell r="BZ4">
            <v>44824</v>
          </cell>
          <cell r="CA4">
            <v>0</v>
          </cell>
          <cell r="CB4">
            <v>42000</v>
          </cell>
        </row>
        <row r="5">
          <cell r="A5" t="str">
            <v>US59P015533111100012</v>
          </cell>
          <cell r="B5" t="str">
            <v>Pekin</v>
          </cell>
          <cell r="C5" t="str">
            <v>Jan-Dec</v>
          </cell>
          <cell r="D5" t="str">
            <v>US59P01553</v>
          </cell>
          <cell r="E5" t="str">
            <v>553</v>
          </cell>
          <cell r="F5" t="str">
            <v>Detasseling</v>
          </cell>
          <cell r="G5" t="str">
            <v>01</v>
          </cell>
          <cell r="H5">
            <v>3111100012</v>
          </cell>
          <cell r="I5" t="str">
            <v>OVERTIME HOURS /PERMANENTS</v>
          </cell>
          <cell r="J5" t="str">
            <v>VALID</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3170</v>
          </cell>
          <cell r="AD5">
            <v>3638</v>
          </cell>
          <cell r="AE5">
            <v>33</v>
          </cell>
          <cell r="AF5">
            <v>0</v>
          </cell>
          <cell r="AG5">
            <v>0</v>
          </cell>
          <cell r="AH5">
            <v>0</v>
          </cell>
          <cell r="AI5">
            <v>0</v>
          </cell>
          <cell r="AJ5">
            <v>0</v>
          </cell>
          <cell r="AK5">
            <v>0</v>
          </cell>
          <cell r="AL5">
            <v>0</v>
          </cell>
          <cell r="AM5">
            <v>0</v>
          </cell>
          <cell r="AN5">
            <v>0</v>
          </cell>
          <cell r="AO5">
            <v>3944</v>
          </cell>
          <cell r="AP5">
            <v>4105</v>
          </cell>
          <cell r="AQ5">
            <v>70</v>
          </cell>
          <cell r="AR5">
            <v>0</v>
          </cell>
          <cell r="AS5">
            <v>0</v>
          </cell>
          <cell r="AT5">
            <v>0</v>
          </cell>
          <cell r="AU5">
            <v>0</v>
          </cell>
          <cell r="AV5">
            <v>0</v>
          </cell>
          <cell r="AW5">
            <v>0</v>
          </cell>
          <cell r="AX5">
            <v>0</v>
          </cell>
          <cell r="AZ5">
            <v>0</v>
          </cell>
          <cell r="BA5">
            <v>4000</v>
          </cell>
          <cell r="BB5">
            <v>4000</v>
          </cell>
          <cell r="BM5">
            <v>3750</v>
          </cell>
          <cell r="BN5">
            <v>3750</v>
          </cell>
          <cell r="BS5">
            <v>0</v>
          </cell>
          <cell r="BT5">
            <v>6841</v>
          </cell>
          <cell r="BU5">
            <v>8119</v>
          </cell>
          <cell r="BV5">
            <v>8000</v>
          </cell>
          <cell r="BW5">
            <v>7500</v>
          </cell>
          <cell r="BX5">
            <v>0</v>
          </cell>
          <cell r="BY5">
            <v>6841</v>
          </cell>
          <cell r="BZ5">
            <v>8119</v>
          </cell>
          <cell r="CA5">
            <v>0</v>
          </cell>
          <cell r="CB5">
            <v>8000</v>
          </cell>
        </row>
        <row r="6">
          <cell r="A6" t="str">
            <v>US59P015533111100900</v>
          </cell>
          <cell r="B6" t="str">
            <v>Pekin</v>
          </cell>
          <cell r="C6" t="str">
            <v>Jan-Dec</v>
          </cell>
          <cell r="D6" t="str">
            <v>US59P01553</v>
          </cell>
          <cell r="E6" t="str">
            <v>553</v>
          </cell>
          <cell r="F6" t="str">
            <v>Detasseling</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BS6">
            <v>0</v>
          </cell>
          <cell r="BT6">
            <v>0</v>
          </cell>
          <cell r="BU6">
            <v>0</v>
          </cell>
          <cell r="BV6">
            <v>0</v>
          </cell>
          <cell r="BW6">
            <v>0</v>
          </cell>
          <cell r="BX6">
            <v>0</v>
          </cell>
          <cell r="BY6">
            <v>0</v>
          </cell>
          <cell r="BZ6">
            <v>0</v>
          </cell>
          <cell r="CA6">
            <v>0</v>
          </cell>
          <cell r="CB6">
            <v>0</v>
          </cell>
        </row>
        <row r="7">
          <cell r="A7" t="str">
            <v>US59P015533121300013</v>
          </cell>
          <cell r="B7" t="str">
            <v>Pekin</v>
          </cell>
          <cell r="C7" t="str">
            <v>Jan-Dec</v>
          </cell>
          <cell r="D7" t="str">
            <v>US59P01553</v>
          </cell>
          <cell r="E7" t="str">
            <v>553</v>
          </cell>
          <cell r="F7" t="str">
            <v>Detasseling</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9065</v>
          </cell>
          <cell r="AP7">
            <v>9053</v>
          </cell>
          <cell r="AQ7">
            <v>1576</v>
          </cell>
          <cell r="AR7">
            <v>0</v>
          </cell>
          <cell r="AS7">
            <v>0</v>
          </cell>
          <cell r="AT7">
            <v>0</v>
          </cell>
          <cell r="AU7">
            <v>0</v>
          </cell>
          <cell r="AV7">
            <v>0</v>
          </cell>
          <cell r="AW7">
            <v>0</v>
          </cell>
          <cell r="AX7">
            <v>0</v>
          </cell>
          <cell r="AY7">
            <v>0</v>
          </cell>
          <cell r="AZ7">
            <v>0</v>
          </cell>
          <cell r="BA7">
            <v>9150</v>
          </cell>
          <cell r="BB7">
            <v>9150</v>
          </cell>
          <cell r="BC7">
            <v>0</v>
          </cell>
          <cell r="BD7">
            <v>0</v>
          </cell>
          <cell r="BE7">
            <v>0</v>
          </cell>
          <cell r="BF7">
            <v>0</v>
          </cell>
          <cell r="BG7">
            <v>0</v>
          </cell>
          <cell r="BH7">
            <v>0</v>
          </cell>
          <cell r="BI7">
            <v>0</v>
          </cell>
          <cell r="BJ7">
            <v>0</v>
          </cell>
          <cell r="BK7">
            <v>0</v>
          </cell>
          <cell r="BL7">
            <v>0</v>
          </cell>
          <cell r="BM7">
            <v>8106.9</v>
          </cell>
          <cell r="BN7">
            <v>8106.9</v>
          </cell>
          <cell r="BO7">
            <v>0</v>
          </cell>
          <cell r="BP7">
            <v>0</v>
          </cell>
          <cell r="BQ7">
            <v>0</v>
          </cell>
          <cell r="BR7">
            <v>0</v>
          </cell>
          <cell r="BS7">
            <v>0</v>
          </cell>
          <cell r="BT7">
            <v>0</v>
          </cell>
          <cell r="BU7">
            <v>19694</v>
          </cell>
          <cell r="BV7">
            <v>18300</v>
          </cell>
          <cell r="BW7">
            <v>16213.8</v>
          </cell>
          <cell r="BX7">
            <v>0</v>
          </cell>
          <cell r="BY7">
            <v>0</v>
          </cell>
          <cell r="BZ7">
            <v>19694</v>
          </cell>
          <cell r="CA7">
            <v>0</v>
          </cell>
          <cell r="CB7">
            <v>18300</v>
          </cell>
        </row>
        <row r="8">
          <cell r="A8" t="str">
            <v>US59P015533201300001</v>
          </cell>
          <cell r="B8" t="str">
            <v>Pekin</v>
          </cell>
          <cell r="C8" t="str">
            <v>Jan-Dec</v>
          </cell>
          <cell r="D8" t="str">
            <v>US59P01553</v>
          </cell>
          <cell r="E8" t="str">
            <v>553</v>
          </cell>
          <cell r="F8" t="str">
            <v>Detasseling</v>
          </cell>
          <cell r="G8" t="str">
            <v>01</v>
          </cell>
          <cell r="H8">
            <v>3201300001</v>
          </cell>
          <cell r="I8" t="str">
            <v>HIRED PERSONNEL FROM 3RD PARTIES</v>
          </cell>
          <cell r="J8" t="str">
            <v>VALID</v>
          </cell>
          <cell r="K8">
            <v>-18548</v>
          </cell>
          <cell r="L8">
            <v>0</v>
          </cell>
          <cell r="M8">
            <v>0</v>
          </cell>
          <cell r="N8">
            <v>0</v>
          </cell>
          <cell r="O8">
            <v>0</v>
          </cell>
          <cell r="P8">
            <v>9939</v>
          </cell>
          <cell r="Q8">
            <v>7806</v>
          </cell>
          <cell r="R8">
            <v>0</v>
          </cell>
          <cell r="S8">
            <v>1431</v>
          </cell>
          <cell r="T8">
            <v>113</v>
          </cell>
          <cell r="U8">
            <v>0</v>
          </cell>
          <cell r="V8">
            <v>0</v>
          </cell>
          <cell r="W8">
            <v>0</v>
          </cell>
          <cell r="X8">
            <v>0</v>
          </cell>
          <cell r="Y8">
            <v>0</v>
          </cell>
          <cell r="Z8">
            <v>0</v>
          </cell>
          <cell r="AA8">
            <v>0</v>
          </cell>
          <cell r="AB8">
            <v>0</v>
          </cell>
          <cell r="AC8">
            <v>10303</v>
          </cell>
          <cell r="AD8">
            <v>14838</v>
          </cell>
          <cell r="AE8">
            <v>0</v>
          </cell>
          <cell r="AF8">
            <v>4231</v>
          </cell>
          <cell r="AG8">
            <v>0</v>
          </cell>
          <cell r="AH8">
            <v>0</v>
          </cell>
          <cell r="AI8">
            <v>0</v>
          </cell>
          <cell r="AJ8">
            <v>0</v>
          </cell>
          <cell r="AK8">
            <v>0</v>
          </cell>
          <cell r="AL8">
            <v>0</v>
          </cell>
          <cell r="AM8">
            <v>378</v>
          </cell>
          <cell r="AN8">
            <v>0</v>
          </cell>
          <cell r="AO8">
            <v>6024</v>
          </cell>
          <cell r="AP8">
            <v>4944</v>
          </cell>
          <cell r="AQ8">
            <v>0</v>
          </cell>
          <cell r="AR8">
            <v>0</v>
          </cell>
          <cell r="AS8">
            <v>0</v>
          </cell>
          <cell r="AT8">
            <v>0</v>
          </cell>
          <cell r="AU8">
            <v>0</v>
          </cell>
          <cell r="AV8">
            <v>0</v>
          </cell>
          <cell r="AW8">
            <v>0</v>
          </cell>
          <cell r="AX8">
            <v>0</v>
          </cell>
          <cell r="BA8">
            <v>5000</v>
          </cell>
          <cell r="BB8">
            <v>5000</v>
          </cell>
          <cell r="BM8">
            <v>5000</v>
          </cell>
          <cell r="BN8">
            <v>5000</v>
          </cell>
          <cell r="BS8">
            <v>741</v>
          </cell>
          <cell r="BT8">
            <v>29372</v>
          </cell>
          <cell r="BU8">
            <v>11346</v>
          </cell>
          <cell r="BV8">
            <v>10000</v>
          </cell>
          <cell r="BW8">
            <v>10000</v>
          </cell>
          <cell r="BX8">
            <v>741</v>
          </cell>
          <cell r="BY8">
            <v>29372</v>
          </cell>
          <cell r="BZ8">
            <v>11346</v>
          </cell>
          <cell r="CA8">
            <v>0</v>
          </cell>
          <cell r="CB8">
            <v>10000</v>
          </cell>
        </row>
        <row r="9">
          <cell r="A9" t="str">
            <v>US59P015533201400051</v>
          </cell>
          <cell r="B9" t="str">
            <v>Pekin</v>
          </cell>
          <cell r="C9" t="str">
            <v>Jan-Dec</v>
          </cell>
          <cell r="D9" t="str">
            <v>US59P01553</v>
          </cell>
          <cell r="E9" t="str">
            <v>553</v>
          </cell>
          <cell r="F9" t="str">
            <v>Detasseling</v>
          </cell>
          <cell r="G9" t="str">
            <v>01</v>
          </cell>
          <cell r="H9">
            <v>3201400051</v>
          </cell>
          <cell r="I9" t="str">
            <v>MAINTENANCE EQUIPMENT</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488</v>
          </cell>
          <cell r="AD9">
            <v>200</v>
          </cell>
          <cell r="AE9">
            <v>152</v>
          </cell>
          <cell r="AF9">
            <v>0</v>
          </cell>
          <cell r="AG9">
            <v>0</v>
          </cell>
          <cell r="AH9">
            <v>0</v>
          </cell>
          <cell r="AI9">
            <v>0</v>
          </cell>
          <cell r="AJ9">
            <v>306</v>
          </cell>
          <cell r="AK9">
            <v>0</v>
          </cell>
          <cell r="AL9">
            <v>0</v>
          </cell>
          <cell r="AM9">
            <v>0</v>
          </cell>
          <cell r="AN9">
            <v>0</v>
          </cell>
          <cell r="AO9">
            <v>0</v>
          </cell>
          <cell r="AP9">
            <v>220</v>
          </cell>
          <cell r="AQ9">
            <v>0</v>
          </cell>
          <cell r="AR9">
            <v>0</v>
          </cell>
          <cell r="AS9">
            <v>0</v>
          </cell>
          <cell r="AT9">
            <v>0</v>
          </cell>
          <cell r="AU9">
            <v>258</v>
          </cell>
          <cell r="AV9">
            <v>0</v>
          </cell>
          <cell r="AW9">
            <v>0</v>
          </cell>
          <cell r="AX9">
            <v>0</v>
          </cell>
          <cell r="AZ9">
            <v>750</v>
          </cell>
          <cell r="BB9">
            <v>2000</v>
          </cell>
          <cell r="BN9">
            <v>2000</v>
          </cell>
          <cell r="BS9">
            <v>0</v>
          </cell>
          <cell r="BT9">
            <v>840</v>
          </cell>
          <cell r="BU9">
            <v>526</v>
          </cell>
          <cell r="BV9">
            <v>3008</v>
          </cell>
          <cell r="BW9">
            <v>2000</v>
          </cell>
          <cell r="BX9">
            <v>0</v>
          </cell>
          <cell r="BY9">
            <v>840</v>
          </cell>
          <cell r="BZ9">
            <v>526</v>
          </cell>
          <cell r="CA9">
            <v>258</v>
          </cell>
          <cell r="CB9">
            <v>2750</v>
          </cell>
        </row>
        <row r="10">
          <cell r="A10" t="str">
            <v>US59P015533201400056</v>
          </cell>
          <cell r="B10" t="str">
            <v>Pekin</v>
          </cell>
          <cell r="C10" t="str">
            <v>Jan-Dec</v>
          </cell>
          <cell r="D10" t="str">
            <v>US59P01553</v>
          </cell>
          <cell r="E10" t="str">
            <v>553</v>
          </cell>
          <cell r="F10" t="str">
            <v>Detasseling</v>
          </cell>
          <cell r="G10" t="str">
            <v>01</v>
          </cell>
          <cell r="H10">
            <v>3201400056</v>
          </cell>
          <cell r="I10" t="str">
            <v>FIELD AND PRODUCTION EXPENSES</v>
          </cell>
          <cell r="J10" t="str">
            <v>VALID</v>
          </cell>
          <cell r="K10">
            <v>0</v>
          </cell>
          <cell r="L10">
            <v>0</v>
          </cell>
          <cell r="M10">
            <v>0</v>
          </cell>
          <cell r="N10">
            <v>0</v>
          </cell>
          <cell r="O10">
            <v>5500</v>
          </cell>
          <cell r="P10">
            <v>38000</v>
          </cell>
          <cell r="Q10">
            <v>351805</v>
          </cell>
          <cell r="R10">
            <v>47764</v>
          </cell>
          <cell r="S10">
            <v>28978</v>
          </cell>
          <cell r="T10">
            <v>0</v>
          </cell>
          <cell r="U10">
            <v>0</v>
          </cell>
          <cell r="V10">
            <v>0</v>
          </cell>
          <cell r="W10">
            <v>0</v>
          </cell>
          <cell r="X10">
            <v>0</v>
          </cell>
          <cell r="Y10">
            <v>360</v>
          </cell>
          <cell r="Z10">
            <v>0</v>
          </cell>
          <cell r="AA10">
            <v>0</v>
          </cell>
          <cell r="AB10">
            <v>0</v>
          </cell>
          <cell r="AC10">
            <v>396075</v>
          </cell>
          <cell r="AD10">
            <v>138870</v>
          </cell>
          <cell r="AE10">
            <v>0</v>
          </cell>
          <cell r="AF10">
            <v>0</v>
          </cell>
          <cell r="AG10">
            <v>250</v>
          </cell>
          <cell r="AH10">
            <v>0</v>
          </cell>
          <cell r="AI10">
            <v>0</v>
          </cell>
          <cell r="AJ10">
            <v>560</v>
          </cell>
          <cell r="AK10">
            <v>0</v>
          </cell>
          <cell r="AL10">
            <v>0</v>
          </cell>
          <cell r="AM10">
            <v>68</v>
          </cell>
          <cell r="AN10">
            <v>0</v>
          </cell>
          <cell r="AO10">
            <v>0</v>
          </cell>
          <cell r="AP10">
            <v>93209</v>
          </cell>
          <cell r="AQ10">
            <v>0</v>
          </cell>
          <cell r="AR10">
            <v>0</v>
          </cell>
          <cell r="AS10">
            <v>0</v>
          </cell>
          <cell r="AT10">
            <v>0</v>
          </cell>
          <cell r="AU10">
            <v>0</v>
          </cell>
          <cell r="AV10">
            <v>0</v>
          </cell>
          <cell r="AW10">
            <v>0</v>
          </cell>
          <cell r="AX10">
            <v>0</v>
          </cell>
          <cell r="BB10">
            <v>80000</v>
          </cell>
          <cell r="BN10">
            <v>80000</v>
          </cell>
          <cell r="BS10">
            <v>472047</v>
          </cell>
          <cell r="BT10">
            <v>535555</v>
          </cell>
          <cell r="BU10">
            <v>93837</v>
          </cell>
          <cell r="BV10">
            <v>80000</v>
          </cell>
          <cell r="BW10">
            <v>80000</v>
          </cell>
          <cell r="BX10">
            <v>472047</v>
          </cell>
          <cell r="BY10">
            <v>535555</v>
          </cell>
          <cell r="BZ10">
            <v>93837</v>
          </cell>
          <cell r="CA10">
            <v>0</v>
          </cell>
          <cell r="CB10">
            <v>80000</v>
          </cell>
        </row>
        <row r="11">
          <cell r="A11" t="str">
            <v>US59P015533201400058</v>
          </cell>
          <cell r="B11" t="str">
            <v>Pekin</v>
          </cell>
          <cell r="C11" t="str">
            <v>Jan-Dec</v>
          </cell>
          <cell r="D11" t="str">
            <v>US59P01553</v>
          </cell>
          <cell r="E11" t="str">
            <v>553</v>
          </cell>
          <cell r="F11" t="str">
            <v>Detasseling</v>
          </cell>
          <cell r="G11" t="str">
            <v>01</v>
          </cell>
          <cell r="H11">
            <v>3201400058</v>
          </cell>
          <cell r="I11" t="str">
            <v>FIELD AND PRODUCTION SERVICES - DETASSEL</v>
          </cell>
          <cell r="J11" t="str">
            <v>VALID</v>
          </cell>
          <cell r="K11">
            <v>0</v>
          </cell>
          <cell r="L11">
            <v>0</v>
          </cell>
          <cell r="M11">
            <v>0</v>
          </cell>
          <cell r="N11">
            <v>0</v>
          </cell>
          <cell r="O11">
            <v>0</v>
          </cell>
          <cell r="P11">
            <v>0</v>
          </cell>
          <cell r="Q11">
            <v>94942</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341608</v>
          </cell>
          <cell r="AP11">
            <v>0</v>
          </cell>
          <cell r="AQ11">
            <v>0</v>
          </cell>
          <cell r="AR11">
            <v>0</v>
          </cell>
          <cell r="AS11">
            <v>0</v>
          </cell>
          <cell r="AT11">
            <v>0</v>
          </cell>
          <cell r="AU11">
            <v>0</v>
          </cell>
          <cell r="AV11">
            <v>0</v>
          </cell>
          <cell r="AW11">
            <v>0</v>
          </cell>
          <cell r="AX11">
            <v>10000</v>
          </cell>
          <cell r="BB11">
            <v>223000</v>
          </cell>
          <cell r="BN11">
            <v>233000</v>
          </cell>
          <cell r="BS11">
            <v>94942</v>
          </cell>
          <cell r="BT11">
            <v>0</v>
          </cell>
          <cell r="BU11">
            <v>341608</v>
          </cell>
          <cell r="BV11">
            <v>233000</v>
          </cell>
          <cell r="BW11">
            <v>233000</v>
          </cell>
          <cell r="BX11">
            <v>94942</v>
          </cell>
          <cell r="BY11">
            <v>0</v>
          </cell>
          <cell r="BZ11">
            <v>341608</v>
          </cell>
          <cell r="CA11">
            <v>10000</v>
          </cell>
          <cell r="CB11">
            <v>223000</v>
          </cell>
        </row>
        <row r="12">
          <cell r="A12" t="str">
            <v>US59P015533311400099</v>
          </cell>
          <cell r="B12" t="str">
            <v>Pekin</v>
          </cell>
          <cell r="C12" t="str">
            <v>Jan-Dec</v>
          </cell>
          <cell r="D12" t="str">
            <v>US59P01553</v>
          </cell>
          <cell r="E12" t="str">
            <v>553</v>
          </cell>
          <cell r="F12" t="str">
            <v>Detasseling</v>
          </cell>
          <cell r="G12" t="str">
            <v>01</v>
          </cell>
          <cell r="H12">
            <v>3311400099</v>
          </cell>
          <cell r="I12" t="str">
            <v>CO DEPRECIATION</v>
          </cell>
          <cell r="J12" t="str">
            <v>VALID</v>
          </cell>
          <cell r="K12">
            <v>2628</v>
          </cell>
          <cell r="L12">
            <v>2628</v>
          </cell>
          <cell r="M12">
            <v>2628</v>
          </cell>
          <cell r="N12">
            <v>2628</v>
          </cell>
          <cell r="O12">
            <v>2628</v>
          </cell>
          <cell r="P12">
            <v>2628</v>
          </cell>
          <cell r="Q12">
            <v>2628</v>
          </cell>
          <cell r="R12">
            <v>2628</v>
          </cell>
          <cell r="S12">
            <v>14647</v>
          </cell>
          <cell r="T12">
            <v>3963</v>
          </cell>
          <cell r="U12">
            <v>-2924</v>
          </cell>
          <cell r="V12">
            <v>3337</v>
          </cell>
          <cell r="W12">
            <v>3337</v>
          </cell>
          <cell r="X12">
            <v>3337</v>
          </cell>
          <cell r="Y12">
            <v>3337</v>
          </cell>
          <cell r="Z12">
            <v>3337</v>
          </cell>
          <cell r="AA12">
            <v>3337</v>
          </cell>
          <cell r="AB12">
            <v>3337</v>
          </cell>
          <cell r="AC12">
            <v>3337</v>
          </cell>
          <cell r="AD12">
            <v>3271</v>
          </cell>
          <cell r="AE12">
            <v>8497</v>
          </cell>
          <cell r="AF12">
            <v>5013</v>
          </cell>
          <cell r="AG12">
            <v>5013</v>
          </cell>
          <cell r="AH12">
            <v>5013</v>
          </cell>
          <cell r="AI12">
            <v>5013</v>
          </cell>
          <cell r="AJ12">
            <v>5013</v>
          </cell>
          <cell r="AK12">
            <v>5013</v>
          </cell>
          <cell r="AL12">
            <v>5013</v>
          </cell>
          <cell r="AM12">
            <v>5013</v>
          </cell>
          <cell r="AN12">
            <v>5013</v>
          </cell>
          <cell r="AO12">
            <v>5013</v>
          </cell>
          <cell r="AP12">
            <v>5013</v>
          </cell>
          <cell r="AQ12">
            <v>5013</v>
          </cell>
          <cell r="AR12">
            <v>12903</v>
          </cell>
          <cell r="AS12">
            <v>6591</v>
          </cell>
          <cell r="AT12">
            <v>6591</v>
          </cell>
          <cell r="AU12">
            <v>6591</v>
          </cell>
          <cell r="AV12">
            <v>6591</v>
          </cell>
          <cell r="AW12">
            <v>6591</v>
          </cell>
          <cell r="AX12">
            <v>6591</v>
          </cell>
          <cell r="AY12">
            <v>5000</v>
          </cell>
          <cell r="AZ12">
            <v>5000</v>
          </cell>
          <cell r="BA12">
            <v>5000</v>
          </cell>
          <cell r="BB12">
            <v>5000</v>
          </cell>
          <cell r="BC12">
            <v>5000</v>
          </cell>
          <cell r="BD12">
            <v>5000</v>
          </cell>
          <cell r="BE12">
            <v>5000</v>
          </cell>
          <cell r="BF12">
            <v>5000</v>
          </cell>
          <cell r="BG12">
            <v>5000</v>
          </cell>
          <cell r="BH12">
            <v>5000</v>
          </cell>
          <cell r="BI12">
            <v>5000</v>
          </cell>
          <cell r="BJ12">
            <v>5000</v>
          </cell>
          <cell r="BK12">
            <v>5000</v>
          </cell>
          <cell r="BL12">
            <v>5000</v>
          </cell>
          <cell r="BM12">
            <v>5000</v>
          </cell>
          <cell r="BN12">
            <v>5000</v>
          </cell>
          <cell r="BO12">
            <v>5000</v>
          </cell>
          <cell r="BP12">
            <v>5000</v>
          </cell>
          <cell r="BQ12">
            <v>5000</v>
          </cell>
          <cell r="BR12">
            <v>5000</v>
          </cell>
          <cell r="BS12">
            <v>40047</v>
          </cell>
          <cell r="BT12">
            <v>50166</v>
          </cell>
          <cell r="BU12">
            <v>71202</v>
          </cell>
          <cell r="BV12">
            <v>66364</v>
          </cell>
          <cell r="BW12">
            <v>60000</v>
          </cell>
          <cell r="BX12">
            <v>40047</v>
          </cell>
          <cell r="BY12">
            <v>50166</v>
          </cell>
          <cell r="BZ12">
            <v>71202</v>
          </cell>
          <cell r="CA12">
            <v>26364</v>
          </cell>
          <cell r="CB12">
            <v>40000</v>
          </cell>
        </row>
        <row r="13">
          <cell r="A13" t="str">
            <v>US59P015533921200001</v>
          </cell>
          <cell r="B13" t="str">
            <v>Pekin</v>
          </cell>
          <cell r="C13" t="str">
            <v>Jan-Dec</v>
          </cell>
          <cell r="D13" t="str">
            <v>US59P01553</v>
          </cell>
          <cell r="E13" t="str">
            <v>553</v>
          </cell>
          <cell r="F13" t="str">
            <v>Detasseling</v>
          </cell>
          <cell r="G13" t="str">
            <v>01</v>
          </cell>
          <cell r="H13">
            <v>3921200001</v>
          </cell>
          <cell r="I13" t="str">
            <v>FUEL</v>
          </cell>
          <cell r="J13" t="str">
            <v>VALID</v>
          </cell>
          <cell r="K13">
            <v>0</v>
          </cell>
          <cell r="L13">
            <v>0</v>
          </cell>
          <cell r="M13">
            <v>0</v>
          </cell>
          <cell r="N13">
            <v>0</v>
          </cell>
          <cell r="O13">
            <v>0</v>
          </cell>
          <cell r="P13">
            <v>0</v>
          </cell>
          <cell r="Q13">
            <v>375</v>
          </cell>
          <cell r="R13">
            <v>20110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300</v>
          </cell>
          <cell r="AP13">
            <v>5381</v>
          </cell>
          <cell r="AQ13">
            <v>3062</v>
          </cell>
          <cell r="AR13">
            <v>0</v>
          </cell>
          <cell r="AS13">
            <v>0</v>
          </cell>
          <cell r="AT13">
            <v>0</v>
          </cell>
          <cell r="AU13">
            <v>0</v>
          </cell>
          <cell r="AV13">
            <v>0</v>
          </cell>
          <cell r="AW13">
            <v>0</v>
          </cell>
          <cell r="AX13">
            <v>0</v>
          </cell>
          <cell r="BS13">
            <v>20485</v>
          </cell>
          <cell r="BT13">
            <v>0</v>
          </cell>
          <cell r="BU13">
            <v>8743</v>
          </cell>
          <cell r="BV13">
            <v>0</v>
          </cell>
          <cell r="BW13">
            <v>0</v>
          </cell>
          <cell r="BX13">
            <v>20485</v>
          </cell>
          <cell r="BY13">
            <v>0</v>
          </cell>
          <cell r="BZ13">
            <v>8743</v>
          </cell>
          <cell r="CA13">
            <v>0</v>
          </cell>
          <cell r="CB13">
            <v>0</v>
          </cell>
        </row>
        <row r="14">
          <cell r="A14" t="str">
            <v>US59P015533921200003</v>
          </cell>
          <cell r="B14" t="str">
            <v>Pekin</v>
          </cell>
          <cell r="C14" t="str">
            <v>Jan-Dec</v>
          </cell>
          <cell r="D14" t="str">
            <v>US59P01553</v>
          </cell>
          <cell r="E14" t="str">
            <v>553</v>
          </cell>
          <cell r="F14" t="str">
            <v>Detasseling</v>
          </cell>
          <cell r="G14" t="str">
            <v>01</v>
          </cell>
          <cell r="H14">
            <v>3921200003</v>
          </cell>
          <cell r="I14" t="str">
            <v>GAS</v>
          </cell>
          <cell r="J14" t="str">
            <v>VALID</v>
          </cell>
          <cell r="K14">
            <v>-8472</v>
          </cell>
          <cell r="L14">
            <v>0</v>
          </cell>
          <cell r="M14">
            <v>0</v>
          </cell>
          <cell r="N14">
            <v>0</v>
          </cell>
          <cell r="O14">
            <v>0</v>
          </cell>
          <cell r="P14">
            <v>8472</v>
          </cell>
          <cell r="Q14">
            <v>1817</v>
          </cell>
          <cell r="R14">
            <v>0</v>
          </cell>
          <cell r="S14">
            <v>0</v>
          </cell>
          <cell r="T14">
            <v>0</v>
          </cell>
          <cell r="U14">
            <v>0</v>
          </cell>
          <cell r="V14">
            <v>0</v>
          </cell>
          <cell r="W14">
            <v>0</v>
          </cell>
          <cell r="X14">
            <v>0</v>
          </cell>
          <cell r="Y14">
            <v>0</v>
          </cell>
          <cell r="Z14">
            <v>0</v>
          </cell>
          <cell r="AA14">
            <v>0</v>
          </cell>
          <cell r="AB14">
            <v>0</v>
          </cell>
          <cell r="AC14">
            <v>949</v>
          </cell>
          <cell r="AD14">
            <v>0</v>
          </cell>
          <cell r="AE14">
            <v>1099</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BS14">
            <v>1817</v>
          </cell>
          <cell r="BT14">
            <v>2048</v>
          </cell>
          <cell r="BU14">
            <v>0</v>
          </cell>
          <cell r="BV14">
            <v>0</v>
          </cell>
          <cell r="BW14">
            <v>0</v>
          </cell>
          <cell r="BX14">
            <v>1817</v>
          </cell>
          <cell r="BY14">
            <v>2048</v>
          </cell>
          <cell r="BZ14">
            <v>0</v>
          </cell>
          <cell r="CA14">
            <v>0</v>
          </cell>
          <cell r="CB14">
            <v>0</v>
          </cell>
        </row>
        <row r="15">
          <cell r="A15" t="str">
            <v>US59P015533921200006</v>
          </cell>
          <cell r="B15" t="str">
            <v>Pekin</v>
          </cell>
          <cell r="C15" t="str">
            <v>Jan-Dec</v>
          </cell>
          <cell r="D15" t="str">
            <v>US59P01553</v>
          </cell>
          <cell r="E15" t="str">
            <v>553</v>
          </cell>
          <cell r="F15" t="str">
            <v>Detasseling</v>
          </cell>
          <cell r="G15" t="str">
            <v>01</v>
          </cell>
          <cell r="H15">
            <v>3921200006</v>
          </cell>
          <cell r="I15" t="str">
            <v>FACTORY SUPPLIES MAINTENANCE SUPPLIES</v>
          </cell>
          <cell r="J15" t="str">
            <v>VALID</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3802</v>
          </cell>
          <cell r="AC15">
            <v>9089</v>
          </cell>
          <cell r="AD15">
            <v>6747</v>
          </cell>
          <cell r="AE15">
            <v>0</v>
          </cell>
          <cell r="AF15">
            <v>0</v>
          </cell>
          <cell r="AG15">
            <v>0</v>
          </cell>
          <cell r="AH15">
            <v>0</v>
          </cell>
          <cell r="AI15">
            <v>13413</v>
          </cell>
          <cell r="AJ15">
            <v>1364</v>
          </cell>
          <cell r="AK15">
            <v>2042</v>
          </cell>
          <cell r="AL15">
            <v>2948</v>
          </cell>
          <cell r="AM15">
            <v>1904</v>
          </cell>
          <cell r="AN15">
            <v>1868</v>
          </cell>
          <cell r="AO15">
            <v>1399</v>
          </cell>
          <cell r="AP15">
            <v>1040</v>
          </cell>
          <cell r="AQ15">
            <v>49</v>
          </cell>
          <cell r="AR15">
            <v>0</v>
          </cell>
          <cell r="AS15">
            <v>0</v>
          </cell>
          <cell r="AT15">
            <v>0</v>
          </cell>
          <cell r="AU15">
            <v>0</v>
          </cell>
          <cell r="AV15">
            <v>0</v>
          </cell>
          <cell r="AW15">
            <v>0</v>
          </cell>
          <cell r="AX15">
            <v>0</v>
          </cell>
          <cell r="AY15">
            <v>2000</v>
          </cell>
          <cell r="AZ15">
            <v>1000</v>
          </cell>
          <cell r="BA15">
            <v>1000</v>
          </cell>
          <cell r="BL15">
            <v>1000</v>
          </cell>
          <cell r="BM15">
            <v>1000</v>
          </cell>
          <cell r="BS15">
            <v>0</v>
          </cell>
          <cell r="BT15">
            <v>19638</v>
          </cell>
          <cell r="BU15">
            <v>26027</v>
          </cell>
          <cell r="BV15">
            <v>4000</v>
          </cell>
          <cell r="BW15">
            <v>2000</v>
          </cell>
          <cell r="BX15">
            <v>0</v>
          </cell>
          <cell r="BY15">
            <v>19638</v>
          </cell>
          <cell r="BZ15">
            <v>26027</v>
          </cell>
          <cell r="CA15">
            <v>0</v>
          </cell>
          <cell r="CB15">
            <v>4000</v>
          </cell>
        </row>
        <row r="16">
          <cell r="A16" t="str">
            <v>US59P015533921200037</v>
          </cell>
          <cell r="B16" t="str">
            <v>Pekin</v>
          </cell>
          <cell r="C16" t="str">
            <v>Jan-Dec</v>
          </cell>
          <cell r="D16" t="str">
            <v>US59P01553</v>
          </cell>
          <cell r="E16" t="str">
            <v>553</v>
          </cell>
          <cell r="F16" t="str">
            <v>Detasseling</v>
          </cell>
          <cell r="G16" t="str">
            <v>01</v>
          </cell>
          <cell r="H16">
            <v>3921200037</v>
          </cell>
          <cell r="I16" t="str">
            <v>EXHAUSTIVE EQUIPMENT</v>
          </cell>
          <cell r="J16" t="str">
            <v>VALID</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226</v>
          </cell>
          <cell r="AB16">
            <v>1748</v>
          </cell>
          <cell r="AC16">
            <v>34</v>
          </cell>
          <cell r="AD16">
            <v>29</v>
          </cell>
          <cell r="AE16">
            <v>0</v>
          </cell>
          <cell r="AF16">
            <v>0</v>
          </cell>
          <cell r="AG16">
            <v>0</v>
          </cell>
          <cell r="AH16">
            <v>0</v>
          </cell>
          <cell r="AI16">
            <v>0</v>
          </cell>
          <cell r="AJ16">
            <v>77</v>
          </cell>
          <cell r="AK16">
            <v>0</v>
          </cell>
          <cell r="AL16">
            <v>16</v>
          </cell>
          <cell r="AM16">
            <v>77</v>
          </cell>
          <cell r="AN16">
            <v>640</v>
          </cell>
          <cell r="AO16">
            <v>170</v>
          </cell>
          <cell r="AP16">
            <v>124</v>
          </cell>
          <cell r="AQ16">
            <v>0</v>
          </cell>
          <cell r="AR16">
            <v>0</v>
          </cell>
          <cell r="AS16">
            <v>0</v>
          </cell>
          <cell r="AT16">
            <v>0</v>
          </cell>
          <cell r="AU16">
            <v>0</v>
          </cell>
          <cell r="AV16">
            <v>756</v>
          </cell>
          <cell r="AW16">
            <v>149</v>
          </cell>
          <cell r="AX16">
            <v>140</v>
          </cell>
          <cell r="BS16">
            <v>0</v>
          </cell>
          <cell r="BT16">
            <v>2037</v>
          </cell>
          <cell r="BU16">
            <v>1104</v>
          </cell>
          <cell r="BV16">
            <v>1045</v>
          </cell>
          <cell r="BW16">
            <v>0</v>
          </cell>
          <cell r="BX16">
            <v>0</v>
          </cell>
          <cell r="BY16">
            <v>2037</v>
          </cell>
          <cell r="BZ16">
            <v>1104</v>
          </cell>
          <cell r="CA16">
            <v>1045</v>
          </cell>
          <cell r="CB16">
            <v>0</v>
          </cell>
        </row>
        <row r="17">
          <cell r="A17" t="str">
            <v>US59P015533951100005</v>
          </cell>
          <cell r="B17" t="str">
            <v>Pekin</v>
          </cell>
          <cell r="C17" t="str">
            <v>Jan-Dec</v>
          </cell>
          <cell r="D17" t="str">
            <v>US59P01553</v>
          </cell>
          <cell r="E17" t="str">
            <v>553</v>
          </cell>
          <cell r="F17" t="str">
            <v>Detasseling</v>
          </cell>
          <cell r="G17" t="str">
            <v>01</v>
          </cell>
          <cell r="H17">
            <v>3951100005</v>
          </cell>
          <cell r="I17" t="str">
            <v>OTHER RENTALS</v>
          </cell>
          <cell r="J17" t="str">
            <v>VALID</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22500</v>
          </cell>
          <cell r="AO17">
            <v>0</v>
          </cell>
          <cell r="AP17">
            <v>0</v>
          </cell>
          <cell r="AQ17">
            <v>0</v>
          </cell>
          <cell r="AR17">
            <v>0</v>
          </cell>
          <cell r="AS17">
            <v>0</v>
          </cell>
          <cell r="AT17">
            <v>0</v>
          </cell>
          <cell r="AU17">
            <v>0</v>
          </cell>
          <cell r="AV17">
            <v>0</v>
          </cell>
          <cell r="AW17">
            <v>0</v>
          </cell>
          <cell r="AX17">
            <v>0</v>
          </cell>
          <cell r="BS17">
            <v>0</v>
          </cell>
          <cell r="BT17">
            <v>0</v>
          </cell>
          <cell r="BU17">
            <v>22500</v>
          </cell>
          <cell r="BV17">
            <v>0</v>
          </cell>
          <cell r="BW17">
            <v>0</v>
          </cell>
          <cell r="BX17">
            <v>0</v>
          </cell>
          <cell r="BY17">
            <v>0</v>
          </cell>
          <cell r="BZ17">
            <v>22500</v>
          </cell>
          <cell r="CA17">
            <v>0</v>
          </cell>
          <cell r="CB17">
            <v>0</v>
          </cell>
        </row>
        <row r="18">
          <cell r="A18" t="str">
            <v>US59P015533961100000</v>
          </cell>
          <cell r="B18" t="str">
            <v>Pekin</v>
          </cell>
          <cell r="C18" t="str">
            <v>Jan-Dec</v>
          </cell>
          <cell r="D18" t="str">
            <v>US59P01553</v>
          </cell>
          <cell r="E18" t="str">
            <v>553</v>
          </cell>
          <cell r="F18" t="str">
            <v>Detasseling</v>
          </cell>
          <cell r="G18" t="str">
            <v>01</v>
          </cell>
          <cell r="H18">
            <v>3961100000</v>
          </cell>
          <cell r="I18" t="str">
            <v>COMPREHENSIVE INSURANCES</v>
          </cell>
          <cell r="J18" t="str">
            <v>VALID</v>
          </cell>
          <cell r="K18">
            <v>0</v>
          </cell>
          <cell r="L18">
            <v>-3182</v>
          </cell>
          <cell r="M18">
            <v>-2221</v>
          </cell>
          <cell r="N18">
            <v>0</v>
          </cell>
          <cell r="O18">
            <v>0</v>
          </cell>
          <cell r="P18">
            <v>0</v>
          </cell>
          <cell r="Q18">
            <v>0</v>
          </cell>
          <cell r="R18">
            <v>42119</v>
          </cell>
          <cell r="S18">
            <v>0</v>
          </cell>
          <cell r="T18">
            <v>0</v>
          </cell>
          <cell r="U18">
            <v>0</v>
          </cell>
          <cell r="V18">
            <v>0</v>
          </cell>
          <cell r="W18">
            <v>0</v>
          </cell>
          <cell r="X18">
            <v>0</v>
          </cell>
          <cell r="Y18">
            <v>0</v>
          </cell>
          <cell r="Z18">
            <v>0</v>
          </cell>
          <cell r="AA18">
            <v>0</v>
          </cell>
          <cell r="AB18">
            <v>0</v>
          </cell>
          <cell r="AC18">
            <v>0</v>
          </cell>
          <cell r="AD18">
            <v>52980</v>
          </cell>
          <cell r="AE18">
            <v>0</v>
          </cell>
          <cell r="AF18">
            <v>0</v>
          </cell>
          <cell r="AG18">
            <v>0</v>
          </cell>
          <cell r="AH18">
            <v>0</v>
          </cell>
          <cell r="AI18">
            <v>0</v>
          </cell>
          <cell r="AJ18">
            <v>0</v>
          </cell>
          <cell r="AK18">
            <v>0</v>
          </cell>
          <cell r="AL18">
            <v>0</v>
          </cell>
          <cell r="AM18">
            <v>0</v>
          </cell>
          <cell r="AN18">
            <v>0</v>
          </cell>
          <cell r="AO18">
            <v>0</v>
          </cell>
          <cell r="AP18">
            <v>39296</v>
          </cell>
          <cell r="AQ18">
            <v>0</v>
          </cell>
          <cell r="AR18">
            <v>0</v>
          </cell>
          <cell r="AS18">
            <v>0</v>
          </cell>
          <cell r="AT18">
            <v>0</v>
          </cell>
          <cell r="AU18">
            <v>0</v>
          </cell>
          <cell r="AV18">
            <v>0</v>
          </cell>
          <cell r="AW18">
            <v>0</v>
          </cell>
          <cell r="AX18">
            <v>0</v>
          </cell>
          <cell r="BB18">
            <v>40000</v>
          </cell>
          <cell r="BN18">
            <v>40000</v>
          </cell>
          <cell r="BS18">
            <v>36716</v>
          </cell>
          <cell r="BT18">
            <v>52980</v>
          </cell>
          <cell r="BU18">
            <v>39296</v>
          </cell>
          <cell r="BV18">
            <v>40000</v>
          </cell>
          <cell r="BW18">
            <v>40000</v>
          </cell>
          <cell r="BX18">
            <v>36716</v>
          </cell>
          <cell r="BY18">
            <v>52980</v>
          </cell>
          <cell r="BZ18">
            <v>39296</v>
          </cell>
          <cell r="CA18">
            <v>0</v>
          </cell>
          <cell r="CB18">
            <v>40000</v>
          </cell>
        </row>
        <row r="19">
          <cell r="A19" t="str">
            <v>US59P015533201300002</v>
          </cell>
          <cell r="B19" t="str">
            <v>Pekin</v>
          </cell>
          <cell r="C19" t="str">
            <v>Jan-Dec</v>
          </cell>
          <cell r="D19" t="str">
            <v>US59P01553</v>
          </cell>
          <cell r="E19" t="str">
            <v>553</v>
          </cell>
          <cell r="F19" t="str">
            <v>Detasseling</v>
          </cell>
          <cell r="G19" t="str">
            <v>01</v>
          </cell>
          <cell r="H19">
            <v>3201300002</v>
          </cell>
          <cell r="I19" t="str">
            <v>O/S SERVICES</v>
          </cell>
          <cell r="J19" t="str">
            <v>INVALID</v>
          </cell>
          <cell r="K19">
            <v>0</v>
          </cell>
          <cell r="L19">
            <v>0</v>
          </cell>
          <cell r="M19">
            <v>0</v>
          </cell>
          <cell r="N19">
            <v>0</v>
          </cell>
          <cell r="O19">
            <v>0</v>
          </cell>
          <cell r="P19">
            <v>249</v>
          </cell>
          <cell r="Q19">
            <v>0</v>
          </cell>
          <cell r="R19">
            <v>0</v>
          </cell>
          <cell r="S19">
            <v>0</v>
          </cell>
          <cell r="T19">
            <v>0</v>
          </cell>
          <cell r="U19">
            <v>0</v>
          </cell>
          <cell r="V19">
            <v>0</v>
          </cell>
          <cell r="W19">
            <v>0</v>
          </cell>
          <cell r="X19">
            <v>0</v>
          </cell>
          <cell r="Y19">
            <v>0</v>
          </cell>
          <cell r="Z19">
            <v>0</v>
          </cell>
          <cell r="AA19">
            <v>0</v>
          </cell>
          <cell r="AB19">
            <v>0</v>
          </cell>
          <cell r="AC19">
            <v>0</v>
          </cell>
          <cell r="AD19">
            <v>660</v>
          </cell>
          <cell r="AE19">
            <v>2730</v>
          </cell>
          <cell r="AF19">
            <v>4900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BS19">
            <v>249</v>
          </cell>
          <cell r="BT19">
            <v>8290</v>
          </cell>
          <cell r="BU19">
            <v>0</v>
          </cell>
          <cell r="BV19">
            <v>0</v>
          </cell>
          <cell r="BW19">
            <v>0</v>
          </cell>
          <cell r="BX19">
            <v>249</v>
          </cell>
          <cell r="BY19">
            <v>8290</v>
          </cell>
          <cell r="BZ19">
            <v>0</v>
          </cell>
          <cell r="CA19">
            <v>0</v>
          </cell>
          <cell r="CB19">
            <v>0</v>
          </cell>
        </row>
        <row r="20">
          <cell r="A20" t="str">
            <v>US59P015533201300012</v>
          </cell>
          <cell r="B20" t="str">
            <v>Pekin</v>
          </cell>
          <cell r="C20" t="str">
            <v>Jan-Dec</v>
          </cell>
          <cell r="D20" t="str">
            <v>US59P01553</v>
          </cell>
          <cell r="E20" t="str">
            <v>553</v>
          </cell>
          <cell r="F20" t="str">
            <v>Detasseling</v>
          </cell>
          <cell r="G20" t="str">
            <v>01</v>
          </cell>
          <cell r="H20">
            <v>3201300012</v>
          </cell>
          <cell r="I20" t="str">
            <v>HIRED PERSONNEL THIRD PARTY - ROUGING</v>
          </cell>
          <cell r="J20" t="str">
            <v>INVALID</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7500</v>
          </cell>
          <cell r="AA20">
            <v>0</v>
          </cell>
          <cell r="AB20">
            <v>0</v>
          </cell>
          <cell r="AC20">
            <v>0</v>
          </cell>
          <cell r="AD20">
            <v>0</v>
          </cell>
          <cell r="AE20">
            <v>0</v>
          </cell>
          <cell r="AF20">
            <v>0</v>
          </cell>
          <cell r="AG20">
            <v>0</v>
          </cell>
          <cell r="AH20">
            <v>0</v>
          </cell>
          <cell r="AI20">
            <v>0</v>
          </cell>
          <cell r="AJ20">
            <v>10000</v>
          </cell>
          <cell r="AK20">
            <v>0</v>
          </cell>
          <cell r="AL20">
            <v>0</v>
          </cell>
          <cell r="AM20">
            <v>0</v>
          </cell>
          <cell r="AN20">
            <v>0</v>
          </cell>
          <cell r="AO20">
            <v>13696</v>
          </cell>
          <cell r="AP20">
            <v>0</v>
          </cell>
          <cell r="AQ20">
            <v>0</v>
          </cell>
          <cell r="AR20">
            <v>0</v>
          </cell>
          <cell r="AS20">
            <v>0</v>
          </cell>
          <cell r="AT20">
            <v>0</v>
          </cell>
          <cell r="AU20">
            <v>0</v>
          </cell>
          <cell r="AV20">
            <v>0</v>
          </cell>
          <cell r="AW20">
            <v>0</v>
          </cell>
          <cell r="AX20">
            <v>0</v>
          </cell>
          <cell r="BS20">
            <v>0</v>
          </cell>
          <cell r="BT20">
            <v>7500</v>
          </cell>
          <cell r="BU20">
            <v>23696</v>
          </cell>
          <cell r="BV20">
            <v>0</v>
          </cell>
          <cell r="BW20">
            <v>0</v>
          </cell>
          <cell r="BX20">
            <v>0</v>
          </cell>
          <cell r="BY20">
            <v>7500</v>
          </cell>
          <cell r="BZ20">
            <v>23696</v>
          </cell>
          <cell r="CA20">
            <v>0</v>
          </cell>
          <cell r="CB20">
            <v>0</v>
          </cell>
        </row>
        <row r="21">
          <cell r="A21" t="str">
            <v>US59P015533921200010</v>
          </cell>
          <cell r="B21" t="str">
            <v>Pekin</v>
          </cell>
          <cell r="C21" t="str">
            <v>Jan-Dec</v>
          </cell>
          <cell r="D21" t="str">
            <v>US59P01553</v>
          </cell>
          <cell r="E21" t="str">
            <v>553</v>
          </cell>
          <cell r="F21" t="str">
            <v>Detasseling</v>
          </cell>
          <cell r="G21" t="str">
            <v>01</v>
          </cell>
          <cell r="H21">
            <v>3921200010</v>
          </cell>
          <cell r="I21" t="str">
            <v>ADMINISTRATIVE SUPPLIES</v>
          </cell>
          <cell r="J21" t="str">
            <v>INVALID</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35</v>
          </cell>
          <cell r="AD21">
            <v>0</v>
          </cell>
          <cell r="AE21">
            <v>0</v>
          </cell>
          <cell r="AF21">
            <v>0</v>
          </cell>
          <cell r="AG21">
            <v>0</v>
          </cell>
          <cell r="AH21">
            <v>0</v>
          </cell>
          <cell r="AI21">
            <v>0</v>
          </cell>
          <cell r="AJ21">
            <v>0</v>
          </cell>
          <cell r="AK21">
            <v>0</v>
          </cell>
          <cell r="AL21">
            <v>0</v>
          </cell>
          <cell r="AM21">
            <v>0</v>
          </cell>
          <cell r="AN21">
            <v>0</v>
          </cell>
          <cell r="AO21">
            <v>713</v>
          </cell>
          <cell r="AP21">
            <v>0</v>
          </cell>
          <cell r="AQ21">
            <v>0</v>
          </cell>
          <cell r="AR21">
            <v>0</v>
          </cell>
          <cell r="AS21">
            <v>0</v>
          </cell>
          <cell r="AT21">
            <v>0</v>
          </cell>
          <cell r="AU21">
            <v>0</v>
          </cell>
          <cell r="AV21">
            <v>0</v>
          </cell>
          <cell r="AW21">
            <v>0</v>
          </cell>
          <cell r="AX21">
            <v>0</v>
          </cell>
          <cell r="BS21">
            <v>0</v>
          </cell>
          <cell r="BT21">
            <v>35</v>
          </cell>
          <cell r="BU21">
            <v>713</v>
          </cell>
          <cell r="BV21">
            <v>0</v>
          </cell>
          <cell r="BW21">
            <v>0</v>
          </cell>
          <cell r="BX21">
            <v>0</v>
          </cell>
          <cell r="BY21">
            <v>35</v>
          </cell>
          <cell r="BZ21">
            <v>713</v>
          </cell>
          <cell r="CA21">
            <v>0</v>
          </cell>
          <cell r="CB21">
            <v>0</v>
          </cell>
        </row>
        <row r="22">
          <cell r="A22" t="str">
            <v>US59P015533981100078</v>
          </cell>
          <cell r="B22" t="str">
            <v>Pekin</v>
          </cell>
          <cell r="C22" t="str">
            <v>Jan-Dec</v>
          </cell>
          <cell r="D22" t="str">
            <v>US59P01553</v>
          </cell>
          <cell r="E22" t="str">
            <v>553</v>
          </cell>
          <cell r="F22" t="str">
            <v>Detasseling</v>
          </cell>
          <cell r="G22" t="str">
            <v>01</v>
          </cell>
          <cell r="H22">
            <v>3981100078</v>
          </cell>
          <cell r="I22" t="str">
            <v>GAIN ON FIXED ASSET</v>
          </cell>
          <cell r="J22" t="str">
            <v>INVALID</v>
          </cell>
          <cell r="K22">
            <v>0</v>
          </cell>
          <cell r="L22">
            <v>0</v>
          </cell>
          <cell r="M22">
            <v>0</v>
          </cell>
          <cell r="N22">
            <v>0</v>
          </cell>
          <cell r="O22">
            <v>0</v>
          </cell>
          <cell r="P22">
            <v>0</v>
          </cell>
          <cell r="Q22">
            <v>0</v>
          </cell>
          <cell r="R22">
            <v>0</v>
          </cell>
          <cell r="S22">
            <v>0</v>
          </cell>
          <cell r="T22">
            <v>0</v>
          </cell>
          <cell r="U22">
            <v>33041</v>
          </cell>
          <cell r="V22">
            <v>0</v>
          </cell>
          <cell r="W22">
            <v>0</v>
          </cell>
          <cell r="X22">
            <v>0</v>
          </cell>
          <cell r="Y22">
            <v>0</v>
          </cell>
          <cell r="Z22">
            <v>0</v>
          </cell>
          <cell r="AA22">
            <v>0</v>
          </cell>
          <cell r="AB22">
            <v>0</v>
          </cell>
          <cell r="AC22">
            <v>0</v>
          </cell>
          <cell r="AD22">
            <v>2641</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BS22">
            <v>33041</v>
          </cell>
          <cell r="BT22">
            <v>2641</v>
          </cell>
          <cell r="BU22">
            <v>0</v>
          </cell>
          <cell r="BV22">
            <v>0</v>
          </cell>
          <cell r="BW22">
            <v>0</v>
          </cell>
          <cell r="BX22">
            <v>33041</v>
          </cell>
          <cell r="BY22">
            <v>2641</v>
          </cell>
          <cell r="BZ22">
            <v>0</v>
          </cell>
          <cell r="CA22">
            <v>0</v>
          </cell>
          <cell r="CB22">
            <v>0</v>
          </cell>
        </row>
        <row r="23">
          <cell r="A23" t="str">
            <v>US59P015533991200099</v>
          </cell>
          <cell r="B23" t="str">
            <v>Pekin</v>
          </cell>
          <cell r="C23" t="str">
            <v>Jan-Dec</v>
          </cell>
          <cell r="D23" t="str">
            <v>US59P01553</v>
          </cell>
          <cell r="E23" t="str">
            <v>553</v>
          </cell>
          <cell r="F23" t="str">
            <v>Detasseling</v>
          </cell>
          <cell r="G23" t="str">
            <v>01</v>
          </cell>
          <cell r="H23">
            <v>3991200099</v>
          </cell>
          <cell r="I23" t="str">
            <v>OTHER EXPENSES TO 3RD PARTIES - ADJUSTME</v>
          </cell>
          <cell r="J23" t="str">
            <v>INVALID</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1121</v>
          </cell>
          <cell r="AB23">
            <v>797</v>
          </cell>
          <cell r="AC23">
            <v>0</v>
          </cell>
          <cell r="AD23">
            <v>403</v>
          </cell>
          <cell r="AE23">
            <v>0</v>
          </cell>
          <cell r="AF23">
            <v>0</v>
          </cell>
          <cell r="AG23">
            <v>0</v>
          </cell>
          <cell r="AH23">
            <v>0</v>
          </cell>
          <cell r="AI23">
            <v>0</v>
          </cell>
          <cell r="AJ23">
            <v>0</v>
          </cell>
          <cell r="AK23">
            <v>19</v>
          </cell>
          <cell r="AL23">
            <v>0</v>
          </cell>
          <cell r="AM23">
            <v>0</v>
          </cell>
          <cell r="AN23">
            <v>968</v>
          </cell>
          <cell r="AO23">
            <v>0</v>
          </cell>
          <cell r="AP23">
            <v>57</v>
          </cell>
          <cell r="AQ23">
            <v>0</v>
          </cell>
          <cell r="AR23">
            <v>0</v>
          </cell>
          <cell r="AS23">
            <v>0</v>
          </cell>
          <cell r="AT23">
            <v>0</v>
          </cell>
          <cell r="AU23">
            <v>0</v>
          </cell>
          <cell r="AV23">
            <v>0</v>
          </cell>
          <cell r="AW23">
            <v>0</v>
          </cell>
          <cell r="AX23">
            <v>0</v>
          </cell>
          <cell r="BS23">
            <v>0</v>
          </cell>
          <cell r="BT23">
            <v>2321</v>
          </cell>
          <cell r="BU23">
            <v>1044</v>
          </cell>
          <cell r="BV23">
            <v>0</v>
          </cell>
          <cell r="BW23">
            <v>0</v>
          </cell>
          <cell r="BX23">
            <v>0</v>
          </cell>
          <cell r="BY23">
            <v>2321</v>
          </cell>
          <cell r="BZ23">
            <v>1044</v>
          </cell>
          <cell r="CA23">
            <v>0</v>
          </cell>
          <cell r="CB23">
            <v>0</v>
          </cell>
        </row>
        <row r="24">
          <cell r="A24" t="str">
            <v>US59P015539420000025</v>
          </cell>
          <cell r="B24" t="str">
            <v>Pekin</v>
          </cell>
          <cell r="C24" t="str">
            <v>Jan-Dec</v>
          </cell>
          <cell r="D24" t="str">
            <v>US59P01553</v>
          </cell>
          <cell r="E24" t="str">
            <v>553</v>
          </cell>
          <cell r="F24" t="str">
            <v>Detasseling</v>
          </cell>
          <cell r="G24" t="str">
            <v>01</v>
          </cell>
          <cell r="H24">
            <v>9420000025</v>
          </cell>
          <cell r="I24" t="str">
            <v>EMPLOYEE BENEFIT ALLOCATION</v>
          </cell>
          <cell r="J24" t="str">
            <v>VALID - NON BUDGET</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2965</v>
          </cell>
          <cell r="AD24">
            <v>4178</v>
          </cell>
          <cell r="AE24">
            <v>660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BS24">
            <v>0</v>
          </cell>
          <cell r="BT24">
            <v>7803</v>
          </cell>
          <cell r="BU24">
            <v>0</v>
          </cell>
          <cell r="BV24">
            <v>0</v>
          </cell>
          <cell r="BW24">
            <v>0</v>
          </cell>
          <cell r="BX24">
            <v>0</v>
          </cell>
          <cell r="BY24">
            <v>7803</v>
          </cell>
          <cell r="BZ24">
            <v>0</v>
          </cell>
          <cell r="CA24">
            <v>0</v>
          </cell>
          <cell r="CB24">
            <v>0</v>
          </cell>
        </row>
      </sheetData>
      <sheetData sheetId="12">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US59P015643111100000</v>
          </cell>
          <cell r="B4" t="str">
            <v>Pekin</v>
          </cell>
          <cell r="C4" t="str">
            <v>Aug-July</v>
          </cell>
          <cell r="D4" t="str">
            <v>US59P01564</v>
          </cell>
          <cell r="E4" t="str">
            <v>564</v>
          </cell>
          <cell r="F4" t="str">
            <v>Dry Shell</v>
          </cell>
          <cell r="G4" t="str">
            <v>01</v>
          </cell>
          <cell r="H4">
            <v>3111100000</v>
          </cell>
          <cell r="I4" t="str">
            <v>WAGES,SALARIES,ALLOWANCES AND COMMI/PERM</v>
          </cell>
          <cell r="J4" t="str">
            <v>VALID</v>
          </cell>
          <cell r="K4">
            <v>0</v>
          </cell>
          <cell r="L4">
            <v>0</v>
          </cell>
          <cell r="M4">
            <v>0</v>
          </cell>
          <cell r="N4">
            <v>0</v>
          </cell>
          <cell r="O4">
            <v>0</v>
          </cell>
          <cell r="P4">
            <v>0</v>
          </cell>
          <cell r="Q4">
            <v>0</v>
          </cell>
          <cell r="R4">
            <v>0</v>
          </cell>
          <cell r="S4">
            <v>0</v>
          </cell>
          <cell r="T4">
            <v>35665</v>
          </cell>
          <cell r="U4">
            <v>28021</v>
          </cell>
          <cell r="V4">
            <v>24344</v>
          </cell>
          <cell r="W4">
            <v>0</v>
          </cell>
          <cell r="X4">
            <v>0</v>
          </cell>
          <cell r="Y4">
            <v>0</v>
          </cell>
          <cell r="Z4">
            <v>0</v>
          </cell>
          <cell r="AA4">
            <v>0</v>
          </cell>
          <cell r="AB4">
            <v>0</v>
          </cell>
          <cell r="AC4">
            <v>0</v>
          </cell>
          <cell r="AD4">
            <v>0</v>
          </cell>
          <cell r="AE4">
            <v>14980</v>
          </cell>
          <cell r="AF4">
            <v>25562</v>
          </cell>
          <cell r="AG4">
            <v>-2636</v>
          </cell>
          <cell r="AH4">
            <v>0</v>
          </cell>
          <cell r="AI4">
            <v>0</v>
          </cell>
          <cell r="AJ4">
            <v>0</v>
          </cell>
          <cell r="AK4">
            <v>0</v>
          </cell>
          <cell r="AL4">
            <v>0</v>
          </cell>
          <cell r="AM4">
            <v>0</v>
          </cell>
          <cell r="AN4">
            <v>0</v>
          </cell>
          <cell r="AO4">
            <v>0</v>
          </cell>
          <cell r="AP4">
            <v>1257</v>
          </cell>
          <cell r="AQ4">
            <v>20699</v>
          </cell>
          <cell r="AR4">
            <v>19334</v>
          </cell>
          <cell r="AS4">
            <v>0</v>
          </cell>
          <cell r="AT4">
            <v>0</v>
          </cell>
          <cell r="AU4">
            <v>0</v>
          </cell>
          <cell r="AV4">
            <v>0</v>
          </cell>
          <cell r="AW4">
            <v>0</v>
          </cell>
          <cell r="AX4">
            <v>0</v>
          </cell>
          <cell r="AY4">
            <v>0</v>
          </cell>
          <cell r="AZ4">
            <v>0</v>
          </cell>
          <cell r="BA4">
            <v>0</v>
          </cell>
          <cell r="BB4">
            <v>2500</v>
          </cell>
          <cell r="BC4">
            <v>18400</v>
          </cell>
          <cell r="BD4">
            <v>18400</v>
          </cell>
          <cell r="BS4">
            <v>88030</v>
          </cell>
          <cell r="BT4">
            <v>37906</v>
          </cell>
          <cell r="BU4">
            <v>41290</v>
          </cell>
          <cell r="BV4">
            <v>39300</v>
          </cell>
          <cell r="BW4">
            <v>0</v>
          </cell>
          <cell r="BX4">
            <v>88030</v>
          </cell>
          <cell r="BY4">
            <v>37906</v>
          </cell>
          <cell r="BZ4">
            <v>41290</v>
          </cell>
          <cell r="CA4">
            <v>0</v>
          </cell>
          <cell r="CB4">
            <v>39300</v>
          </cell>
        </row>
        <row r="5">
          <cell r="A5" t="str">
            <v>US59P015643111100012</v>
          </cell>
          <cell r="B5" t="str">
            <v>Pekin</v>
          </cell>
          <cell r="C5" t="str">
            <v>Aug-July</v>
          </cell>
          <cell r="D5" t="str">
            <v>US59P01564</v>
          </cell>
          <cell r="E5" t="str">
            <v>564</v>
          </cell>
          <cell r="F5" t="str">
            <v>Dry Shell</v>
          </cell>
          <cell r="G5" t="str">
            <v>01</v>
          </cell>
          <cell r="H5">
            <v>3111100012</v>
          </cell>
          <cell r="I5" t="str">
            <v>OVERTIME HOURS /PERMANENTS</v>
          </cell>
          <cell r="J5" t="str">
            <v>VALID</v>
          </cell>
          <cell r="K5">
            <v>0</v>
          </cell>
          <cell r="L5">
            <v>0</v>
          </cell>
          <cell r="M5">
            <v>0</v>
          </cell>
          <cell r="N5">
            <v>0</v>
          </cell>
          <cell r="O5">
            <v>0</v>
          </cell>
          <cell r="P5">
            <v>0</v>
          </cell>
          <cell r="Q5">
            <v>0</v>
          </cell>
          <cell r="R5">
            <v>0</v>
          </cell>
          <cell r="S5">
            <v>0</v>
          </cell>
          <cell r="T5">
            <v>31167</v>
          </cell>
          <cell r="U5">
            <v>-17</v>
          </cell>
          <cell r="V5">
            <v>4333</v>
          </cell>
          <cell r="W5">
            <v>0</v>
          </cell>
          <cell r="X5">
            <v>0</v>
          </cell>
          <cell r="Y5">
            <v>0</v>
          </cell>
          <cell r="Z5">
            <v>0</v>
          </cell>
          <cell r="AA5">
            <v>0</v>
          </cell>
          <cell r="AB5">
            <v>0</v>
          </cell>
          <cell r="AC5">
            <v>0</v>
          </cell>
          <cell r="AD5">
            <v>0</v>
          </cell>
          <cell r="AE5">
            <v>11593</v>
          </cell>
          <cell r="AF5">
            <v>26861</v>
          </cell>
          <cell r="AG5">
            <v>-7121</v>
          </cell>
          <cell r="AH5">
            <v>0</v>
          </cell>
          <cell r="AI5">
            <v>0</v>
          </cell>
          <cell r="AJ5">
            <v>0</v>
          </cell>
          <cell r="AK5">
            <v>0</v>
          </cell>
          <cell r="AL5">
            <v>0</v>
          </cell>
          <cell r="AM5">
            <v>0</v>
          </cell>
          <cell r="AN5">
            <v>0</v>
          </cell>
          <cell r="AO5">
            <v>0</v>
          </cell>
          <cell r="AP5">
            <v>0</v>
          </cell>
          <cell r="AQ5">
            <v>9117</v>
          </cell>
          <cell r="AR5">
            <v>13885</v>
          </cell>
          <cell r="AS5">
            <v>0</v>
          </cell>
          <cell r="AT5">
            <v>0</v>
          </cell>
          <cell r="AU5">
            <v>0</v>
          </cell>
          <cell r="AV5">
            <v>0</v>
          </cell>
          <cell r="AW5">
            <v>0</v>
          </cell>
          <cell r="AX5">
            <v>0</v>
          </cell>
          <cell r="AY5">
            <v>0</v>
          </cell>
          <cell r="AZ5">
            <v>0</v>
          </cell>
          <cell r="BA5">
            <v>0</v>
          </cell>
          <cell r="BC5">
            <v>14500</v>
          </cell>
          <cell r="BD5">
            <v>14500</v>
          </cell>
          <cell r="BS5">
            <v>35483</v>
          </cell>
          <cell r="BT5">
            <v>31333</v>
          </cell>
          <cell r="BU5">
            <v>23002</v>
          </cell>
          <cell r="BV5">
            <v>29000</v>
          </cell>
          <cell r="BW5">
            <v>0</v>
          </cell>
          <cell r="BX5">
            <v>35483</v>
          </cell>
          <cell r="BY5">
            <v>31333</v>
          </cell>
          <cell r="BZ5">
            <v>23002</v>
          </cell>
          <cell r="CA5">
            <v>0</v>
          </cell>
          <cell r="CB5">
            <v>29000</v>
          </cell>
        </row>
        <row r="6">
          <cell r="A6" t="str">
            <v>US59P015643111100900</v>
          </cell>
          <cell r="B6" t="str">
            <v>Pekin</v>
          </cell>
          <cell r="C6" t="str">
            <v>Aug-July</v>
          </cell>
          <cell r="D6" t="str">
            <v>US59P01564</v>
          </cell>
          <cell r="E6" t="str">
            <v>564</v>
          </cell>
          <cell r="F6" t="str">
            <v>Dry Shell</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S6">
            <v>0</v>
          </cell>
          <cell r="BT6">
            <v>0</v>
          </cell>
          <cell r="BU6">
            <v>0</v>
          </cell>
          <cell r="BV6">
            <v>0</v>
          </cell>
          <cell r="BW6">
            <v>0</v>
          </cell>
          <cell r="BX6">
            <v>0</v>
          </cell>
          <cell r="BY6">
            <v>0</v>
          </cell>
          <cell r="BZ6">
            <v>0</v>
          </cell>
          <cell r="CA6">
            <v>0</v>
          </cell>
          <cell r="CB6">
            <v>0</v>
          </cell>
        </row>
        <row r="7">
          <cell r="A7" t="str">
            <v>US59P015643121300013</v>
          </cell>
          <cell r="B7" t="str">
            <v>Pekin</v>
          </cell>
          <cell r="C7" t="str">
            <v>Aug-July</v>
          </cell>
          <cell r="D7" t="str">
            <v>US59P01564</v>
          </cell>
          <cell r="E7" t="str">
            <v>564</v>
          </cell>
          <cell r="F7" t="str">
            <v>Dry Shell</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467</v>
          </cell>
          <cell r="AQ7">
            <v>11091</v>
          </cell>
          <cell r="AR7">
            <v>12357</v>
          </cell>
          <cell r="AS7">
            <v>0</v>
          </cell>
          <cell r="AT7">
            <v>0</v>
          </cell>
          <cell r="AU7">
            <v>0</v>
          </cell>
          <cell r="AV7">
            <v>0</v>
          </cell>
          <cell r="AW7">
            <v>0</v>
          </cell>
          <cell r="AX7">
            <v>0</v>
          </cell>
          <cell r="AY7">
            <v>0</v>
          </cell>
          <cell r="AZ7">
            <v>0</v>
          </cell>
          <cell r="BA7">
            <v>0</v>
          </cell>
          <cell r="BB7">
            <v>915</v>
          </cell>
          <cell r="BC7">
            <v>12041.4</v>
          </cell>
          <cell r="BD7">
            <v>12041.4</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23915</v>
          </cell>
          <cell r="BV7">
            <v>24997.8</v>
          </cell>
          <cell r="BW7">
            <v>0</v>
          </cell>
          <cell r="BX7">
            <v>0</v>
          </cell>
          <cell r="BY7">
            <v>0</v>
          </cell>
          <cell r="BZ7">
            <v>23915</v>
          </cell>
          <cell r="CA7">
            <v>0</v>
          </cell>
          <cell r="CB7">
            <v>24997.8</v>
          </cell>
        </row>
        <row r="8">
          <cell r="A8" t="str">
            <v>US59P015643201300001</v>
          </cell>
          <cell r="B8" t="str">
            <v>Pekin</v>
          </cell>
          <cell r="C8" t="str">
            <v>Aug-July</v>
          </cell>
          <cell r="D8" t="str">
            <v>US59P01564</v>
          </cell>
          <cell r="E8" t="str">
            <v>564</v>
          </cell>
          <cell r="F8" t="str">
            <v>Dry Shell</v>
          </cell>
          <cell r="G8" t="str">
            <v>01</v>
          </cell>
          <cell r="H8">
            <v>3201300001</v>
          </cell>
          <cell r="I8" t="str">
            <v>HIRED PERSONNEL FROM 3RD PARTIES</v>
          </cell>
          <cell r="J8" t="str">
            <v>VALID</v>
          </cell>
          <cell r="K8">
            <v>1455</v>
          </cell>
          <cell r="L8">
            <v>0</v>
          </cell>
          <cell r="M8">
            <v>0</v>
          </cell>
          <cell r="N8">
            <v>0</v>
          </cell>
          <cell r="O8">
            <v>0</v>
          </cell>
          <cell r="P8">
            <v>0</v>
          </cell>
          <cell r="Q8">
            <v>0</v>
          </cell>
          <cell r="R8">
            <v>0</v>
          </cell>
          <cell r="S8">
            <v>17654</v>
          </cell>
          <cell r="T8">
            <v>52270</v>
          </cell>
          <cell r="U8">
            <v>1692</v>
          </cell>
          <cell r="V8">
            <v>1849</v>
          </cell>
          <cell r="W8">
            <v>344</v>
          </cell>
          <cell r="X8">
            <v>0</v>
          </cell>
          <cell r="Y8">
            <v>0</v>
          </cell>
          <cell r="Z8">
            <v>0</v>
          </cell>
          <cell r="AA8">
            <v>0</v>
          </cell>
          <cell r="AB8">
            <v>0</v>
          </cell>
          <cell r="AC8">
            <v>0</v>
          </cell>
          <cell r="AD8">
            <v>-69</v>
          </cell>
          <cell r="AE8">
            <v>4788</v>
          </cell>
          <cell r="AF8">
            <v>69325</v>
          </cell>
          <cell r="AG8">
            <v>11185</v>
          </cell>
          <cell r="AH8">
            <v>6413</v>
          </cell>
          <cell r="AI8">
            <v>0</v>
          </cell>
          <cell r="AJ8">
            <v>0</v>
          </cell>
          <cell r="AK8">
            <v>0</v>
          </cell>
          <cell r="AL8">
            <v>0</v>
          </cell>
          <cell r="AM8">
            <v>0</v>
          </cell>
          <cell r="AN8">
            <v>0</v>
          </cell>
          <cell r="AO8">
            <v>0</v>
          </cell>
          <cell r="AP8">
            <v>493</v>
          </cell>
          <cell r="AQ8">
            <v>16252</v>
          </cell>
          <cell r="AR8">
            <v>59098</v>
          </cell>
          <cell r="AS8">
            <v>85000</v>
          </cell>
          <cell r="AT8">
            <v>0</v>
          </cell>
          <cell r="AU8">
            <v>0</v>
          </cell>
          <cell r="AV8">
            <v>0</v>
          </cell>
          <cell r="AW8">
            <v>0</v>
          </cell>
          <cell r="AX8">
            <v>0</v>
          </cell>
          <cell r="AY8">
            <v>0</v>
          </cell>
          <cell r="AZ8">
            <v>0</v>
          </cell>
          <cell r="BA8">
            <v>0</v>
          </cell>
          <cell r="BC8">
            <v>17120</v>
          </cell>
          <cell r="BD8">
            <v>57120</v>
          </cell>
          <cell r="BE8">
            <v>82120</v>
          </cell>
          <cell r="BS8">
            <v>73809</v>
          </cell>
          <cell r="BT8">
            <v>91642</v>
          </cell>
          <cell r="BU8">
            <v>160843</v>
          </cell>
          <cell r="BV8">
            <v>156360</v>
          </cell>
          <cell r="BW8">
            <v>0</v>
          </cell>
          <cell r="BX8">
            <v>74920</v>
          </cell>
          <cell r="BY8">
            <v>91986</v>
          </cell>
          <cell r="BZ8">
            <v>160843</v>
          </cell>
          <cell r="CA8">
            <v>0</v>
          </cell>
          <cell r="CB8">
            <v>156360</v>
          </cell>
        </row>
        <row r="9">
          <cell r="A9" t="str">
            <v>US59P015643201400029</v>
          </cell>
          <cell r="B9" t="str">
            <v>Pekin</v>
          </cell>
          <cell r="C9" t="str">
            <v>Aug-July</v>
          </cell>
          <cell r="D9" t="str">
            <v>US59P01564</v>
          </cell>
          <cell r="E9" t="str">
            <v>564</v>
          </cell>
          <cell r="F9" t="str">
            <v>Dry Shell</v>
          </cell>
          <cell r="G9" t="str">
            <v>01</v>
          </cell>
          <cell r="H9">
            <v>3201400029</v>
          </cell>
          <cell r="I9" t="str">
            <v>OTH OUTSIDE SERVICES OTHER</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105</v>
          </cell>
          <cell r="AC9">
            <v>0</v>
          </cell>
          <cell r="AD9">
            <v>1073</v>
          </cell>
          <cell r="AE9">
            <v>2893</v>
          </cell>
          <cell r="AF9">
            <v>1745</v>
          </cell>
          <cell r="AG9">
            <v>0</v>
          </cell>
          <cell r="AH9">
            <v>0</v>
          </cell>
          <cell r="AI9">
            <v>0</v>
          </cell>
          <cell r="AJ9">
            <v>2000</v>
          </cell>
          <cell r="AK9">
            <v>0</v>
          </cell>
          <cell r="AL9">
            <v>0</v>
          </cell>
          <cell r="AM9">
            <v>0</v>
          </cell>
          <cell r="AN9">
            <v>0</v>
          </cell>
          <cell r="AO9">
            <v>0</v>
          </cell>
          <cell r="AP9">
            <v>0</v>
          </cell>
          <cell r="AQ9">
            <v>25104</v>
          </cell>
          <cell r="AR9">
            <v>17730</v>
          </cell>
          <cell r="AS9">
            <v>10168</v>
          </cell>
          <cell r="AT9">
            <v>0</v>
          </cell>
          <cell r="AU9">
            <v>0</v>
          </cell>
          <cell r="AV9">
            <v>0</v>
          </cell>
          <cell r="AW9">
            <v>0</v>
          </cell>
          <cell r="AX9">
            <v>0</v>
          </cell>
          <cell r="AY9">
            <v>0</v>
          </cell>
          <cell r="AZ9">
            <v>0</v>
          </cell>
          <cell r="BA9">
            <v>0</v>
          </cell>
          <cell r="BS9">
            <v>105</v>
          </cell>
          <cell r="BT9">
            <v>7711</v>
          </cell>
          <cell r="BU9">
            <v>53002</v>
          </cell>
          <cell r="BV9">
            <v>0</v>
          </cell>
          <cell r="BW9">
            <v>0</v>
          </cell>
          <cell r="BX9">
            <v>0</v>
          </cell>
          <cell r="BY9">
            <v>5816</v>
          </cell>
          <cell r="BZ9">
            <v>55002</v>
          </cell>
          <cell r="CA9">
            <v>0</v>
          </cell>
          <cell r="CB9">
            <v>0</v>
          </cell>
        </row>
        <row r="10">
          <cell r="A10" t="str">
            <v>US59P015643201400036</v>
          </cell>
          <cell r="B10" t="str">
            <v>Pekin</v>
          </cell>
          <cell r="C10" t="str">
            <v>Aug-July</v>
          </cell>
          <cell r="D10" t="str">
            <v>US59P01564</v>
          </cell>
          <cell r="E10" t="str">
            <v>564</v>
          </cell>
          <cell r="F10" t="str">
            <v>Dry Shell</v>
          </cell>
          <cell r="G10" t="str">
            <v>01</v>
          </cell>
          <cell r="H10">
            <v>3201400036</v>
          </cell>
          <cell r="I10" t="str">
            <v>OTHER MAINTENANCE BUILDINGS</v>
          </cell>
          <cell r="J10" t="str">
            <v>VALID</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33205</v>
          </cell>
          <cell r="AF10">
            <v>0</v>
          </cell>
          <cell r="AG10">
            <v>0</v>
          </cell>
          <cell r="AH10">
            <v>0</v>
          </cell>
          <cell r="AI10">
            <v>0</v>
          </cell>
          <cell r="AJ10">
            <v>0</v>
          </cell>
          <cell r="AK10">
            <v>0</v>
          </cell>
          <cell r="AL10">
            <v>0</v>
          </cell>
          <cell r="AM10">
            <v>0</v>
          </cell>
          <cell r="AN10">
            <v>0</v>
          </cell>
          <cell r="AO10">
            <v>0</v>
          </cell>
          <cell r="AP10">
            <v>0</v>
          </cell>
          <cell r="AQ10">
            <v>6530</v>
          </cell>
          <cell r="AR10">
            <v>2151</v>
          </cell>
          <cell r="AS10">
            <v>0</v>
          </cell>
          <cell r="AT10">
            <v>0</v>
          </cell>
          <cell r="AU10">
            <v>0</v>
          </cell>
          <cell r="AV10">
            <v>0</v>
          </cell>
          <cell r="AW10">
            <v>0</v>
          </cell>
          <cell r="AX10">
            <v>0</v>
          </cell>
          <cell r="AY10">
            <v>0</v>
          </cell>
          <cell r="AZ10">
            <v>0</v>
          </cell>
          <cell r="BA10">
            <v>0</v>
          </cell>
          <cell r="BS10">
            <v>0</v>
          </cell>
          <cell r="BT10">
            <v>33205</v>
          </cell>
          <cell r="BU10">
            <v>8681</v>
          </cell>
          <cell r="BV10">
            <v>0</v>
          </cell>
          <cell r="BW10">
            <v>0</v>
          </cell>
          <cell r="BX10">
            <v>0</v>
          </cell>
          <cell r="BY10">
            <v>33205</v>
          </cell>
          <cell r="BZ10">
            <v>8681</v>
          </cell>
          <cell r="CA10">
            <v>0</v>
          </cell>
          <cell r="CB10">
            <v>0</v>
          </cell>
        </row>
        <row r="11">
          <cell r="A11" t="str">
            <v>US59P015643201400051</v>
          </cell>
          <cell r="B11" t="str">
            <v>Pekin</v>
          </cell>
          <cell r="C11" t="str">
            <v>Aug-July</v>
          </cell>
          <cell r="D11" t="str">
            <v>US59P01564</v>
          </cell>
          <cell r="E11" t="str">
            <v>564</v>
          </cell>
          <cell r="F11" t="str">
            <v>Dry Shell</v>
          </cell>
          <cell r="G11" t="str">
            <v>01</v>
          </cell>
          <cell r="H11">
            <v>3201400051</v>
          </cell>
          <cell r="I11" t="str">
            <v>MAINTENANCE EQUIPMENT</v>
          </cell>
          <cell r="J11" t="str">
            <v>VALID</v>
          </cell>
          <cell r="K11">
            <v>0</v>
          </cell>
          <cell r="L11">
            <v>0</v>
          </cell>
          <cell r="M11">
            <v>0</v>
          </cell>
          <cell r="N11">
            <v>0</v>
          </cell>
          <cell r="O11">
            <v>0</v>
          </cell>
          <cell r="P11">
            <v>0</v>
          </cell>
          <cell r="Q11">
            <v>0</v>
          </cell>
          <cell r="R11">
            <v>2712</v>
          </cell>
          <cell r="S11">
            <v>2519</v>
          </cell>
          <cell r="T11">
            <v>986</v>
          </cell>
          <cell r="U11">
            <v>0</v>
          </cell>
          <cell r="V11">
            <v>0</v>
          </cell>
          <cell r="W11">
            <v>0</v>
          </cell>
          <cell r="X11">
            <v>0</v>
          </cell>
          <cell r="Y11">
            <v>0</v>
          </cell>
          <cell r="Z11">
            <v>0</v>
          </cell>
          <cell r="AA11">
            <v>0</v>
          </cell>
          <cell r="AB11">
            <v>942</v>
          </cell>
          <cell r="AC11">
            <v>0</v>
          </cell>
          <cell r="AD11">
            <v>398</v>
          </cell>
          <cell r="AE11">
            <v>39685</v>
          </cell>
          <cell r="AF11">
            <v>24558</v>
          </cell>
          <cell r="AG11">
            <v>5186</v>
          </cell>
          <cell r="AH11">
            <v>225</v>
          </cell>
          <cell r="AI11">
            <v>0</v>
          </cell>
          <cell r="AJ11">
            <v>0</v>
          </cell>
          <cell r="AK11">
            <v>675</v>
          </cell>
          <cell r="AL11">
            <v>0</v>
          </cell>
          <cell r="AM11">
            <v>0</v>
          </cell>
          <cell r="AN11">
            <v>633</v>
          </cell>
          <cell r="AO11">
            <v>355</v>
          </cell>
          <cell r="AP11">
            <v>0</v>
          </cell>
          <cell r="AQ11">
            <v>1703</v>
          </cell>
          <cell r="AR11">
            <v>4856</v>
          </cell>
          <cell r="AS11">
            <v>0</v>
          </cell>
          <cell r="AT11">
            <v>348</v>
          </cell>
          <cell r="AU11">
            <v>0</v>
          </cell>
          <cell r="AV11">
            <v>0</v>
          </cell>
          <cell r="AW11">
            <v>0</v>
          </cell>
          <cell r="AX11">
            <v>0</v>
          </cell>
          <cell r="AY11">
            <v>0</v>
          </cell>
          <cell r="AZ11">
            <v>0</v>
          </cell>
          <cell r="BA11">
            <v>0</v>
          </cell>
          <cell r="BB11">
            <v>2500</v>
          </cell>
          <cell r="BC11">
            <v>1500</v>
          </cell>
          <cell r="BD11">
            <v>1500</v>
          </cell>
          <cell r="BE11">
            <v>20000</v>
          </cell>
          <cell r="BS11">
            <v>7159</v>
          </cell>
          <cell r="BT11">
            <v>71715</v>
          </cell>
          <cell r="BU11">
            <v>6907</v>
          </cell>
          <cell r="BV11">
            <v>25500</v>
          </cell>
          <cell r="BW11">
            <v>0</v>
          </cell>
          <cell r="BX11">
            <v>6217</v>
          </cell>
          <cell r="BY11">
            <v>70994</v>
          </cell>
          <cell r="BZ11">
            <v>8570</v>
          </cell>
          <cell r="CA11">
            <v>0</v>
          </cell>
          <cell r="CB11">
            <v>25500</v>
          </cell>
        </row>
        <row r="12">
          <cell r="A12" t="str">
            <v>US59P015643311400099</v>
          </cell>
          <cell r="B12" t="str">
            <v>Pekin</v>
          </cell>
          <cell r="C12" t="str">
            <v>Aug-July</v>
          </cell>
          <cell r="D12" t="str">
            <v>US59P01564</v>
          </cell>
          <cell r="E12" t="str">
            <v>564</v>
          </cell>
          <cell r="F12" t="str">
            <v>Dry Shell</v>
          </cell>
          <cell r="G12" t="str">
            <v>01</v>
          </cell>
          <cell r="H12">
            <v>3311400099</v>
          </cell>
          <cell r="I12" t="str">
            <v>CO DEPRECIATION</v>
          </cell>
          <cell r="J12" t="str">
            <v>VALID</v>
          </cell>
          <cell r="K12">
            <v>15721</v>
          </cell>
          <cell r="L12">
            <v>15721</v>
          </cell>
          <cell r="M12">
            <v>15721</v>
          </cell>
          <cell r="N12">
            <v>15721</v>
          </cell>
          <cell r="O12">
            <v>15721</v>
          </cell>
          <cell r="P12">
            <v>15721</v>
          </cell>
          <cell r="Q12">
            <v>15721</v>
          </cell>
          <cell r="R12">
            <v>15721</v>
          </cell>
          <cell r="S12">
            <v>64144</v>
          </cell>
          <cell r="T12">
            <v>21101</v>
          </cell>
          <cell r="U12">
            <v>21101</v>
          </cell>
          <cell r="V12">
            <v>21101</v>
          </cell>
          <cell r="W12">
            <v>21101</v>
          </cell>
          <cell r="X12">
            <v>21101</v>
          </cell>
          <cell r="Y12">
            <v>21101</v>
          </cell>
          <cell r="Z12">
            <v>21101</v>
          </cell>
          <cell r="AA12">
            <v>21101</v>
          </cell>
          <cell r="AB12">
            <v>21101</v>
          </cell>
          <cell r="AC12">
            <v>20433</v>
          </cell>
          <cell r="AD12">
            <v>20427</v>
          </cell>
          <cell r="AE12">
            <v>20427</v>
          </cell>
          <cell r="AF12">
            <v>20427</v>
          </cell>
          <cell r="AG12">
            <v>20427</v>
          </cell>
          <cell r="AH12">
            <v>20427</v>
          </cell>
          <cell r="AI12">
            <v>20427</v>
          </cell>
          <cell r="AJ12">
            <v>20427</v>
          </cell>
          <cell r="AK12">
            <v>20427</v>
          </cell>
          <cell r="AL12">
            <v>20427</v>
          </cell>
          <cell r="AM12">
            <v>20427</v>
          </cell>
          <cell r="AN12">
            <v>20427</v>
          </cell>
          <cell r="AO12">
            <v>20426</v>
          </cell>
          <cell r="AP12">
            <v>20427</v>
          </cell>
          <cell r="AQ12">
            <v>21025</v>
          </cell>
          <cell r="AR12">
            <v>21025</v>
          </cell>
          <cell r="AS12">
            <v>21025</v>
          </cell>
          <cell r="AT12">
            <v>49120</v>
          </cell>
          <cell r="AU12">
            <v>26644</v>
          </cell>
          <cell r="AV12">
            <v>26644</v>
          </cell>
          <cell r="AW12">
            <v>26644</v>
          </cell>
          <cell r="AX12">
            <v>26644</v>
          </cell>
          <cell r="AY12">
            <v>22177</v>
          </cell>
          <cell r="AZ12">
            <v>22177</v>
          </cell>
          <cell r="BA12">
            <v>22177</v>
          </cell>
          <cell r="BB12">
            <v>22177</v>
          </cell>
          <cell r="BC12">
            <v>22177</v>
          </cell>
          <cell r="BD12">
            <v>22177</v>
          </cell>
          <cell r="BE12">
            <v>22177</v>
          </cell>
          <cell r="BF12">
            <v>22177</v>
          </cell>
          <cell r="BG12">
            <v>22177</v>
          </cell>
          <cell r="BH12">
            <v>22177</v>
          </cell>
          <cell r="BI12">
            <v>22177</v>
          </cell>
          <cell r="BJ12">
            <v>22177</v>
          </cell>
          <cell r="BK12">
            <v>22177</v>
          </cell>
          <cell r="BL12">
            <v>22177</v>
          </cell>
          <cell r="BM12">
            <v>22177</v>
          </cell>
          <cell r="BS12">
            <v>290207</v>
          </cell>
          <cell r="BT12">
            <v>245123</v>
          </cell>
          <cell r="BU12">
            <v>305729</v>
          </cell>
          <cell r="BV12">
            <v>266124</v>
          </cell>
          <cell r="BW12">
            <v>155239</v>
          </cell>
          <cell r="BX12">
            <v>253215</v>
          </cell>
          <cell r="BY12">
            <v>249174</v>
          </cell>
          <cell r="BZ12">
            <v>275610</v>
          </cell>
          <cell r="CA12">
            <v>106576</v>
          </cell>
          <cell r="CB12">
            <v>177416</v>
          </cell>
        </row>
        <row r="13">
          <cell r="A13" t="str">
            <v>US59P015643921100001</v>
          </cell>
          <cell r="B13" t="str">
            <v>Pekin</v>
          </cell>
          <cell r="C13" t="str">
            <v>Aug-July</v>
          </cell>
          <cell r="D13" t="str">
            <v>US59P01564</v>
          </cell>
          <cell r="E13" t="str">
            <v>564</v>
          </cell>
          <cell r="F13" t="str">
            <v>Dry Shell</v>
          </cell>
          <cell r="G13" t="str">
            <v>01</v>
          </cell>
          <cell r="H13">
            <v>3921100001</v>
          </cell>
          <cell r="I13" t="str">
            <v>UTILITY EXPENSES ELECTRICITY</v>
          </cell>
          <cell r="J13" t="str">
            <v>VALID</v>
          </cell>
          <cell r="K13">
            <v>0</v>
          </cell>
          <cell r="L13">
            <v>0</v>
          </cell>
          <cell r="M13">
            <v>0</v>
          </cell>
          <cell r="N13">
            <v>0</v>
          </cell>
          <cell r="O13">
            <v>0</v>
          </cell>
          <cell r="P13">
            <v>0</v>
          </cell>
          <cell r="Q13">
            <v>0</v>
          </cell>
          <cell r="R13">
            <v>0</v>
          </cell>
          <cell r="S13">
            <v>0</v>
          </cell>
          <cell r="T13">
            <v>35499</v>
          </cell>
          <cell r="U13">
            <v>29264</v>
          </cell>
          <cell r="V13">
            <v>0</v>
          </cell>
          <cell r="W13">
            <v>0</v>
          </cell>
          <cell r="X13">
            <v>0</v>
          </cell>
          <cell r="Y13">
            <v>0</v>
          </cell>
          <cell r="Z13">
            <v>0</v>
          </cell>
          <cell r="AA13">
            <v>0</v>
          </cell>
          <cell r="AB13">
            <v>0</v>
          </cell>
          <cell r="AC13">
            <v>0</v>
          </cell>
          <cell r="AD13">
            <v>0</v>
          </cell>
          <cell r="AE13">
            <v>215</v>
          </cell>
          <cell r="AF13">
            <v>31541</v>
          </cell>
          <cell r="AG13">
            <v>33311</v>
          </cell>
          <cell r="AH13">
            <v>0</v>
          </cell>
          <cell r="AI13">
            <v>0</v>
          </cell>
          <cell r="AJ13">
            <v>0</v>
          </cell>
          <cell r="AK13">
            <v>0</v>
          </cell>
          <cell r="AL13">
            <v>0</v>
          </cell>
          <cell r="AM13">
            <v>0</v>
          </cell>
          <cell r="AN13">
            <v>0</v>
          </cell>
          <cell r="AO13">
            <v>0</v>
          </cell>
          <cell r="AP13">
            <v>0</v>
          </cell>
          <cell r="AQ13">
            <v>0</v>
          </cell>
          <cell r="AR13">
            <v>15585</v>
          </cell>
          <cell r="AS13">
            <v>29593</v>
          </cell>
          <cell r="AT13">
            <v>0</v>
          </cell>
          <cell r="AU13">
            <v>0</v>
          </cell>
          <cell r="AV13">
            <v>0</v>
          </cell>
          <cell r="AW13">
            <v>0</v>
          </cell>
          <cell r="AX13">
            <v>0</v>
          </cell>
          <cell r="AY13">
            <v>0</v>
          </cell>
          <cell r="AZ13">
            <v>0</v>
          </cell>
          <cell r="BA13">
            <v>0</v>
          </cell>
          <cell r="BC13">
            <v>15000</v>
          </cell>
          <cell r="BD13">
            <v>30000</v>
          </cell>
          <cell r="BS13">
            <v>64763</v>
          </cell>
          <cell r="BT13">
            <v>65067</v>
          </cell>
          <cell r="BU13">
            <v>45178</v>
          </cell>
          <cell r="BV13">
            <v>45000</v>
          </cell>
          <cell r="BW13">
            <v>0</v>
          </cell>
          <cell r="BX13">
            <v>64763</v>
          </cell>
          <cell r="BY13">
            <v>65067</v>
          </cell>
          <cell r="BZ13">
            <v>45178</v>
          </cell>
          <cell r="CA13">
            <v>0</v>
          </cell>
          <cell r="CB13">
            <v>45000</v>
          </cell>
        </row>
        <row r="14">
          <cell r="A14" t="str">
            <v>US59P015643921200001</v>
          </cell>
          <cell r="B14" t="str">
            <v>Pekin</v>
          </cell>
          <cell r="C14" t="str">
            <v>Aug-July</v>
          </cell>
          <cell r="D14" t="str">
            <v>US59P01564</v>
          </cell>
          <cell r="E14" t="str">
            <v>564</v>
          </cell>
          <cell r="F14" t="str">
            <v>Dry Shell</v>
          </cell>
          <cell r="G14" t="str">
            <v>01</v>
          </cell>
          <cell r="H14">
            <v>3921200001</v>
          </cell>
          <cell r="I14" t="str">
            <v>FUEL</v>
          </cell>
          <cell r="J14" t="str">
            <v>VALID</v>
          </cell>
          <cell r="K14">
            <v>0</v>
          </cell>
          <cell r="L14">
            <v>0</v>
          </cell>
          <cell r="M14">
            <v>0</v>
          </cell>
          <cell r="N14">
            <v>0</v>
          </cell>
          <cell r="O14">
            <v>0</v>
          </cell>
          <cell r="P14">
            <v>0</v>
          </cell>
          <cell r="Q14">
            <v>0</v>
          </cell>
          <cell r="R14">
            <v>0</v>
          </cell>
          <cell r="S14">
            <v>293</v>
          </cell>
          <cell r="T14">
            <v>65881</v>
          </cell>
          <cell r="U14">
            <v>76276</v>
          </cell>
          <cell r="V14">
            <v>0</v>
          </cell>
          <cell r="W14">
            <v>0</v>
          </cell>
          <cell r="X14">
            <v>0</v>
          </cell>
          <cell r="Y14">
            <v>0</v>
          </cell>
          <cell r="Z14">
            <v>0</v>
          </cell>
          <cell r="AA14">
            <v>0</v>
          </cell>
          <cell r="AB14">
            <v>0</v>
          </cell>
          <cell r="AC14">
            <v>0</v>
          </cell>
          <cell r="AD14">
            <v>0</v>
          </cell>
          <cell r="AE14">
            <v>0</v>
          </cell>
          <cell r="AF14">
            <v>59188</v>
          </cell>
          <cell r="AG14">
            <v>-59188</v>
          </cell>
          <cell r="AH14">
            <v>0</v>
          </cell>
          <cell r="AI14">
            <v>0</v>
          </cell>
          <cell r="AJ14">
            <v>0</v>
          </cell>
          <cell r="AK14">
            <v>0</v>
          </cell>
          <cell r="AL14">
            <v>0</v>
          </cell>
          <cell r="AM14">
            <v>0</v>
          </cell>
          <cell r="AN14">
            <v>0</v>
          </cell>
          <cell r="AO14">
            <v>0</v>
          </cell>
          <cell r="AP14">
            <v>0</v>
          </cell>
          <cell r="AQ14">
            <v>0</v>
          </cell>
          <cell r="AR14">
            <v>4561</v>
          </cell>
          <cell r="AS14">
            <v>0</v>
          </cell>
          <cell r="AT14">
            <v>0</v>
          </cell>
          <cell r="AU14">
            <v>0</v>
          </cell>
          <cell r="AV14">
            <v>0</v>
          </cell>
          <cell r="AW14">
            <v>0</v>
          </cell>
          <cell r="AX14">
            <v>0</v>
          </cell>
          <cell r="AY14">
            <v>0</v>
          </cell>
          <cell r="AZ14">
            <v>0</v>
          </cell>
          <cell r="BA14">
            <v>0</v>
          </cell>
          <cell r="BD14">
            <v>5000</v>
          </cell>
          <cell r="BS14">
            <v>142450</v>
          </cell>
          <cell r="BT14">
            <v>0</v>
          </cell>
          <cell r="BU14">
            <v>4561</v>
          </cell>
          <cell r="BV14">
            <v>5000</v>
          </cell>
          <cell r="BW14">
            <v>0</v>
          </cell>
          <cell r="BX14">
            <v>142450</v>
          </cell>
          <cell r="BY14">
            <v>0</v>
          </cell>
          <cell r="BZ14">
            <v>4561</v>
          </cell>
          <cell r="CA14">
            <v>0</v>
          </cell>
          <cell r="CB14">
            <v>5000</v>
          </cell>
        </row>
        <row r="15">
          <cell r="A15" t="str">
            <v>US59P015643921200003</v>
          </cell>
          <cell r="B15" t="str">
            <v>Pekin</v>
          </cell>
          <cell r="C15" t="str">
            <v>Aug-July</v>
          </cell>
          <cell r="D15" t="str">
            <v>US59P01564</v>
          </cell>
          <cell r="E15" t="str">
            <v>564</v>
          </cell>
          <cell r="F15" t="str">
            <v>Dry Shell</v>
          </cell>
          <cell r="G15" t="str">
            <v>01</v>
          </cell>
          <cell r="H15">
            <v>3921200003</v>
          </cell>
          <cell r="I15" t="str">
            <v>GAS</v>
          </cell>
          <cell r="J15" t="str">
            <v>VALID</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103160</v>
          </cell>
          <cell r="AH15">
            <v>0</v>
          </cell>
          <cell r="AI15">
            <v>0</v>
          </cell>
          <cell r="AJ15">
            <v>0</v>
          </cell>
          <cell r="AK15">
            <v>0</v>
          </cell>
          <cell r="AL15">
            <v>0</v>
          </cell>
          <cell r="AM15">
            <v>0</v>
          </cell>
          <cell r="AN15">
            <v>0</v>
          </cell>
          <cell r="AO15">
            <v>0</v>
          </cell>
          <cell r="AP15">
            <v>0</v>
          </cell>
          <cell r="AQ15">
            <v>32824</v>
          </cell>
          <cell r="AR15">
            <v>79679</v>
          </cell>
          <cell r="AS15">
            <v>0</v>
          </cell>
          <cell r="AT15">
            <v>0</v>
          </cell>
          <cell r="AU15">
            <v>0</v>
          </cell>
          <cell r="AV15">
            <v>0</v>
          </cell>
          <cell r="AW15">
            <v>0</v>
          </cell>
          <cell r="AX15">
            <v>0</v>
          </cell>
          <cell r="AY15">
            <v>0</v>
          </cell>
          <cell r="AZ15">
            <v>0</v>
          </cell>
          <cell r="BA15">
            <v>0</v>
          </cell>
          <cell r="BC15">
            <v>25000</v>
          </cell>
          <cell r="BD15">
            <v>50000</v>
          </cell>
          <cell r="BS15">
            <v>0</v>
          </cell>
          <cell r="BT15">
            <v>103160</v>
          </cell>
          <cell r="BU15">
            <v>112503</v>
          </cell>
          <cell r="BV15">
            <v>75000</v>
          </cell>
          <cell r="BW15">
            <v>0</v>
          </cell>
          <cell r="BX15">
            <v>0</v>
          </cell>
          <cell r="BY15">
            <v>103160</v>
          </cell>
          <cell r="BZ15">
            <v>112503</v>
          </cell>
          <cell r="CA15">
            <v>0</v>
          </cell>
          <cell r="CB15">
            <v>75000</v>
          </cell>
        </row>
        <row r="16">
          <cell r="A16" t="str">
            <v>US59P015643921200006</v>
          </cell>
          <cell r="B16" t="str">
            <v>Pekin</v>
          </cell>
          <cell r="C16" t="str">
            <v>Aug-July</v>
          </cell>
          <cell r="D16" t="str">
            <v>US59P01564</v>
          </cell>
          <cell r="E16" t="str">
            <v>564</v>
          </cell>
          <cell r="F16" t="str">
            <v>Dry Shell</v>
          </cell>
          <cell r="G16" t="str">
            <v>01</v>
          </cell>
          <cell r="H16">
            <v>3921200006</v>
          </cell>
          <cell r="I16" t="str">
            <v>FACTORY SUPPLIES MAINTENANCE SUPPLIES</v>
          </cell>
          <cell r="J16" t="str">
            <v>VALID</v>
          </cell>
          <cell r="K16">
            <v>0</v>
          </cell>
          <cell r="L16">
            <v>0</v>
          </cell>
          <cell r="M16">
            <v>0</v>
          </cell>
          <cell r="N16">
            <v>0</v>
          </cell>
          <cell r="O16">
            <v>0</v>
          </cell>
          <cell r="P16">
            <v>0</v>
          </cell>
          <cell r="Q16">
            <v>1111</v>
          </cell>
          <cell r="R16">
            <v>2680</v>
          </cell>
          <cell r="S16">
            <v>747</v>
          </cell>
          <cell r="T16">
            <v>5466</v>
          </cell>
          <cell r="U16">
            <v>0</v>
          </cell>
          <cell r="V16">
            <v>0</v>
          </cell>
          <cell r="W16">
            <v>0</v>
          </cell>
          <cell r="X16">
            <v>46198</v>
          </cell>
          <cell r="Y16">
            <v>530</v>
          </cell>
          <cell r="Z16">
            <v>0</v>
          </cell>
          <cell r="AA16">
            <v>0</v>
          </cell>
          <cell r="AB16">
            <v>0</v>
          </cell>
          <cell r="AC16">
            <v>133</v>
          </cell>
          <cell r="AD16">
            <v>-133</v>
          </cell>
          <cell r="AE16">
            <v>675</v>
          </cell>
          <cell r="AF16">
            <v>390</v>
          </cell>
          <cell r="AG16">
            <v>0</v>
          </cell>
          <cell r="AH16">
            <v>0</v>
          </cell>
          <cell r="AI16">
            <v>0</v>
          </cell>
          <cell r="AJ16">
            <v>1160</v>
          </cell>
          <cell r="AK16">
            <v>2808</v>
          </cell>
          <cell r="AL16">
            <v>426</v>
          </cell>
          <cell r="AM16">
            <v>0</v>
          </cell>
          <cell r="AN16">
            <v>0</v>
          </cell>
          <cell r="AO16">
            <v>0</v>
          </cell>
          <cell r="AP16">
            <v>59</v>
          </cell>
          <cell r="AQ16">
            <v>3801</v>
          </cell>
          <cell r="AR16">
            <v>1738</v>
          </cell>
          <cell r="AS16">
            <v>1230</v>
          </cell>
          <cell r="AT16">
            <v>491</v>
          </cell>
          <cell r="AU16">
            <v>0</v>
          </cell>
          <cell r="AV16">
            <v>0</v>
          </cell>
          <cell r="AW16">
            <v>0</v>
          </cell>
          <cell r="AX16">
            <v>0</v>
          </cell>
          <cell r="AY16">
            <v>0</v>
          </cell>
          <cell r="AZ16">
            <v>0</v>
          </cell>
          <cell r="BA16">
            <v>0</v>
          </cell>
          <cell r="BB16">
            <v>2500</v>
          </cell>
          <cell r="BC16">
            <v>2500</v>
          </cell>
          <cell r="BD16">
            <v>2500</v>
          </cell>
          <cell r="BE16">
            <v>10000</v>
          </cell>
          <cell r="BS16">
            <v>55754</v>
          </cell>
          <cell r="BT16">
            <v>5326</v>
          </cell>
          <cell r="BU16">
            <v>7319</v>
          </cell>
          <cell r="BV16">
            <v>17500</v>
          </cell>
          <cell r="BW16">
            <v>0</v>
          </cell>
          <cell r="BX16">
            <v>10004</v>
          </cell>
          <cell r="BY16">
            <v>47793</v>
          </cell>
          <cell r="BZ16">
            <v>11713</v>
          </cell>
          <cell r="CA16">
            <v>0</v>
          </cell>
          <cell r="CB16">
            <v>17500</v>
          </cell>
        </row>
        <row r="17">
          <cell r="A17" t="str">
            <v>US59P015643921200037</v>
          </cell>
          <cell r="B17" t="str">
            <v>Pekin</v>
          </cell>
          <cell r="C17" t="str">
            <v>Aug-July</v>
          </cell>
          <cell r="D17" t="str">
            <v>US59P01564</v>
          </cell>
          <cell r="E17" t="str">
            <v>564</v>
          </cell>
          <cell r="F17" t="str">
            <v>Dry Shell</v>
          </cell>
          <cell r="G17" t="str">
            <v>01</v>
          </cell>
          <cell r="H17">
            <v>3921200037</v>
          </cell>
          <cell r="I17" t="str">
            <v>EXHAUSTIVE EQUIPMENT</v>
          </cell>
          <cell r="J17" t="str">
            <v>VALID</v>
          </cell>
          <cell r="K17">
            <v>0</v>
          </cell>
          <cell r="L17">
            <v>0</v>
          </cell>
          <cell r="M17">
            <v>0</v>
          </cell>
          <cell r="N17">
            <v>0</v>
          </cell>
          <cell r="O17">
            <v>0</v>
          </cell>
          <cell r="P17">
            <v>0</v>
          </cell>
          <cell r="Q17">
            <v>0</v>
          </cell>
          <cell r="R17">
            <v>0</v>
          </cell>
          <cell r="S17">
            <v>0</v>
          </cell>
          <cell r="T17">
            <v>0</v>
          </cell>
          <cell r="U17">
            <v>0</v>
          </cell>
          <cell r="V17">
            <v>158</v>
          </cell>
          <cell r="W17">
            <v>0</v>
          </cell>
          <cell r="X17">
            <v>0</v>
          </cell>
          <cell r="Y17">
            <v>0</v>
          </cell>
          <cell r="Z17">
            <v>28</v>
          </cell>
          <cell r="AA17">
            <v>0</v>
          </cell>
          <cell r="AB17">
            <v>775</v>
          </cell>
          <cell r="AC17">
            <v>88</v>
          </cell>
          <cell r="AD17">
            <v>780</v>
          </cell>
          <cell r="AE17">
            <v>2014</v>
          </cell>
          <cell r="AF17">
            <v>101</v>
          </cell>
          <cell r="AG17">
            <v>185</v>
          </cell>
          <cell r="AH17">
            <v>0</v>
          </cell>
          <cell r="AI17">
            <v>48</v>
          </cell>
          <cell r="AJ17">
            <v>0</v>
          </cell>
          <cell r="AK17">
            <v>43</v>
          </cell>
          <cell r="AL17">
            <v>40</v>
          </cell>
          <cell r="AM17">
            <v>0</v>
          </cell>
          <cell r="AN17">
            <v>0</v>
          </cell>
          <cell r="AO17">
            <v>172</v>
          </cell>
          <cell r="AP17">
            <v>30</v>
          </cell>
          <cell r="AQ17">
            <v>1142</v>
          </cell>
          <cell r="AR17">
            <v>658</v>
          </cell>
          <cell r="AS17">
            <v>0</v>
          </cell>
          <cell r="AT17">
            <v>0</v>
          </cell>
          <cell r="AU17">
            <v>0</v>
          </cell>
          <cell r="AV17">
            <v>0</v>
          </cell>
          <cell r="AW17">
            <v>0</v>
          </cell>
          <cell r="AX17">
            <v>0</v>
          </cell>
          <cell r="AY17">
            <v>0</v>
          </cell>
          <cell r="AZ17">
            <v>0</v>
          </cell>
          <cell r="BA17">
            <v>0</v>
          </cell>
          <cell r="BS17">
            <v>1049</v>
          </cell>
          <cell r="BT17">
            <v>3383</v>
          </cell>
          <cell r="BU17">
            <v>1830</v>
          </cell>
          <cell r="BV17">
            <v>0</v>
          </cell>
          <cell r="BW17">
            <v>0</v>
          </cell>
          <cell r="BX17">
            <v>158</v>
          </cell>
          <cell r="BY17">
            <v>3971</v>
          </cell>
          <cell r="BZ17">
            <v>2133</v>
          </cell>
          <cell r="CA17">
            <v>0</v>
          </cell>
          <cell r="CB17">
            <v>0</v>
          </cell>
        </row>
        <row r="18">
          <cell r="A18" t="str">
            <v>US59P015643201300002</v>
          </cell>
          <cell r="B18" t="str">
            <v>Pekin</v>
          </cell>
          <cell r="C18" t="str">
            <v>Aug-July</v>
          </cell>
          <cell r="D18" t="str">
            <v>US59P01564</v>
          </cell>
          <cell r="E18" t="str">
            <v>564</v>
          </cell>
          <cell r="F18" t="str">
            <v>Dry Shell</v>
          </cell>
          <cell r="G18" t="str">
            <v>01</v>
          </cell>
          <cell r="H18">
            <v>3201300002</v>
          </cell>
          <cell r="I18" t="str">
            <v>O/S SERVICES</v>
          </cell>
          <cell r="J18" t="str">
            <v>INVALID</v>
          </cell>
          <cell r="K18">
            <v>0</v>
          </cell>
          <cell r="L18">
            <v>0</v>
          </cell>
          <cell r="M18">
            <v>0</v>
          </cell>
          <cell r="N18">
            <v>0</v>
          </cell>
          <cell r="O18">
            <v>0</v>
          </cell>
          <cell r="P18">
            <v>0</v>
          </cell>
          <cell r="Q18">
            <v>0</v>
          </cell>
          <cell r="R18">
            <v>0</v>
          </cell>
          <cell r="S18">
            <v>2332</v>
          </cell>
          <cell r="T18">
            <v>11612</v>
          </cell>
          <cell r="U18">
            <v>8753</v>
          </cell>
          <cell r="V18">
            <v>4669</v>
          </cell>
          <cell r="W18">
            <v>0</v>
          </cell>
          <cell r="X18">
            <v>0</v>
          </cell>
          <cell r="Y18">
            <v>0</v>
          </cell>
          <cell r="Z18">
            <v>0</v>
          </cell>
          <cell r="AA18">
            <v>0</v>
          </cell>
          <cell r="AB18">
            <v>0</v>
          </cell>
          <cell r="AC18">
            <v>0</v>
          </cell>
          <cell r="AD18">
            <v>0</v>
          </cell>
          <cell r="AE18">
            <v>26483</v>
          </cell>
          <cell r="AF18">
            <v>38484</v>
          </cell>
          <cell r="AG18">
            <v>0</v>
          </cell>
          <cell r="AH18">
            <v>0</v>
          </cell>
          <cell r="AI18">
            <v>0</v>
          </cell>
          <cell r="AJ18">
            <v>0</v>
          </cell>
          <cell r="AK18">
            <v>0</v>
          </cell>
          <cell r="AL18">
            <v>0</v>
          </cell>
          <cell r="AM18">
            <v>0</v>
          </cell>
          <cell r="AN18">
            <v>0</v>
          </cell>
          <cell r="AO18">
            <v>0</v>
          </cell>
          <cell r="AP18">
            <v>0</v>
          </cell>
          <cell r="AQ18">
            <v>0</v>
          </cell>
          <cell r="AR18">
            <v>548</v>
          </cell>
          <cell r="AS18">
            <v>-548</v>
          </cell>
          <cell r="AT18">
            <v>0</v>
          </cell>
          <cell r="AU18">
            <v>0</v>
          </cell>
          <cell r="AV18">
            <v>0</v>
          </cell>
          <cell r="AW18">
            <v>0</v>
          </cell>
          <cell r="AX18">
            <v>0</v>
          </cell>
          <cell r="AY18">
            <v>0</v>
          </cell>
          <cell r="AZ18">
            <v>0</v>
          </cell>
          <cell r="BA18">
            <v>0</v>
          </cell>
          <cell r="BS18">
            <v>27366</v>
          </cell>
          <cell r="BT18">
            <v>64967</v>
          </cell>
          <cell r="BU18">
            <v>0</v>
          </cell>
          <cell r="BV18">
            <v>0</v>
          </cell>
          <cell r="BW18">
            <v>0</v>
          </cell>
          <cell r="BX18">
            <v>27366</v>
          </cell>
          <cell r="BY18">
            <v>64967</v>
          </cell>
          <cell r="BZ18">
            <v>0</v>
          </cell>
          <cell r="CA18">
            <v>0</v>
          </cell>
          <cell r="CB18">
            <v>0</v>
          </cell>
        </row>
        <row r="19">
          <cell r="A19" t="str">
            <v>US59P015643201400056</v>
          </cell>
          <cell r="B19" t="str">
            <v>Pekin</v>
          </cell>
          <cell r="C19" t="str">
            <v>Aug-July</v>
          </cell>
          <cell r="D19" t="str">
            <v>US59P01564</v>
          </cell>
          <cell r="E19" t="str">
            <v>564</v>
          </cell>
          <cell r="F19" t="str">
            <v>Dry Shell</v>
          </cell>
          <cell r="G19" t="str">
            <v>01</v>
          </cell>
          <cell r="H19">
            <v>3201400056</v>
          </cell>
          <cell r="I19" t="str">
            <v>FIELD AND PRODUCTION EXPENSES</v>
          </cell>
          <cell r="J19" t="str">
            <v>INVALID</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25000</v>
          </cell>
          <cell r="AE19">
            <v>100000</v>
          </cell>
          <cell r="AF19">
            <v>99634</v>
          </cell>
          <cell r="AG19">
            <v>2080</v>
          </cell>
          <cell r="AH19">
            <v>0</v>
          </cell>
          <cell r="AI19">
            <v>0</v>
          </cell>
          <cell r="AJ19">
            <v>0</v>
          </cell>
          <cell r="AK19">
            <v>0</v>
          </cell>
          <cell r="AL19">
            <v>0</v>
          </cell>
          <cell r="AM19">
            <v>0</v>
          </cell>
          <cell r="AN19">
            <v>0</v>
          </cell>
          <cell r="AO19">
            <v>0</v>
          </cell>
          <cell r="AP19">
            <v>0</v>
          </cell>
          <cell r="AQ19">
            <v>0</v>
          </cell>
          <cell r="AR19">
            <v>85000</v>
          </cell>
          <cell r="AS19">
            <v>-85000</v>
          </cell>
          <cell r="AT19">
            <v>0</v>
          </cell>
          <cell r="AU19">
            <v>0</v>
          </cell>
          <cell r="AV19">
            <v>0</v>
          </cell>
          <cell r="AW19">
            <v>0</v>
          </cell>
          <cell r="AX19">
            <v>0</v>
          </cell>
          <cell r="AY19">
            <v>0</v>
          </cell>
          <cell r="AZ19">
            <v>0</v>
          </cell>
          <cell r="BA19">
            <v>0</v>
          </cell>
          <cell r="BS19">
            <v>0</v>
          </cell>
          <cell r="BT19">
            <v>226714</v>
          </cell>
          <cell r="BU19">
            <v>0</v>
          </cell>
          <cell r="BV19">
            <v>0</v>
          </cell>
          <cell r="BW19">
            <v>0</v>
          </cell>
          <cell r="BX19">
            <v>0</v>
          </cell>
          <cell r="BY19">
            <v>226714</v>
          </cell>
          <cell r="BZ19">
            <v>0</v>
          </cell>
          <cell r="CA19">
            <v>0</v>
          </cell>
          <cell r="CB19">
            <v>0</v>
          </cell>
        </row>
        <row r="20">
          <cell r="A20" t="str">
            <v>US59P015643201400063</v>
          </cell>
          <cell r="B20" t="str">
            <v>Pekin</v>
          </cell>
          <cell r="C20" t="str">
            <v>Aug-July</v>
          </cell>
          <cell r="D20" t="str">
            <v>US59P01564</v>
          </cell>
          <cell r="E20" t="str">
            <v>564</v>
          </cell>
          <cell r="F20" t="str">
            <v>Dry Shell</v>
          </cell>
          <cell r="G20" t="str">
            <v>01</v>
          </cell>
          <cell r="H20">
            <v>3201400063</v>
          </cell>
          <cell r="I20" t="str">
            <v>DISCARD HANDLING FEES</v>
          </cell>
          <cell r="J20" t="str">
            <v>INVALID</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470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S20">
            <v>0</v>
          </cell>
          <cell r="BT20">
            <v>470</v>
          </cell>
          <cell r="BU20">
            <v>0</v>
          </cell>
          <cell r="BV20">
            <v>0</v>
          </cell>
          <cell r="BW20">
            <v>0</v>
          </cell>
          <cell r="BX20">
            <v>0</v>
          </cell>
          <cell r="BY20">
            <v>470</v>
          </cell>
          <cell r="BZ20">
            <v>0</v>
          </cell>
          <cell r="CA20">
            <v>0</v>
          </cell>
          <cell r="CB20">
            <v>0</v>
          </cell>
        </row>
        <row r="21">
          <cell r="A21" t="str">
            <v>US59P015643921200010</v>
          </cell>
          <cell r="B21" t="str">
            <v>Pekin</v>
          </cell>
          <cell r="C21" t="str">
            <v>Aug-July</v>
          </cell>
          <cell r="D21" t="str">
            <v>US59P01564</v>
          </cell>
          <cell r="E21" t="str">
            <v>564</v>
          </cell>
          <cell r="F21" t="str">
            <v>Dry Shell</v>
          </cell>
          <cell r="G21" t="str">
            <v>01</v>
          </cell>
          <cell r="H21">
            <v>3921200010</v>
          </cell>
          <cell r="I21" t="str">
            <v>ADMINISTRATIVE SUPPLIES</v>
          </cell>
          <cell r="J21" t="str">
            <v>INVALID</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15</v>
          </cell>
          <cell r="AF21">
            <v>0</v>
          </cell>
          <cell r="AG21">
            <v>0</v>
          </cell>
          <cell r="AH21">
            <v>0</v>
          </cell>
          <cell r="AI21">
            <v>0</v>
          </cell>
          <cell r="AJ21">
            <v>0</v>
          </cell>
          <cell r="AK21">
            <v>0</v>
          </cell>
          <cell r="AL21">
            <v>0</v>
          </cell>
          <cell r="AM21">
            <v>0</v>
          </cell>
          <cell r="AN21">
            <v>0</v>
          </cell>
          <cell r="AO21">
            <v>0</v>
          </cell>
          <cell r="AP21">
            <v>0</v>
          </cell>
          <cell r="AQ21">
            <v>7</v>
          </cell>
          <cell r="AR21">
            <v>0</v>
          </cell>
          <cell r="AS21">
            <v>-7</v>
          </cell>
          <cell r="AT21">
            <v>0</v>
          </cell>
          <cell r="AU21">
            <v>0</v>
          </cell>
          <cell r="AV21">
            <v>0</v>
          </cell>
          <cell r="AW21">
            <v>0</v>
          </cell>
          <cell r="AX21">
            <v>0</v>
          </cell>
          <cell r="AY21">
            <v>0</v>
          </cell>
          <cell r="AZ21">
            <v>0</v>
          </cell>
          <cell r="BA21">
            <v>0</v>
          </cell>
          <cell r="BS21">
            <v>0</v>
          </cell>
          <cell r="BT21">
            <v>15</v>
          </cell>
          <cell r="BU21">
            <v>0</v>
          </cell>
          <cell r="BV21">
            <v>0</v>
          </cell>
          <cell r="BW21">
            <v>0</v>
          </cell>
          <cell r="BX21">
            <v>0</v>
          </cell>
          <cell r="BY21">
            <v>15</v>
          </cell>
          <cell r="BZ21">
            <v>0</v>
          </cell>
          <cell r="CA21">
            <v>0</v>
          </cell>
          <cell r="CB21">
            <v>0</v>
          </cell>
        </row>
        <row r="22">
          <cell r="A22" t="str">
            <v>US59P015643921200100</v>
          </cell>
          <cell r="B22" t="str">
            <v>Pekin</v>
          </cell>
          <cell r="C22" t="str">
            <v>Aug-July</v>
          </cell>
          <cell r="D22" t="str">
            <v>US59P01564</v>
          </cell>
          <cell r="E22" t="str">
            <v>564</v>
          </cell>
          <cell r="F22" t="str">
            <v>Dry Shell</v>
          </cell>
          <cell r="G22" t="str">
            <v>01</v>
          </cell>
          <cell r="H22">
            <v>3921200100</v>
          </cell>
          <cell r="I22" t="str">
            <v>FIELD &amp; PRODUCTION SUPPLIES</v>
          </cell>
          <cell r="J22" t="str">
            <v>INVALID</v>
          </cell>
          <cell r="K22">
            <v>0</v>
          </cell>
          <cell r="L22">
            <v>0</v>
          </cell>
          <cell r="M22">
            <v>0</v>
          </cell>
          <cell r="N22">
            <v>0</v>
          </cell>
          <cell r="O22">
            <v>0</v>
          </cell>
          <cell r="P22">
            <v>0</v>
          </cell>
          <cell r="Q22">
            <v>0</v>
          </cell>
          <cell r="R22">
            <v>0</v>
          </cell>
          <cell r="S22">
            <v>0</v>
          </cell>
          <cell r="T22">
            <v>520</v>
          </cell>
          <cell r="U22">
            <v>0</v>
          </cell>
          <cell r="V22">
            <v>131</v>
          </cell>
          <cell r="W22">
            <v>0</v>
          </cell>
          <cell r="X22">
            <v>0</v>
          </cell>
          <cell r="Y22">
            <v>0</v>
          </cell>
          <cell r="Z22">
            <v>0</v>
          </cell>
          <cell r="AA22">
            <v>0</v>
          </cell>
          <cell r="AB22">
            <v>0</v>
          </cell>
          <cell r="AC22">
            <v>361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S22">
            <v>1012</v>
          </cell>
          <cell r="BT22">
            <v>0</v>
          </cell>
          <cell r="BU22">
            <v>0</v>
          </cell>
          <cell r="BV22">
            <v>0</v>
          </cell>
          <cell r="BW22">
            <v>0</v>
          </cell>
          <cell r="BX22">
            <v>651</v>
          </cell>
          <cell r="BY22">
            <v>361</v>
          </cell>
          <cell r="BZ22">
            <v>0</v>
          </cell>
          <cell r="CA22">
            <v>0</v>
          </cell>
          <cell r="CB22">
            <v>0</v>
          </cell>
        </row>
        <row r="23">
          <cell r="A23" t="str">
            <v>US59P015643951100005</v>
          </cell>
          <cell r="B23" t="str">
            <v>Pekin</v>
          </cell>
          <cell r="C23" t="str">
            <v>Aug-July</v>
          </cell>
          <cell r="D23" t="str">
            <v>US59P01564</v>
          </cell>
          <cell r="E23" t="str">
            <v>564</v>
          </cell>
          <cell r="F23" t="str">
            <v>Dry Shell</v>
          </cell>
          <cell r="G23" t="str">
            <v>01</v>
          </cell>
          <cell r="H23">
            <v>3951100005</v>
          </cell>
          <cell r="I23" t="str">
            <v>OTHER RENTALS</v>
          </cell>
          <cell r="J23" t="str">
            <v>INVALID</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102</v>
          </cell>
          <cell r="AF23">
            <v>0</v>
          </cell>
          <cell r="AG23">
            <v>0</v>
          </cell>
          <cell r="AH23">
            <v>1050</v>
          </cell>
          <cell r="AI23">
            <v>0</v>
          </cell>
          <cell r="AJ23">
            <v>0</v>
          </cell>
          <cell r="AK23">
            <v>0</v>
          </cell>
          <cell r="AL23">
            <v>0</v>
          </cell>
          <cell r="AM23">
            <v>0</v>
          </cell>
          <cell r="AN23">
            <v>0</v>
          </cell>
          <cell r="AO23">
            <v>0</v>
          </cell>
          <cell r="AP23">
            <v>0</v>
          </cell>
          <cell r="AQ23">
            <v>107</v>
          </cell>
          <cell r="AR23">
            <v>0</v>
          </cell>
          <cell r="AS23">
            <v>-107</v>
          </cell>
          <cell r="AT23">
            <v>0</v>
          </cell>
          <cell r="AU23">
            <v>0</v>
          </cell>
          <cell r="AV23">
            <v>0</v>
          </cell>
          <cell r="AW23">
            <v>0</v>
          </cell>
          <cell r="AX23">
            <v>0</v>
          </cell>
          <cell r="AY23">
            <v>0</v>
          </cell>
          <cell r="AZ23">
            <v>0</v>
          </cell>
          <cell r="BA23">
            <v>0</v>
          </cell>
          <cell r="BS23">
            <v>0</v>
          </cell>
          <cell r="BT23">
            <v>1152</v>
          </cell>
          <cell r="BU23">
            <v>0</v>
          </cell>
          <cell r="BV23">
            <v>0</v>
          </cell>
          <cell r="BW23">
            <v>0</v>
          </cell>
          <cell r="BX23">
            <v>0</v>
          </cell>
          <cell r="BY23">
            <v>1152</v>
          </cell>
          <cell r="BZ23">
            <v>0</v>
          </cell>
          <cell r="CA23">
            <v>0</v>
          </cell>
          <cell r="CB23">
            <v>0</v>
          </cell>
        </row>
        <row r="24">
          <cell r="A24" t="str">
            <v>US59P015643981100067</v>
          </cell>
          <cell r="B24" t="str">
            <v>Pekin</v>
          </cell>
          <cell r="C24" t="str">
            <v>Aug-July</v>
          </cell>
          <cell r="D24" t="str">
            <v>US59P01564</v>
          </cell>
          <cell r="E24" t="str">
            <v>564</v>
          </cell>
          <cell r="F24" t="str">
            <v>Dry Shell</v>
          </cell>
          <cell r="G24" t="str">
            <v>01</v>
          </cell>
          <cell r="H24">
            <v>3981100067</v>
          </cell>
          <cell r="I24" t="str">
            <v>NET BOOK VALUE OF FIXED ASSETS 3RD</v>
          </cell>
          <cell r="J24" t="str">
            <v>INVALID</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100000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S24">
            <v>100000</v>
          </cell>
          <cell r="BT24">
            <v>0</v>
          </cell>
          <cell r="BU24">
            <v>0</v>
          </cell>
          <cell r="BV24">
            <v>0</v>
          </cell>
          <cell r="BW24">
            <v>0</v>
          </cell>
          <cell r="BX24">
            <v>0</v>
          </cell>
          <cell r="BY24">
            <v>100000</v>
          </cell>
          <cell r="BZ24">
            <v>0</v>
          </cell>
          <cell r="CA24">
            <v>0</v>
          </cell>
          <cell r="CB24">
            <v>0</v>
          </cell>
        </row>
        <row r="25">
          <cell r="A25" t="str">
            <v>US59P015643981100078</v>
          </cell>
          <cell r="B25" t="str">
            <v>Pekin</v>
          </cell>
          <cell r="C25" t="str">
            <v>Aug-July</v>
          </cell>
          <cell r="D25" t="str">
            <v>US59P01564</v>
          </cell>
          <cell r="E25" t="str">
            <v>564</v>
          </cell>
          <cell r="F25" t="str">
            <v>Dry Shell</v>
          </cell>
          <cell r="G25" t="str">
            <v>01</v>
          </cell>
          <cell r="H25">
            <v>3981100078</v>
          </cell>
          <cell r="I25" t="str">
            <v>GAIN ON FIXED ASSET</v>
          </cell>
          <cell r="J25" t="str">
            <v>INVALID</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-72256</v>
          </cell>
          <cell r="AD25">
            <v>681</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S25">
            <v>-72256</v>
          </cell>
          <cell r="BT25">
            <v>681</v>
          </cell>
          <cell r="BU25">
            <v>0</v>
          </cell>
          <cell r="BV25">
            <v>0</v>
          </cell>
          <cell r="BW25">
            <v>0</v>
          </cell>
          <cell r="BX25">
            <v>0</v>
          </cell>
          <cell r="BY25">
            <v>-71575</v>
          </cell>
          <cell r="BZ25">
            <v>0</v>
          </cell>
          <cell r="CA25">
            <v>0</v>
          </cell>
          <cell r="CB25">
            <v>0</v>
          </cell>
        </row>
        <row r="26">
          <cell r="A26" t="str">
            <v>US59P015643991200012</v>
          </cell>
          <cell r="B26" t="str">
            <v>Pekin</v>
          </cell>
          <cell r="C26" t="str">
            <v>Aug-July</v>
          </cell>
          <cell r="D26" t="str">
            <v>US59P01564</v>
          </cell>
          <cell r="E26" t="str">
            <v>564</v>
          </cell>
          <cell r="F26" t="str">
            <v>Dry Shell</v>
          </cell>
          <cell r="G26" t="str">
            <v>01</v>
          </cell>
          <cell r="H26">
            <v>3991200012</v>
          </cell>
          <cell r="I26" t="str">
            <v>DELIVERY SERVICES</v>
          </cell>
          <cell r="J26" t="str">
            <v>INVALID</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10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S26">
            <v>0</v>
          </cell>
          <cell r="BT26">
            <v>10</v>
          </cell>
          <cell r="BU26">
            <v>0</v>
          </cell>
          <cell r="BV26">
            <v>0</v>
          </cell>
          <cell r="BW26">
            <v>0</v>
          </cell>
          <cell r="BX26">
            <v>0</v>
          </cell>
          <cell r="BY26">
            <v>10</v>
          </cell>
          <cell r="BZ26">
            <v>0</v>
          </cell>
          <cell r="CA26">
            <v>0</v>
          </cell>
          <cell r="CB26">
            <v>0</v>
          </cell>
        </row>
        <row r="27">
          <cell r="A27" t="str">
            <v>US59P015643991200099</v>
          </cell>
          <cell r="B27" t="str">
            <v>Pekin</v>
          </cell>
          <cell r="C27" t="str">
            <v>Aug-July</v>
          </cell>
          <cell r="D27" t="str">
            <v>US59P01564</v>
          </cell>
          <cell r="E27" t="str">
            <v>564</v>
          </cell>
          <cell r="F27" t="str">
            <v>Dry Shell</v>
          </cell>
          <cell r="G27" t="str">
            <v>01</v>
          </cell>
          <cell r="H27">
            <v>3991200099</v>
          </cell>
          <cell r="I27" t="str">
            <v>OTHER EXPENSES TO 3RD PARTIES - ADJUSTME</v>
          </cell>
          <cell r="J27" t="str">
            <v>INVALID</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627</v>
          </cell>
          <cell r="AF27">
            <v>254</v>
          </cell>
          <cell r="AG27">
            <v>-321</v>
          </cell>
          <cell r="AH27">
            <v>0</v>
          </cell>
          <cell r="AI27">
            <v>0</v>
          </cell>
          <cell r="AJ27">
            <v>0</v>
          </cell>
          <cell r="AK27">
            <v>0</v>
          </cell>
          <cell r="AL27">
            <v>0</v>
          </cell>
          <cell r="AM27">
            <v>0</v>
          </cell>
          <cell r="AN27">
            <v>0</v>
          </cell>
          <cell r="AO27">
            <v>1068</v>
          </cell>
          <cell r="AP27">
            <v>3254</v>
          </cell>
          <cell r="AQ27">
            <v>461</v>
          </cell>
          <cell r="AR27">
            <v>108</v>
          </cell>
          <cell r="AS27">
            <v>-569</v>
          </cell>
          <cell r="AT27">
            <v>0</v>
          </cell>
          <cell r="AU27">
            <v>0</v>
          </cell>
          <cell r="AV27">
            <v>0</v>
          </cell>
          <cell r="AW27">
            <v>0</v>
          </cell>
          <cell r="AX27">
            <v>137</v>
          </cell>
          <cell r="AY27">
            <v>0</v>
          </cell>
          <cell r="AZ27">
            <v>0</v>
          </cell>
          <cell r="BA27">
            <v>0</v>
          </cell>
          <cell r="BS27">
            <v>0</v>
          </cell>
          <cell r="BT27">
            <v>1628</v>
          </cell>
          <cell r="BU27">
            <v>3391</v>
          </cell>
          <cell r="BV27">
            <v>0</v>
          </cell>
          <cell r="BW27">
            <v>0</v>
          </cell>
          <cell r="BX27">
            <v>0</v>
          </cell>
          <cell r="BY27">
            <v>560</v>
          </cell>
          <cell r="BZ27">
            <v>4322</v>
          </cell>
          <cell r="CA27">
            <v>137</v>
          </cell>
          <cell r="CB27">
            <v>0</v>
          </cell>
        </row>
        <row r="28">
          <cell r="A28" t="str">
            <v>US59P015649420000025</v>
          </cell>
          <cell r="B28" t="str">
            <v>Pekin</v>
          </cell>
          <cell r="C28" t="str">
            <v>Aug-July</v>
          </cell>
          <cell r="D28" t="str">
            <v>US59P01564</v>
          </cell>
          <cell r="E28" t="str">
            <v>564</v>
          </cell>
          <cell r="F28" t="str">
            <v>Dry Shell</v>
          </cell>
          <cell r="G28" t="str">
            <v>01</v>
          </cell>
          <cell r="H28">
            <v>9420000025</v>
          </cell>
          <cell r="I28" t="str">
            <v>EMPLOYEE BENEFIT ALLOCATION</v>
          </cell>
          <cell r="J28" t="str">
            <v>VALID - NON BUDGET</v>
          </cell>
          <cell r="K28">
            <v>0</v>
          </cell>
          <cell r="L28">
            <v>0</v>
          </cell>
          <cell r="M28">
            <v>0</v>
          </cell>
          <cell r="N28">
            <v>0</v>
          </cell>
          <cell r="O28">
            <v>0</v>
          </cell>
          <cell r="P28">
            <v>0</v>
          </cell>
          <cell r="Q28">
            <v>0</v>
          </cell>
          <cell r="R28">
            <v>0</v>
          </cell>
          <cell r="S28">
            <v>0</v>
          </cell>
          <cell r="T28">
            <v>21156</v>
          </cell>
          <cell r="U28">
            <v>10824</v>
          </cell>
          <cell r="V28">
            <v>10993</v>
          </cell>
          <cell r="W28">
            <v>0</v>
          </cell>
          <cell r="X28">
            <v>0</v>
          </cell>
          <cell r="Y28">
            <v>0</v>
          </cell>
          <cell r="Z28">
            <v>0</v>
          </cell>
          <cell r="AA28">
            <v>0</v>
          </cell>
          <cell r="AB28">
            <v>0</v>
          </cell>
          <cell r="AC28">
            <v>0</v>
          </cell>
          <cell r="AD28">
            <v>0</v>
          </cell>
          <cell r="AE28">
            <v>8925</v>
          </cell>
          <cell r="AF28">
            <v>18521</v>
          </cell>
          <cell r="AG28">
            <v>-2754</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S28">
            <v>42973</v>
          </cell>
          <cell r="BT28">
            <v>24692</v>
          </cell>
          <cell r="BU28">
            <v>0</v>
          </cell>
          <cell r="BV28">
            <v>0</v>
          </cell>
          <cell r="BW28">
            <v>0</v>
          </cell>
          <cell r="BX28">
            <v>42973</v>
          </cell>
          <cell r="BY28">
            <v>24692</v>
          </cell>
          <cell r="BZ28">
            <v>0</v>
          </cell>
          <cell r="CA28">
            <v>0</v>
          </cell>
          <cell r="CB28">
            <v>0</v>
          </cell>
        </row>
      </sheetData>
      <sheetData sheetId="13">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US59P015603111100000</v>
          </cell>
          <cell r="B4" t="str">
            <v>Pekin</v>
          </cell>
          <cell r="C4" t="str">
            <v>Aug-July</v>
          </cell>
          <cell r="D4" t="str">
            <v>US59P01560</v>
          </cell>
          <cell r="E4" t="str">
            <v>560</v>
          </cell>
          <cell r="F4" t="str">
            <v>Cond &amp; Pack</v>
          </cell>
          <cell r="G4" t="str">
            <v>01</v>
          </cell>
          <cell r="H4">
            <v>3111100000</v>
          </cell>
          <cell r="I4" t="str">
            <v>WAGES,SALARIES,ALLOWANCES AND COMMI/PERM</v>
          </cell>
          <cell r="J4" t="str">
            <v>VALID</v>
          </cell>
          <cell r="K4">
            <v>0</v>
          </cell>
          <cell r="L4">
            <v>0</v>
          </cell>
          <cell r="M4">
            <v>0</v>
          </cell>
          <cell r="N4">
            <v>0</v>
          </cell>
          <cell r="O4">
            <v>0</v>
          </cell>
          <cell r="P4">
            <v>0</v>
          </cell>
          <cell r="Q4">
            <v>0</v>
          </cell>
          <cell r="R4">
            <v>0</v>
          </cell>
          <cell r="S4">
            <v>19067</v>
          </cell>
          <cell r="T4">
            <v>13218</v>
          </cell>
          <cell r="U4">
            <v>14008</v>
          </cell>
          <cell r="V4">
            <v>13380</v>
          </cell>
          <cell r="W4">
            <v>3184</v>
          </cell>
          <cell r="X4">
            <v>2774</v>
          </cell>
          <cell r="Y4">
            <v>1363</v>
          </cell>
          <cell r="Z4">
            <v>3166</v>
          </cell>
          <cell r="AA4">
            <v>5834</v>
          </cell>
          <cell r="AB4">
            <v>1774</v>
          </cell>
          <cell r="AC4">
            <v>1185</v>
          </cell>
          <cell r="AD4">
            <v>291</v>
          </cell>
          <cell r="AE4">
            <v>11623</v>
          </cell>
          <cell r="AF4">
            <v>17472</v>
          </cell>
          <cell r="AG4">
            <v>24060</v>
          </cell>
          <cell r="AH4">
            <v>22695</v>
          </cell>
          <cell r="AI4">
            <v>21681</v>
          </cell>
          <cell r="AJ4">
            <v>17036</v>
          </cell>
          <cell r="AK4">
            <v>13442</v>
          </cell>
          <cell r="AL4">
            <v>8918</v>
          </cell>
          <cell r="AM4">
            <v>9189</v>
          </cell>
          <cell r="AN4">
            <v>14969</v>
          </cell>
          <cell r="AO4">
            <v>1276</v>
          </cell>
          <cell r="AP4">
            <v>4412</v>
          </cell>
          <cell r="AQ4">
            <v>7573</v>
          </cell>
          <cell r="AR4">
            <v>18024</v>
          </cell>
          <cell r="AS4">
            <v>24392</v>
          </cell>
          <cell r="AT4">
            <v>19075</v>
          </cell>
          <cell r="AU4">
            <v>17687</v>
          </cell>
          <cell r="AV4">
            <v>14441</v>
          </cell>
          <cell r="AW4">
            <v>17341</v>
          </cell>
          <cell r="AX4">
            <v>0</v>
          </cell>
          <cell r="AY4">
            <v>3371</v>
          </cell>
          <cell r="AZ4">
            <v>3371</v>
          </cell>
          <cell r="BA4">
            <v>3371</v>
          </cell>
          <cell r="BB4">
            <v>4500</v>
          </cell>
          <cell r="BC4">
            <v>7500</v>
          </cell>
          <cell r="BD4">
            <v>20000</v>
          </cell>
          <cell r="BE4">
            <v>22400</v>
          </cell>
          <cell r="BF4">
            <v>22400</v>
          </cell>
          <cell r="BG4">
            <v>17400</v>
          </cell>
          <cell r="BH4">
            <v>12400</v>
          </cell>
          <cell r="BI4">
            <v>3500</v>
          </cell>
          <cell r="BJ4">
            <v>3500</v>
          </cell>
          <cell r="BK4">
            <v>3500</v>
          </cell>
          <cell r="BL4">
            <v>3500</v>
          </cell>
          <cell r="BM4">
            <v>3500</v>
          </cell>
          <cell r="BS4">
            <v>78953</v>
          </cell>
          <cell r="BT4">
            <v>162652</v>
          </cell>
          <cell r="BU4">
            <v>133058</v>
          </cell>
          <cell r="BV4">
            <v>124100</v>
          </cell>
          <cell r="BW4">
            <v>47300</v>
          </cell>
          <cell r="BX4">
            <v>59673</v>
          </cell>
          <cell r="BY4">
            <v>95421</v>
          </cell>
          <cell r="BZ4">
            <v>159987</v>
          </cell>
          <cell r="CA4">
            <v>49469</v>
          </cell>
          <cell r="CB4">
            <v>86913</v>
          </cell>
        </row>
        <row r="5">
          <cell r="A5" t="str">
            <v>US59P015603111100012</v>
          </cell>
          <cell r="B5" t="str">
            <v>Pekin</v>
          </cell>
          <cell r="C5" t="str">
            <v>Aug-July</v>
          </cell>
          <cell r="D5" t="str">
            <v>US59P01560</v>
          </cell>
          <cell r="E5" t="str">
            <v>560</v>
          </cell>
          <cell r="F5" t="str">
            <v>Cond &amp; Pack</v>
          </cell>
          <cell r="G5" t="str">
            <v>01</v>
          </cell>
          <cell r="H5">
            <v>3111100012</v>
          </cell>
          <cell r="I5" t="str">
            <v>OVERTIME HOURS /PERMANENTS</v>
          </cell>
          <cell r="J5" t="str">
            <v>VALID</v>
          </cell>
          <cell r="K5">
            <v>0</v>
          </cell>
          <cell r="L5">
            <v>0</v>
          </cell>
          <cell r="M5">
            <v>0</v>
          </cell>
          <cell r="N5">
            <v>0</v>
          </cell>
          <cell r="O5">
            <v>0</v>
          </cell>
          <cell r="P5">
            <v>0</v>
          </cell>
          <cell r="Q5">
            <v>0</v>
          </cell>
          <cell r="R5">
            <v>0</v>
          </cell>
          <cell r="S5">
            <v>3607</v>
          </cell>
          <cell r="T5">
            <v>8467</v>
          </cell>
          <cell r="U5">
            <v>-1851</v>
          </cell>
          <cell r="V5">
            <v>622</v>
          </cell>
          <cell r="W5">
            <v>50</v>
          </cell>
          <cell r="X5">
            <v>651</v>
          </cell>
          <cell r="Y5">
            <v>90</v>
          </cell>
          <cell r="Z5">
            <v>506</v>
          </cell>
          <cell r="AA5">
            <v>1061</v>
          </cell>
          <cell r="AB5">
            <v>115</v>
          </cell>
          <cell r="AC5">
            <v>122</v>
          </cell>
          <cell r="AD5">
            <v>0</v>
          </cell>
          <cell r="AE5">
            <v>1799</v>
          </cell>
          <cell r="AF5">
            <v>17642</v>
          </cell>
          <cell r="AG5">
            <v>595</v>
          </cell>
          <cell r="AH5">
            <v>525</v>
          </cell>
          <cell r="AI5">
            <v>1211</v>
          </cell>
          <cell r="AJ5">
            <v>1787</v>
          </cell>
          <cell r="AK5">
            <v>306</v>
          </cell>
          <cell r="AL5">
            <v>74</v>
          </cell>
          <cell r="AM5">
            <v>460</v>
          </cell>
          <cell r="AN5">
            <v>264</v>
          </cell>
          <cell r="AO5">
            <v>0</v>
          </cell>
          <cell r="AP5">
            <v>38</v>
          </cell>
          <cell r="AQ5">
            <v>30</v>
          </cell>
          <cell r="AR5">
            <v>2396</v>
          </cell>
          <cell r="AS5">
            <v>448</v>
          </cell>
          <cell r="AT5">
            <v>118</v>
          </cell>
          <cell r="AU5">
            <v>565</v>
          </cell>
          <cell r="AV5">
            <v>1451</v>
          </cell>
          <cell r="AW5">
            <v>560</v>
          </cell>
          <cell r="AX5">
            <v>0</v>
          </cell>
          <cell r="AY5">
            <v>0</v>
          </cell>
          <cell r="AZ5">
            <v>0</v>
          </cell>
          <cell r="BA5">
            <v>0</v>
          </cell>
          <cell r="BB5">
            <v>200</v>
          </cell>
          <cell r="BC5">
            <v>300</v>
          </cell>
          <cell r="BD5">
            <v>2500</v>
          </cell>
          <cell r="BE5">
            <v>1000</v>
          </cell>
          <cell r="BF5">
            <v>1000</v>
          </cell>
          <cell r="BG5">
            <v>1000</v>
          </cell>
          <cell r="BH5">
            <v>1500</v>
          </cell>
          <cell r="BS5">
            <v>13440</v>
          </cell>
          <cell r="BT5">
            <v>24663</v>
          </cell>
          <cell r="BU5">
            <v>5606</v>
          </cell>
          <cell r="BV5">
            <v>7500</v>
          </cell>
          <cell r="BW5">
            <v>2500</v>
          </cell>
          <cell r="BX5">
            <v>10845</v>
          </cell>
          <cell r="BY5">
            <v>23156</v>
          </cell>
          <cell r="BZ5">
            <v>7132</v>
          </cell>
          <cell r="CA5">
            <v>2576</v>
          </cell>
          <cell r="CB5">
            <v>5000</v>
          </cell>
        </row>
        <row r="6">
          <cell r="A6" t="str">
            <v>US59P015603111100900</v>
          </cell>
          <cell r="B6" t="str">
            <v>Pekin</v>
          </cell>
          <cell r="C6" t="str">
            <v>Aug-July</v>
          </cell>
          <cell r="D6" t="str">
            <v>US59P01560</v>
          </cell>
          <cell r="E6" t="str">
            <v>560</v>
          </cell>
          <cell r="F6" t="str">
            <v>Cond &amp; Pack</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S6">
            <v>0</v>
          </cell>
          <cell r="BT6">
            <v>0</v>
          </cell>
          <cell r="BU6">
            <v>0</v>
          </cell>
          <cell r="BV6">
            <v>0</v>
          </cell>
          <cell r="BW6">
            <v>0</v>
          </cell>
          <cell r="BX6">
            <v>0</v>
          </cell>
          <cell r="BY6">
            <v>0</v>
          </cell>
          <cell r="BZ6">
            <v>0</v>
          </cell>
          <cell r="CA6">
            <v>0</v>
          </cell>
          <cell r="CB6">
            <v>0</v>
          </cell>
        </row>
        <row r="7">
          <cell r="A7" t="str">
            <v>US59P015603121300013</v>
          </cell>
          <cell r="B7" t="str">
            <v>Pekin</v>
          </cell>
          <cell r="C7" t="str">
            <v>Aug-July</v>
          </cell>
          <cell r="D7" t="str">
            <v>US59P01560</v>
          </cell>
          <cell r="E7" t="str">
            <v>560</v>
          </cell>
          <cell r="F7" t="str">
            <v>Cond &amp; Pack</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8516</v>
          </cell>
          <cell r="AJ7">
            <v>7002</v>
          </cell>
          <cell r="AK7">
            <v>5114</v>
          </cell>
          <cell r="AL7">
            <v>3345</v>
          </cell>
          <cell r="AM7">
            <v>3589</v>
          </cell>
          <cell r="AN7">
            <v>4705</v>
          </cell>
          <cell r="AO7">
            <v>1436</v>
          </cell>
          <cell r="AP7">
            <v>1655</v>
          </cell>
          <cell r="AQ7">
            <v>2828</v>
          </cell>
          <cell r="AR7">
            <v>7596</v>
          </cell>
          <cell r="AS7">
            <v>9241</v>
          </cell>
          <cell r="AT7">
            <v>7140</v>
          </cell>
          <cell r="AU7">
            <v>6680</v>
          </cell>
          <cell r="AV7">
            <v>5816</v>
          </cell>
          <cell r="AW7">
            <v>6552</v>
          </cell>
          <cell r="AX7">
            <v>0</v>
          </cell>
          <cell r="AY7">
            <v>1247</v>
          </cell>
          <cell r="AZ7">
            <v>1247</v>
          </cell>
          <cell r="BA7">
            <v>1247</v>
          </cell>
          <cell r="BB7">
            <v>1720.2</v>
          </cell>
          <cell r="BC7">
            <v>2854.7999999999997</v>
          </cell>
          <cell r="BD7">
            <v>8235</v>
          </cell>
          <cell r="BE7">
            <v>8564.4</v>
          </cell>
          <cell r="BF7">
            <v>8564.4</v>
          </cell>
          <cell r="BG7">
            <v>6734.4</v>
          </cell>
          <cell r="BH7">
            <v>5087.3999999999996</v>
          </cell>
          <cell r="BI7">
            <v>1281</v>
          </cell>
          <cell r="BJ7">
            <v>1281</v>
          </cell>
          <cell r="BK7">
            <v>1281</v>
          </cell>
          <cell r="BL7">
            <v>1281</v>
          </cell>
          <cell r="BM7">
            <v>1281</v>
          </cell>
          <cell r="BN7">
            <v>0</v>
          </cell>
          <cell r="BO7">
            <v>0</v>
          </cell>
          <cell r="BP7">
            <v>0</v>
          </cell>
          <cell r="BQ7">
            <v>0</v>
          </cell>
          <cell r="BR7">
            <v>0</v>
          </cell>
          <cell r="BS7">
            <v>0</v>
          </cell>
          <cell r="BT7">
            <v>33707</v>
          </cell>
          <cell r="BU7">
            <v>51249</v>
          </cell>
          <cell r="BV7">
            <v>48165.600000000006</v>
          </cell>
          <cell r="BW7">
            <v>18226.8</v>
          </cell>
          <cell r="BX7">
            <v>0</v>
          </cell>
          <cell r="BY7">
            <v>0</v>
          </cell>
          <cell r="BZ7">
            <v>62167</v>
          </cell>
          <cell r="CA7">
            <v>19048</v>
          </cell>
          <cell r="CB7">
            <v>33679.800000000003</v>
          </cell>
        </row>
        <row r="8">
          <cell r="A8" t="str">
            <v>US59P015603201300001</v>
          </cell>
          <cell r="B8" t="str">
            <v>Pekin</v>
          </cell>
          <cell r="C8" t="str">
            <v>Aug-July</v>
          </cell>
          <cell r="D8" t="str">
            <v>US59P01560</v>
          </cell>
          <cell r="E8" t="str">
            <v>560</v>
          </cell>
          <cell r="F8" t="str">
            <v>Cond &amp; Pack</v>
          </cell>
          <cell r="G8" t="str">
            <v>01</v>
          </cell>
          <cell r="H8">
            <v>3201300001</v>
          </cell>
          <cell r="I8" t="str">
            <v>HIRED PERSONNEL FROM 3RD PARTIES</v>
          </cell>
          <cell r="J8" t="str">
            <v>VALID</v>
          </cell>
          <cell r="K8">
            <v>11268</v>
          </cell>
          <cell r="L8">
            <v>7813</v>
          </cell>
          <cell r="M8">
            <v>41061</v>
          </cell>
          <cell r="N8">
            <v>22543</v>
          </cell>
          <cell r="O8">
            <v>15219</v>
          </cell>
          <cell r="P8">
            <v>10950</v>
          </cell>
          <cell r="Q8">
            <v>8346</v>
          </cell>
          <cell r="R8">
            <v>298</v>
          </cell>
          <cell r="S8">
            <v>14262</v>
          </cell>
          <cell r="T8">
            <v>28052</v>
          </cell>
          <cell r="U8">
            <v>10700</v>
          </cell>
          <cell r="V8">
            <v>13940</v>
          </cell>
          <cell r="W8">
            <v>30063</v>
          </cell>
          <cell r="X8">
            <v>8555</v>
          </cell>
          <cell r="Y8">
            <v>9406</v>
          </cell>
          <cell r="Z8">
            <v>7240</v>
          </cell>
          <cell r="AA8">
            <v>7102</v>
          </cell>
          <cell r="AB8">
            <v>6294</v>
          </cell>
          <cell r="AC8">
            <v>2998</v>
          </cell>
          <cell r="AD8">
            <v>0</v>
          </cell>
          <cell r="AE8">
            <v>0</v>
          </cell>
          <cell r="AF8">
            <v>16283</v>
          </cell>
          <cell r="AG8">
            <v>22701</v>
          </cell>
          <cell r="AH8">
            <v>27462</v>
          </cell>
          <cell r="AI8">
            <v>22786</v>
          </cell>
          <cell r="AJ8">
            <v>20722</v>
          </cell>
          <cell r="AK8">
            <v>17839</v>
          </cell>
          <cell r="AL8">
            <v>6981</v>
          </cell>
          <cell r="AM8">
            <v>10578</v>
          </cell>
          <cell r="AN8">
            <v>4383</v>
          </cell>
          <cell r="AO8">
            <v>3659</v>
          </cell>
          <cell r="AP8">
            <v>0</v>
          </cell>
          <cell r="AQ8">
            <v>0</v>
          </cell>
          <cell r="AR8">
            <v>1535</v>
          </cell>
          <cell r="AS8">
            <v>6141</v>
          </cell>
          <cell r="AT8">
            <v>11847</v>
          </cell>
          <cell r="AU8">
            <v>13777</v>
          </cell>
          <cell r="AV8">
            <v>14528</v>
          </cell>
          <cell r="AW8">
            <v>9146</v>
          </cell>
          <cell r="AX8">
            <v>1094</v>
          </cell>
          <cell r="AY8">
            <v>0</v>
          </cell>
          <cell r="AZ8">
            <v>0</v>
          </cell>
          <cell r="BA8">
            <v>0</v>
          </cell>
          <cell r="BC8">
            <v>2000</v>
          </cell>
          <cell r="BD8">
            <v>5000</v>
          </cell>
          <cell r="BE8">
            <v>7500</v>
          </cell>
          <cell r="BF8">
            <v>12000</v>
          </cell>
          <cell r="BG8">
            <v>12000</v>
          </cell>
          <cell r="BH8">
            <v>12000</v>
          </cell>
          <cell r="BI8">
            <v>2500</v>
          </cell>
          <cell r="BJ8">
            <v>2500</v>
          </cell>
          <cell r="BS8">
            <v>138910</v>
          </cell>
          <cell r="BT8">
            <v>153394</v>
          </cell>
          <cell r="BU8">
            <v>58068</v>
          </cell>
          <cell r="BV8">
            <v>55500</v>
          </cell>
          <cell r="BW8">
            <v>29000</v>
          </cell>
          <cell r="BX8">
            <v>184452</v>
          </cell>
          <cell r="BY8">
            <v>138104</v>
          </cell>
          <cell r="BZ8">
            <v>106471</v>
          </cell>
          <cell r="CA8">
            <v>38545</v>
          </cell>
          <cell r="CB8">
            <v>26500</v>
          </cell>
        </row>
        <row r="9">
          <cell r="A9" t="str">
            <v>US59P015603201400029</v>
          </cell>
          <cell r="B9" t="str">
            <v>Pekin</v>
          </cell>
          <cell r="C9" t="str">
            <v>Aug-July</v>
          </cell>
          <cell r="D9" t="str">
            <v>US59P01560</v>
          </cell>
          <cell r="E9" t="str">
            <v>560</v>
          </cell>
          <cell r="F9" t="str">
            <v>Cond &amp; Pack</v>
          </cell>
          <cell r="G9" t="str">
            <v>01</v>
          </cell>
          <cell r="H9">
            <v>3201400029</v>
          </cell>
          <cell r="I9" t="str">
            <v>OTH OUTSIDE SERVICES OTHER</v>
          </cell>
          <cell r="J9" t="str">
            <v>VALID</v>
          </cell>
          <cell r="K9">
            <v>0</v>
          </cell>
          <cell r="L9">
            <v>0</v>
          </cell>
          <cell r="M9">
            <v>0</v>
          </cell>
          <cell r="N9">
            <v>0</v>
          </cell>
          <cell r="O9">
            <v>0</v>
          </cell>
          <cell r="P9">
            <v>0</v>
          </cell>
          <cell r="Q9">
            <v>0</v>
          </cell>
          <cell r="R9">
            <v>31</v>
          </cell>
          <cell r="S9">
            <v>0</v>
          </cell>
          <cell r="T9">
            <v>0</v>
          </cell>
          <cell r="U9">
            <v>0</v>
          </cell>
          <cell r="V9">
            <v>445</v>
          </cell>
          <cell r="W9">
            <v>0</v>
          </cell>
          <cell r="X9">
            <v>0</v>
          </cell>
          <cell r="Y9">
            <v>0</v>
          </cell>
          <cell r="Z9">
            <v>0</v>
          </cell>
          <cell r="AA9">
            <v>0</v>
          </cell>
          <cell r="AB9">
            <v>0</v>
          </cell>
          <cell r="AC9">
            <v>0</v>
          </cell>
          <cell r="AD9">
            <v>0</v>
          </cell>
          <cell r="AE9">
            <v>0</v>
          </cell>
          <cell r="AF9">
            <v>0</v>
          </cell>
          <cell r="AG9">
            <v>0</v>
          </cell>
          <cell r="AH9">
            <v>0</v>
          </cell>
          <cell r="AI9">
            <v>385</v>
          </cell>
          <cell r="AJ9">
            <v>417</v>
          </cell>
          <cell r="AK9">
            <v>0</v>
          </cell>
          <cell r="AL9">
            <v>0</v>
          </cell>
          <cell r="AM9">
            <v>219</v>
          </cell>
          <cell r="AN9">
            <v>0</v>
          </cell>
          <cell r="AO9">
            <v>0</v>
          </cell>
          <cell r="AP9">
            <v>0</v>
          </cell>
          <cell r="AQ9">
            <v>0</v>
          </cell>
          <cell r="AR9">
            <v>349</v>
          </cell>
          <cell r="AS9">
            <v>0</v>
          </cell>
          <cell r="AT9">
            <v>0</v>
          </cell>
          <cell r="AU9">
            <v>0</v>
          </cell>
          <cell r="AV9">
            <v>0</v>
          </cell>
          <cell r="AW9">
            <v>220</v>
          </cell>
          <cell r="AX9">
            <v>0</v>
          </cell>
          <cell r="AY9">
            <v>0</v>
          </cell>
          <cell r="AZ9">
            <v>0</v>
          </cell>
          <cell r="BA9">
            <v>0</v>
          </cell>
          <cell r="BS9">
            <v>476</v>
          </cell>
          <cell r="BT9">
            <v>1021</v>
          </cell>
          <cell r="BU9">
            <v>569</v>
          </cell>
          <cell r="BV9">
            <v>0</v>
          </cell>
          <cell r="BW9">
            <v>0</v>
          </cell>
          <cell r="BX9">
            <v>476</v>
          </cell>
          <cell r="BY9">
            <v>0</v>
          </cell>
          <cell r="BZ9">
            <v>1370</v>
          </cell>
          <cell r="CA9">
            <v>220</v>
          </cell>
          <cell r="CB9">
            <v>0</v>
          </cell>
        </row>
        <row r="10">
          <cell r="A10" t="str">
            <v>US59P015603201400036</v>
          </cell>
          <cell r="B10" t="str">
            <v>Pekin</v>
          </cell>
          <cell r="C10" t="str">
            <v>Aug-July</v>
          </cell>
          <cell r="D10" t="str">
            <v>US59P01560</v>
          </cell>
          <cell r="E10" t="str">
            <v>560</v>
          </cell>
          <cell r="F10" t="str">
            <v>Cond &amp; Pack</v>
          </cell>
          <cell r="G10" t="str">
            <v>01</v>
          </cell>
          <cell r="H10">
            <v>3201400036</v>
          </cell>
          <cell r="I10" t="str">
            <v>OTHER MAINTENANCE BUILDINGS</v>
          </cell>
          <cell r="J10" t="str">
            <v>VALID</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219</v>
          </cell>
          <cell r="AO10">
            <v>0</v>
          </cell>
          <cell r="AP10">
            <v>0</v>
          </cell>
          <cell r="AQ10">
            <v>0</v>
          </cell>
          <cell r="AR10">
            <v>0</v>
          </cell>
          <cell r="AS10">
            <v>0</v>
          </cell>
          <cell r="AT10">
            <v>0</v>
          </cell>
          <cell r="AU10">
            <v>0</v>
          </cell>
          <cell r="AV10">
            <v>0</v>
          </cell>
          <cell r="AW10">
            <v>0</v>
          </cell>
          <cell r="AX10">
            <v>348</v>
          </cell>
          <cell r="AY10">
            <v>0</v>
          </cell>
          <cell r="AZ10">
            <v>0</v>
          </cell>
          <cell r="BA10">
            <v>0</v>
          </cell>
          <cell r="BB10">
            <v>2000</v>
          </cell>
          <cell r="BC10">
            <v>7500</v>
          </cell>
          <cell r="BH10">
            <v>1500</v>
          </cell>
          <cell r="BI10">
            <v>1500</v>
          </cell>
          <cell r="BL10">
            <v>0</v>
          </cell>
          <cell r="BS10">
            <v>0</v>
          </cell>
          <cell r="BT10">
            <v>219</v>
          </cell>
          <cell r="BU10">
            <v>348</v>
          </cell>
          <cell r="BV10">
            <v>12500</v>
          </cell>
          <cell r="BW10">
            <v>3000</v>
          </cell>
          <cell r="BX10">
            <v>0</v>
          </cell>
          <cell r="BY10">
            <v>0</v>
          </cell>
          <cell r="BZ10">
            <v>219</v>
          </cell>
          <cell r="CA10">
            <v>348</v>
          </cell>
          <cell r="CB10">
            <v>9500</v>
          </cell>
        </row>
        <row r="11">
          <cell r="A11" t="str">
            <v>US59P015603201400051</v>
          </cell>
          <cell r="B11" t="str">
            <v>Pekin</v>
          </cell>
          <cell r="C11" t="str">
            <v>Aug-July</v>
          </cell>
          <cell r="D11" t="str">
            <v>US59P01560</v>
          </cell>
          <cell r="E11" t="str">
            <v>560</v>
          </cell>
          <cell r="F11" t="str">
            <v>Cond &amp; Pack</v>
          </cell>
          <cell r="G11" t="str">
            <v>01</v>
          </cell>
          <cell r="H11">
            <v>3201400051</v>
          </cell>
          <cell r="I11" t="str">
            <v>MAINTENANCE EQUIPMENT</v>
          </cell>
          <cell r="J11" t="str">
            <v>VALID</v>
          </cell>
          <cell r="K11">
            <v>1009</v>
          </cell>
          <cell r="L11">
            <v>0</v>
          </cell>
          <cell r="M11">
            <v>0</v>
          </cell>
          <cell r="N11">
            <v>0</v>
          </cell>
          <cell r="O11">
            <v>384</v>
          </cell>
          <cell r="P11">
            <v>0</v>
          </cell>
          <cell r="Q11">
            <v>0</v>
          </cell>
          <cell r="R11">
            <v>0</v>
          </cell>
          <cell r="S11">
            <v>0</v>
          </cell>
          <cell r="T11">
            <v>4305</v>
          </cell>
          <cell r="U11">
            <v>336</v>
          </cell>
          <cell r="V11">
            <v>963</v>
          </cell>
          <cell r="W11">
            <v>68</v>
          </cell>
          <cell r="X11">
            <v>0</v>
          </cell>
          <cell r="Y11">
            <v>1448</v>
          </cell>
          <cell r="Z11">
            <v>0</v>
          </cell>
          <cell r="AA11">
            <v>0</v>
          </cell>
          <cell r="AB11">
            <v>0</v>
          </cell>
          <cell r="AC11">
            <v>0</v>
          </cell>
          <cell r="AD11">
            <v>0</v>
          </cell>
          <cell r="AE11">
            <v>3469</v>
          </cell>
          <cell r="AF11">
            <v>2913</v>
          </cell>
          <cell r="AG11">
            <v>4490</v>
          </cell>
          <cell r="AH11">
            <v>1787</v>
          </cell>
          <cell r="AI11">
            <v>1931</v>
          </cell>
          <cell r="AJ11">
            <v>81</v>
          </cell>
          <cell r="AK11">
            <v>3523</v>
          </cell>
          <cell r="AL11">
            <v>24731</v>
          </cell>
          <cell r="AM11">
            <v>2363</v>
          </cell>
          <cell r="AN11">
            <v>283</v>
          </cell>
          <cell r="AO11">
            <v>3395</v>
          </cell>
          <cell r="AP11">
            <v>294</v>
          </cell>
          <cell r="AQ11">
            <v>2304</v>
          </cell>
          <cell r="AR11">
            <v>5017</v>
          </cell>
          <cell r="AS11">
            <v>1412</v>
          </cell>
          <cell r="AT11">
            <v>1984</v>
          </cell>
          <cell r="AU11">
            <v>2652</v>
          </cell>
          <cell r="AV11">
            <v>0</v>
          </cell>
          <cell r="AW11">
            <v>1520</v>
          </cell>
          <cell r="AX11">
            <v>348</v>
          </cell>
          <cell r="AY11">
            <v>0</v>
          </cell>
          <cell r="AZ11">
            <v>0</v>
          </cell>
          <cell r="BA11">
            <v>0</v>
          </cell>
          <cell r="BB11">
            <v>10000</v>
          </cell>
          <cell r="BC11">
            <v>1000</v>
          </cell>
          <cell r="BD11">
            <v>500</v>
          </cell>
          <cell r="BE11">
            <v>500</v>
          </cell>
          <cell r="BF11">
            <v>500</v>
          </cell>
          <cell r="BG11">
            <v>500</v>
          </cell>
          <cell r="BH11">
            <v>200</v>
          </cell>
          <cell r="BI11">
            <v>200</v>
          </cell>
          <cell r="BJ11">
            <v>200</v>
          </cell>
          <cell r="BS11">
            <v>7120</v>
          </cell>
          <cell r="BT11">
            <v>48966</v>
          </cell>
          <cell r="BU11">
            <v>15531</v>
          </cell>
          <cell r="BV11">
            <v>13600</v>
          </cell>
          <cell r="BW11">
            <v>1100</v>
          </cell>
          <cell r="BX11">
            <v>6997</v>
          </cell>
          <cell r="BY11">
            <v>14175</v>
          </cell>
          <cell r="BZ11">
            <v>47318</v>
          </cell>
          <cell r="CA11">
            <v>4520</v>
          </cell>
          <cell r="CB11">
            <v>12500</v>
          </cell>
        </row>
        <row r="12">
          <cell r="A12" t="str">
            <v>US59P015603311400099</v>
          </cell>
          <cell r="B12" t="str">
            <v>Pekin</v>
          </cell>
          <cell r="C12" t="str">
            <v>Aug-July</v>
          </cell>
          <cell r="D12" t="str">
            <v>US59P01560</v>
          </cell>
          <cell r="E12" t="str">
            <v>560</v>
          </cell>
          <cell r="F12" t="str">
            <v>Cond &amp; Pack</v>
          </cell>
          <cell r="G12" t="str">
            <v>01</v>
          </cell>
          <cell r="H12">
            <v>3311400099</v>
          </cell>
          <cell r="I12" t="str">
            <v>CO DEPRECIATION</v>
          </cell>
          <cell r="J12" t="str">
            <v>VALID</v>
          </cell>
          <cell r="K12">
            <v>8610</v>
          </cell>
          <cell r="L12">
            <v>8610</v>
          </cell>
          <cell r="M12">
            <v>8610</v>
          </cell>
          <cell r="N12">
            <v>8610</v>
          </cell>
          <cell r="O12">
            <v>8610</v>
          </cell>
          <cell r="P12">
            <v>8610</v>
          </cell>
          <cell r="Q12">
            <v>8641</v>
          </cell>
          <cell r="R12">
            <v>8610</v>
          </cell>
          <cell r="S12">
            <v>7082</v>
          </cell>
          <cell r="T12">
            <v>8434</v>
          </cell>
          <cell r="U12">
            <v>17639</v>
          </cell>
          <cell r="V12">
            <v>9478</v>
          </cell>
          <cell r="W12">
            <v>9478</v>
          </cell>
          <cell r="X12">
            <v>9478</v>
          </cell>
          <cell r="Y12">
            <v>9478</v>
          </cell>
          <cell r="Z12">
            <v>9478</v>
          </cell>
          <cell r="AA12">
            <v>9523</v>
          </cell>
          <cell r="AB12">
            <v>9523</v>
          </cell>
          <cell r="AC12">
            <v>9523</v>
          </cell>
          <cell r="AD12">
            <v>8489</v>
          </cell>
          <cell r="AE12">
            <v>8556</v>
          </cell>
          <cell r="AF12">
            <v>8556</v>
          </cell>
          <cell r="AG12">
            <v>8556</v>
          </cell>
          <cell r="AH12">
            <v>78529</v>
          </cell>
          <cell r="AI12">
            <v>26664</v>
          </cell>
          <cell r="AJ12">
            <v>26664</v>
          </cell>
          <cell r="AK12">
            <v>26664</v>
          </cell>
          <cell r="AL12">
            <v>26664</v>
          </cell>
          <cell r="AM12">
            <v>26664</v>
          </cell>
          <cell r="AN12">
            <v>26664</v>
          </cell>
          <cell r="AO12">
            <v>26664</v>
          </cell>
          <cell r="AP12">
            <v>26664</v>
          </cell>
          <cell r="AQ12">
            <v>26664</v>
          </cell>
          <cell r="AR12">
            <v>26664</v>
          </cell>
          <cell r="AS12">
            <v>26664</v>
          </cell>
          <cell r="AT12">
            <v>26664</v>
          </cell>
          <cell r="AU12">
            <v>26664</v>
          </cell>
          <cell r="AV12">
            <v>26664</v>
          </cell>
          <cell r="AW12">
            <v>26664</v>
          </cell>
          <cell r="AX12">
            <v>26664</v>
          </cell>
          <cell r="AY12">
            <v>16574</v>
          </cell>
          <cell r="AZ12">
            <v>16574</v>
          </cell>
          <cell r="BA12">
            <v>16574</v>
          </cell>
          <cell r="BB12">
            <v>26664</v>
          </cell>
          <cell r="BC12">
            <v>26664</v>
          </cell>
          <cell r="BD12">
            <v>26664</v>
          </cell>
          <cell r="BE12">
            <v>26664</v>
          </cell>
          <cell r="BF12">
            <v>26664</v>
          </cell>
          <cell r="BG12">
            <v>26664</v>
          </cell>
          <cell r="BH12">
            <v>26664</v>
          </cell>
          <cell r="BI12">
            <v>26664</v>
          </cell>
          <cell r="BJ12">
            <v>26664</v>
          </cell>
          <cell r="BK12">
            <v>26664</v>
          </cell>
          <cell r="BL12">
            <v>26664</v>
          </cell>
          <cell r="BM12">
            <v>26664</v>
          </cell>
          <cell r="BS12">
            <v>117724</v>
          </cell>
          <cell r="BT12">
            <v>299334</v>
          </cell>
          <cell r="BU12">
            <v>289698</v>
          </cell>
          <cell r="BV12">
            <v>319968</v>
          </cell>
          <cell r="BW12">
            <v>186648</v>
          </cell>
          <cell r="BX12">
            <v>111544</v>
          </cell>
          <cell r="BY12">
            <v>179167</v>
          </cell>
          <cell r="BZ12">
            <v>319968</v>
          </cell>
          <cell r="CA12">
            <v>106656</v>
          </cell>
          <cell r="CB12">
            <v>183042</v>
          </cell>
        </row>
        <row r="13">
          <cell r="A13" t="str">
            <v>US59P015603921200001</v>
          </cell>
          <cell r="B13" t="str">
            <v>Pekin</v>
          </cell>
          <cell r="C13" t="str">
            <v>Aug-July</v>
          </cell>
          <cell r="D13" t="str">
            <v>US59P01560</v>
          </cell>
          <cell r="E13" t="str">
            <v>560</v>
          </cell>
          <cell r="F13" t="str">
            <v>Cond &amp; Pack</v>
          </cell>
          <cell r="G13" t="str">
            <v>01</v>
          </cell>
          <cell r="H13">
            <v>3921200001</v>
          </cell>
          <cell r="I13" t="str">
            <v>FUEL</v>
          </cell>
          <cell r="J13" t="str">
            <v>VALID</v>
          </cell>
          <cell r="K13">
            <v>0</v>
          </cell>
          <cell r="L13">
            <v>563</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123</v>
          </cell>
          <cell r="AE13">
            <v>0</v>
          </cell>
          <cell r="AF13">
            <v>0</v>
          </cell>
          <cell r="AG13">
            <v>0</v>
          </cell>
          <cell r="AH13">
            <v>0</v>
          </cell>
          <cell r="AI13">
            <v>0</v>
          </cell>
          <cell r="AJ13">
            <v>0</v>
          </cell>
          <cell r="AK13">
            <v>0</v>
          </cell>
          <cell r="AL13">
            <v>2881</v>
          </cell>
          <cell r="AM13">
            <v>0</v>
          </cell>
          <cell r="AN13">
            <v>1079</v>
          </cell>
          <cell r="AO13">
            <v>0</v>
          </cell>
          <cell r="AP13">
            <v>0</v>
          </cell>
          <cell r="AQ13">
            <v>0</v>
          </cell>
          <cell r="AR13">
            <v>0</v>
          </cell>
          <cell r="AS13">
            <v>0</v>
          </cell>
          <cell r="AT13">
            <v>0</v>
          </cell>
          <cell r="AU13">
            <v>0</v>
          </cell>
          <cell r="AV13">
            <v>0</v>
          </cell>
          <cell r="AW13">
            <v>0</v>
          </cell>
          <cell r="AX13">
            <v>0</v>
          </cell>
          <cell r="AY13">
            <v>0</v>
          </cell>
          <cell r="AZ13">
            <v>0</v>
          </cell>
          <cell r="BA13">
            <v>0</v>
          </cell>
          <cell r="BS13">
            <v>0</v>
          </cell>
          <cell r="BT13">
            <v>4083</v>
          </cell>
          <cell r="BU13">
            <v>0</v>
          </cell>
          <cell r="BV13">
            <v>0</v>
          </cell>
          <cell r="BW13">
            <v>0</v>
          </cell>
          <cell r="BX13">
            <v>563</v>
          </cell>
          <cell r="BY13">
            <v>123</v>
          </cell>
          <cell r="BZ13">
            <v>3960</v>
          </cell>
          <cell r="CA13">
            <v>0</v>
          </cell>
          <cell r="CB13">
            <v>0</v>
          </cell>
        </row>
        <row r="14">
          <cell r="A14" t="str">
            <v>US59P015603921200006</v>
          </cell>
          <cell r="B14" t="str">
            <v>Pekin</v>
          </cell>
          <cell r="C14" t="str">
            <v>Aug-July</v>
          </cell>
          <cell r="D14" t="str">
            <v>US59P01560</v>
          </cell>
          <cell r="E14" t="str">
            <v>560</v>
          </cell>
          <cell r="F14" t="str">
            <v>Cond &amp; Pack</v>
          </cell>
          <cell r="G14" t="str">
            <v>01</v>
          </cell>
          <cell r="H14">
            <v>3921200006</v>
          </cell>
          <cell r="I14" t="str">
            <v>FACTORY SUPPLIES MAINTENANCE SUPPLIES</v>
          </cell>
          <cell r="J14" t="str">
            <v>VALID</v>
          </cell>
          <cell r="K14">
            <v>-236</v>
          </cell>
          <cell r="L14">
            <v>371</v>
          </cell>
          <cell r="M14">
            <v>2985</v>
          </cell>
          <cell r="N14">
            <v>467</v>
          </cell>
          <cell r="O14">
            <v>56</v>
          </cell>
          <cell r="P14">
            <v>0</v>
          </cell>
          <cell r="Q14">
            <v>0</v>
          </cell>
          <cell r="R14">
            <v>1247</v>
          </cell>
          <cell r="S14">
            <v>2647</v>
          </cell>
          <cell r="T14">
            <v>850</v>
          </cell>
          <cell r="U14">
            <v>781</v>
          </cell>
          <cell r="V14">
            <v>704</v>
          </cell>
          <cell r="W14">
            <v>0</v>
          </cell>
          <cell r="X14">
            <v>0</v>
          </cell>
          <cell r="Y14">
            <v>259</v>
          </cell>
          <cell r="Z14">
            <v>0</v>
          </cell>
          <cell r="AA14">
            <v>57</v>
          </cell>
          <cell r="AB14">
            <v>0</v>
          </cell>
          <cell r="AC14">
            <v>0</v>
          </cell>
          <cell r="AD14">
            <v>0</v>
          </cell>
          <cell r="AE14">
            <v>0</v>
          </cell>
          <cell r="AF14">
            <v>125</v>
          </cell>
          <cell r="AG14">
            <v>23348</v>
          </cell>
          <cell r="AH14">
            <v>395</v>
          </cell>
          <cell r="AI14">
            <v>373</v>
          </cell>
          <cell r="AJ14">
            <v>79</v>
          </cell>
          <cell r="AK14">
            <v>91</v>
          </cell>
          <cell r="AL14">
            <v>198</v>
          </cell>
          <cell r="AM14">
            <v>0</v>
          </cell>
          <cell r="AN14">
            <v>133</v>
          </cell>
          <cell r="AO14">
            <v>116</v>
          </cell>
          <cell r="AP14">
            <v>380</v>
          </cell>
          <cell r="AQ14">
            <v>949</v>
          </cell>
          <cell r="AR14">
            <v>4129</v>
          </cell>
          <cell r="AS14">
            <v>1178</v>
          </cell>
          <cell r="AT14">
            <v>0</v>
          </cell>
          <cell r="AU14">
            <v>0</v>
          </cell>
          <cell r="AV14">
            <v>0</v>
          </cell>
          <cell r="AW14">
            <v>0</v>
          </cell>
          <cell r="AX14">
            <v>0</v>
          </cell>
          <cell r="AY14">
            <v>0</v>
          </cell>
          <cell r="AZ14">
            <v>0</v>
          </cell>
          <cell r="BA14">
            <v>0</v>
          </cell>
          <cell r="BB14">
            <v>500</v>
          </cell>
          <cell r="BC14">
            <v>500</v>
          </cell>
          <cell r="BD14">
            <v>500</v>
          </cell>
          <cell r="BE14">
            <v>500</v>
          </cell>
          <cell r="BF14">
            <v>250</v>
          </cell>
          <cell r="BG14">
            <v>250</v>
          </cell>
          <cell r="BH14">
            <v>250</v>
          </cell>
          <cell r="BI14">
            <v>1000</v>
          </cell>
          <cell r="BJ14">
            <v>250</v>
          </cell>
          <cell r="BK14">
            <v>250</v>
          </cell>
          <cell r="BS14">
            <v>6545</v>
          </cell>
          <cell r="BT14">
            <v>24858</v>
          </cell>
          <cell r="BU14">
            <v>6636</v>
          </cell>
          <cell r="BV14">
            <v>4250</v>
          </cell>
          <cell r="BW14">
            <v>2000</v>
          </cell>
          <cell r="BX14">
            <v>9872</v>
          </cell>
          <cell r="BY14">
            <v>24184</v>
          </cell>
          <cell r="BZ14">
            <v>7626</v>
          </cell>
          <cell r="CA14">
            <v>0</v>
          </cell>
          <cell r="CB14">
            <v>2250</v>
          </cell>
        </row>
        <row r="15">
          <cell r="A15" t="str">
            <v>US59P015603921200037</v>
          </cell>
          <cell r="B15" t="str">
            <v>Pekin</v>
          </cell>
          <cell r="C15" t="str">
            <v>Aug-July</v>
          </cell>
          <cell r="D15" t="str">
            <v>US59P01560</v>
          </cell>
          <cell r="E15" t="str">
            <v>560</v>
          </cell>
          <cell r="F15" t="str">
            <v>Cond &amp; Pack</v>
          </cell>
          <cell r="G15" t="str">
            <v>01</v>
          </cell>
          <cell r="H15">
            <v>3921200037</v>
          </cell>
          <cell r="I15" t="str">
            <v>EXHAUSTIVE EQUIPMENT</v>
          </cell>
          <cell r="J15" t="str">
            <v>VALID</v>
          </cell>
          <cell r="K15">
            <v>0</v>
          </cell>
          <cell r="L15">
            <v>0</v>
          </cell>
          <cell r="M15">
            <v>0</v>
          </cell>
          <cell r="N15">
            <v>0</v>
          </cell>
          <cell r="O15">
            <v>0</v>
          </cell>
          <cell r="P15">
            <v>0</v>
          </cell>
          <cell r="Q15">
            <v>0</v>
          </cell>
          <cell r="R15">
            <v>1242</v>
          </cell>
          <cell r="S15">
            <v>1423</v>
          </cell>
          <cell r="T15">
            <v>11880</v>
          </cell>
          <cell r="U15">
            <v>113</v>
          </cell>
          <cell r="V15">
            <v>190</v>
          </cell>
          <cell r="W15">
            <v>0</v>
          </cell>
          <cell r="X15">
            <v>0</v>
          </cell>
          <cell r="Y15">
            <v>0</v>
          </cell>
          <cell r="Z15">
            <v>25</v>
          </cell>
          <cell r="AA15">
            <v>0</v>
          </cell>
          <cell r="AB15">
            <v>357</v>
          </cell>
          <cell r="AC15">
            <v>0</v>
          </cell>
          <cell r="AD15">
            <v>0</v>
          </cell>
          <cell r="AE15">
            <v>328</v>
          </cell>
          <cell r="AF15">
            <v>247</v>
          </cell>
          <cell r="AG15">
            <v>147</v>
          </cell>
          <cell r="AH15">
            <v>0</v>
          </cell>
          <cell r="AI15">
            <v>0</v>
          </cell>
          <cell r="AJ15">
            <v>253</v>
          </cell>
          <cell r="AK15">
            <v>374</v>
          </cell>
          <cell r="AL15">
            <v>306</v>
          </cell>
          <cell r="AM15">
            <v>381</v>
          </cell>
          <cell r="AN15">
            <v>0</v>
          </cell>
          <cell r="AO15">
            <v>0</v>
          </cell>
          <cell r="AP15">
            <v>65</v>
          </cell>
          <cell r="AQ15">
            <v>829</v>
          </cell>
          <cell r="AR15">
            <v>649</v>
          </cell>
          <cell r="AS15">
            <v>434</v>
          </cell>
          <cell r="AT15">
            <v>740</v>
          </cell>
          <cell r="AU15">
            <v>285</v>
          </cell>
          <cell r="AV15">
            <v>36</v>
          </cell>
          <cell r="AW15">
            <v>2417</v>
          </cell>
          <cell r="AX15">
            <v>1834</v>
          </cell>
          <cell r="AY15">
            <v>0</v>
          </cell>
          <cell r="AZ15">
            <v>0</v>
          </cell>
          <cell r="BA15">
            <v>0</v>
          </cell>
          <cell r="BS15">
            <v>15230</v>
          </cell>
          <cell r="BT15">
            <v>2036</v>
          </cell>
          <cell r="BU15">
            <v>7289</v>
          </cell>
          <cell r="BV15">
            <v>0</v>
          </cell>
          <cell r="BW15">
            <v>0</v>
          </cell>
          <cell r="BX15">
            <v>14848</v>
          </cell>
          <cell r="BY15">
            <v>1104</v>
          </cell>
          <cell r="BZ15">
            <v>4031</v>
          </cell>
          <cell r="CA15">
            <v>4572</v>
          </cell>
          <cell r="CB15">
            <v>0</v>
          </cell>
        </row>
        <row r="16">
          <cell r="A16" t="str">
            <v>US59P015603921200100</v>
          </cell>
          <cell r="B16" t="str">
            <v>Pekin</v>
          </cell>
          <cell r="C16" t="str">
            <v>Aug-July</v>
          </cell>
          <cell r="D16" t="str">
            <v>US59P01560</v>
          </cell>
          <cell r="E16" t="str">
            <v>560</v>
          </cell>
          <cell r="F16" t="str">
            <v>Cond &amp; Pack</v>
          </cell>
          <cell r="G16" t="str">
            <v>01</v>
          </cell>
          <cell r="H16">
            <v>3921200100</v>
          </cell>
          <cell r="I16" t="str">
            <v>FIELD &amp; PRODUCTION SUPPLIES</v>
          </cell>
          <cell r="J16" t="str">
            <v>VALID</v>
          </cell>
          <cell r="K16">
            <v>335</v>
          </cell>
          <cell r="L16">
            <v>-8434</v>
          </cell>
          <cell r="M16">
            <v>1820</v>
          </cell>
          <cell r="N16">
            <v>0</v>
          </cell>
          <cell r="O16">
            <v>0</v>
          </cell>
          <cell r="P16">
            <v>-15</v>
          </cell>
          <cell r="Q16">
            <v>0</v>
          </cell>
          <cell r="R16">
            <v>857</v>
          </cell>
          <cell r="S16">
            <v>-20</v>
          </cell>
          <cell r="T16">
            <v>1996</v>
          </cell>
          <cell r="U16">
            <v>495</v>
          </cell>
          <cell r="V16">
            <v>-12387</v>
          </cell>
          <cell r="W16">
            <v>358</v>
          </cell>
          <cell r="X16">
            <v>418</v>
          </cell>
          <cell r="Y16">
            <v>0</v>
          </cell>
          <cell r="Z16">
            <v>0</v>
          </cell>
          <cell r="AA16">
            <v>0</v>
          </cell>
          <cell r="AB16">
            <v>0</v>
          </cell>
          <cell r="AC16">
            <v>0</v>
          </cell>
          <cell r="AD16">
            <v>11453</v>
          </cell>
          <cell r="AE16">
            <v>62757</v>
          </cell>
          <cell r="AF16">
            <v>0</v>
          </cell>
          <cell r="AG16">
            <v>350</v>
          </cell>
          <cell r="AH16">
            <v>98</v>
          </cell>
          <cell r="AI16">
            <v>0</v>
          </cell>
          <cell r="AJ16">
            <v>0</v>
          </cell>
          <cell r="AK16">
            <v>-156</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S16">
            <v>-8283</v>
          </cell>
          <cell r="BT16">
            <v>74502</v>
          </cell>
          <cell r="BU16">
            <v>0</v>
          </cell>
          <cell r="BV16">
            <v>0</v>
          </cell>
          <cell r="BW16">
            <v>0</v>
          </cell>
          <cell r="BX16">
            <v>-15353</v>
          </cell>
          <cell r="BY16">
            <v>75434</v>
          </cell>
          <cell r="BZ16">
            <v>-156</v>
          </cell>
          <cell r="CA16">
            <v>0</v>
          </cell>
          <cell r="CB16">
            <v>0</v>
          </cell>
        </row>
        <row r="17">
          <cell r="A17" t="str">
            <v>US59P015603951100005</v>
          </cell>
          <cell r="B17" t="str">
            <v>Pekin</v>
          </cell>
          <cell r="C17" t="str">
            <v>Aug-July</v>
          </cell>
          <cell r="D17" t="str">
            <v>US59P01560</v>
          </cell>
          <cell r="E17" t="str">
            <v>560</v>
          </cell>
          <cell r="F17" t="str">
            <v>Cond &amp; Pack</v>
          </cell>
          <cell r="G17" t="str">
            <v>01</v>
          </cell>
          <cell r="H17">
            <v>3951100005</v>
          </cell>
          <cell r="I17" t="str">
            <v>OTHER RENTALS</v>
          </cell>
          <cell r="J17" t="str">
            <v>VALID</v>
          </cell>
          <cell r="K17">
            <v>0</v>
          </cell>
          <cell r="L17">
            <v>0</v>
          </cell>
          <cell r="M17">
            <v>0</v>
          </cell>
          <cell r="N17">
            <v>0</v>
          </cell>
          <cell r="O17">
            <v>219</v>
          </cell>
          <cell r="P17">
            <v>0</v>
          </cell>
          <cell r="Q17">
            <v>0</v>
          </cell>
          <cell r="R17">
            <v>33999</v>
          </cell>
          <cell r="S17">
            <v>0</v>
          </cell>
          <cell r="T17">
            <v>0</v>
          </cell>
          <cell r="U17">
            <v>0</v>
          </cell>
          <cell r="V17">
            <v>0</v>
          </cell>
          <cell r="W17">
            <v>0</v>
          </cell>
          <cell r="X17">
            <v>0</v>
          </cell>
          <cell r="Y17">
            <v>0</v>
          </cell>
          <cell r="Z17">
            <v>3000</v>
          </cell>
          <cell r="AA17">
            <v>0</v>
          </cell>
          <cell r="AB17">
            <v>0</v>
          </cell>
          <cell r="AC17">
            <v>0</v>
          </cell>
          <cell r="AD17">
            <v>0</v>
          </cell>
          <cell r="AE17">
            <v>0</v>
          </cell>
          <cell r="AF17">
            <v>0</v>
          </cell>
          <cell r="AG17">
            <v>0</v>
          </cell>
          <cell r="AH17">
            <v>0</v>
          </cell>
          <cell r="AI17">
            <v>2414</v>
          </cell>
          <cell r="AJ17">
            <v>2109</v>
          </cell>
          <cell r="AK17">
            <v>2109</v>
          </cell>
          <cell r="AL17">
            <v>1528</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S17">
            <v>36999</v>
          </cell>
          <cell r="BT17">
            <v>8160</v>
          </cell>
          <cell r="BU17">
            <v>0</v>
          </cell>
          <cell r="BV17">
            <v>0</v>
          </cell>
          <cell r="BW17">
            <v>0</v>
          </cell>
          <cell r="BX17">
            <v>34218</v>
          </cell>
          <cell r="BY17">
            <v>3000</v>
          </cell>
          <cell r="BZ17">
            <v>8160</v>
          </cell>
          <cell r="CA17">
            <v>0</v>
          </cell>
          <cell r="CB17">
            <v>0</v>
          </cell>
        </row>
        <row r="18">
          <cell r="A18" t="str">
            <v>US59P015603001501133</v>
          </cell>
          <cell r="B18" t="str">
            <v>Pekin</v>
          </cell>
          <cell r="C18" t="str">
            <v>Aug-July</v>
          </cell>
          <cell r="D18" t="str">
            <v>US59P01560</v>
          </cell>
          <cell r="E18" t="str">
            <v>560</v>
          </cell>
          <cell r="F18" t="str">
            <v>Cond &amp; Pack</v>
          </cell>
          <cell r="G18" t="str">
            <v>01</v>
          </cell>
          <cell r="H18">
            <v>3001501133</v>
          </cell>
          <cell r="I18" t="str">
            <v>INV.MVMT/CHEMICAL DISCARDED</v>
          </cell>
          <cell r="J18" t="str">
            <v>INVALID</v>
          </cell>
          <cell r="K18">
            <v>0</v>
          </cell>
          <cell r="L18">
            <v>0</v>
          </cell>
          <cell r="M18">
            <v>0</v>
          </cell>
          <cell r="N18">
            <v>0</v>
          </cell>
          <cell r="O18">
            <v>0</v>
          </cell>
          <cell r="P18">
            <v>0</v>
          </cell>
          <cell r="Q18">
            <v>0</v>
          </cell>
          <cell r="R18">
            <v>69</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S18">
            <v>69</v>
          </cell>
          <cell r="BT18">
            <v>0</v>
          </cell>
          <cell r="BU18">
            <v>0</v>
          </cell>
          <cell r="BV18">
            <v>0</v>
          </cell>
          <cell r="BW18">
            <v>0</v>
          </cell>
          <cell r="BX18">
            <v>69</v>
          </cell>
          <cell r="BY18">
            <v>0</v>
          </cell>
          <cell r="BZ18">
            <v>0</v>
          </cell>
          <cell r="CA18">
            <v>0</v>
          </cell>
          <cell r="CB18">
            <v>0</v>
          </cell>
        </row>
        <row r="19">
          <cell r="A19" t="str">
            <v>US59P015603111100020</v>
          </cell>
          <cell r="B19" t="str">
            <v>Pekin</v>
          </cell>
          <cell r="C19" t="str">
            <v>Aug-July</v>
          </cell>
          <cell r="D19" t="str">
            <v>US59P01560</v>
          </cell>
          <cell r="E19" t="str">
            <v>560</v>
          </cell>
          <cell r="F19" t="str">
            <v>Cond &amp; Pack</v>
          </cell>
          <cell r="G19" t="str">
            <v>01</v>
          </cell>
          <cell r="H19">
            <v>3111100020</v>
          </cell>
          <cell r="I19" t="str">
            <v>INCENTIVE PLAN (functions)</v>
          </cell>
          <cell r="J19" t="str">
            <v>INVALID</v>
          </cell>
          <cell r="K19">
            <v>0</v>
          </cell>
          <cell r="L19">
            <v>0</v>
          </cell>
          <cell r="M19">
            <v>0</v>
          </cell>
          <cell r="N19">
            <v>0</v>
          </cell>
          <cell r="O19">
            <v>0</v>
          </cell>
          <cell r="P19">
            <v>0</v>
          </cell>
          <cell r="Q19">
            <v>0</v>
          </cell>
          <cell r="R19">
            <v>0</v>
          </cell>
          <cell r="S19">
            <v>0</v>
          </cell>
          <cell r="T19">
            <v>0</v>
          </cell>
          <cell r="U19">
            <v>0</v>
          </cell>
          <cell r="V19">
            <v>0</v>
          </cell>
          <cell r="W19">
            <v>800</v>
          </cell>
          <cell r="X19">
            <v>-800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S19">
            <v>0</v>
          </cell>
          <cell r="BT19">
            <v>0</v>
          </cell>
          <cell r="BU19">
            <v>0</v>
          </cell>
          <cell r="BV19">
            <v>0</v>
          </cell>
          <cell r="BW19">
            <v>0</v>
          </cell>
          <cell r="BX19">
            <v>0</v>
          </cell>
          <cell r="BY19">
            <v>0</v>
          </cell>
          <cell r="BZ19">
            <v>0</v>
          </cell>
          <cell r="CA19">
            <v>0</v>
          </cell>
          <cell r="CB19">
            <v>0</v>
          </cell>
        </row>
        <row r="20">
          <cell r="A20" t="str">
            <v>US59P015603201300002</v>
          </cell>
          <cell r="B20" t="str">
            <v>Pekin</v>
          </cell>
          <cell r="C20" t="str">
            <v>Aug-July</v>
          </cell>
          <cell r="D20" t="str">
            <v>US59P01560</v>
          </cell>
          <cell r="E20" t="str">
            <v>560</v>
          </cell>
          <cell r="F20" t="str">
            <v>Cond &amp; Pack</v>
          </cell>
          <cell r="G20" t="str">
            <v>01</v>
          </cell>
          <cell r="H20">
            <v>3201300002</v>
          </cell>
          <cell r="I20" t="str">
            <v>O/S SERVICES</v>
          </cell>
          <cell r="J20" t="str">
            <v>INVALID</v>
          </cell>
          <cell r="K20">
            <v>306</v>
          </cell>
          <cell r="L20">
            <v>395</v>
          </cell>
          <cell r="M20">
            <v>819</v>
          </cell>
          <cell r="N20">
            <v>759</v>
          </cell>
          <cell r="O20">
            <v>0</v>
          </cell>
          <cell r="P20">
            <v>219</v>
          </cell>
          <cell r="Q20">
            <v>219</v>
          </cell>
          <cell r="R20">
            <v>219</v>
          </cell>
          <cell r="S20">
            <v>1066</v>
          </cell>
          <cell r="T20">
            <v>60</v>
          </cell>
          <cell r="U20">
            <v>7243</v>
          </cell>
          <cell r="V20">
            <v>3231</v>
          </cell>
          <cell r="W20">
            <v>2781</v>
          </cell>
          <cell r="X20">
            <v>78</v>
          </cell>
          <cell r="Y20">
            <v>0</v>
          </cell>
          <cell r="Z20">
            <v>0</v>
          </cell>
          <cell r="AA20">
            <v>0</v>
          </cell>
          <cell r="AB20">
            <v>0</v>
          </cell>
          <cell r="AC20">
            <v>0</v>
          </cell>
          <cell r="AD20">
            <v>323</v>
          </cell>
          <cell r="AE20">
            <v>91</v>
          </cell>
          <cell r="AF20">
            <v>283</v>
          </cell>
          <cell r="AG20">
            <v>0</v>
          </cell>
          <cell r="AH20">
            <v>0</v>
          </cell>
          <cell r="AI20">
            <v>492</v>
          </cell>
          <cell r="AJ20">
            <v>0</v>
          </cell>
          <cell r="AK20">
            <v>182</v>
          </cell>
          <cell r="AL20">
            <v>273</v>
          </cell>
          <cell r="AM20">
            <v>0</v>
          </cell>
          <cell r="AN20">
            <v>0</v>
          </cell>
          <cell r="AO20">
            <v>0</v>
          </cell>
          <cell r="AP20">
            <v>0</v>
          </cell>
          <cell r="AQ20">
            <v>0</v>
          </cell>
          <cell r="AR20">
            <v>0</v>
          </cell>
          <cell r="AS20">
            <v>0</v>
          </cell>
          <cell r="AT20">
            <v>547</v>
          </cell>
          <cell r="AU20">
            <v>-547</v>
          </cell>
          <cell r="AV20">
            <v>0</v>
          </cell>
          <cell r="AW20">
            <v>24</v>
          </cell>
          <cell r="AX20">
            <v>259</v>
          </cell>
          <cell r="AY20">
            <v>0</v>
          </cell>
          <cell r="AZ20">
            <v>0</v>
          </cell>
          <cell r="BA20">
            <v>0</v>
          </cell>
          <cell r="BS20">
            <v>14678</v>
          </cell>
          <cell r="BT20">
            <v>1644</v>
          </cell>
          <cell r="BU20">
            <v>283</v>
          </cell>
          <cell r="BV20">
            <v>0</v>
          </cell>
          <cell r="BW20">
            <v>0</v>
          </cell>
          <cell r="BX20">
            <v>14536</v>
          </cell>
          <cell r="BY20">
            <v>3556</v>
          </cell>
          <cell r="BZ20">
            <v>1494</v>
          </cell>
          <cell r="CA20">
            <v>-264</v>
          </cell>
          <cell r="CB20">
            <v>0</v>
          </cell>
        </row>
        <row r="21">
          <cell r="A21" t="str">
            <v>US59P015603201400003</v>
          </cell>
          <cell r="B21" t="str">
            <v>Pekin</v>
          </cell>
          <cell r="C21" t="str">
            <v>Aug-July</v>
          </cell>
          <cell r="D21" t="str">
            <v>US59P01560</v>
          </cell>
          <cell r="E21" t="str">
            <v>560</v>
          </cell>
          <cell r="F21" t="str">
            <v>Cond &amp; Pack</v>
          </cell>
          <cell r="G21" t="str">
            <v>01</v>
          </cell>
          <cell r="H21">
            <v>3201400003</v>
          </cell>
          <cell r="I21" t="str">
            <v>MAINTENANCE OF OFFICE EQUIPMENT AND FURN</v>
          </cell>
          <cell r="J21" t="str">
            <v>INVALID</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124</v>
          </cell>
          <cell r="AB21">
            <v>0</v>
          </cell>
          <cell r="AC21">
            <v>1617</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S21">
            <v>1741</v>
          </cell>
          <cell r="BT21">
            <v>0</v>
          </cell>
          <cell r="BU21">
            <v>0</v>
          </cell>
          <cell r="BV21">
            <v>0</v>
          </cell>
          <cell r="BW21">
            <v>0</v>
          </cell>
          <cell r="BX21">
            <v>0</v>
          </cell>
          <cell r="BY21">
            <v>1741</v>
          </cell>
          <cell r="BZ21">
            <v>0</v>
          </cell>
          <cell r="CA21">
            <v>0</v>
          </cell>
          <cell r="CB21">
            <v>0</v>
          </cell>
        </row>
        <row r="22">
          <cell r="A22" t="str">
            <v>US59P015603201400050</v>
          </cell>
          <cell r="B22" t="str">
            <v>Pekin</v>
          </cell>
          <cell r="C22" t="str">
            <v>Aug-July</v>
          </cell>
          <cell r="D22" t="str">
            <v>US59P01560</v>
          </cell>
          <cell r="E22" t="str">
            <v>560</v>
          </cell>
          <cell r="F22" t="str">
            <v>Cond &amp; Pack</v>
          </cell>
          <cell r="G22" t="str">
            <v>01</v>
          </cell>
          <cell r="H22">
            <v>3201400050</v>
          </cell>
          <cell r="I22" t="str">
            <v>MAINTENANCE FORKLIFTS</v>
          </cell>
          <cell r="J22" t="str">
            <v>INVALID</v>
          </cell>
          <cell r="K22">
            <v>5400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S22">
            <v>0</v>
          </cell>
          <cell r="BT22">
            <v>0</v>
          </cell>
          <cell r="BU22">
            <v>0</v>
          </cell>
          <cell r="BV22">
            <v>0</v>
          </cell>
          <cell r="BW22">
            <v>0</v>
          </cell>
          <cell r="BX22">
            <v>5400</v>
          </cell>
          <cell r="BY22">
            <v>0</v>
          </cell>
          <cell r="BZ22">
            <v>0</v>
          </cell>
          <cell r="CA22">
            <v>0</v>
          </cell>
          <cell r="CB22">
            <v>0</v>
          </cell>
        </row>
        <row r="23">
          <cell r="A23" t="str">
            <v>US59P015603201400054</v>
          </cell>
          <cell r="B23" t="str">
            <v>Pekin</v>
          </cell>
          <cell r="C23" t="str">
            <v>Aug-July</v>
          </cell>
          <cell r="D23" t="str">
            <v>US59P01560</v>
          </cell>
          <cell r="E23" t="str">
            <v>560</v>
          </cell>
          <cell r="F23" t="str">
            <v>Cond &amp; Pack</v>
          </cell>
          <cell r="G23" t="str">
            <v>01</v>
          </cell>
          <cell r="H23">
            <v>3201400054</v>
          </cell>
          <cell r="I23" t="str">
            <v>TECHNICAL SERVICES</v>
          </cell>
          <cell r="J23" t="str">
            <v>INVALID</v>
          </cell>
          <cell r="K23">
            <v>0</v>
          </cell>
          <cell r="L23">
            <v>0</v>
          </cell>
          <cell r="M23">
            <v>0</v>
          </cell>
          <cell r="N23">
            <v>0</v>
          </cell>
          <cell r="O23">
            <v>0</v>
          </cell>
          <cell r="P23">
            <v>0</v>
          </cell>
          <cell r="Q23">
            <v>0</v>
          </cell>
          <cell r="R23">
            <v>0</v>
          </cell>
          <cell r="S23">
            <v>0</v>
          </cell>
          <cell r="T23">
            <v>0</v>
          </cell>
          <cell r="U23">
            <v>30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S23">
            <v>30</v>
          </cell>
          <cell r="BT23">
            <v>0</v>
          </cell>
          <cell r="BU23">
            <v>0</v>
          </cell>
          <cell r="BV23">
            <v>0</v>
          </cell>
          <cell r="BW23">
            <v>0</v>
          </cell>
          <cell r="BX23">
            <v>30</v>
          </cell>
          <cell r="BY23">
            <v>0</v>
          </cell>
          <cell r="BZ23">
            <v>0</v>
          </cell>
          <cell r="CA23">
            <v>0</v>
          </cell>
          <cell r="CB23">
            <v>0</v>
          </cell>
        </row>
        <row r="24">
          <cell r="A24" t="str">
            <v>US59P015603201400063</v>
          </cell>
          <cell r="B24" t="str">
            <v>Pekin</v>
          </cell>
          <cell r="C24" t="str">
            <v>Aug-July</v>
          </cell>
          <cell r="D24" t="str">
            <v>US59P01560</v>
          </cell>
          <cell r="E24" t="str">
            <v>560</v>
          </cell>
          <cell r="F24" t="str">
            <v>Cond &amp; Pack</v>
          </cell>
          <cell r="G24" t="str">
            <v>01</v>
          </cell>
          <cell r="H24">
            <v>3201400063</v>
          </cell>
          <cell r="I24" t="str">
            <v>DISCARD HANDLING FEES</v>
          </cell>
          <cell r="J24" t="str">
            <v>INVALID</v>
          </cell>
          <cell r="K24">
            <v>0</v>
          </cell>
          <cell r="L24">
            <v>0</v>
          </cell>
          <cell r="M24">
            <v>0</v>
          </cell>
          <cell r="N24">
            <v>0</v>
          </cell>
          <cell r="O24">
            <v>0</v>
          </cell>
          <cell r="P24">
            <v>0</v>
          </cell>
          <cell r="Q24">
            <v>0</v>
          </cell>
          <cell r="R24">
            <v>2374</v>
          </cell>
          <cell r="S24">
            <v>38112</v>
          </cell>
          <cell r="T24">
            <v>1397</v>
          </cell>
          <cell r="U24">
            <v>0</v>
          </cell>
          <cell r="V24">
            <v>0</v>
          </cell>
          <cell r="W24">
            <v>7131</v>
          </cell>
          <cell r="X24">
            <v>0</v>
          </cell>
          <cell r="Y24">
            <v>0</v>
          </cell>
          <cell r="Z24">
            <v>0</v>
          </cell>
          <cell r="AA24">
            <v>0</v>
          </cell>
          <cell r="AB24">
            <v>8391</v>
          </cell>
          <cell r="AC24">
            <v>0</v>
          </cell>
          <cell r="AD24">
            <v>0</v>
          </cell>
          <cell r="AE24">
            <v>0</v>
          </cell>
          <cell r="AF24">
            <v>2415</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S24">
            <v>57405</v>
          </cell>
          <cell r="BT24">
            <v>2415</v>
          </cell>
          <cell r="BU24">
            <v>0</v>
          </cell>
          <cell r="BV24">
            <v>0</v>
          </cell>
          <cell r="BW24">
            <v>0</v>
          </cell>
          <cell r="BX24">
            <v>41883</v>
          </cell>
          <cell r="BY24">
            <v>17937</v>
          </cell>
          <cell r="BZ24">
            <v>0</v>
          </cell>
          <cell r="CA24">
            <v>0</v>
          </cell>
          <cell r="CB24">
            <v>0</v>
          </cell>
        </row>
        <row r="25">
          <cell r="A25" t="str">
            <v>US59P015603911100010</v>
          </cell>
          <cell r="B25" t="str">
            <v>Pekin</v>
          </cell>
          <cell r="C25" t="str">
            <v>Aug-July</v>
          </cell>
          <cell r="D25" t="str">
            <v>US59P01560</v>
          </cell>
          <cell r="E25" t="str">
            <v>560</v>
          </cell>
          <cell r="F25" t="str">
            <v>Cond &amp; Pack</v>
          </cell>
          <cell r="G25" t="str">
            <v>01</v>
          </cell>
          <cell r="H25">
            <v>3911100010</v>
          </cell>
          <cell r="I25" t="str">
            <v>TRAVEL EXPENSES PERMANENTS / MEALS</v>
          </cell>
          <cell r="J25" t="str">
            <v>INVALID</v>
          </cell>
          <cell r="K25">
            <v>0</v>
          </cell>
          <cell r="L25">
            <v>37</v>
          </cell>
          <cell r="M25">
            <v>0</v>
          </cell>
          <cell r="N25">
            <v>0</v>
          </cell>
          <cell r="O25">
            <v>0</v>
          </cell>
          <cell r="P25">
            <v>0</v>
          </cell>
          <cell r="Q25">
            <v>0</v>
          </cell>
          <cell r="R25">
            <v>0</v>
          </cell>
          <cell r="S25">
            <v>0</v>
          </cell>
          <cell r="T25">
            <v>19</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31</v>
          </cell>
          <cell r="AO25">
            <v>0</v>
          </cell>
          <cell r="AP25">
            <v>0</v>
          </cell>
          <cell r="AQ25">
            <v>0</v>
          </cell>
          <cell r="AR25">
            <v>0</v>
          </cell>
          <cell r="AS25">
            <v>0</v>
          </cell>
          <cell r="AT25">
            <v>0</v>
          </cell>
          <cell r="AU25">
            <v>0</v>
          </cell>
          <cell r="AV25">
            <v>0</v>
          </cell>
          <cell r="AW25">
            <v>0</v>
          </cell>
          <cell r="AX25">
            <v>0</v>
          </cell>
          <cell r="AY25">
            <v>0</v>
          </cell>
          <cell r="AZ25">
            <v>0</v>
          </cell>
          <cell r="BA25">
            <v>0</v>
          </cell>
          <cell r="BS25">
            <v>19</v>
          </cell>
          <cell r="BT25">
            <v>31</v>
          </cell>
          <cell r="BU25">
            <v>0</v>
          </cell>
          <cell r="BV25">
            <v>0</v>
          </cell>
          <cell r="BW25">
            <v>0</v>
          </cell>
          <cell r="BX25">
            <v>56</v>
          </cell>
          <cell r="BY25">
            <v>0</v>
          </cell>
          <cell r="BZ25">
            <v>31</v>
          </cell>
          <cell r="CA25">
            <v>0</v>
          </cell>
          <cell r="CB25">
            <v>0</v>
          </cell>
        </row>
        <row r="26">
          <cell r="A26" t="str">
            <v>US59P015603911100012</v>
          </cell>
          <cell r="B26" t="str">
            <v>Pekin</v>
          </cell>
          <cell r="C26" t="str">
            <v>Aug-July</v>
          </cell>
          <cell r="D26" t="str">
            <v>US59P01560</v>
          </cell>
          <cell r="E26" t="str">
            <v>560</v>
          </cell>
          <cell r="F26" t="str">
            <v>Cond &amp; Pack</v>
          </cell>
          <cell r="G26" t="str">
            <v>01</v>
          </cell>
          <cell r="H26">
            <v>3911100012</v>
          </cell>
          <cell r="I26" t="str">
            <v>TRAVEL EXPENSES PERMANENTS / HOTELS</v>
          </cell>
          <cell r="J26" t="str">
            <v>INVALID</v>
          </cell>
          <cell r="K26">
            <v>0</v>
          </cell>
          <cell r="L26">
            <v>0</v>
          </cell>
          <cell r="M26">
            <v>0</v>
          </cell>
          <cell r="N26">
            <v>0</v>
          </cell>
          <cell r="O26">
            <v>0</v>
          </cell>
          <cell r="P26">
            <v>0</v>
          </cell>
          <cell r="Q26">
            <v>0</v>
          </cell>
          <cell r="R26">
            <v>0</v>
          </cell>
          <cell r="S26">
            <v>0</v>
          </cell>
          <cell r="T26">
            <v>57</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S26">
            <v>57</v>
          </cell>
          <cell r="BT26">
            <v>0</v>
          </cell>
          <cell r="BU26">
            <v>0</v>
          </cell>
          <cell r="BV26">
            <v>0</v>
          </cell>
          <cell r="BW26">
            <v>0</v>
          </cell>
          <cell r="BX26">
            <v>57</v>
          </cell>
          <cell r="BY26">
            <v>0</v>
          </cell>
          <cell r="BZ26">
            <v>0</v>
          </cell>
          <cell r="CA26">
            <v>0</v>
          </cell>
          <cell r="CB26">
            <v>0</v>
          </cell>
        </row>
        <row r="27">
          <cell r="A27" t="str">
            <v>US59P015603911100015</v>
          </cell>
          <cell r="B27" t="str">
            <v>Pekin</v>
          </cell>
          <cell r="C27" t="str">
            <v>Aug-July</v>
          </cell>
          <cell r="D27" t="str">
            <v>US59P01560</v>
          </cell>
          <cell r="E27" t="str">
            <v>560</v>
          </cell>
          <cell r="F27" t="str">
            <v>Cond &amp; Pack</v>
          </cell>
          <cell r="G27" t="str">
            <v>01</v>
          </cell>
          <cell r="H27">
            <v>3911100015</v>
          </cell>
          <cell r="I27" t="str">
            <v>TRAVEL EXPENSES PERMANENTS / OTHER</v>
          </cell>
          <cell r="J27" t="str">
            <v>INVALID</v>
          </cell>
          <cell r="K27">
            <v>0</v>
          </cell>
          <cell r="L27">
            <v>12</v>
          </cell>
          <cell r="M27">
            <v>19</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1712</v>
          </cell>
          <cell r="AC27">
            <v>0</v>
          </cell>
          <cell r="AD27">
            <v>0</v>
          </cell>
          <cell r="AE27">
            <v>0</v>
          </cell>
          <cell r="AF27">
            <v>0</v>
          </cell>
          <cell r="AG27">
            <v>0</v>
          </cell>
          <cell r="AH27">
            <v>0</v>
          </cell>
          <cell r="AI27">
            <v>0</v>
          </cell>
          <cell r="AJ27">
            <v>0</v>
          </cell>
          <cell r="AK27">
            <v>0</v>
          </cell>
          <cell r="AL27">
            <v>0</v>
          </cell>
          <cell r="AM27">
            <v>0</v>
          </cell>
          <cell r="AN27">
            <v>844</v>
          </cell>
          <cell r="AO27">
            <v>0</v>
          </cell>
          <cell r="AP27">
            <v>0</v>
          </cell>
          <cell r="AQ27">
            <v>0</v>
          </cell>
          <cell r="AR27">
            <v>0</v>
          </cell>
          <cell r="AS27">
            <v>0</v>
          </cell>
          <cell r="AT27">
            <v>0</v>
          </cell>
          <cell r="AU27">
            <v>0</v>
          </cell>
          <cell r="AV27">
            <v>0</v>
          </cell>
          <cell r="AW27">
            <v>0</v>
          </cell>
          <cell r="AX27">
            <v>0</v>
          </cell>
          <cell r="AY27">
            <v>0</v>
          </cell>
          <cell r="AZ27">
            <v>0</v>
          </cell>
          <cell r="BA27">
            <v>0</v>
          </cell>
          <cell r="BS27">
            <v>1712</v>
          </cell>
          <cell r="BT27">
            <v>844</v>
          </cell>
          <cell r="BU27">
            <v>0</v>
          </cell>
          <cell r="BV27">
            <v>0</v>
          </cell>
          <cell r="BW27">
            <v>0</v>
          </cell>
          <cell r="BX27">
            <v>31</v>
          </cell>
          <cell r="BY27">
            <v>1712</v>
          </cell>
          <cell r="BZ27">
            <v>844</v>
          </cell>
          <cell r="CA27">
            <v>0</v>
          </cell>
          <cell r="CB27">
            <v>0</v>
          </cell>
        </row>
        <row r="28">
          <cell r="A28" t="str">
            <v>US59P015603911100022</v>
          </cell>
          <cell r="B28" t="str">
            <v>Pekin</v>
          </cell>
          <cell r="C28" t="str">
            <v>Aug-July</v>
          </cell>
          <cell r="D28" t="str">
            <v>US59P01560</v>
          </cell>
          <cell r="E28" t="str">
            <v>560</v>
          </cell>
          <cell r="F28" t="str">
            <v>Cond &amp; Pack</v>
          </cell>
          <cell r="G28" t="str">
            <v>01</v>
          </cell>
          <cell r="H28">
            <v>3911100022</v>
          </cell>
          <cell r="I28" t="str">
            <v>TRAVEL EXPENSES - AIRFARE</v>
          </cell>
          <cell r="J28" t="str">
            <v>INVALID</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1104</v>
          </cell>
          <cell r="AO28">
            <v>0</v>
          </cell>
          <cell r="AP28">
            <v>0</v>
          </cell>
          <cell r="AQ28">
            <v>0</v>
          </cell>
          <cell r="AR28">
            <v>0</v>
          </cell>
          <cell r="AS28">
            <v>0</v>
          </cell>
          <cell r="AT28">
            <v>0</v>
          </cell>
          <cell r="AU28">
            <v>0</v>
          </cell>
          <cell r="AV28">
            <v>0</v>
          </cell>
          <cell r="AW28">
            <v>0</v>
          </cell>
          <cell r="AX28">
            <v>0</v>
          </cell>
          <cell r="AY28">
            <v>0</v>
          </cell>
          <cell r="AZ28">
            <v>0</v>
          </cell>
          <cell r="BA28">
            <v>0</v>
          </cell>
          <cell r="BS28">
            <v>0</v>
          </cell>
          <cell r="BT28">
            <v>1104</v>
          </cell>
          <cell r="BU28">
            <v>0</v>
          </cell>
          <cell r="BV28">
            <v>0</v>
          </cell>
          <cell r="BW28">
            <v>0</v>
          </cell>
          <cell r="BX28">
            <v>0</v>
          </cell>
          <cell r="BY28">
            <v>0</v>
          </cell>
          <cell r="BZ28">
            <v>1104</v>
          </cell>
          <cell r="CA28">
            <v>0</v>
          </cell>
          <cell r="CB28">
            <v>0</v>
          </cell>
        </row>
        <row r="29">
          <cell r="A29" t="str">
            <v>US59P015603921100001</v>
          </cell>
          <cell r="B29" t="str">
            <v>Pekin</v>
          </cell>
          <cell r="C29" t="str">
            <v>Aug-July</v>
          </cell>
          <cell r="D29" t="str">
            <v>US59P01560</v>
          </cell>
          <cell r="E29" t="str">
            <v>560</v>
          </cell>
          <cell r="F29" t="str">
            <v>Cond &amp; Pack</v>
          </cell>
          <cell r="G29" t="str">
            <v>01</v>
          </cell>
          <cell r="H29">
            <v>3921100001</v>
          </cell>
          <cell r="I29" t="str">
            <v>UTILITY EXPENSES ELECTRICITY</v>
          </cell>
          <cell r="J29" t="str">
            <v>INVALID</v>
          </cell>
          <cell r="K29">
            <v>0</v>
          </cell>
          <cell r="L29">
            <v>0</v>
          </cell>
          <cell r="M29">
            <v>0</v>
          </cell>
          <cell r="N29">
            <v>0</v>
          </cell>
          <cell r="O29">
            <v>0</v>
          </cell>
          <cell r="P29">
            <v>0</v>
          </cell>
          <cell r="Q29">
            <v>0</v>
          </cell>
          <cell r="R29">
            <v>0</v>
          </cell>
          <cell r="S29">
            <v>0</v>
          </cell>
          <cell r="T29">
            <v>0</v>
          </cell>
          <cell r="U29">
            <v>0</v>
          </cell>
          <cell r="V29">
            <v>0</v>
          </cell>
          <cell r="W29">
            <v>0</v>
          </cell>
          <cell r="X29">
            <v>1639</v>
          </cell>
          <cell r="Y29">
            <v>571</v>
          </cell>
          <cell r="Z29">
            <v>0</v>
          </cell>
          <cell r="AA29">
            <v>0</v>
          </cell>
          <cell r="AB29">
            <v>0</v>
          </cell>
          <cell r="AC29">
            <v>0</v>
          </cell>
          <cell r="AD29">
            <v>0</v>
          </cell>
          <cell r="AE29">
            <v>1584</v>
          </cell>
          <cell r="AF29">
            <v>0</v>
          </cell>
          <cell r="AG29">
            <v>0</v>
          </cell>
          <cell r="AH29">
            <v>6600</v>
          </cell>
          <cell r="AI29">
            <v>7021</v>
          </cell>
          <cell r="AJ29">
            <v>6029</v>
          </cell>
          <cell r="AK29">
            <v>7460</v>
          </cell>
          <cell r="AL29">
            <v>0</v>
          </cell>
          <cell r="AM29">
            <v>4226</v>
          </cell>
          <cell r="AN29">
            <v>0</v>
          </cell>
          <cell r="AO29">
            <v>2878</v>
          </cell>
          <cell r="AP29">
            <v>0</v>
          </cell>
          <cell r="AQ29">
            <v>0</v>
          </cell>
          <cell r="AR29">
            <v>0</v>
          </cell>
          <cell r="AS29">
            <v>0</v>
          </cell>
          <cell r="AT29">
            <v>5413</v>
          </cell>
          <cell r="AU29">
            <v>-5413</v>
          </cell>
          <cell r="AV29">
            <v>0</v>
          </cell>
          <cell r="AW29">
            <v>0</v>
          </cell>
          <cell r="AX29">
            <v>0</v>
          </cell>
          <cell r="AY29">
            <v>0</v>
          </cell>
          <cell r="AZ29">
            <v>0</v>
          </cell>
          <cell r="BA29">
            <v>0</v>
          </cell>
          <cell r="BS29">
            <v>2210</v>
          </cell>
          <cell r="BT29">
            <v>35798</v>
          </cell>
          <cell r="BU29">
            <v>0</v>
          </cell>
          <cell r="BV29">
            <v>0</v>
          </cell>
          <cell r="BW29">
            <v>0</v>
          </cell>
          <cell r="BX29">
            <v>0</v>
          </cell>
          <cell r="BY29">
            <v>10394</v>
          </cell>
          <cell r="BZ29">
            <v>33027</v>
          </cell>
          <cell r="CA29">
            <v>-5413</v>
          </cell>
          <cell r="CB29">
            <v>0</v>
          </cell>
        </row>
        <row r="30">
          <cell r="A30" t="str">
            <v>US59P015603921200003</v>
          </cell>
          <cell r="B30" t="str">
            <v>Pekin</v>
          </cell>
          <cell r="C30" t="str">
            <v>Aug-July</v>
          </cell>
          <cell r="D30" t="str">
            <v>US59P01560</v>
          </cell>
          <cell r="E30" t="str">
            <v>560</v>
          </cell>
          <cell r="F30" t="str">
            <v>Cond &amp; Pack</v>
          </cell>
          <cell r="G30" t="str">
            <v>01</v>
          </cell>
          <cell r="H30">
            <v>3921200003</v>
          </cell>
          <cell r="I30" t="str">
            <v>GAS</v>
          </cell>
          <cell r="J30" t="str">
            <v>INVALID</v>
          </cell>
          <cell r="K30">
            <v>363</v>
          </cell>
          <cell r="L30">
            <v>0</v>
          </cell>
          <cell r="M30">
            <v>0</v>
          </cell>
          <cell r="N30">
            <v>0</v>
          </cell>
          <cell r="O30">
            <v>0</v>
          </cell>
          <cell r="P30">
            <v>0</v>
          </cell>
          <cell r="Q30">
            <v>0</v>
          </cell>
          <cell r="R30">
            <v>0</v>
          </cell>
          <cell r="S30">
            <v>0</v>
          </cell>
          <cell r="T30">
            <v>0</v>
          </cell>
          <cell r="U30">
            <v>0</v>
          </cell>
          <cell r="V30">
            <v>5927</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S30">
            <v>5927</v>
          </cell>
          <cell r="BT30">
            <v>0</v>
          </cell>
          <cell r="BU30">
            <v>0</v>
          </cell>
          <cell r="BV30">
            <v>0</v>
          </cell>
          <cell r="BW30">
            <v>0</v>
          </cell>
          <cell r="BX30">
            <v>6290</v>
          </cell>
          <cell r="BY30">
            <v>0</v>
          </cell>
          <cell r="BZ30">
            <v>0</v>
          </cell>
          <cell r="CA30">
            <v>0</v>
          </cell>
          <cell r="CB30">
            <v>0</v>
          </cell>
        </row>
        <row r="31">
          <cell r="A31" t="str">
            <v>US59P015603921200004</v>
          </cell>
          <cell r="B31" t="str">
            <v>Pekin</v>
          </cell>
          <cell r="C31" t="str">
            <v>Aug-July</v>
          </cell>
          <cell r="D31" t="str">
            <v>US59P01560</v>
          </cell>
          <cell r="E31" t="str">
            <v>560</v>
          </cell>
          <cell r="F31" t="str">
            <v>Cond &amp; Pack</v>
          </cell>
          <cell r="G31" t="str">
            <v>01</v>
          </cell>
          <cell r="H31">
            <v>3921200004</v>
          </cell>
          <cell r="I31" t="str">
            <v>FACTORY SUPPLIES LABO SUPPLIES</v>
          </cell>
          <cell r="J31" t="str">
            <v>INVALID</v>
          </cell>
          <cell r="K31">
            <v>-251</v>
          </cell>
          <cell r="L31">
            <v>0</v>
          </cell>
          <cell r="M31">
            <v>0</v>
          </cell>
          <cell r="N31">
            <v>0</v>
          </cell>
          <cell r="O31">
            <v>0</v>
          </cell>
          <cell r="P31">
            <v>0</v>
          </cell>
          <cell r="Q31">
            <v>0</v>
          </cell>
          <cell r="R31">
            <v>0</v>
          </cell>
          <cell r="S31">
            <v>643</v>
          </cell>
          <cell r="T31">
            <v>2061</v>
          </cell>
          <cell r="U31">
            <v>0</v>
          </cell>
          <cell r="V31">
            <v>0</v>
          </cell>
          <cell r="W31">
            <v>0</v>
          </cell>
          <cell r="X31">
            <v>0</v>
          </cell>
          <cell r="Y31">
            <v>0</v>
          </cell>
          <cell r="Z31">
            <v>0</v>
          </cell>
          <cell r="AA31">
            <v>0</v>
          </cell>
          <cell r="AB31">
            <v>0</v>
          </cell>
          <cell r="AC31">
            <v>0</v>
          </cell>
          <cell r="AD31">
            <v>0</v>
          </cell>
          <cell r="AE31">
            <v>0</v>
          </cell>
          <cell r="AF31">
            <v>412</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S31">
            <v>2704</v>
          </cell>
          <cell r="BT31">
            <v>412</v>
          </cell>
          <cell r="BU31">
            <v>0</v>
          </cell>
          <cell r="BV31">
            <v>0</v>
          </cell>
          <cell r="BW31">
            <v>0</v>
          </cell>
          <cell r="BX31">
            <v>2453</v>
          </cell>
          <cell r="BY31">
            <v>412</v>
          </cell>
          <cell r="BZ31">
            <v>0</v>
          </cell>
          <cell r="CA31">
            <v>0</v>
          </cell>
          <cell r="CB31">
            <v>0</v>
          </cell>
        </row>
        <row r="32">
          <cell r="A32" t="str">
            <v>US59P015603921200023</v>
          </cell>
          <cell r="B32" t="str">
            <v>Pekin</v>
          </cell>
          <cell r="C32" t="str">
            <v>Aug-July</v>
          </cell>
          <cell r="D32" t="str">
            <v>US59P01560</v>
          </cell>
          <cell r="E32" t="str">
            <v>560</v>
          </cell>
          <cell r="F32" t="str">
            <v>Cond &amp; Pack</v>
          </cell>
          <cell r="G32" t="str">
            <v>01</v>
          </cell>
          <cell r="H32">
            <v>3921200023</v>
          </cell>
          <cell r="I32" t="str">
            <v>CHEMICAL SUPPLIES</v>
          </cell>
          <cell r="J32" t="str">
            <v>INVALID</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865</v>
          </cell>
          <cell r="AY32">
            <v>0</v>
          </cell>
          <cell r="AZ32">
            <v>0</v>
          </cell>
          <cell r="BA32">
            <v>0</v>
          </cell>
          <cell r="BS32">
            <v>0</v>
          </cell>
          <cell r="BT32">
            <v>0</v>
          </cell>
          <cell r="BU32">
            <v>865</v>
          </cell>
          <cell r="BV32">
            <v>0</v>
          </cell>
          <cell r="BW32">
            <v>0</v>
          </cell>
          <cell r="BX32">
            <v>0</v>
          </cell>
          <cell r="BY32">
            <v>0</v>
          </cell>
          <cell r="BZ32">
            <v>0</v>
          </cell>
          <cell r="CA32">
            <v>865</v>
          </cell>
          <cell r="CB32">
            <v>0</v>
          </cell>
        </row>
        <row r="33">
          <cell r="A33" t="str">
            <v>US59P015603941100001</v>
          </cell>
          <cell r="B33" t="str">
            <v>Pekin</v>
          </cell>
          <cell r="C33" t="str">
            <v>Aug-July</v>
          </cell>
          <cell r="D33" t="str">
            <v>US59P01560</v>
          </cell>
          <cell r="E33" t="str">
            <v>560</v>
          </cell>
          <cell r="F33" t="str">
            <v>Cond &amp; Pack</v>
          </cell>
          <cell r="G33" t="str">
            <v>01</v>
          </cell>
          <cell r="H33">
            <v>3941100001</v>
          </cell>
          <cell r="I33" t="str">
            <v>FREIGHT ON SALES</v>
          </cell>
          <cell r="J33" t="str">
            <v>INVALID</v>
          </cell>
          <cell r="K33">
            <v>-20000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S33">
            <v>0</v>
          </cell>
          <cell r="BT33">
            <v>0</v>
          </cell>
          <cell r="BU33">
            <v>0</v>
          </cell>
          <cell r="BV33">
            <v>0</v>
          </cell>
          <cell r="BW33">
            <v>0</v>
          </cell>
          <cell r="BX33">
            <v>-20000</v>
          </cell>
          <cell r="BY33">
            <v>0</v>
          </cell>
          <cell r="BZ33">
            <v>0</v>
          </cell>
          <cell r="CA33">
            <v>0</v>
          </cell>
          <cell r="CB33">
            <v>0</v>
          </cell>
        </row>
        <row r="34">
          <cell r="A34" t="str">
            <v>US59P015603941100002</v>
          </cell>
          <cell r="B34" t="str">
            <v>Pekin</v>
          </cell>
          <cell r="C34" t="str">
            <v>Aug-July</v>
          </cell>
          <cell r="D34" t="str">
            <v>US59P01560</v>
          </cell>
          <cell r="E34" t="str">
            <v>560</v>
          </cell>
          <cell r="F34" t="str">
            <v>Cond &amp; Pack</v>
          </cell>
          <cell r="G34" t="str">
            <v>01</v>
          </cell>
          <cell r="H34">
            <v>3941100002</v>
          </cell>
          <cell r="I34" t="str">
            <v>FREIGHT BETWEEN PLANTS</v>
          </cell>
          <cell r="J34" t="str">
            <v>INVALID</v>
          </cell>
          <cell r="K34">
            <v>17282</v>
          </cell>
          <cell r="L34">
            <v>0</v>
          </cell>
          <cell r="M34">
            <v>1015</v>
          </cell>
          <cell r="N34">
            <v>0</v>
          </cell>
          <cell r="O34">
            <v>0</v>
          </cell>
          <cell r="P34">
            <v>0</v>
          </cell>
          <cell r="Q34">
            <v>0</v>
          </cell>
          <cell r="R34">
            <v>0</v>
          </cell>
          <cell r="S34">
            <v>0</v>
          </cell>
          <cell r="T34">
            <v>0</v>
          </cell>
          <cell r="U34">
            <v>18704</v>
          </cell>
          <cell r="V34">
            <v>0</v>
          </cell>
          <cell r="W34">
            <v>500</v>
          </cell>
          <cell r="X34">
            <v>0</v>
          </cell>
          <cell r="Y34">
            <v>0</v>
          </cell>
          <cell r="Z34">
            <v>0</v>
          </cell>
          <cell r="AA34">
            <v>0</v>
          </cell>
          <cell r="AB34">
            <v>0</v>
          </cell>
          <cell r="AC34">
            <v>0</v>
          </cell>
          <cell r="AD34">
            <v>0</v>
          </cell>
          <cell r="AE34">
            <v>0</v>
          </cell>
          <cell r="AF34">
            <v>0</v>
          </cell>
          <cell r="AG34">
            <v>0</v>
          </cell>
          <cell r="AH34">
            <v>0</v>
          </cell>
          <cell r="AI34">
            <v>6238</v>
          </cell>
          <cell r="AJ34">
            <v>4631</v>
          </cell>
          <cell r="AK34">
            <v>0</v>
          </cell>
          <cell r="AL34">
            <v>0</v>
          </cell>
          <cell r="AM34">
            <v>0</v>
          </cell>
          <cell r="AN34">
            <v>0</v>
          </cell>
          <cell r="AO34">
            <v>0</v>
          </cell>
          <cell r="AP34">
            <v>0</v>
          </cell>
          <cell r="AQ34">
            <v>0</v>
          </cell>
          <cell r="AR34">
            <v>300</v>
          </cell>
          <cell r="AS34">
            <v>-300</v>
          </cell>
          <cell r="AT34">
            <v>0</v>
          </cell>
          <cell r="AU34">
            <v>0</v>
          </cell>
          <cell r="AV34">
            <v>0</v>
          </cell>
          <cell r="AW34">
            <v>0</v>
          </cell>
          <cell r="AX34">
            <v>0</v>
          </cell>
          <cell r="AY34">
            <v>0</v>
          </cell>
          <cell r="AZ34">
            <v>0</v>
          </cell>
          <cell r="BA34">
            <v>0</v>
          </cell>
          <cell r="BS34">
            <v>19204</v>
          </cell>
          <cell r="BT34">
            <v>10869</v>
          </cell>
          <cell r="BU34">
            <v>0</v>
          </cell>
          <cell r="BV34">
            <v>0</v>
          </cell>
          <cell r="BW34">
            <v>0</v>
          </cell>
          <cell r="BX34">
            <v>37001</v>
          </cell>
          <cell r="BY34">
            <v>500</v>
          </cell>
          <cell r="BZ34">
            <v>10869</v>
          </cell>
          <cell r="CA34">
            <v>0</v>
          </cell>
          <cell r="CB34">
            <v>0</v>
          </cell>
        </row>
        <row r="35">
          <cell r="A35" t="str">
            <v>US59P015603941100013</v>
          </cell>
          <cell r="B35" t="str">
            <v>Pekin</v>
          </cell>
          <cell r="C35" t="str">
            <v>Aug-July</v>
          </cell>
          <cell r="D35" t="str">
            <v>US59P01560</v>
          </cell>
          <cell r="E35" t="str">
            <v>560</v>
          </cell>
          <cell r="F35" t="str">
            <v>Cond &amp; Pack</v>
          </cell>
          <cell r="G35" t="str">
            <v>01</v>
          </cell>
          <cell r="H35">
            <v>3941100013</v>
          </cell>
          <cell r="I35" t="str">
            <v>FREIGHT IN</v>
          </cell>
          <cell r="J35" t="str">
            <v>INVALID</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2000</v>
          </cell>
          <cell r="Z35">
            <v>0</v>
          </cell>
          <cell r="AA35">
            <v>0</v>
          </cell>
          <cell r="AB35">
            <v>0</v>
          </cell>
          <cell r="AC35">
            <v>0</v>
          </cell>
          <cell r="AD35">
            <v>0</v>
          </cell>
          <cell r="AE35">
            <v>0</v>
          </cell>
          <cell r="AF35">
            <v>0</v>
          </cell>
          <cell r="AG35">
            <v>0</v>
          </cell>
          <cell r="AH35">
            <v>0</v>
          </cell>
          <cell r="AI35">
            <v>0</v>
          </cell>
          <cell r="AJ35">
            <v>0</v>
          </cell>
          <cell r="AK35">
            <v>11733</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S35">
            <v>2000</v>
          </cell>
          <cell r="BT35">
            <v>11733</v>
          </cell>
          <cell r="BU35">
            <v>0</v>
          </cell>
          <cell r="BV35">
            <v>0</v>
          </cell>
          <cell r="BW35">
            <v>0</v>
          </cell>
          <cell r="BX35">
            <v>0</v>
          </cell>
          <cell r="BY35">
            <v>2000</v>
          </cell>
          <cell r="BZ35">
            <v>11733</v>
          </cell>
          <cell r="CA35">
            <v>0</v>
          </cell>
          <cell r="CB35">
            <v>0</v>
          </cell>
        </row>
        <row r="36">
          <cell r="A36" t="str">
            <v>US59P015603981100078</v>
          </cell>
          <cell r="B36" t="str">
            <v>Pekin</v>
          </cell>
          <cell r="C36" t="str">
            <v>Aug-July</v>
          </cell>
          <cell r="D36" t="str">
            <v>US59P01560</v>
          </cell>
          <cell r="E36" t="str">
            <v>560</v>
          </cell>
          <cell r="F36" t="str">
            <v>Cond &amp; Pack</v>
          </cell>
          <cell r="G36" t="str">
            <v>01</v>
          </cell>
          <cell r="H36">
            <v>3981100078</v>
          </cell>
          <cell r="I36" t="str">
            <v>GAIN ON FIXED ASSET</v>
          </cell>
          <cell r="J36" t="str">
            <v>INVALID</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81496</v>
          </cell>
          <cell r="AE36">
            <v>0</v>
          </cell>
          <cell r="AF36">
            <v>0</v>
          </cell>
          <cell r="AG36">
            <v>0</v>
          </cell>
          <cell r="AH36">
            <v>31466</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S36">
            <v>0</v>
          </cell>
          <cell r="BT36">
            <v>112962</v>
          </cell>
          <cell r="BU36">
            <v>0</v>
          </cell>
          <cell r="BV36">
            <v>0</v>
          </cell>
          <cell r="BW36">
            <v>0</v>
          </cell>
          <cell r="BX36">
            <v>0</v>
          </cell>
          <cell r="BY36">
            <v>112962</v>
          </cell>
          <cell r="BZ36">
            <v>0</v>
          </cell>
          <cell r="CA36">
            <v>0</v>
          </cell>
          <cell r="CB36">
            <v>0</v>
          </cell>
        </row>
        <row r="37">
          <cell r="A37" t="str">
            <v>US59P015603991200012</v>
          </cell>
          <cell r="B37" t="str">
            <v>Pekin</v>
          </cell>
          <cell r="C37" t="str">
            <v>Aug-July</v>
          </cell>
          <cell r="D37" t="str">
            <v>US59P01560</v>
          </cell>
          <cell r="E37" t="str">
            <v>560</v>
          </cell>
          <cell r="F37" t="str">
            <v>Cond &amp; Pack</v>
          </cell>
          <cell r="G37" t="str">
            <v>01</v>
          </cell>
          <cell r="H37">
            <v>3991200012</v>
          </cell>
          <cell r="I37" t="str">
            <v>DELIVERY SERVICES</v>
          </cell>
          <cell r="J37" t="str">
            <v>INVALID</v>
          </cell>
          <cell r="K37">
            <v>0</v>
          </cell>
          <cell r="L37">
            <v>0</v>
          </cell>
          <cell r="M37">
            <v>0</v>
          </cell>
          <cell r="N37">
            <v>0</v>
          </cell>
          <cell r="O37">
            <v>0</v>
          </cell>
          <cell r="P37">
            <v>0</v>
          </cell>
          <cell r="Q37">
            <v>0</v>
          </cell>
          <cell r="R37">
            <v>0</v>
          </cell>
          <cell r="S37">
            <v>0</v>
          </cell>
          <cell r="T37">
            <v>1711</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S37">
            <v>1711</v>
          </cell>
          <cell r="BT37">
            <v>0</v>
          </cell>
          <cell r="BU37">
            <v>0</v>
          </cell>
          <cell r="BV37">
            <v>0</v>
          </cell>
          <cell r="BW37">
            <v>0</v>
          </cell>
          <cell r="BX37">
            <v>1711</v>
          </cell>
          <cell r="BY37">
            <v>0</v>
          </cell>
          <cell r="BZ37">
            <v>0</v>
          </cell>
          <cell r="CA37">
            <v>0</v>
          </cell>
          <cell r="CB37">
            <v>0</v>
          </cell>
        </row>
        <row r="38">
          <cell r="A38" t="str">
            <v>US59P015603991200099</v>
          </cell>
          <cell r="B38" t="str">
            <v>Pekin</v>
          </cell>
          <cell r="C38" t="str">
            <v>Aug-July</v>
          </cell>
          <cell r="D38" t="str">
            <v>US59P01560</v>
          </cell>
          <cell r="E38" t="str">
            <v>560</v>
          </cell>
          <cell r="F38" t="str">
            <v>Cond &amp; Pack</v>
          </cell>
          <cell r="G38" t="str">
            <v>01</v>
          </cell>
          <cell r="H38">
            <v>3991200099</v>
          </cell>
          <cell r="I38" t="str">
            <v>OTHER EXPENSES TO 3RD PARTIES - ADJUSTME</v>
          </cell>
          <cell r="J38" t="str">
            <v>INVALID</v>
          </cell>
          <cell r="K38">
            <v>0</v>
          </cell>
          <cell r="L38">
            <v>30</v>
          </cell>
          <cell r="M38">
            <v>0</v>
          </cell>
          <cell r="N38">
            <v>0</v>
          </cell>
          <cell r="O38">
            <v>0</v>
          </cell>
          <cell r="P38">
            <v>0</v>
          </cell>
          <cell r="Q38">
            <v>0</v>
          </cell>
          <cell r="R38">
            <v>455</v>
          </cell>
          <cell r="S38">
            <v>0</v>
          </cell>
          <cell r="T38">
            <v>0</v>
          </cell>
          <cell r="U38">
            <v>0</v>
          </cell>
          <cell r="V38">
            <v>0</v>
          </cell>
          <cell r="W38">
            <v>0</v>
          </cell>
          <cell r="X38">
            <v>0</v>
          </cell>
          <cell r="Y38">
            <v>0</v>
          </cell>
          <cell r="Z38">
            <v>0</v>
          </cell>
          <cell r="AA38">
            <v>0</v>
          </cell>
          <cell r="AB38">
            <v>0</v>
          </cell>
          <cell r="AC38">
            <v>0</v>
          </cell>
          <cell r="AD38">
            <v>0</v>
          </cell>
          <cell r="AE38">
            <v>3749</v>
          </cell>
          <cell r="AF38">
            <v>119</v>
          </cell>
          <cell r="AG38">
            <v>0</v>
          </cell>
          <cell r="AH38">
            <v>0</v>
          </cell>
          <cell r="AI38">
            <v>0</v>
          </cell>
          <cell r="AJ38">
            <v>43</v>
          </cell>
          <cell r="AK38">
            <v>0</v>
          </cell>
          <cell r="AL38">
            <v>576</v>
          </cell>
          <cell r="AM38">
            <v>0</v>
          </cell>
          <cell r="AN38">
            <v>133</v>
          </cell>
          <cell r="AO38">
            <v>26</v>
          </cell>
          <cell r="AP38">
            <v>0</v>
          </cell>
          <cell r="AQ38">
            <v>430</v>
          </cell>
          <cell r="AR38">
            <v>334</v>
          </cell>
          <cell r="AS38">
            <v>-426</v>
          </cell>
          <cell r="AT38">
            <v>242</v>
          </cell>
          <cell r="AU38">
            <v>388</v>
          </cell>
          <cell r="AV38">
            <v>0</v>
          </cell>
          <cell r="AW38">
            <v>43</v>
          </cell>
          <cell r="AX38">
            <v>0</v>
          </cell>
          <cell r="AY38">
            <v>0</v>
          </cell>
          <cell r="AZ38">
            <v>0</v>
          </cell>
          <cell r="BA38">
            <v>0</v>
          </cell>
          <cell r="BS38">
            <v>455</v>
          </cell>
          <cell r="BT38">
            <v>4646</v>
          </cell>
          <cell r="BU38">
            <v>1011</v>
          </cell>
          <cell r="BV38">
            <v>0</v>
          </cell>
          <cell r="BW38">
            <v>0</v>
          </cell>
          <cell r="BX38">
            <v>485</v>
          </cell>
          <cell r="BY38">
            <v>3868</v>
          </cell>
          <cell r="BZ38">
            <v>1358</v>
          </cell>
          <cell r="CA38">
            <v>431</v>
          </cell>
          <cell r="CB38">
            <v>0</v>
          </cell>
        </row>
        <row r="39">
          <cell r="A39" t="str">
            <v>US59P015603991200201</v>
          </cell>
          <cell r="B39" t="str">
            <v>Pekin</v>
          </cell>
          <cell r="C39" t="str">
            <v>Aug-July</v>
          </cell>
          <cell r="D39" t="str">
            <v>US59P01560</v>
          </cell>
          <cell r="E39" t="str">
            <v>560</v>
          </cell>
          <cell r="F39" t="str">
            <v>Cond &amp; Pack</v>
          </cell>
          <cell r="G39" t="str">
            <v>01</v>
          </cell>
          <cell r="H39">
            <v>3991200201</v>
          </cell>
          <cell r="I39" t="str">
            <v>ALLOCATIONS OTHER IN/OUT LOAD AC</v>
          </cell>
          <cell r="J39" t="str">
            <v>INVALID</v>
          </cell>
          <cell r="K39">
            <v>0</v>
          </cell>
          <cell r="L39">
            <v>0</v>
          </cell>
          <cell r="M39">
            <v>0</v>
          </cell>
          <cell r="N39">
            <v>0</v>
          </cell>
          <cell r="O39">
            <v>0</v>
          </cell>
          <cell r="P39">
            <v>0</v>
          </cell>
          <cell r="Q39">
            <v>0</v>
          </cell>
          <cell r="R39">
            <v>0</v>
          </cell>
          <cell r="S39">
            <v>0</v>
          </cell>
          <cell r="T39">
            <v>0</v>
          </cell>
          <cell r="U39">
            <v>0</v>
          </cell>
          <cell r="V39">
            <v>0</v>
          </cell>
          <cell r="W39">
            <v>0</v>
          </cell>
          <cell r="X39">
            <v>-54</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S39">
            <v>-54</v>
          </cell>
          <cell r="BT39">
            <v>0</v>
          </cell>
          <cell r="BU39">
            <v>0</v>
          </cell>
          <cell r="BV39">
            <v>0</v>
          </cell>
          <cell r="BW39">
            <v>0</v>
          </cell>
          <cell r="BX39">
            <v>0</v>
          </cell>
          <cell r="BY39">
            <v>-54</v>
          </cell>
          <cell r="BZ39">
            <v>0</v>
          </cell>
          <cell r="CA39">
            <v>0</v>
          </cell>
          <cell r="CB39">
            <v>0</v>
          </cell>
        </row>
        <row r="40">
          <cell r="A40" t="str">
            <v>US59P015609420000002</v>
          </cell>
          <cell r="B40" t="str">
            <v>Pekin</v>
          </cell>
          <cell r="C40" t="str">
            <v>Aug-July</v>
          </cell>
          <cell r="D40" t="str">
            <v>US59P01560</v>
          </cell>
          <cell r="E40" t="str">
            <v>560</v>
          </cell>
          <cell r="F40" t="str">
            <v>Cond &amp; Pack</v>
          </cell>
          <cell r="G40" t="str">
            <v>01</v>
          </cell>
          <cell r="H40">
            <v>9420000002</v>
          </cell>
          <cell r="I40" t="str">
            <v>Allocation by BA</v>
          </cell>
          <cell r="J40" t="str">
            <v>VALID - NON BUDGET</v>
          </cell>
          <cell r="K40">
            <v>17555</v>
          </cell>
          <cell r="L40">
            <v>4743</v>
          </cell>
          <cell r="M40">
            <v>7856</v>
          </cell>
          <cell r="N40">
            <v>9134</v>
          </cell>
          <cell r="O40">
            <v>7528</v>
          </cell>
          <cell r="P40">
            <v>2378</v>
          </cell>
          <cell r="Q40">
            <v>0</v>
          </cell>
          <cell r="R40">
            <v>0</v>
          </cell>
          <cell r="S40">
            <v>25061</v>
          </cell>
          <cell r="T40">
            <v>-5420</v>
          </cell>
          <cell r="U40">
            <v>0</v>
          </cell>
          <cell r="V40">
            <v>0</v>
          </cell>
          <cell r="W40">
            <v>534</v>
          </cell>
          <cell r="X40">
            <v>-534</v>
          </cell>
          <cell r="Y40">
            <v>0</v>
          </cell>
          <cell r="Z40">
            <v>0</v>
          </cell>
          <cell r="AA40">
            <v>0</v>
          </cell>
          <cell r="AB40">
            <v>0</v>
          </cell>
          <cell r="AC40">
            <v>0</v>
          </cell>
          <cell r="AD40">
            <v>0</v>
          </cell>
          <cell r="AE40">
            <v>0</v>
          </cell>
          <cell r="AF40">
            <v>0</v>
          </cell>
          <cell r="AG40">
            <v>0</v>
          </cell>
          <cell r="AH40">
            <v>0</v>
          </cell>
          <cell r="AI40">
            <v>-1049</v>
          </cell>
          <cell r="AJ40">
            <v>-2441</v>
          </cell>
          <cell r="AK40">
            <v>9112</v>
          </cell>
          <cell r="AL40">
            <v>17209</v>
          </cell>
          <cell r="AM40">
            <v>4725</v>
          </cell>
          <cell r="AN40">
            <v>3060</v>
          </cell>
          <cell r="AO40">
            <v>-791</v>
          </cell>
          <cell r="AP40">
            <v>-2511</v>
          </cell>
          <cell r="AQ40">
            <v>1157</v>
          </cell>
          <cell r="AR40">
            <v>-3042</v>
          </cell>
          <cell r="AS40">
            <v>1118</v>
          </cell>
          <cell r="AT40">
            <v>1284</v>
          </cell>
          <cell r="AU40">
            <v>77</v>
          </cell>
          <cell r="AV40">
            <v>509</v>
          </cell>
          <cell r="AW40">
            <v>0</v>
          </cell>
          <cell r="AX40">
            <v>0</v>
          </cell>
          <cell r="AY40">
            <v>0</v>
          </cell>
          <cell r="AZ40">
            <v>0</v>
          </cell>
          <cell r="BA40">
            <v>0</v>
          </cell>
          <cell r="BS40">
            <v>19641</v>
          </cell>
          <cell r="BT40">
            <v>29825</v>
          </cell>
          <cell r="BU40">
            <v>-1408</v>
          </cell>
          <cell r="BV40">
            <v>0</v>
          </cell>
          <cell r="BW40">
            <v>0</v>
          </cell>
          <cell r="BX40">
            <v>68835</v>
          </cell>
          <cell r="BY40">
            <v>0</v>
          </cell>
          <cell r="BZ40">
            <v>27831</v>
          </cell>
          <cell r="CA40">
            <v>586</v>
          </cell>
          <cell r="CB40">
            <v>0</v>
          </cell>
        </row>
        <row r="41">
          <cell r="A41" t="str">
            <v>US59P015609420000025</v>
          </cell>
          <cell r="B41" t="str">
            <v>Pekin</v>
          </cell>
          <cell r="C41" t="str">
            <v>Aug-July</v>
          </cell>
          <cell r="D41" t="str">
            <v>US59P01560</v>
          </cell>
          <cell r="E41" t="str">
            <v>560</v>
          </cell>
          <cell r="F41" t="str">
            <v>Cond &amp; Pack</v>
          </cell>
          <cell r="G41" t="str">
            <v>01</v>
          </cell>
          <cell r="H41">
            <v>9420000025</v>
          </cell>
          <cell r="I41" t="str">
            <v>EMPLOYEE BENEFIT ALLOCATION</v>
          </cell>
          <cell r="J41" t="str">
            <v>VALID - NON BUDGET</v>
          </cell>
          <cell r="K41">
            <v>0</v>
          </cell>
          <cell r="L41">
            <v>0</v>
          </cell>
          <cell r="M41">
            <v>0</v>
          </cell>
          <cell r="N41">
            <v>0</v>
          </cell>
          <cell r="O41">
            <v>0</v>
          </cell>
          <cell r="P41">
            <v>0</v>
          </cell>
          <cell r="Q41">
            <v>0</v>
          </cell>
          <cell r="R41">
            <v>0</v>
          </cell>
          <cell r="S41">
            <v>9369</v>
          </cell>
          <cell r="T41">
            <v>6896</v>
          </cell>
          <cell r="U41">
            <v>4699</v>
          </cell>
          <cell r="V41">
            <v>5385</v>
          </cell>
          <cell r="W41">
            <v>1347</v>
          </cell>
          <cell r="X41">
            <v>1324</v>
          </cell>
          <cell r="Y41">
            <v>555</v>
          </cell>
          <cell r="Z41">
            <v>1275</v>
          </cell>
          <cell r="AA41">
            <v>2839</v>
          </cell>
          <cell r="AB41">
            <v>779</v>
          </cell>
          <cell r="AC41">
            <v>500</v>
          </cell>
          <cell r="AD41">
            <v>98</v>
          </cell>
          <cell r="AE41">
            <v>4508</v>
          </cell>
          <cell r="AF41">
            <v>12422</v>
          </cell>
          <cell r="AG41">
            <v>6814</v>
          </cell>
          <cell r="AH41">
            <v>6708</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S41">
            <v>34968</v>
          </cell>
          <cell r="BT41">
            <v>30550</v>
          </cell>
          <cell r="BU41">
            <v>0</v>
          </cell>
          <cell r="BV41">
            <v>0</v>
          </cell>
          <cell r="BW41">
            <v>0</v>
          </cell>
          <cell r="BX41">
            <v>26349</v>
          </cell>
          <cell r="BY41">
            <v>39169</v>
          </cell>
          <cell r="BZ41">
            <v>0</v>
          </cell>
          <cell r="CA41">
            <v>0</v>
          </cell>
          <cell r="CB41">
            <v>0</v>
          </cell>
        </row>
      </sheetData>
      <sheetData sheetId="14">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US59P015573941100002</v>
          </cell>
          <cell r="B4" t="str">
            <v>Pekin</v>
          </cell>
          <cell r="C4" t="str">
            <v>Aug-July</v>
          </cell>
          <cell r="D4" t="str">
            <v>US59P01557</v>
          </cell>
          <cell r="E4">
            <v>557</v>
          </cell>
          <cell r="F4" t="str">
            <v>Primary Freight</v>
          </cell>
          <cell r="G4" t="str">
            <v>01</v>
          </cell>
          <cell r="H4">
            <v>3941100002</v>
          </cell>
          <cell r="I4" t="str">
            <v>FREIGHT BETWEEN PLANTS</v>
          </cell>
          <cell r="J4" t="str">
            <v>VALID</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23000</v>
          </cell>
          <cell r="AS4">
            <v>5900</v>
          </cell>
          <cell r="AT4">
            <v>7998</v>
          </cell>
          <cell r="AU4">
            <v>0</v>
          </cell>
          <cell r="AV4">
            <v>0</v>
          </cell>
          <cell r="AW4">
            <v>0</v>
          </cell>
          <cell r="AX4">
            <v>0</v>
          </cell>
          <cell r="AY4">
            <v>0</v>
          </cell>
          <cell r="AZ4">
            <v>0</v>
          </cell>
          <cell r="BA4">
            <v>0</v>
          </cell>
          <cell r="BS4">
            <v>0</v>
          </cell>
          <cell r="BT4">
            <v>0</v>
          </cell>
          <cell r="BU4">
            <v>36898</v>
          </cell>
          <cell r="BV4">
            <v>0</v>
          </cell>
          <cell r="BW4">
            <v>0</v>
          </cell>
          <cell r="BX4">
            <v>0</v>
          </cell>
          <cell r="BY4">
            <v>0</v>
          </cell>
          <cell r="BZ4">
            <v>36898</v>
          </cell>
          <cell r="CA4">
            <v>0</v>
          </cell>
          <cell r="CB4">
            <v>0</v>
          </cell>
        </row>
        <row r="5">
          <cell r="A5" t="str">
            <v>US59P015573941100013</v>
          </cell>
          <cell r="B5" t="str">
            <v>Pekin</v>
          </cell>
          <cell r="C5" t="str">
            <v>Aug-July</v>
          </cell>
          <cell r="D5" t="str">
            <v>US59P01557</v>
          </cell>
          <cell r="E5">
            <v>557</v>
          </cell>
          <cell r="F5" t="str">
            <v>Primary Freight</v>
          </cell>
          <cell r="G5" t="str">
            <v>01</v>
          </cell>
          <cell r="H5">
            <v>3941100013</v>
          </cell>
          <cell r="I5" t="str">
            <v>FREIGHT IN</v>
          </cell>
          <cell r="J5" t="str">
            <v>VALID</v>
          </cell>
          <cell r="K5">
            <v>5848</v>
          </cell>
          <cell r="L5">
            <v>10448</v>
          </cell>
          <cell r="M5">
            <v>1725</v>
          </cell>
          <cell r="N5">
            <v>0</v>
          </cell>
          <cell r="O5">
            <v>0</v>
          </cell>
          <cell r="P5">
            <v>0</v>
          </cell>
          <cell r="Q5">
            <v>0</v>
          </cell>
          <cell r="R5">
            <v>0</v>
          </cell>
          <cell r="S5">
            <v>52254</v>
          </cell>
          <cell r="T5">
            <v>0</v>
          </cell>
          <cell r="U5">
            <v>7564</v>
          </cell>
          <cell r="V5">
            <v>543</v>
          </cell>
          <cell r="W5">
            <v>0</v>
          </cell>
          <cell r="X5">
            <v>0</v>
          </cell>
          <cell r="Y5">
            <v>0</v>
          </cell>
          <cell r="Z5">
            <v>0</v>
          </cell>
          <cell r="AA5">
            <v>0</v>
          </cell>
          <cell r="AB5">
            <v>0</v>
          </cell>
          <cell r="AC5">
            <v>0</v>
          </cell>
          <cell r="AD5">
            <v>0</v>
          </cell>
          <cell r="AE5">
            <v>110468</v>
          </cell>
          <cell r="AF5">
            <v>115892</v>
          </cell>
          <cell r="AG5">
            <v>14605</v>
          </cell>
          <cell r="AH5">
            <v>7918</v>
          </cell>
          <cell r="AI5">
            <v>0</v>
          </cell>
          <cell r="AJ5">
            <v>0</v>
          </cell>
          <cell r="AK5">
            <v>0</v>
          </cell>
          <cell r="AL5">
            <v>0</v>
          </cell>
          <cell r="AM5">
            <v>2462</v>
          </cell>
          <cell r="AN5">
            <v>0</v>
          </cell>
          <cell r="AO5">
            <v>0</v>
          </cell>
          <cell r="AP5">
            <v>0</v>
          </cell>
          <cell r="AQ5">
            <v>87271</v>
          </cell>
          <cell r="AR5">
            <v>99182</v>
          </cell>
          <cell r="AS5">
            <v>8401</v>
          </cell>
          <cell r="AT5">
            <v>-2704</v>
          </cell>
          <cell r="AU5">
            <v>0</v>
          </cell>
          <cell r="AV5">
            <v>0</v>
          </cell>
          <cell r="AW5">
            <v>0</v>
          </cell>
          <cell r="AX5">
            <v>0</v>
          </cell>
          <cell r="AY5">
            <v>11515</v>
          </cell>
          <cell r="AZ5">
            <v>0</v>
          </cell>
          <cell r="BA5">
            <v>0</v>
          </cell>
          <cell r="BC5">
            <v>50000</v>
          </cell>
          <cell r="BD5">
            <v>50000</v>
          </cell>
          <cell r="BE5">
            <v>0</v>
          </cell>
          <cell r="BO5">
            <v>50000</v>
          </cell>
          <cell r="BP5">
            <v>50000</v>
          </cell>
          <cell r="BQ5">
            <v>0</v>
          </cell>
          <cell r="BS5">
            <v>60361</v>
          </cell>
          <cell r="BT5">
            <v>251345</v>
          </cell>
          <cell r="BU5">
            <v>203665</v>
          </cell>
          <cell r="BV5">
            <v>100000</v>
          </cell>
          <cell r="BW5">
            <v>100000</v>
          </cell>
          <cell r="BX5">
            <v>78382</v>
          </cell>
          <cell r="BY5">
            <v>248883</v>
          </cell>
          <cell r="BZ5">
            <v>194612</v>
          </cell>
          <cell r="CA5">
            <v>0</v>
          </cell>
          <cell r="CB5">
            <v>111515</v>
          </cell>
        </row>
      </sheetData>
      <sheetData sheetId="15">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US59P015113991200101</v>
          </cell>
          <cell r="B4" t="str">
            <v>Pekin</v>
          </cell>
          <cell r="C4" t="str">
            <v>Aug-July</v>
          </cell>
          <cell r="D4" t="str">
            <v>US59P01511</v>
          </cell>
          <cell r="E4" t="str">
            <v>511</v>
          </cell>
          <cell r="F4" t="str">
            <v>By Product</v>
          </cell>
          <cell r="G4" t="str">
            <v>01</v>
          </cell>
          <cell r="H4">
            <v>3991200101</v>
          </cell>
          <cell r="I4" t="str">
            <v>EXPENSE RECOVERY</v>
          </cell>
          <cell r="J4" t="str">
            <v>VALID</v>
          </cell>
          <cell r="K4">
            <v>-2133</v>
          </cell>
          <cell r="L4">
            <v>-291054</v>
          </cell>
          <cell r="M4">
            <v>-90036</v>
          </cell>
          <cell r="N4">
            <v>0</v>
          </cell>
          <cell r="O4">
            <v>0</v>
          </cell>
          <cell r="P4">
            <v>0</v>
          </cell>
          <cell r="Q4">
            <v>-647</v>
          </cell>
          <cell r="R4">
            <v>-417</v>
          </cell>
          <cell r="S4">
            <v>0</v>
          </cell>
          <cell r="T4">
            <v>0</v>
          </cell>
          <cell r="U4">
            <v>-29550</v>
          </cell>
          <cell r="V4">
            <v>-4795</v>
          </cell>
          <cell r="W4">
            <v>-23026</v>
          </cell>
          <cell r="X4">
            <v>0</v>
          </cell>
          <cell r="Y4">
            <v>-37835</v>
          </cell>
          <cell r="Z4">
            <v>0</v>
          </cell>
          <cell r="AA4">
            <v>0</v>
          </cell>
          <cell r="AB4">
            <v>0</v>
          </cell>
          <cell r="AC4">
            <v>0</v>
          </cell>
          <cell r="AD4">
            <v>0</v>
          </cell>
          <cell r="AE4">
            <v>0</v>
          </cell>
          <cell r="AF4">
            <v>0</v>
          </cell>
          <cell r="AG4">
            <v>0</v>
          </cell>
          <cell r="AH4">
            <v>-49368</v>
          </cell>
          <cell r="AI4">
            <v>-18946</v>
          </cell>
          <cell r="AJ4">
            <v>-12961</v>
          </cell>
          <cell r="AK4">
            <v>-16883</v>
          </cell>
          <cell r="AL4">
            <v>-5006</v>
          </cell>
          <cell r="AM4">
            <v>-372332</v>
          </cell>
          <cell r="AN4">
            <v>-53580</v>
          </cell>
          <cell r="AO4">
            <v>-12337</v>
          </cell>
          <cell r="AP4">
            <v>-12896</v>
          </cell>
          <cell r="AQ4">
            <v>0</v>
          </cell>
          <cell r="AR4">
            <v>-3173</v>
          </cell>
          <cell r="AS4">
            <v>0</v>
          </cell>
          <cell r="AT4">
            <v>-13749</v>
          </cell>
          <cell r="AU4">
            <v>-24989</v>
          </cell>
          <cell r="AV4">
            <v>-40652</v>
          </cell>
          <cell r="AW4">
            <v>0</v>
          </cell>
          <cell r="AX4">
            <v>-18495</v>
          </cell>
          <cell r="AY4">
            <v>0</v>
          </cell>
          <cell r="AZ4">
            <v>0</v>
          </cell>
          <cell r="BA4">
            <v>0</v>
          </cell>
          <cell r="BD4">
            <v>-10000</v>
          </cell>
          <cell r="BE4">
            <v>-20000</v>
          </cell>
          <cell r="BF4">
            <v>-20000</v>
          </cell>
          <cell r="BG4">
            <v>-20000</v>
          </cell>
          <cell r="BH4">
            <v>-20000</v>
          </cell>
          <cell r="BI4">
            <v>-10000</v>
          </cell>
          <cell r="BS4">
            <v>-95623</v>
          </cell>
          <cell r="BT4">
            <v>-541413</v>
          </cell>
          <cell r="BU4">
            <v>-113954</v>
          </cell>
          <cell r="BV4">
            <v>-100000</v>
          </cell>
          <cell r="BW4">
            <v>-50000</v>
          </cell>
          <cell r="BX4">
            <v>-418632</v>
          </cell>
          <cell r="BY4">
            <v>-110229</v>
          </cell>
          <cell r="BZ4">
            <v>-521863</v>
          </cell>
          <cell r="CA4">
            <v>-84136</v>
          </cell>
          <cell r="CB4">
            <v>-50000</v>
          </cell>
        </row>
        <row r="5">
          <cell r="A5" t="str">
            <v>US59P015113201400063</v>
          </cell>
          <cell r="B5" t="str">
            <v>Pekin</v>
          </cell>
          <cell r="C5" t="str">
            <v>Aug-July</v>
          </cell>
          <cell r="D5" t="str">
            <v>US59P01511</v>
          </cell>
          <cell r="E5" t="str">
            <v>511</v>
          </cell>
          <cell r="F5" t="str">
            <v>By Product</v>
          </cell>
          <cell r="G5" t="str">
            <v>01</v>
          </cell>
          <cell r="H5">
            <v>3201400063</v>
          </cell>
          <cell r="I5" t="str">
            <v>DISCARD HANDLING FEES</v>
          </cell>
          <cell r="J5" t="str">
            <v>INVALID</v>
          </cell>
          <cell r="K5">
            <v>9205</v>
          </cell>
          <cell r="L5">
            <v>0</v>
          </cell>
          <cell r="M5">
            <v>0</v>
          </cell>
          <cell r="N5">
            <v>15921</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S5">
            <v>0</v>
          </cell>
          <cell r="BT5">
            <v>0</v>
          </cell>
          <cell r="BU5">
            <v>0</v>
          </cell>
          <cell r="BV5">
            <v>0</v>
          </cell>
          <cell r="BW5">
            <v>0</v>
          </cell>
          <cell r="BX5">
            <v>25126</v>
          </cell>
          <cell r="BY5">
            <v>0</v>
          </cell>
          <cell r="BZ5">
            <v>0</v>
          </cell>
          <cell r="CA5">
            <v>0</v>
          </cell>
          <cell r="CB5">
            <v>0</v>
          </cell>
        </row>
        <row r="6">
          <cell r="A6" t="str">
            <v>US59P015113921200001</v>
          </cell>
          <cell r="B6" t="str">
            <v>Pekin</v>
          </cell>
          <cell r="C6" t="str">
            <v>Aug-July</v>
          </cell>
          <cell r="D6" t="str">
            <v>US59P01511</v>
          </cell>
          <cell r="E6" t="str">
            <v>511</v>
          </cell>
          <cell r="F6" t="str">
            <v>By Product</v>
          </cell>
          <cell r="G6" t="str">
            <v>01</v>
          </cell>
          <cell r="H6">
            <v>3921200001</v>
          </cell>
          <cell r="I6" t="str">
            <v>FUEL</v>
          </cell>
          <cell r="J6" t="str">
            <v>INVALID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-14993</v>
          </cell>
          <cell r="AV6">
            <v>14993</v>
          </cell>
          <cell r="AW6">
            <v>0</v>
          </cell>
          <cell r="AX6">
            <v>0</v>
          </cell>
          <cell r="AY6">
            <v>0</v>
          </cell>
          <cell r="AZ6">
            <v>0</v>
          </cell>
          <cell r="BA6">
            <v>0</v>
          </cell>
          <cell r="BS6">
            <v>0</v>
          </cell>
          <cell r="BT6">
            <v>0</v>
          </cell>
          <cell r="BU6">
            <v>0</v>
          </cell>
          <cell r="BV6">
            <v>0</v>
          </cell>
          <cell r="BW6">
            <v>0</v>
          </cell>
          <cell r="BX6">
            <v>0</v>
          </cell>
          <cell r="BY6">
            <v>0</v>
          </cell>
          <cell r="BZ6">
            <v>0</v>
          </cell>
          <cell r="CA6">
            <v>0</v>
          </cell>
          <cell r="CB6">
            <v>0</v>
          </cell>
        </row>
        <row r="7">
          <cell r="A7" t="str">
            <v>US59P015113921200100</v>
          </cell>
          <cell r="B7" t="str">
            <v>Pekin</v>
          </cell>
          <cell r="C7" t="str">
            <v>Aug-July</v>
          </cell>
          <cell r="D7" t="str">
            <v>US59P01511</v>
          </cell>
          <cell r="E7" t="str">
            <v>511</v>
          </cell>
          <cell r="F7" t="str">
            <v>By Product</v>
          </cell>
          <cell r="G7" t="str">
            <v>01</v>
          </cell>
          <cell r="H7">
            <v>3921200100</v>
          </cell>
          <cell r="I7" t="str">
            <v>FIELD &amp; PRODUCTION SUPPLIES</v>
          </cell>
          <cell r="J7" t="str">
            <v>INVALID</v>
          </cell>
          <cell r="K7">
            <v>0</v>
          </cell>
          <cell r="L7">
            <v>0</v>
          </cell>
          <cell r="M7">
            <v>0</v>
          </cell>
          <cell r="N7">
            <v>0</v>
          </cell>
          <cell r="O7">
            <v>0</v>
          </cell>
          <cell r="P7">
            <v>0</v>
          </cell>
          <cell r="Q7">
            <v>0</v>
          </cell>
          <cell r="R7">
            <v>0</v>
          </cell>
          <cell r="S7">
            <v>0</v>
          </cell>
          <cell r="T7">
            <v>0</v>
          </cell>
          <cell r="U7">
            <v>0</v>
          </cell>
          <cell r="V7">
            <v>-1869</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S7">
            <v>-1869</v>
          </cell>
          <cell r="BT7">
            <v>0</v>
          </cell>
          <cell r="BU7">
            <v>0</v>
          </cell>
          <cell r="BV7">
            <v>0</v>
          </cell>
          <cell r="BW7">
            <v>0</v>
          </cell>
          <cell r="BX7">
            <v>-1869</v>
          </cell>
          <cell r="BY7">
            <v>0</v>
          </cell>
          <cell r="BZ7">
            <v>0</v>
          </cell>
          <cell r="CA7">
            <v>0</v>
          </cell>
          <cell r="CB7">
            <v>0</v>
          </cell>
        </row>
      </sheetData>
      <sheetData sheetId="16" refreshError="1"/>
      <sheetData sheetId="17">
        <row r="3">
          <cell r="A3" t="str">
            <v>CC/Cost Element</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US59P015013111100000</v>
          </cell>
          <cell r="B4" t="str">
            <v>Pekin</v>
          </cell>
          <cell r="C4" t="str">
            <v>Jan-Dec</v>
          </cell>
          <cell r="D4" t="str">
            <v>US59P01501</v>
          </cell>
          <cell r="E4" t="str">
            <v>501</v>
          </cell>
          <cell r="F4" t="str">
            <v>Production Admin.</v>
          </cell>
          <cell r="G4" t="str">
            <v>01</v>
          </cell>
          <cell r="H4">
            <v>3111100000</v>
          </cell>
          <cell r="I4" t="str">
            <v>WAGES,SALARIES,ALLOWANCES AND COMMI/PERM</v>
          </cell>
          <cell r="J4" t="str">
            <v>VALID</v>
          </cell>
          <cell r="K4">
            <v>48014</v>
          </cell>
          <cell r="L4">
            <v>43388</v>
          </cell>
          <cell r="M4">
            <v>50423</v>
          </cell>
          <cell r="N4">
            <v>46737</v>
          </cell>
          <cell r="O4">
            <v>52572</v>
          </cell>
          <cell r="P4">
            <v>48537</v>
          </cell>
          <cell r="Q4">
            <v>46366</v>
          </cell>
          <cell r="R4">
            <v>51939</v>
          </cell>
          <cell r="S4">
            <v>10575</v>
          </cell>
          <cell r="T4">
            <v>16299</v>
          </cell>
          <cell r="U4">
            <v>16429</v>
          </cell>
          <cell r="V4">
            <v>15817</v>
          </cell>
          <cell r="W4">
            <v>23383</v>
          </cell>
          <cell r="X4">
            <v>15832</v>
          </cell>
          <cell r="Y4">
            <v>19471</v>
          </cell>
          <cell r="Z4">
            <v>19611</v>
          </cell>
          <cell r="AA4">
            <v>21405</v>
          </cell>
          <cell r="AB4">
            <v>19467</v>
          </cell>
          <cell r="AC4">
            <v>21936</v>
          </cell>
          <cell r="AD4">
            <v>23274</v>
          </cell>
          <cell r="AE4">
            <v>18329</v>
          </cell>
          <cell r="AF4">
            <v>21350</v>
          </cell>
          <cell r="AG4">
            <v>22513</v>
          </cell>
          <cell r="AH4">
            <v>20659</v>
          </cell>
          <cell r="AI4">
            <v>24912</v>
          </cell>
          <cell r="AJ4">
            <v>25639</v>
          </cell>
          <cell r="AK4">
            <v>19570</v>
          </cell>
          <cell r="AL4">
            <v>21682</v>
          </cell>
          <cell r="AM4">
            <v>24960</v>
          </cell>
          <cell r="AN4">
            <v>28293</v>
          </cell>
          <cell r="AO4">
            <v>20705</v>
          </cell>
          <cell r="AP4">
            <v>28650</v>
          </cell>
          <cell r="AQ4">
            <v>26259</v>
          </cell>
          <cell r="AR4">
            <v>25434</v>
          </cell>
          <cell r="AS4">
            <v>24995</v>
          </cell>
          <cell r="AT4">
            <v>25280</v>
          </cell>
          <cell r="AU4">
            <v>25103</v>
          </cell>
          <cell r="AV4">
            <v>25080</v>
          </cell>
          <cell r="AW4">
            <v>37147</v>
          </cell>
          <cell r="AX4">
            <v>36320</v>
          </cell>
          <cell r="AY4">
            <v>37543.050000000003</v>
          </cell>
          <cell r="AZ4">
            <v>37543</v>
          </cell>
          <cell r="BA4">
            <v>37543</v>
          </cell>
          <cell r="BB4">
            <v>37543</v>
          </cell>
          <cell r="BC4">
            <v>47000</v>
          </cell>
          <cell r="BD4">
            <v>47000</v>
          </cell>
          <cell r="BE4">
            <v>47000</v>
          </cell>
          <cell r="BF4">
            <v>47000</v>
          </cell>
          <cell r="BG4">
            <v>47000</v>
          </cell>
          <cell r="BH4">
            <v>47000</v>
          </cell>
          <cell r="BI4">
            <v>47000</v>
          </cell>
          <cell r="BJ4">
            <v>47000</v>
          </cell>
          <cell r="BK4">
            <v>47000</v>
          </cell>
          <cell r="BL4">
            <v>47000</v>
          </cell>
          <cell r="BM4">
            <v>47000</v>
          </cell>
          <cell r="BN4">
            <v>47000</v>
          </cell>
          <cell r="BO4">
            <v>47000</v>
          </cell>
          <cell r="BP4">
            <v>47000</v>
          </cell>
          <cell r="BQ4">
            <v>47000</v>
          </cell>
          <cell r="BR4">
            <v>47000</v>
          </cell>
          <cell r="BS4">
            <v>447096</v>
          </cell>
          <cell r="BT4">
            <v>247230</v>
          </cell>
          <cell r="BU4">
            <v>296379</v>
          </cell>
          <cell r="BV4">
            <v>461822.05</v>
          </cell>
          <cell r="BW4">
            <v>564000</v>
          </cell>
          <cell r="BX4">
            <v>447096</v>
          </cell>
          <cell r="BY4">
            <v>247230</v>
          </cell>
          <cell r="BZ4">
            <v>296379</v>
          </cell>
          <cell r="CA4">
            <v>123650</v>
          </cell>
          <cell r="CB4">
            <v>338172.05</v>
          </cell>
        </row>
        <row r="5">
          <cell r="A5" t="str">
            <v>US59P015013111100012</v>
          </cell>
          <cell r="B5" t="str">
            <v>Pekin</v>
          </cell>
          <cell r="C5" t="str">
            <v>Jan-Dec</v>
          </cell>
          <cell r="D5" t="str">
            <v>US59P01501</v>
          </cell>
          <cell r="E5" t="str">
            <v>501</v>
          </cell>
          <cell r="F5" t="str">
            <v>Production Admin.</v>
          </cell>
          <cell r="G5" t="str">
            <v>01</v>
          </cell>
          <cell r="H5">
            <v>3111100012</v>
          </cell>
          <cell r="I5" t="str">
            <v>OVERTIME HOURS /PERMANENTS</v>
          </cell>
          <cell r="J5" t="str">
            <v>VALID</v>
          </cell>
          <cell r="K5">
            <v>4956</v>
          </cell>
          <cell r="L5">
            <v>9307</v>
          </cell>
          <cell r="M5">
            <v>22918</v>
          </cell>
          <cell r="N5">
            <v>19370</v>
          </cell>
          <cell r="O5">
            <v>14884</v>
          </cell>
          <cell r="P5">
            <v>7614</v>
          </cell>
          <cell r="Q5">
            <v>6698</v>
          </cell>
          <cell r="R5">
            <v>9726</v>
          </cell>
          <cell r="S5">
            <v>1686</v>
          </cell>
          <cell r="T5">
            <v>-243</v>
          </cell>
          <cell r="U5">
            <v>290</v>
          </cell>
          <cell r="V5">
            <v>50</v>
          </cell>
          <cell r="W5">
            <v>705</v>
          </cell>
          <cell r="X5">
            <v>389</v>
          </cell>
          <cell r="Y5">
            <v>468</v>
          </cell>
          <cell r="Z5">
            <v>206</v>
          </cell>
          <cell r="AA5">
            <v>96</v>
          </cell>
          <cell r="AB5">
            <v>376</v>
          </cell>
          <cell r="AC5">
            <v>297</v>
          </cell>
          <cell r="AD5">
            <v>149</v>
          </cell>
          <cell r="AE5">
            <v>76</v>
          </cell>
          <cell r="AF5">
            <v>381</v>
          </cell>
          <cell r="AG5">
            <v>435</v>
          </cell>
          <cell r="AH5">
            <v>0</v>
          </cell>
          <cell r="AI5">
            <v>120</v>
          </cell>
          <cell r="AJ5">
            <v>264</v>
          </cell>
          <cell r="AK5">
            <v>120</v>
          </cell>
          <cell r="AL5">
            <v>128</v>
          </cell>
          <cell r="AM5">
            <v>222</v>
          </cell>
          <cell r="AN5">
            <v>225</v>
          </cell>
          <cell r="AO5">
            <v>312</v>
          </cell>
          <cell r="AP5">
            <v>180</v>
          </cell>
          <cell r="AQ5">
            <v>111</v>
          </cell>
          <cell r="AR5">
            <v>346</v>
          </cell>
          <cell r="AS5">
            <v>184</v>
          </cell>
          <cell r="AT5">
            <v>0</v>
          </cell>
          <cell r="AU5">
            <v>60</v>
          </cell>
          <cell r="AV5">
            <v>124</v>
          </cell>
          <cell r="AW5">
            <v>192</v>
          </cell>
          <cell r="AX5">
            <v>280</v>
          </cell>
          <cell r="AY5">
            <v>269.02</v>
          </cell>
          <cell r="AZ5">
            <v>100</v>
          </cell>
          <cell r="BA5">
            <v>200</v>
          </cell>
          <cell r="BB5">
            <v>100</v>
          </cell>
          <cell r="BC5">
            <v>200</v>
          </cell>
          <cell r="BD5">
            <v>100</v>
          </cell>
          <cell r="BE5">
            <v>200</v>
          </cell>
          <cell r="BF5">
            <v>100</v>
          </cell>
          <cell r="BG5">
            <v>200</v>
          </cell>
          <cell r="BH5">
            <v>100</v>
          </cell>
          <cell r="BI5">
            <v>200</v>
          </cell>
          <cell r="BJ5">
            <v>100</v>
          </cell>
          <cell r="BK5">
            <v>200</v>
          </cell>
          <cell r="BL5">
            <v>100</v>
          </cell>
          <cell r="BM5">
            <v>200</v>
          </cell>
          <cell r="BN5">
            <v>100</v>
          </cell>
          <cell r="BO5">
            <v>200</v>
          </cell>
          <cell r="BP5">
            <v>100</v>
          </cell>
          <cell r="BQ5">
            <v>200</v>
          </cell>
          <cell r="BR5">
            <v>100</v>
          </cell>
          <cell r="BS5">
            <v>97256</v>
          </cell>
          <cell r="BT5">
            <v>3578</v>
          </cell>
          <cell r="BU5">
            <v>2212</v>
          </cell>
          <cell r="BV5">
            <v>1925.02</v>
          </cell>
          <cell r="BW5">
            <v>1800</v>
          </cell>
          <cell r="BX5">
            <v>97256</v>
          </cell>
          <cell r="BY5">
            <v>3578</v>
          </cell>
          <cell r="BZ5">
            <v>2212</v>
          </cell>
          <cell r="CA5">
            <v>656</v>
          </cell>
          <cell r="CB5">
            <v>1269.02</v>
          </cell>
        </row>
        <row r="6">
          <cell r="A6" t="str">
            <v>US59P015013111100900</v>
          </cell>
          <cell r="B6" t="str">
            <v>Pekin</v>
          </cell>
          <cell r="C6" t="str">
            <v>Jan-Dec</v>
          </cell>
          <cell r="D6" t="str">
            <v>US59P01501</v>
          </cell>
          <cell r="E6" t="str">
            <v>501</v>
          </cell>
          <cell r="F6" t="str">
            <v>Production Admin.</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BS6">
            <v>0</v>
          </cell>
          <cell r="BT6">
            <v>0</v>
          </cell>
          <cell r="BU6">
            <v>0</v>
          </cell>
          <cell r="BV6">
            <v>0</v>
          </cell>
          <cell r="BW6">
            <v>0</v>
          </cell>
          <cell r="BX6">
            <v>0</v>
          </cell>
          <cell r="BY6">
            <v>0</v>
          </cell>
          <cell r="BZ6">
            <v>0</v>
          </cell>
          <cell r="CA6">
            <v>0</v>
          </cell>
          <cell r="CB6">
            <v>0</v>
          </cell>
        </row>
        <row r="7">
          <cell r="A7" t="str">
            <v>US59P015013121300013</v>
          </cell>
          <cell r="B7" t="str">
            <v>Pekin</v>
          </cell>
          <cell r="C7" t="str">
            <v>Jan-Dec</v>
          </cell>
          <cell r="D7" t="str">
            <v>US59P01501</v>
          </cell>
          <cell r="E7" t="str">
            <v>501</v>
          </cell>
          <cell r="F7" t="str">
            <v>Production Admin.</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9312</v>
          </cell>
          <cell r="AJ7">
            <v>9636</v>
          </cell>
          <cell r="AK7">
            <v>7324</v>
          </cell>
          <cell r="AL7">
            <v>8113</v>
          </cell>
          <cell r="AM7">
            <v>9368</v>
          </cell>
          <cell r="AN7">
            <v>8919</v>
          </cell>
          <cell r="AO7">
            <v>9509</v>
          </cell>
          <cell r="AP7">
            <v>10724</v>
          </cell>
          <cell r="AQ7">
            <v>9810</v>
          </cell>
          <cell r="AR7">
            <v>9590</v>
          </cell>
          <cell r="AS7">
            <v>9366</v>
          </cell>
          <cell r="AT7">
            <v>9404</v>
          </cell>
          <cell r="AU7">
            <v>9210</v>
          </cell>
          <cell r="AV7">
            <v>9225</v>
          </cell>
          <cell r="AW7">
            <v>13666</v>
          </cell>
          <cell r="AX7">
            <v>13395</v>
          </cell>
          <cell r="AY7">
            <v>13839.217619999999</v>
          </cell>
          <cell r="AZ7">
            <v>13777.338</v>
          </cell>
          <cell r="BA7">
            <v>13813.938</v>
          </cell>
          <cell r="BB7">
            <v>13777.338</v>
          </cell>
          <cell r="BC7">
            <v>17275.2</v>
          </cell>
          <cell r="BD7">
            <v>17238.599999999999</v>
          </cell>
          <cell r="BE7">
            <v>17275.2</v>
          </cell>
          <cell r="BF7">
            <v>17238.599999999999</v>
          </cell>
          <cell r="BG7">
            <v>17275.2</v>
          </cell>
          <cell r="BH7">
            <v>17238.599999999999</v>
          </cell>
          <cell r="BI7">
            <v>17275.2</v>
          </cell>
          <cell r="BJ7">
            <v>17238.599999999999</v>
          </cell>
          <cell r="BK7">
            <v>17275.2</v>
          </cell>
          <cell r="BL7">
            <v>17238.599999999999</v>
          </cell>
          <cell r="BM7">
            <v>17275.2</v>
          </cell>
          <cell r="BN7">
            <v>17238.599999999999</v>
          </cell>
          <cell r="BO7">
            <v>17275.2</v>
          </cell>
          <cell r="BP7">
            <v>17238.599999999999</v>
          </cell>
          <cell r="BQ7">
            <v>17275.2</v>
          </cell>
          <cell r="BR7">
            <v>17238.599999999999</v>
          </cell>
          <cell r="BS7">
            <v>0</v>
          </cell>
          <cell r="BT7">
            <v>0</v>
          </cell>
          <cell r="BU7">
            <v>111075</v>
          </cell>
          <cell r="BV7">
            <v>169731.43162000002</v>
          </cell>
          <cell r="BW7">
            <v>207082.80000000002</v>
          </cell>
          <cell r="BX7">
            <v>0</v>
          </cell>
          <cell r="BY7">
            <v>0</v>
          </cell>
          <cell r="BZ7">
            <v>111075</v>
          </cell>
          <cell r="CA7">
            <v>45496</v>
          </cell>
          <cell r="CB7">
            <v>124235.43161999999</v>
          </cell>
        </row>
        <row r="8">
          <cell r="A8" t="str">
            <v>US59P015013131100007</v>
          </cell>
          <cell r="B8" t="str">
            <v>Pekin</v>
          </cell>
          <cell r="C8" t="str">
            <v>Jan-Dec</v>
          </cell>
          <cell r="D8" t="str">
            <v>US59P01501</v>
          </cell>
          <cell r="E8" t="str">
            <v>501</v>
          </cell>
          <cell r="F8" t="str">
            <v>Production Admin.</v>
          </cell>
          <cell r="G8" t="str">
            <v>01</v>
          </cell>
          <cell r="H8">
            <v>3131100007</v>
          </cell>
          <cell r="I8" t="str">
            <v>EXTERNAL TRAINING</v>
          </cell>
          <cell r="J8" t="str">
            <v>VALID</v>
          </cell>
          <cell r="K8">
            <v>0</v>
          </cell>
          <cell r="L8">
            <v>0</v>
          </cell>
          <cell r="M8">
            <v>0</v>
          </cell>
          <cell r="N8">
            <v>0</v>
          </cell>
          <cell r="O8">
            <v>0</v>
          </cell>
          <cell r="P8">
            <v>0</v>
          </cell>
          <cell r="Q8">
            <v>0</v>
          </cell>
          <cell r="R8">
            <v>0</v>
          </cell>
          <cell r="S8">
            <v>0</v>
          </cell>
          <cell r="T8">
            <v>0</v>
          </cell>
          <cell r="U8">
            <v>0</v>
          </cell>
          <cell r="V8">
            <v>0</v>
          </cell>
          <cell r="W8">
            <v>1355</v>
          </cell>
          <cell r="X8">
            <v>0</v>
          </cell>
          <cell r="Y8">
            <v>0</v>
          </cell>
          <cell r="Z8">
            <v>0</v>
          </cell>
          <cell r="AA8">
            <v>0</v>
          </cell>
          <cell r="AB8">
            <v>0</v>
          </cell>
          <cell r="AC8">
            <v>0</v>
          </cell>
          <cell r="AD8">
            <v>300</v>
          </cell>
          <cell r="AE8">
            <v>1050</v>
          </cell>
          <cell r="AF8">
            <v>258</v>
          </cell>
          <cell r="AG8">
            <v>0</v>
          </cell>
          <cell r="AH8">
            <v>0</v>
          </cell>
          <cell r="AI8">
            <v>0</v>
          </cell>
          <cell r="AJ8">
            <v>2985</v>
          </cell>
          <cell r="AK8">
            <v>100</v>
          </cell>
          <cell r="AL8">
            <v>0</v>
          </cell>
          <cell r="AM8">
            <v>0</v>
          </cell>
          <cell r="AN8">
            <v>0</v>
          </cell>
          <cell r="AO8">
            <v>0</v>
          </cell>
          <cell r="AP8">
            <v>0</v>
          </cell>
          <cell r="AQ8">
            <v>0</v>
          </cell>
          <cell r="AR8">
            <v>0</v>
          </cell>
          <cell r="AS8">
            <v>0</v>
          </cell>
          <cell r="AT8">
            <v>0</v>
          </cell>
          <cell r="AU8">
            <v>0</v>
          </cell>
          <cell r="AV8">
            <v>0</v>
          </cell>
          <cell r="AW8">
            <v>0</v>
          </cell>
          <cell r="AX8">
            <v>0</v>
          </cell>
          <cell r="BS8">
            <v>0</v>
          </cell>
          <cell r="BT8">
            <v>2963</v>
          </cell>
          <cell r="BU8">
            <v>3085</v>
          </cell>
          <cell r="BV8">
            <v>0</v>
          </cell>
          <cell r="BW8">
            <v>0</v>
          </cell>
          <cell r="BX8">
            <v>0</v>
          </cell>
          <cell r="BY8">
            <v>2963</v>
          </cell>
          <cell r="BZ8">
            <v>3085</v>
          </cell>
          <cell r="CA8">
            <v>0</v>
          </cell>
          <cell r="CB8">
            <v>0</v>
          </cell>
        </row>
        <row r="9">
          <cell r="A9" t="str">
            <v>US59P015013131100025</v>
          </cell>
          <cell r="B9" t="str">
            <v>Pekin</v>
          </cell>
          <cell r="C9" t="str">
            <v>Jan-Dec</v>
          </cell>
          <cell r="D9" t="str">
            <v>US59P01501</v>
          </cell>
          <cell r="E9" t="str">
            <v>501</v>
          </cell>
          <cell r="F9" t="str">
            <v>Production Admin.</v>
          </cell>
          <cell r="G9" t="str">
            <v>01</v>
          </cell>
          <cell r="H9">
            <v>3131100025</v>
          </cell>
          <cell r="I9" t="str">
            <v>OTHER PERSONNEL EXPENSES</v>
          </cell>
          <cell r="J9" t="str">
            <v>VALID</v>
          </cell>
          <cell r="K9">
            <v>0</v>
          </cell>
          <cell r="L9">
            <v>0</v>
          </cell>
          <cell r="M9">
            <v>0</v>
          </cell>
          <cell r="N9">
            <v>0</v>
          </cell>
          <cell r="O9">
            <v>0</v>
          </cell>
          <cell r="P9">
            <v>0</v>
          </cell>
          <cell r="Q9">
            <v>0</v>
          </cell>
          <cell r="R9">
            <v>0</v>
          </cell>
          <cell r="S9">
            <v>0</v>
          </cell>
          <cell r="T9">
            <v>0</v>
          </cell>
          <cell r="U9">
            <v>0</v>
          </cell>
          <cell r="V9">
            <v>0</v>
          </cell>
          <cell r="W9">
            <v>2722</v>
          </cell>
          <cell r="X9">
            <v>0</v>
          </cell>
          <cell r="Y9">
            <v>0</v>
          </cell>
          <cell r="Z9">
            <v>12500</v>
          </cell>
          <cell r="AA9">
            <v>0</v>
          </cell>
          <cell r="AB9">
            <v>0</v>
          </cell>
          <cell r="AC9">
            <v>0</v>
          </cell>
          <cell r="AD9">
            <v>0</v>
          </cell>
          <cell r="AE9">
            <v>473</v>
          </cell>
          <cell r="AF9">
            <v>0</v>
          </cell>
          <cell r="AG9">
            <v>0</v>
          </cell>
          <cell r="AH9">
            <v>0</v>
          </cell>
          <cell r="AI9">
            <v>0</v>
          </cell>
          <cell r="AJ9">
            <v>0</v>
          </cell>
          <cell r="AK9">
            <v>849</v>
          </cell>
          <cell r="AL9">
            <v>0</v>
          </cell>
          <cell r="AM9">
            <v>869</v>
          </cell>
          <cell r="AN9">
            <v>0</v>
          </cell>
          <cell r="AO9">
            <v>0</v>
          </cell>
          <cell r="AP9">
            <v>0</v>
          </cell>
          <cell r="AQ9">
            <v>0</v>
          </cell>
          <cell r="AR9">
            <v>0</v>
          </cell>
          <cell r="AS9">
            <v>0</v>
          </cell>
          <cell r="AT9">
            <v>0</v>
          </cell>
          <cell r="AU9">
            <v>0</v>
          </cell>
          <cell r="AV9">
            <v>0</v>
          </cell>
          <cell r="AW9">
            <v>0</v>
          </cell>
          <cell r="AX9">
            <v>0</v>
          </cell>
          <cell r="BA9">
            <v>750</v>
          </cell>
          <cell r="BC9">
            <v>250</v>
          </cell>
          <cell r="BD9">
            <v>250</v>
          </cell>
          <cell r="BE9">
            <v>250</v>
          </cell>
          <cell r="BF9">
            <v>250</v>
          </cell>
          <cell r="BG9">
            <v>250</v>
          </cell>
          <cell r="BH9">
            <v>250</v>
          </cell>
          <cell r="BI9">
            <v>250</v>
          </cell>
          <cell r="BJ9">
            <v>250</v>
          </cell>
          <cell r="BK9">
            <v>250</v>
          </cell>
          <cell r="BL9">
            <v>250</v>
          </cell>
          <cell r="BM9">
            <v>250</v>
          </cell>
          <cell r="BN9">
            <v>250</v>
          </cell>
          <cell r="BO9">
            <v>250</v>
          </cell>
          <cell r="BP9">
            <v>250</v>
          </cell>
          <cell r="BQ9">
            <v>250</v>
          </cell>
          <cell r="BR9">
            <v>250</v>
          </cell>
          <cell r="BS9">
            <v>0</v>
          </cell>
          <cell r="BT9">
            <v>15695</v>
          </cell>
          <cell r="BU9">
            <v>1718</v>
          </cell>
          <cell r="BV9">
            <v>1750</v>
          </cell>
          <cell r="BW9">
            <v>3000</v>
          </cell>
          <cell r="BX9">
            <v>0</v>
          </cell>
          <cell r="BY9">
            <v>15695</v>
          </cell>
          <cell r="BZ9">
            <v>1718</v>
          </cell>
          <cell r="CA9">
            <v>0</v>
          </cell>
          <cell r="CB9">
            <v>1750</v>
          </cell>
        </row>
        <row r="10">
          <cell r="A10" t="str">
            <v>US59P015013131100031</v>
          </cell>
          <cell r="B10" t="str">
            <v>Pekin</v>
          </cell>
          <cell r="C10" t="str">
            <v>Jan-Dec</v>
          </cell>
          <cell r="D10" t="str">
            <v>US59P01501</v>
          </cell>
          <cell r="E10" t="str">
            <v>501</v>
          </cell>
          <cell r="F10" t="str">
            <v>Production Admin.</v>
          </cell>
          <cell r="G10" t="str">
            <v>01</v>
          </cell>
          <cell r="H10">
            <v>3131100031</v>
          </cell>
          <cell r="I10" t="str">
            <v>TUITION REIMBERSEMENT</v>
          </cell>
          <cell r="J10" t="str">
            <v>VALID</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BS10">
            <v>0</v>
          </cell>
          <cell r="BT10">
            <v>0</v>
          </cell>
          <cell r="BU10">
            <v>0</v>
          </cell>
          <cell r="BV10">
            <v>0</v>
          </cell>
          <cell r="BW10">
            <v>0</v>
          </cell>
          <cell r="BX10">
            <v>0</v>
          </cell>
          <cell r="BY10">
            <v>0</v>
          </cell>
          <cell r="BZ10">
            <v>0</v>
          </cell>
          <cell r="CA10">
            <v>0</v>
          </cell>
          <cell r="CB10">
            <v>0</v>
          </cell>
        </row>
        <row r="11">
          <cell r="A11" t="str">
            <v>US59P015013201300001</v>
          </cell>
          <cell r="B11" t="str">
            <v>Pekin</v>
          </cell>
          <cell r="C11" t="str">
            <v>Jan-Dec</v>
          </cell>
          <cell r="D11" t="str">
            <v>US59P01501</v>
          </cell>
          <cell r="E11" t="str">
            <v>501</v>
          </cell>
          <cell r="F11" t="str">
            <v>Production Admin.</v>
          </cell>
          <cell r="G11" t="str">
            <v>01</v>
          </cell>
          <cell r="H11">
            <v>3201300001</v>
          </cell>
          <cell r="I11" t="str">
            <v>HIRED PERSONNEL FROM 3RD PARTIES</v>
          </cell>
          <cell r="J11" t="str">
            <v>VALID</v>
          </cell>
          <cell r="K11">
            <v>11805</v>
          </cell>
          <cell r="L11">
            <v>7383</v>
          </cell>
          <cell r="M11">
            <v>6561</v>
          </cell>
          <cell r="N11">
            <v>0</v>
          </cell>
          <cell r="O11">
            <v>0</v>
          </cell>
          <cell r="P11">
            <v>882</v>
          </cell>
          <cell r="Q11">
            <v>395</v>
          </cell>
          <cell r="R11">
            <v>0</v>
          </cell>
          <cell r="S11">
            <v>3718</v>
          </cell>
          <cell r="T11">
            <v>6706</v>
          </cell>
          <cell r="U11">
            <v>1184</v>
          </cell>
          <cell r="V11">
            <v>0</v>
          </cell>
          <cell r="W11">
            <v>768</v>
          </cell>
          <cell r="X11">
            <v>3465</v>
          </cell>
          <cell r="Y11">
            <v>2529</v>
          </cell>
          <cell r="Z11">
            <v>5105</v>
          </cell>
          <cell r="AA11">
            <v>857</v>
          </cell>
          <cell r="AB11">
            <v>400</v>
          </cell>
          <cell r="AC11">
            <v>0</v>
          </cell>
          <cell r="AD11">
            <v>0</v>
          </cell>
          <cell r="AE11">
            <v>0</v>
          </cell>
          <cell r="AF11">
            <v>0</v>
          </cell>
          <cell r="AG11">
            <v>0</v>
          </cell>
          <cell r="AH11">
            <v>0</v>
          </cell>
          <cell r="AI11">
            <v>0</v>
          </cell>
          <cell r="AJ11">
            <v>0</v>
          </cell>
          <cell r="AK11">
            <v>0</v>
          </cell>
          <cell r="AL11">
            <v>0</v>
          </cell>
          <cell r="AM11">
            <v>0</v>
          </cell>
          <cell r="AN11">
            <v>1011</v>
          </cell>
          <cell r="AO11">
            <v>968</v>
          </cell>
          <cell r="AP11">
            <v>1615</v>
          </cell>
          <cell r="AQ11">
            <v>2092</v>
          </cell>
          <cell r="AR11">
            <v>0</v>
          </cell>
          <cell r="AS11">
            <v>966</v>
          </cell>
          <cell r="AT11">
            <v>0</v>
          </cell>
          <cell r="AU11">
            <v>0</v>
          </cell>
          <cell r="AV11">
            <v>1481</v>
          </cell>
          <cell r="AW11">
            <v>0</v>
          </cell>
          <cell r="AX11">
            <v>0</v>
          </cell>
          <cell r="BS11">
            <v>38634</v>
          </cell>
          <cell r="BT11">
            <v>13124</v>
          </cell>
          <cell r="BU11">
            <v>6652</v>
          </cell>
          <cell r="BV11">
            <v>1481</v>
          </cell>
          <cell r="BW11">
            <v>0</v>
          </cell>
          <cell r="BX11">
            <v>38634</v>
          </cell>
          <cell r="BY11">
            <v>13124</v>
          </cell>
          <cell r="BZ11">
            <v>6652</v>
          </cell>
          <cell r="CA11">
            <v>1481</v>
          </cell>
          <cell r="CB11">
            <v>0</v>
          </cell>
        </row>
        <row r="12">
          <cell r="A12" t="str">
            <v>US59P015013201300002</v>
          </cell>
          <cell r="B12" t="str">
            <v>Pekin</v>
          </cell>
          <cell r="C12" t="str">
            <v>Jan-Dec</v>
          </cell>
          <cell r="D12" t="str">
            <v>US59P01501</v>
          </cell>
          <cell r="E12" t="str">
            <v>501</v>
          </cell>
          <cell r="F12" t="str">
            <v>Production Admin.</v>
          </cell>
          <cell r="G12" t="str">
            <v>01</v>
          </cell>
          <cell r="H12">
            <v>3201300002</v>
          </cell>
          <cell r="I12" t="str">
            <v>O/S SERVICES</v>
          </cell>
          <cell r="J12" t="str">
            <v>VALID</v>
          </cell>
          <cell r="K12">
            <v>2</v>
          </cell>
          <cell r="L12">
            <v>1</v>
          </cell>
          <cell r="M12">
            <v>58</v>
          </cell>
          <cell r="N12">
            <v>0</v>
          </cell>
          <cell r="O12">
            <v>0</v>
          </cell>
          <cell r="P12">
            <v>0</v>
          </cell>
          <cell r="Q12">
            <v>0</v>
          </cell>
          <cell r="R12">
            <v>1</v>
          </cell>
          <cell r="S12">
            <v>0</v>
          </cell>
          <cell r="T12">
            <v>36</v>
          </cell>
          <cell r="U12">
            <v>2647</v>
          </cell>
          <cell r="V12">
            <v>0</v>
          </cell>
          <cell r="W12">
            <v>197</v>
          </cell>
          <cell r="X12">
            <v>6</v>
          </cell>
          <cell r="Y12">
            <v>66</v>
          </cell>
          <cell r="Z12">
            <v>613</v>
          </cell>
          <cell r="AA12">
            <v>78</v>
          </cell>
          <cell r="AB12">
            <v>167</v>
          </cell>
          <cell r="AC12">
            <v>312</v>
          </cell>
          <cell r="AD12">
            <v>368</v>
          </cell>
          <cell r="AE12">
            <v>42</v>
          </cell>
          <cell r="AF12">
            <v>390</v>
          </cell>
          <cell r="AG12">
            <v>2003</v>
          </cell>
          <cell r="AH12">
            <v>3054</v>
          </cell>
          <cell r="AI12">
            <v>0</v>
          </cell>
          <cell r="AJ12">
            <v>115</v>
          </cell>
          <cell r="AK12">
            <v>160</v>
          </cell>
          <cell r="AL12">
            <v>74</v>
          </cell>
          <cell r="AM12">
            <v>228</v>
          </cell>
          <cell r="AN12">
            <v>9</v>
          </cell>
          <cell r="AO12">
            <v>0</v>
          </cell>
          <cell r="AP12">
            <v>120</v>
          </cell>
          <cell r="AQ12">
            <v>499</v>
          </cell>
          <cell r="AR12">
            <v>0</v>
          </cell>
          <cell r="AS12">
            <v>126</v>
          </cell>
          <cell r="AT12">
            <v>264</v>
          </cell>
          <cell r="AU12">
            <v>0</v>
          </cell>
          <cell r="AV12">
            <v>591</v>
          </cell>
          <cell r="AW12">
            <v>0</v>
          </cell>
          <cell r="AX12">
            <v>0</v>
          </cell>
          <cell r="AZ12">
            <v>1300</v>
          </cell>
          <cell r="BA12">
            <v>1300</v>
          </cell>
          <cell r="BB12">
            <v>1300</v>
          </cell>
          <cell r="BC12">
            <v>1300</v>
          </cell>
          <cell r="BD12">
            <v>1300</v>
          </cell>
          <cell r="BE12">
            <v>1300</v>
          </cell>
          <cell r="BF12">
            <v>1300</v>
          </cell>
          <cell r="BG12">
            <v>1300</v>
          </cell>
          <cell r="BH12">
            <v>1300</v>
          </cell>
          <cell r="BI12">
            <v>1300</v>
          </cell>
          <cell r="BJ12">
            <v>1300</v>
          </cell>
          <cell r="BK12">
            <v>1300</v>
          </cell>
          <cell r="BL12">
            <v>1300</v>
          </cell>
          <cell r="BM12">
            <v>1300</v>
          </cell>
          <cell r="BN12">
            <v>1300</v>
          </cell>
          <cell r="BO12">
            <v>1300</v>
          </cell>
          <cell r="BP12">
            <v>1300</v>
          </cell>
          <cell r="BQ12">
            <v>1300</v>
          </cell>
          <cell r="BR12">
            <v>1300</v>
          </cell>
          <cell r="BS12">
            <v>2745</v>
          </cell>
          <cell r="BT12">
            <v>7296</v>
          </cell>
          <cell r="BU12">
            <v>1595</v>
          </cell>
          <cell r="BV12">
            <v>9691</v>
          </cell>
          <cell r="BW12">
            <v>15600</v>
          </cell>
          <cell r="BX12">
            <v>2745</v>
          </cell>
          <cell r="BY12">
            <v>7296</v>
          </cell>
          <cell r="BZ12">
            <v>1595</v>
          </cell>
          <cell r="CA12">
            <v>591</v>
          </cell>
          <cell r="CB12">
            <v>9100</v>
          </cell>
        </row>
        <row r="13">
          <cell r="A13" t="str">
            <v>US59P015013201300005</v>
          </cell>
          <cell r="B13" t="str">
            <v>Pekin</v>
          </cell>
          <cell r="C13" t="str">
            <v>Jan-Dec</v>
          </cell>
          <cell r="D13" t="str">
            <v>US59P01501</v>
          </cell>
          <cell r="E13" t="str">
            <v>501</v>
          </cell>
          <cell r="F13" t="str">
            <v>Production Admin.</v>
          </cell>
          <cell r="G13" t="str">
            <v>01</v>
          </cell>
          <cell r="H13">
            <v>3201300005</v>
          </cell>
          <cell r="I13" t="str">
            <v>O/S SERVICES - COMPUTER LIC. &amp; SUPPORT</v>
          </cell>
          <cell r="J13" t="str">
            <v>VALID</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513</v>
          </cell>
          <cell r="AG13">
            <v>0</v>
          </cell>
          <cell r="AH13">
            <v>104</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BS13">
            <v>0</v>
          </cell>
          <cell r="BT13">
            <v>617</v>
          </cell>
          <cell r="BU13">
            <v>0</v>
          </cell>
          <cell r="BV13">
            <v>0</v>
          </cell>
          <cell r="BW13">
            <v>0</v>
          </cell>
          <cell r="BX13">
            <v>0</v>
          </cell>
          <cell r="BY13">
            <v>617</v>
          </cell>
          <cell r="BZ13">
            <v>0</v>
          </cell>
          <cell r="CA13">
            <v>0</v>
          </cell>
          <cell r="CB13">
            <v>0</v>
          </cell>
        </row>
        <row r="14">
          <cell r="A14" t="str">
            <v>US59P015013201400002</v>
          </cell>
          <cell r="B14" t="str">
            <v>Pekin</v>
          </cell>
          <cell r="C14" t="str">
            <v>Jan-Dec</v>
          </cell>
          <cell r="D14" t="str">
            <v>US59P01501</v>
          </cell>
          <cell r="E14" t="str">
            <v>501</v>
          </cell>
          <cell r="F14" t="str">
            <v>Production Admin.</v>
          </cell>
          <cell r="G14" t="str">
            <v>01</v>
          </cell>
          <cell r="H14">
            <v>3201400002</v>
          </cell>
          <cell r="I14" t="str">
            <v>MAINTENANCE OF VEHICLES</v>
          </cell>
          <cell r="J14" t="str">
            <v>VALID</v>
          </cell>
          <cell r="K14">
            <v>0</v>
          </cell>
          <cell r="L14">
            <v>797</v>
          </cell>
          <cell r="M14">
            <v>2312</v>
          </cell>
          <cell r="N14">
            <v>11640</v>
          </cell>
          <cell r="O14">
            <v>224</v>
          </cell>
          <cell r="P14">
            <v>506</v>
          </cell>
          <cell r="Q14">
            <v>0</v>
          </cell>
          <cell r="R14">
            <v>270</v>
          </cell>
          <cell r="S14">
            <v>451</v>
          </cell>
          <cell r="T14">
            <v>1971</v>
          </cell>
          <cell r="U14">
            <v>981</v>
          </cell>
          <cell r="V14">
            <v>348</v>
          </cell>
          <cell r="W14">
            <v>0</v>
          </cell>
          <cell r="X14">
            <v>446</v>
          </cell>
          <cell r="Y14">
            <v>195</v>
          </cell>
          <cell r="Z14">
            <v>1132</v>
          </cell>
          <cell r="AA14">
            <v>1708</v>
          </cell>
          <cell r="AB14">
            <v>4039</v>
          </cell>
          <cell r="AC14">
            <v>1182</v>
          </cell>
          <cell r="AD14">
            <v>2474</v>
          </cell>
          <cell r="AE14">
            <v>1421</v>
          </cell>
          <cell r="AF14">
            <v>1685</v>
          </cell>
          <cell r="AG14">
            <v>3045</v>
          </cell>
          <cell r="AH14">
            <v>665</v>
          </cell>
          <cell r="AI14">
            <v>1510</v>
          </cell>
          <cell r="AJ14">
            <v>1786</v>
          </cell>
          <cell r="AK14">
            <v>223</v>
          </cell>
          <cell r="AL14">
            <v>587</v>
          </cell>
          <cell r="AM14">
            <v>3332</v>
          </cell>
          <cell r="AN14">
            <v>3048</v>
          </cell>
          <cell r="AO14">
            <v>52</v>
          </cell>
          <cell r="AP14">
            <v>1743</v>
          </cell>
          <cell r="AQ14">
            <v>2359</v>
          </cell>
          <cell r="AR14">
            <v>599</v>
          </cell>
          <cell r="AS14">
            <v>1545</v>
          </cell>
          <cell r="AT14">
            <v>351</v>
          </cell>
          <cell r="AU14">
            <v>546</v>
          </cell>
          <cell r="AV14">
            <v>1227</v>
          </cell>
          <cell r="AW14">
            <v>2409</v>
          </cell>
          <cell r="AX14">
            <v>876</v>
          </cell>
          <cell r="AY14">
            <v>1827</v>
          </cell>
          <cell r="AZ14">
            <v>1200</v>
          </cell>
          <cell r="BA14">
            <v>1200</v>
          </cell>
          <cell r="BB14">
            <v>1200</v>
          </cell>
          <cell r="BC14">
            <v>1200</v>
          </cell>
          <cell r="BD14">
            <v>1200</v>
          </cell>
          <cell r="BE14">
            <v>1200</v>
          </cell>
          <cell r="BF14">
            <v>1200</v>
          </cell>
          <cell r="BG14">
            <v>1200</v>
          </cell>
          <cell r="BH14">
            <v>1200</v>
          </cell>
          <cell r="BI14">
            <v>1200</v>
          </cell>
          <cell r="BJ14">
            <v>1200</v>
          </cell>
          <cell r="BK14">
            <v>1200</v>
          </cell>
          <cell r="BL14">
            <v>1200</v>
          </cell>
          <cell r="BM14">
            <v>1200</v>
          </cell>
          <cell r="BN14">
            <v>1200</v>
          </cell>
          <cell r="BO14">
            <v>1200</v>
          </cell>
          <cell r="BP14">
            <v>1200</v>
          </cell>
          <cell r="BQ14">
            <v>1200</v>
          </cell>
          <cell r="BR14">
            <v>1200</v>
          </cell>
          <cell r="BS14">
            <v>19500</v>
          </cell>
          <cell r="BT14">
            <v>17992</v>
          </cell>
          <cell r="BU14">
            <v>17135</v>
          </cell>
          <cell r="BV14">
            <v>15285</v>
          </cell>
          <cell r="BW14">
            <v>14400</v>
          </cell>
          <cell r="BX14">
            <v>19500</v>
          </cell>
          <cell r="BY14">
            <v>17992</v>
          </cell>
          <cell r="BZ14">
            <v>17135</v>
          </cell>
          <cell r="CA14">
            <v>5058</v>
          </cell>
          <cell r="CB14">
            <v>10227</v>
          </cell>
        </row>
        <row r="15">
          <cell r="A15" t="str">
            <v>US59P015013201400025</v>
          </cell>
          <cell r="B15" t="str">
            <v>Pekin</v>
          </cell>
          <cell r="C15" t="str">
            <v>Jan-Dec</v>
          </cell>
          <cell r="D15" t="str">
            <v>US59P01501</v>
          </cell>
          <cell r="E15" t="str">
            <v>501</v>
          </cell>
          <cell r="F15" t="str">
            <v>Production Admin.</v>
          </cell>
          <cell r="G15" t="str">
            <v>01</v>
          </cell>
          <cell r="H15">
            <v>3201400025</v>
          </cell>
          <cell r="I15" t="str">
            <v>CLEANING EXPENSES</v>
          </cell>
          <cell r="J15" t="str">
            <v>VALID</v>
          </cell>
          <cell r="K15">
            <v>1316</v>
          </cell>
          <cell r="L15">
            <v>0</v>
          </cell>
          <cell r="M15">
            <v>0</v>
          </cell>
          <cell r="N15">
            <v>0</v>
          </cell>
          <cell r="O15">
            <v>0</v>
          </cell>
          <cell r="P15">
            <v>0</v>
          </cell>
          <cell r="Q15">
            <v>0</v>
          </cell>
          <cell r="R15">
            <v>1219</v>
          </cell>
          <cell r="S15">
            <v>0</v>
          </cell>
          <cell r="T15">
            <v>0</v>
          </cell>
          <cell r="U15">
            <v>0</v>
          </cell>
          <cell r="V15">
            <v>730</v>
          </cell>
          <cell r="W15">
            <v>736</v>
          </cell>
          <cell r="X15">
            <v>0</v>
          </cell>
          <cell r="Y15">
            <v>1732</v>
          </cell>
          <cell r="Z15">
            <v>733</v>
          </cell>
          <cell r="AA15">
            <v>368</v>
          </cell>
          <cell r="AB15">
            <v>1273</v>
          </cell>
          <cell r="AC15">
            <v>821</v>
          </cell>
          <cell r="AD15">
            <v>1189</v>
          </cell>
          <cell r="AE15">
            <v>821</v>
          </cell>
          <cell r="AF15">
            <v>821</v>
          </cell>
          <cell r="AG15">
            <v>821</v>
          </cell>
          <cell r="AH15">
            <v>821</v>
          </cell>
          <cell r="AI15">
            <v>698</v>
          </cell>
          <cell r="AJ15">
            <v>453</v>
          </cell>
          <cell r="AK15">
            <v>245</v>
          </cell>
          <cell r="AL15">
            <v>905</v>
          </cell>
          <cell r="AM15">
            <v>368</v>
          </cell>
          <cell r="AN15">
            <v>821</v>
          </cell>
          <cell r="AO15">
            <v>821</v>
          </cell>
          <cell r="AP15">
            <v>971</v>
          </cell>
          <cell r="AQ15">
            <v>821</v>
          </cell>
          <cell r="AR15">
            <v>821</v>
          </cell>
          <cell r="AS15">
            <v>698</v>
          </cell>
          <cell r="AT15">
            <v>946</v>
          </cell>
          <cell r="AU15">
            <v>1189</v>
          </cell>
          <cell r="AV15">
            <v>821</v>
          </cell>
          <cell r="AW15">
            <v>821</v>
          </cell>
          <cell r="AX15">
            <v>368</v>
          </cell>
          <cell r="AY15">
            <v>618</v>
          </cell>
          <cell r="AZ15">
            <v>750</v>
          </cell>
          <cell r="BA15">
            <v>750</v>
          </cell>
          <cell r="BB15">
            <v>750</v>
          </cell>
          <cell r="BC15">
            <v>750</v>
          </cell>
          <cell r="BD15">
            <v>750</v>
          </cell>
          <cell r="BE15">
            <v>750</v>
          </cell>
          <cell r="BF15">
            <v>750</v>
          </cell>
          <cell r="BG15">
            <v>750</v>
          </cell>
          <cell r="BH15">
            <v>750</v>
          </cell>
          <cell r="BI15">
            <v>750</v>
          </cell>
          <cell r="BJ15">
            <v>750</v>
          </cell>
          <cell r="BK15">
            <v>750</v>
          </cell>
          <cell r="BL15">
            <v>750</v>
          </cell>
          <cell r="BM15">
            <v>750</v>
          </cell>
          <cell r="BN15">
            <v>750</v>
          </cell>
          <cell r="BO15">
            <v>750</v>
          </cell>
          <cell r="BP15">
            <v>750</v>
          </cell>
          <cell r="BQ15">
            <v>750</v>
          </cell>
          <cell r="BR15">
            <v>750</v>
          </cell>
          <cell r="BS15">
            <v>3265</v>
          </cell>
          <cell r="BT15">
            <v>10136</v>
          </cell>
          <cell r="BU15">
            <v>8568</v>
          </cell>
          <cell r="BV15">
            <v>9067</v>
          </cell>
          <cell r="BW15">
            <v>9000</v>
          </cell>
          <cell r="BX15">
            <v>3265</v>
          </cell>
          <cell r="BY15">
            <v>10136</v>
          </cell>
          <cell r="BZ15">
            <v>8568</v>
          </cell>
          <cell r="CA15">
            <v>3199</v>
          </cell>
          <cell r="CB15">
            <v>5868</v>
          </cell>
        </row>
        <row r="16">
          <cell r="A16" t="str">
            <v>US59P015013201400029</v>
          </cell>
          <cell r="B16" t="str">
            <v>Pekin</v>
          </cell>
          <cell r="C16" t="str">
            <v>Jan-Dec</v>
          </cell>
          <cell r="D16" t="str">
            <v>US59P01501</v>
          </cell>
          <cell r="E16" t="str">
            <v>501</v>
          </cell>
          <cell r="F16" t="str">
            <v>Production Admin.</v>
          </cell>
          <cell r="G16" t="str">
            <v>01</v>
          </cell>
          <cell r="H16">
            <v>3201400029</v>
          </cell>
          <cell r="I16" t="str">
            <v>OTH OUTSIDE SERVICES OTHER</v>
          </cell>
          <cell r="J16" t="str">
            <v>VALID</v>
          </cell>
          <cell r="K16">
            <v>624</v>
          </cell>
          <cell r="L16">
            <v>0</v>
          </cell>
          <cell r="M16">
            <v>0</v>
          </cell>
          <cell r="N16">
            <v>0</v>
          </cell>
          <cell r="O16">
            <v>0</v>
          </cell>
          <cell r="P16">
            <v>85</v>
          </cell>
          <cell r="Q16">
            <v>0</v>
          </cell>
          <cell r="R16">
            <v>0</v>
          </cell>
          <cell r="S16">
            <v>0</v>
          </cell>
          <cell r="T16">
            <v>0</v>
          </cell>
          <cell r="U16">
            <v>0</v>
          </cell>
          <cell r="V16">
            <v>0</v>
          </cell>
          <cell r="W16">
            <v>0</v>
          </cell>
          <cell r="X16">
            <v>1075</v>
          </cell>
          <cell r="Y16">
            <v>560</v>
          </cell>
          <cell r="Z16">
            <v>1875</v>
          </cell>
          <cell r="AA16">
            <v>2140</v>
          </cell>
          <cell r="AB16">
            <v>686</v>
          </cell>
          <cell r="AC16">
            <v>1875</v>
          </cell>
          <cell r="AD16">
            <v>284</v>
          </cell>
          <cell r="AE16">
            <v>2015</v>
          </cell>
          <cell r="AF16">
            <v>6095</v>
          </cell>
          <cell r="AG16">
            <v>5157</v>
          </cell>
          <cell r="AH16">
            <v>-2557</v>
          </cell>
          <cell r="AI16">
            <v>426</v>
          </cell>
          <cell r="AJ16">
            <v>1530</v>
          </cell>
          <cell r="AK16">
            <v>1468</v>
          </cell>
          <cell r="AL16">
            <v>1189</v>
          </cell>
          <cell r="AM16">
            <v>2361</v>
          </cell>
          <cell r="AN16">
            <v>9412</v>
          </cell>
          <cell r="AO16">
            <v>350</v>
          </cell>
          <cell r="AP16">
            <v>2384</v>
          </cell>
          <cell r="AQ16">
            <v>6215</v>
          </cell>
          <cell r="AR16">
            <v>-2451</v>
          </cell>
          <cell r="AS16">
            <v>1928</v>
          </cell>
          <cell r="AT16">
            <v>1787</v>
          </cell>
          <cell r="AU16">
            <v>1468</v>
          </cell>
          <cell r="AV16">
            <v>42</v>
          </cell>
          <cell r="AW16">
            <v>221</v>
          </cell>
          <cell r="AX16">
            <v>900</v>
          </cell>
          <cell r="AY16">
            <v>619</v>
          </cell>
          <cell r="AZ16">
            <v>1500</v>
          </cell>
          <cell r="BA16">
            <v>1500</v>
          </cell>
          <cell r="BB16">
            <v>1500</v>
          </cell>
          <cell r="BC16">
            <v>1500</v>
          </cell>
          <cell r="BD16">
            <v>1500</v>
          </cell>
          <cell r="BE16">
            <v>1500</v>
          </cell>
          <cell r="BF16">
            <v>1500</v>
          </cell>
          <cell r="BG16">
            <v>1500</v>
          </cell>
          <cell r="BH16">
            <v>1500</v>
          </cell>
          <cell r="BI16">
            <v>1500</v>
          </cell>
          <cell r="BJ16">
            <v>1500</v>
          </cell>
          <cell r="BK16">
            <v>1500</v>
          </cell>
          <cell r="BL16">
            <v>1500</v>
          </cell>
          <cell r="BM16">
            <v>1500</v>
          </cell>
          <cell r="BN16">
            <v>1500</v>
          </cell>
          <cell r="BO16">
            <v>1500</v>
          </cell>
          <cell r="BP16">
            <v>1500</v>
          </cell>
          <cell r="BQ16">
            <v>1500</v>
          </cell>
          <cell r="BR16">
            <v>1500</v>
          </cell>
          <cell r="BS16">
            <v>709</v>
          </cell>
          <cell r="BT16">
            <v>19205</v>
          </cell>
          <cell r="BU16">
            <v>26599</v>
          </cell>
          <cell r="BV16">
            <v>13750</v>
          </cell>
          <cell r="BW16">
            <v>18000</v>
          </cell>
          <cell r="BX16">
            <v>709</v>
          </cell>
          <cell r="BY16">
            <v>19205</v>
          </cell>
          <cell r="BZ16">
            <v>26599</v>
          </cell>
          <cell r="CA16">
            <v>2631</v>
          </cell>
          <cell r="CB16">
            <v>11119</v>
          </cell>
        </row>
        <row r="17">
          <cell r="A17" t="str">
            <v>US59P015013201400036</v>
          </cell>
          <cell r="B17" t="str">
            <v>Pekin</v>
          </cell>
          <cell r="C17" t="str">
            <v>Jan-Dec</v>
          </cell>
          <cell r="D17" t="str">
            <v>US59P01501</v>
          </cell>
          <cell r="E17" t="str">
            <v>501</v>
          </cell>
          <cell r="F17" t="str">
            <v>Production Admin.</v>
          </cell>
          <cell r="G17" t="str">
            <v>01</v>
          </cell>
          <cell r="H17">
            <v>3201400036</v>
          </cell>
          <cell r="I17" t="str">
            <v>OTHER MAINTENANCE BUILDINGS</v>
          </cell>
          <cell r="J17" t="str">
            <v>VALID</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2000</v>
          </cell>
          <cell r="AB17">
            <v>0</v>
          </cell>
          <cell r="AC17">
            <v>0</v>
          </cell>
          <cell r="AD17">
            <v>0</v>
          </cell>
          <cell r="AE17">
            <v>0</v>
          </cell>
          <cell r="AF17">
            <v>0</v>
          </cell>
          <cell r="AG17">
            <v>0</v>
          </cell>
          <cell r="AH17">
            <v>0</v>
          </cell>
          <cell r="AI17">
            <v>1689</v>
          </cell>
          <cell r="AJ17">
            <v>0</v>
          </cell>
          <cell r="AK17">
            <v>0</v>
          </cell>
          <cell r="AL17">
            <v>0</v>
          </cell>
          <cell r="AM17">
            <v>0</v>
          </cell>
          <cell r="AN17">
            <v>741</v>
          </cell>
          <cell r="AO17">
            <v>9</v>
          </cell>
          <cell r="AP17">
            <v>0</v>
          </cell>
          <cell r="AQ17">
            <v>1699</v>
          </cell>
          <cell r="AR17">
            <v>2122</v>
          </cell>
          <cell r="AS17">
            <v>0</v>
          </cell>
          <cell r="AT17">
            <v>0</v>
          </cell>
          <cell r="AU17">
            <v>0</v>
          </cell>
          <cell r="AV17">
            <v>0</v>
          </cell>
          <cell r="AW17">
            <v>886</v>
          </cell>
          <cell r="AX17">
            <v>0</v>
          </cell>
          <cell r="BS17">
            <v>0</v>
          </cell>
          <cell r="BT17">
            <v>2000</v>
          </cell>
          <cell r="BU17">
            <v>6260</v>
          </cell>
          <cell r="BV17">
            <v>886</v>
          </cell>
          <cell r="BW17">
            <v>0</v>
          </cell>
          <cell r="BX17">
            <v>0</v>
          </cell>
          <cell r="BY17">
            <v>2000</v>
          </cell>
          <cell r="BZ17">
            <v>6260</v>
          </cell>
          <cell r="CA17">
            <v>886</v>
          </cell>
          <cell r="CB17">
            <v>0</v>
          </cell>
        </row>
        <row r="18">
          <cell r="A18" t="str">
            <v>US59P015013201400051</v>
          </cell>
          <cell r="B18" t="str">
            <v>Pekin</v>
          </cell>
          <cell r="C18" t="str">
            <v>Jan-Dec</v>
          </cell>
          <cell r="D18" t="str">
            <v>US59P01501</v>
          </cell>
          <cell r="E18" t="str">
            <v>501</v>
          </cell>
          <cell r="F18" t="str">
            <v>Production Admin.</v>
          </cell>
          <cell r="G18" t="str">
            <v>01</v>
          </cell>
          <cell r="H18">
            <v>3201400051</v>
          </cell>
          <cell r="I18" t="str">
            <v>MAINTENANCE EQUIPMENT</v>
          </cell>
          <cell r="J18" t="str">
            <v>VALID</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1096</v>
          </cell>
          <cell r="Z18">
            <v>720</v>
          </cell>
          <cell r="AA18">
            <v>0</v>
          </cell>
          <cell r="AB18">
            <v>70</v>
          </cell>
          <cell r="AC18">
            <v>350</v>
          </cell>
          <cell r="AD18">
            <v>0</v>
          </cell>
          <cell r="AE18">
            <v>0</v>
          </cell>
          <cell r="AF18">
            <v>0</v>
          </cell>
          <cell r="AG18">
            <v>1096</v>
          </cell>
          <cell r="AH18">
            <v>200</v>
          </cell>
          <cell r="AI18">
            <v>195</v>
          </cell>
          <cell r="AJ18">
            <v>175</v>
          </cell>
          <cell r="AK18">
            <v>0</v>
          </cell>
          <cell r="AL18">
            <v>0</v>
          </cell>
          <cell r="AM18">
            <v>154</v>
          </cell>
          <cell r="AN18">
            <v>156</v>
          </cell>
          <cell r="AO18">
            <v>1575</v>
          </cell>
          <cell r="AP18">
            <v>195</v>
          </cell>
          <cell r="AQ18">
            <v>0</v>
          </cell>
          <cell r="AR18">
            <v>70</v>
          </cell>
          <cell r="AS18">
            <v>0</v>
          </cell>
          <cell r="AT18">
            <v>320</v>
          </cell>
          <cell r="AU18">
            <v>0</v>
          </cell>
          <cell r="AV18">
            <v>0</v>
          </cell>
          <cell r="AW18">
            <v>494</v>
          </cell>
          <cell r="AX18">
            <v>0</v>
          </cell>
          <cell r="BS18">
            <v>0</v>
          </cell>
          <cell r="BT18">
            <v>3532</v>
          </cell>
          <cell r="BU18">
            <v>2840</v>
          </cell>
          <cell r="BV18">
            <v>494</v>
          </cell>
          <cell r="BW18">
            <v>0</v>
          </cell>
          <cell r="BX18">
            <v>0</v>
          </cell>
          <cell r="BY18">
            <v>3532</v>
          </cell>
          <cell r="BZ18">
            <v>2840</v>
          </cell>
          <cell r="CA18">
            <v>494</v>
          </cell>
          <cell r="CB18">
            <v>0</v>
          </cell>
        </row>
        <row r="19">
          <cell r="A19" t="str">
            <v>US59P015013311400099</v>
          </cell>
          <cell r="B19" t="str">
            <v>Pekin</v>
          </cell>
          <cell r="C19" t="str">
            <v>Jan-Dec</v>
          </cell>
          <cell r="D19" t="str">
            <v>US59P01501</v>
          </cell>
          <cell r="E19" t="str">
            <v>501</v>
          </cell>
          <cell r="F19" t="str">
            <v>Production Admin.</v>
          </cell>
          <cell r="G19" t="str">
            <v>01</v>
          </cell>
          <cell r="H19">
            <v>3311400099</v>
          </cell>
          <cell r="I19" t="str">
            <v>CO DEPRECIATION</v>
          </cell>
          <cell r="J19" t="str">
            <v>VALID</v>
          </cell>
          <cell r="K19">
            <v>3448</v>
          </cell>
          <cell r="L19">
            <v>3448</v>
          </cell>
          <cell r="M19">
            <v>3448</v>
          </cell>
          <cell r="N19">
            <v>3448</v>
          </cell>
          <cell r="O19">
            <v>3448</v>
          </cell>
          <cell r="P19">
            <v>3448</v>
          </cell>
          <cell r="Q19">
            <v>3448</v>
          </cell>
          <cell r="R19">
            <v>3448</v>
          </cell>
          <cell r="S19">
            <v>10114</v>
          </cell>
          <cell r="T19">
            <v>4939</v>
          </cell>
          <cell r="U19">
            <v>4640</v>
          </cell>
          <cell r="V19">
            <v>2967</v>
          </cell>
          <cell r="W19">
            <v>2251</v>
          </cell>
          <cell r="X19">
            <v>2250</v>
          </cell>
          <cell r="Y19">
            <v>2251</v>
          </cell>
          <cell r="Z19">
            <v>2250</v>
          </cell>
          <cell r="AA19">
            <v>2617</v>
          </cell>
          <cell r="AB19">
            <v>2618</v>
          </cell>
          <cell r="AC19">
            <v>2617</v>
          </cell>
          <cell r="AD19">
            <v>2083</v>
          </cell>
          <cell r="AE19">
            <v>2083</v>
          </cell>
          <cell r="AF19">
            <v>2083</v>
          </cell>
          <cell r="AG19">
            <v>2083</v>
          </cell>
          <cell r="AH19">
            <v>2083</v>
          </cell>
          <cell r="AI19">
            <v>2083</v>
          </cell>
          <cell r="AJ19">
            <v>2083</v>
          </cell>
          <cell r="AK19">
            <v>2083</v>
          </cell>
          <cell r="AL19">
            <v>2083</v>
          </cell>
          <cell r="AM19">
            <v>2083</v>
          </cell>
          <cell r="AN19">
            <v>2083</v>
          </cell>
          <cell r="AO19">
            <v>2083</v>
          </cell>
          <cell r="AP19">
            <v>2083</v>
          </cell>
          <cell r="AQ19">
            <v>2083</v>
          </cell>
          <cell r="AR19">
            <v>2072</v>
          </cell>
          <cell r="AS19">
            <v>2081</v>
          </cell>
          <cell r="AT19">
            <v>2032</v>
          </cell>
          <cell r="AU19">
            <v>2023</v>
          </cell>
          <cell r="AV19">
            <v>2023</v>
          </cell>
          <cell r="AW19">
            <v>2023</v>
          </cell>
          <cell r="AX19">
            <v>2023</v>
          </cell>
          <cell r="AY19">
            <v>2022</v>
          </cell>
          <cell r="AZ19">
            <v>2022</v>
          </cell>
          <cell r="BA19">
            <v>2022</v>
          </cell>
          <cell r="BB19">
            <v>2022</v>
          </cell>
          <cell r="BC19">
            <v>2022</v>
          </cell>
          <cell r="BD19">
            <v>2022</v>
          </cell>
          <cell r="BE19">
            <v>2022</v>
          </cell>
          <cell r="BF19">
            <v>2022</v>
          </cell>
          <cell r="BG19">
            <v>2022</v>
          </cell>
          <cell r="BH19">
            <v>2022</v>
          </cell>
          <cell r="BI19">
            <v>2022</v>
          </cell>
          <cell r="BJ19">
            <v>2022</v>
          </cell>
          <cell r="BK19">
            <v>2022</v>
          </cell>
          <cell r="BL19">
            <v>2022</v>
          </cell>
          <cell r="BM19">
            <v>2022</v>
          </cell>
          <cell r="BN19">
            <v>2022</v>
          </cell>
          <cell r="BO19">
            <v>2022</v>
          </cell>
          <cell r="BP19">
            <v>2022</v>
          </cell>
          <cell r="BQ19">
            <v>2022</v>
          </cell>
          <cell r="BR19">
            <v>2022</v>
          </cell>
          <cell r="BS19">
            <v>50244</v>
          </cell>
          <cell r="BT19">
            <v>27269</v>
          </cell>
          <cell r="BU19">
            <v>24932</v>
          </cell>
          <cell r="BV19">
            <v>24268</v>
          </cell>
          <cell r="BW19">
            <v>24264</v>
          </cell>
          <cell r="BX19">
            <v>50244</v>
          </cell>
          <cell r="BY19">
            <v>27269</v>
          </cell>
          <cell r="BZ19">
            <v>24932</v>
          </cell>
          <cell r="CA19">
            <v>8092</v>
          </cell>
          <cell r="CB19">
            <v>16176</v>
          </cell>
        </row>
        <row r="20">
          <cell r="A20" t="str">
            <v>US59P015013311500300</v>
          </cell>
          <cell r="B20" t="str">
            <v>Pekin</v>
          </cell>
          <cell r="C20" t="str">
            <v>Jan-Dec</v>
          </cell>
          <cell r="D20" t="str">
            <v>US59P01501</v>
          </cell>
          <cell r="E20" t="str">
            <v>501</v>
          </cell>
          <cell r="F20" t="str">
            <v>Production Admin.</v>
          </cell>
          <cell r="G20" t="str">
            <v>01</v>
          </cell>
          <cell r="H20">
            <v>3311500300</v>
          </cell>
          <cell r="I20" t="str">
            <v>Amort. Exp. - Fin. Leased</v>
          </cell>
          <cell r="J20" t="str">
            <v>VALID</v>
          </cell>
          <cell r="K20">
            <v>325</v>
          </cell>
          <cell r="L20">
            <v>477</v>
          </cell>
          <cell r="M20">
            <v>281</v>
          </cell>
          <cell r="N20">
            <v>281</v>
          </cell>
          <cell r="O20">
            <v>762</v>
          </cell>
          <cell r="P20">
            <v>2832</v>
          </cell>
          <cell r="Q20">
            <v>2028</v>
          </cell>
          <cell r="R20">
            <v>2039</v>
          </cell>
          <cell r="S20">
            <v>2043</v>
          </cell>
          <cell r="T20">
            <v>2036</v>
          </cell>
          <cell r="U20">
            <v>3155</v>
          </cell>
          <cell r="V20">
            <v>2107</v>
          </cell>
          <cell r="W20">
            <v>2062</v>
          </cell>
          <cell r="X20">
            <v>2064</v>
          </cell>
          <cell r="Y20">
            <v>2039</v>
          </cell>
          <cell r="Z20">
            <v>2039</v>
          </cell>
          <cell r="AA20">
            <v>2052</v>
          </cell>
          <cell r="AB20">
            <v>1761</v>
          </cell>
          <cell r="AC20">
            <v>1885</v>
          </cell>
          <cell r="AD20">
            <v>1878</v>
          </cell>
          <cell r="AE20">
            <v>1881</v>
          </cell>
          <cell r="AF20">
            <v>1879</v>
          </cell>
          <cell r="AG20">
            <v>1844</v>
          </cell>
          <cell r="AH20">
            <v>1819</v>
          </cell>
          <cell r="AI20">
            <v>1832</v>
          </cell>
          <cell r="AJ20">
            <v>1779</v>
          </cell>
          <cell r="AK20">
            <v>2320</v>
          </cell>
          <cell r="AL20">
            <v>2899</v>
          </cell>
          <cell r="AM20">
            <v>2883</v>
          </cell>
          <cell r="AN20">
            <v>7137</v>
          </cell>
          <cell r="AO20">
            <v>6019</v>
          </cell>
          <cell r="AP20">
            <v>6462</v>
          </cell>
          <cell r="AQ20">
            <v>5717</v>
          </cell>
          <cell r="AR20">
            <v>5710</v>
          </cell>
          <cell r="AS20">
            <v>6035</v>
          </cell>
          <cell r="AT20">
            <v>5632</v>
          </cell>
          <cell r="AU20">
            <v>4656</v>
          </cell>
          <cell r="AV20">
            <v>2704</v>
          </cell>
          <cell r="AW20">
            <v>8229</v>
          </cell>
          <cell r="AX20">
            <v>8525</v>
          </cell>
          <cell r="AY20">
            <v>5216</v>
          </cell>
          <cell r="AZ20">
            <v>8000</v>
          </cell>
          <cell r="BA20">
            <v>7000</v>
          </cell>
          <cell r="BB20">
            <v>7000</v>
          </cell>
          <cell r="BC20">
            <v>7000</v>
          </cell>
          <cell r="BD20">
            <v>7000</v>
          </cell>
          <cell r="BE20">
            <v>7000</v>
          </cell>
          <cell r="BF20">
            <v>7000</v>
          </cell>
          <cell r="BG20">
            <v>7000</v>
          </cell>
          <cell r="BH20">
            <v>7000</v>
          </cell>
          <cell r="BI20">
            <v>7000</v>
          </cell>
          <cell r="BJ20">
            <v>7000</v>
          </cell>
          <cell r="BK20">
            <v>7000</v>
          </cell>
          <cell r="BL20">
            <v>7000</v>
          </cell>
          <cell r="BM20">
            <v>7000</v>
          </cell>
          <cell r="BN20">
            <v>7000</v>
          </cell>
          <cell r="BO20">
            <v>7000</v>
          </cell>
          <cell r="BP20">
            <v>7000</v>
          </cell>
          <cell r="BQ20">
            <v>7000</v>
          </cell>
          <cell r="BR20">
            <v>7000</v>
          </cell>
          <cell r="BS20">
            <v>18366</v>
          </cell>
          <cell r="BT20">
            <v>23203</v>
          </cell>
          <cell r="BU20">
            <v>54425</v>
          </cell>
          <cell r="BV20">
            <v>79330</v>
          </cell>
          <cell r="BW20">
            <v>84000</v>
          </cell>
          <cell r="BX20">
            <v>18366</v>
          </cell>
          <cell r="BY20">
            <v>23203</v>
          </cell>
          <cell r="BZ20">
            <v>54425</v>
          </cell>
          <cell r="CA20">
            <v>24114</v>
          </cell>
          <cell r="CB20">
            <v>55216</v>
          </cell>
        </row>
        <row r="21">
          <cell r="A21" t="str">
            <v>US59P015013501500034</v>
          </cell>
          <cell r="B21" t="str">
            <v>Pekin</v>
          </cell>
          <cell r="C21" t="str">
            <v>Jan-Dec</v>
          </cell>
          <cell r="D21" t="str">
            <v>US59P01501</v>
          </cell>
          <cell r="E21" t="str">
            <v>501</v>
          </cell>
          <cell r="F21" t="str">
            <v>Production Admin.</v>
          </cell>
          <cell r="G21" t="str">
            <v>01</v>
          </cell>
          <cell r="H21">
            <v>3501500034</v>
          </cell>
          <cell r="I21" t="str">
            <v>PROPERTY TAXES</v>
          </cell>
          <cell r="J21" t="str">
            <v>VALID</v>
          </cell>
          <cell r="K21">
            <v>5640</v>
          </cell>
          <cell r="L21">
            <v>5640</v>
          </cell>
          <cell r="M21">
            <v>5640</v>
          </cell>
          <cell r="N21">
            <v>5640</v>
          </cell>
          <cell r="O21">
            <v>5640</v>
          </cell>
          <cell r="P21">
            <v>5640</v>
          </cell>
          <cell r="Q21">
            <v>5640</v>
          </cell>
          <cell r="R21">
            <v>5640</v>
          </cell>
          <cell r="S21">
            <v>5640</v>
          </cell>
          <cell r="T21">
            <v>5640</v>
          </cell>
          <cell r="U21">
            <v>37569</v>
          </cell>
          <cell r="V21">
            <v>5640</v>
          </cell>
          <cell r="W21">
            <v>0</v>
          </cell>
          <cell r="X21">
            <v>0</v>
          </cell>
          <cell r="Y21">
            <v>0</v>
          </cell>
          <cell r="Z21">
            <v>0</v>
          </cell>
          <cell r="AA21">
            <v>0</v>
          </cell>
          <cell r="AB21">
            <v>0</v>
          </cell>
          <cell r="AC21">
            <v>0</v>
          </cell>
          <cell r="AD21">
            <v>1382</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BS21">
            <v>99609</v>
          </cell>
          <cell r="BT21">
            <v>1382</v>
          </cell>
          <cell r="BU21">
            <v>0</v>
          </cell>
          <cell r="BV21">
            <v>0</v>
          </cell>
          <cell r="BW21">
            <v>0</v>
          </cell>
          <cell r="BX21">
            <v>99609</v>
          </cell>
          <cell r="BY21">
            <v>1382</v>
          </cell>
          <cell r="BZ21">
            <v>0</v>
          </cell>
          <cell r="CA21">
            <v>0</v>
          </cell>
          <cell r="CB21">
            <v>0</v>
          </cell>
        </row>
        <row r="22">
          <cell r="A22" t="str">
            <v>US59P015013911100010</v>
          </cell>
          <cell r="B22" t="str">
            <v>Pekin</v>
          </cell>
          <cell r="C22" t="str">
            <v>Jan-Dec</v>
          </cell>
          <cell r="D22" t="str">
            <v>US59P01501</v>
          </cell>
          <cell r="E22" t="str">
            <v>501</v>
          </cell>
          <cell r="F22" t="str">
            <v>Production Admin.</v>
          </cell>
          <cell r="G22" t="str">
            <v>01</v>
          </cell>
          <cell r="H22">
            <v>3911100010</v>
          </cell>
          <cell r="I22" t="str">
            <v>TRAVEL EXPENSES PERMANENTS / MEALS</v>
          </cell>
          <cell r="J22" t="str">
            <v>VALID</v>
          </cell>
          <cell r="K22">
            <v>0</v>
          </cell>
          <cell r="L22">
            <v>0</v>
          </cell>
          <cell r="M22">
            <v>5</v>
          </cell>
          <cell r="N22">
            <v>0</v>
          </cell>
          <cell r="O22">
            <v>0</v>
          </cell>
          <cell r="P22">
            <v>55</v>
          </cell>
          <cell r="Q22">
            <v>30</v>
          </cell>
          <cell r="R22">
            <v>0</v>
          </cell>
          <cell r="S22">
            <v>0</v>
          </cell>
          <cell r="T22">
            <v>68</v>
          </cell>
          <cell r="U22">
            <v>272</v>
          </cell>
          <cell r="V22">
            <v>0</v>
          </cell>
          <cell r="W22">
            <v>0</v>
          </cell>
          <cell r="X22">
            <v>120</v>
          </cell>
          <cell r="Y22">
            <v>0</v>
          </cell>
          <cell r="Z22">
            <v>26</v>
          </cell>
          <cell r="AA22">
            <v>357</v>
          </cell>
          <cell r="AB22">
            <v>26</v>
          </cell>
          <cell r="AC22">
            <v>0</v>
          </cell>
          <cell r="AD22">
            <v>0</v>
          </cell>
          <cell r="AE22">
            <v>90</v>
          </cell>
          <cell r="AF22">
            <v>418</v>
          </cell>
          <cell r="AG22">
            <v>75</v>
          </cell>
          <cell r="AH22">
            <v>0</v>
          </cell>
          <cell r="AI22">
            <v>0</v>
          </cell>
          <cell r="AJ22">
            <v>91</v>
          </cell>
          <cell r="AK22">
            <v>77</v>
          </cell>
          <cell r="AL22">
            <v>131</v>
          </cell>
          <cell r="AM22">
            <v>36</v>
          </cell>
          <cell r="AN22">
            <v>-5</v>
          </cell>
          <cell r="AO22">
            <v>0</v>
          </cell>
          <cell r="AP22">
            <v>0</v>
          </cell>
          <cell r="AQ22">
            <v>113</v>
          </cell>
          <cell r="AR22">
            <v>202</v>
          </cell>
          <cell r="AS22">
            <v>0</v>
          </cell>
          <cell r="AT22">
            <v>28</v>
          </cell>
          <cell r="AU22">
            <v>181</v>
          </cell>
          <cell r="AV22">
            <v>0</v>
          </cell>
          <cell r="AW22">
            <v>32</v>
          </cell>
          <cell r="AX22">
            <v>27</v>
          </cell>
          <cell r="AZ22">
            <v>150</v>
          </cell>
          <cell r="BA22">
            <v>150</v>
          </cell>
          <cell r="BB22">
            <v>150</v>
          </cell>
          <cell r="BC22">
            <v>150</v>
          </cell>
          <cell r="BD22">
            <v>150</v>
          </cell>
          <cell r="BE22">
            <v>150</v>
          </cell>
          <cell r="BF22">
            <v>150</v>
          </cell>
          <cell r="BG22">
            <v>150</v>
          </cell>
          <cell r="BH22">
            <v>150</v>
          </cell>
          <cell r="BI22">
            <v>150</v>
          </cell>
          <cell r="BJ22">
            <v>150</v>
          </cell>
          <cell r="BK22">
            <v>150</v>
          </cell>
          <cell r="BL22">
            <v>150</v>
          </cell>
          <cell r="BM22">
            <v>150</v>
          </cell>
          <cell r="BN22">
            <v>150</v>
          </cell>
          <cell r="BO22">
            <v>150</v>
          </cell>
          <cell r="BP22">
            <v>150</v>
          </cell>
          <cell r="BQ22">
            <v>150</v>
          </cell>
          <cell r="BR22">
            <v>150</v>
          </cell>
          <cell r="BS22">
            <v>430</v>
          </cell>
          <cell r="BT22">
            <v>1112</v>
          </cell>
          <cell r="BU22">
            <v>673</v>
          </cell>
          <cell r="BV22">
            <v>1290</v>
          </cell>
          <cell r="BW22">
            <v>1800</v>
          </cell>
          <cell r="BX22">
            <v>430</v>
          </cell>
          <cell r="BY22">
            <v>1112</v>
          </cell>
          <cell r="BZ22">
            <v>673</v>
          </cell>
          <cell r="CA22">
            <v>240</v>
          </cell>
          <cell r="CB22">
            <v>1050</v>
          </cell>
        </row>
        <row r="23">
          <cell r="A23" t="str">
            <v>US59P015013911100012</v>
          </cell>
          <cell r="B23" t="str">
            <v>Pekin</v>
          </cell>
          <cell r="C23" t="str">
            <v>Jan-Dec</v>
          </cell>
          <cell r="D23" t="str">
            <v>US59P01501</v>
          </cell>
          <cell r="E23" t="str">
            <v>501</v>
          </cell>
          <cell r="F23" t="str">
            <v>Production Admin.</v>
          </cell>
          <cell r="G23" t="str">
            <v>01</v>
          </cell>
          <cell r="H23">
            <v>3911100012</v>
          </cell>
          <cell r="I23" t="str">
            <v>TRAVEL EXPENSES PERMANENTS / HOTELS</v>
          </cell>
          <cell r="J23" t="str">
            <v>VALID</v>
          </cell>
          <cell r="K23">
            <v>0</v>
          </cell>
          <cell r="L23">
            <v>155</v>
          </cell>
          <cell r="M23">
            <v>130</v>
          </cell>
          <cell r="N23">
            <v>0</v>
          </cell>
          <cell r="O23">
            <v>142</v>
          </cell>
          <cell r="P23">
            <v>242</v>
          </cell>
          <cell r="Q23">
            <v>292</v>
          </cell>
          <cell r="R23">
            <v>78</v>
          </cell>
          <cell r="S23">
            <v>466</v>
          </cell>
          <cell r="T23">
            <v>473</v>
          </cell>
          <cell r="U23">
            <v>76</v>
          </cell>
          <cell r="V23">
            <v>0</v>
          </cell>
          <cell r="W23">
            <v>0</v>
          </cell>
          <cell r="X23">
            <v>774</v>
          </cell>
          <cell r="Y23">
            <v>177</v>
          </cell>
          <cell r="Z23">
            <v>0</v>
          </cell>
          <cell r="AA23">
            <v>804</v>
          </cell>
          <cell r="AB23">
            <v>280</v>
          </cell>
          <cell r="AC23">
            <v>0</v>
          </cell>
          <cell r="AD23">
            <v>0</v>
          </cell>
          <cell r="AE23">
            <v>655</v>
          </cell>
          <cell r="AF23">
            <v>882</v>
          </cell>
          <cell r="AG23">
            <v>19</v>
          </cell>
          <cell r="AH23">
            <v>1036</v>
          </cell>
          <cell r="AI23">
            <v>0</v>
          </cell>
          <cell r="AJ23">
            <v>1004</v>
          </cell>
          <cell r="AK23">
            <v>322</v>
          </cell>
          <cell r="AL23">
            <v>1133</v>
          </cell>
          <cell r="AM23">
            <v>291</v>
          </cell>
          <cell r="AN23">
            <v>0</v>
          </cell>
          <cell r="AO23">
            <v>1638</v>
          </cell>
          <cell r="AP23">
            <v>0</v>
          </cell>
          <cell r="AQ23">
            <v>872</v>
          </cell>
          <cell r="AR23">
            <v>2095</v>
          </cell>
          <cell r="AS23">
            <v>0</v>
          </cell>
          <cell r="AT23">
            <v>557</v>
          </cell>
          <cell r="AU23">
            <v>554</v>
          </cell>
          <cell r="AV23">
            <v>0</v>
          </cell>
          <cell r="AW23">
            <v>408</v>
          </cell>
          <cell r="AX23">
            <v>1204</v>
          </cell>
          <cell r="AZ23">
            <v>300</v>
          </cell>
          <cell r="BA23">
            <v>300</v>
          </cell>
          <cell r="BB23">
            <v>300</v>
          </cell>
          <cell r="BC23">
            <v>300</v>
          </cell>
          <cell r="BD23">
            <v>300</v>
          </cell>
          <cell r="BE23">
            <v>300</v>
          </cell>
          <cell r="BF23">
            <v>300</v>
          </cell>
          <cell r="BG23">
            <v>300</v>
          </cell>
          <cell r="BH23">
            <v>300</v>
          </cell>
          <cell r="BI23">
            <v>300</v>
          </cell>
          <cell r="BJ23">
            <v>300</v>
          </cell>
          <cell r="BK23">
            <v>300</v>
          </cell>
          <cell r="BL23">
            <v>300</v>
          </cell>
          <cell r="BM23">
            <v>300</v>
          </cell>
          <cell r="BN23">
            <v>300</v>
          </cell>
          <cell r="BO23">
            <v>300</v>
          </cell>
          <cell r="BP23">
            <v>300</v>
          </cell>
          <cell r="BQ23">
            <v>300</v>
          </cell>
          <cell r="BR23">
            <v>300</v>
          </cell>
          <cell r="BS23">
            <v>2054</v>
          </cell>
          <cell r="BT23">
            <v>4627</v>
          </cell>
          <cell r="BU23">
            <v>7912</v>
          </cell>
          <cell r="BV23">
            <v>4266</v>
          </cell>
          <cell r="BW23">
            <v>3600</v>
          </cell>
          <cell r="BX23">
            <v>2054</v>
          </cell>
          <cell r="BY23">
            <v>4627</v>
          </cell>
          <cell r="BZ23">
            <v>7912</v>
          </cell>
          <cell r="CA23">
            <v>2166</v>
          </cell>
          <cell r="CB23">
            <v>2100</v>
          </cell>
        </row>
        <row r="24">
          <cell r="A24" t="str">
            <v>US59P015013911100015</v>
          </cell>
          <cell r="B24" t="str">
            <v>Pekin</v>
          </cell>
          <cell r="C24" t="str">
            <v>Jan-Dec</v>
          </cell>
          <cell r="D24" t="str">
            <v>US59P01501</v>
          </cell>
          <cell r="E24" t="str">
            <v>501</v>
          </cell>
          <cell r="F24" t="str">
            <v>Production Admin.</v>
          </cell>
          <cell r="G24" t="str">
            <v>01</v>
          </cell>
          <cell r="H24">
            <v>3911100015</v>
          </cell>
          <cell r="I24" t="str">
            <v>TRAVEL EXPENSES PERMANENTS / OTHER</v>
          </cell>
          <cell r="J24" t="str">
            <v>VALID</v>
          </cell>
          <cell r="K24">
            <v>0</v>
          </cell>
          <cell r="L24">
            <v>0</v>
          </cell>
          <cell r="M24">
            <v>0</v>
          </cell>
          <cell r="N24">
            <v>0</v>
          </cell>
          <cell r="O24">
            <v>0</v>
          </cell>
          <cell r="P24">
            <v>0</v>
          </cell>
          <cell r="Q24">
            <v>0</v>
          </cell>
          <cell r="R24">
            <v>5569</v>
          </cell>
          <cell r="S24">
            <v>1527</v>
          </cell>
          <cell r="T24">
            <v>738</v>
          </cell>
          <cell r="U24">
            <v>329</v>
          </cell>
          <cell r="V24">
            <v>59</v>
          </cell>
          <cell r="W24">
            <v>0</v>
          </cell>
          <cell r="X24">
            <v>0</v>
          </cell>
          <cell r="Y24">
            <v>230</v>
          </cell>
          <cell r="Z24">
            <v>234</v>
          </cell>
          <cell r="AA24">
            <v>397</v>
          </cell>
          <cell r="AB24">
            <v>3155</v>
          </cell>
          <cell r="AC24">
            <v>2759</v>
          </cell>
          <cell r="AD24">
            <v>31780</v>
          </cell>
          <cell r="AE24">
            <v>1191</v>
          </cell>
          <cell r="AF24">
            <v>65588</v>
          </cell>
          <cell r="AG24">
            <v>1739</v>
          </cell>
          <cell r="AH24">
            <v>15474</v>
          </cell>
          <cell r="AI24">
            <v>85</v>
          </cell>
          <cell r="AJ24">
            <v>115</v>
          </cell>
          <cell r="AK24">
            <v>13</v>
          </cell>
          <cell r="AL24">
            <v>18</v>
          </cell>
          <cell r="AM24">
            <v>0</v>
          </cell>
          <cell r="AN24">
            <v>111</v>
          </cell>
          <cell r="AO24">
            <v>322</v>
          </cell>
          <cell r="AP24">
            <v>1100</v>
          </cell>
          <cell r="AQ24">
            <v>113</v>
          </cell>
          <cell r="AR24">
            <v>406</v>
          </cell>
          <cell r="AS24">
            <v>0</v>
          </cell>
          <cell r="AT24">
            <v>15</v>
          </cell>
          <cell r="AU24">
            <v>0</v>
          </cell>
          <cell r="AV24">
            <v>0</v>
          </cell>
          <cell r="AW24">
            <v>16</v>
          </cell>
          <cell r="AX24">
            <v>0</v>
          </cell>
          <cell r="AZ24">
            <v>100</v>
          </cell>
          <cell r="BA24">
            <v>100</v>
          </cell>
          <cell r="BB24">
            <v>100</v>
          </cell>
          <cell r="BC24">
            <v>100</v>
          </cell>
          <cell r="BD24">
            <v>100</v>
          </cell>
          <cell r="BE24">
            <v>100</v>
          </cell>
          <cell r="BF24">
            <v>100</v>
          </cell>
          <cell r="BG24">
            <v>100</v>
          </cell>
          <cell r="BH24">
            <v>100</v>
          </cell>
          <cell r="BI24">
            <v>100</v>
          </cell>
          <cell r="BJ24">
            <v>100</v>
          </cell>
          <cell r="BK24">
            <v>100</v>
          </cell>
          <cell r="BL24">
            <v>100</v>
          </cell>
          <cell r="BM24">
            <v>100</v>
          </cell>
          <cell r="BN24">
            <v>100</v>
          </cell>
          <cell r="BO24">
            <v>100</v>
          </cell>
          <cell r="BP24">
            <v>100</v>
          </cell>
          <cell r="BQ24">
            <v>100</v>
          </cell>
          <cell r="BR24">
            <v>100</v>
          </cell>
          <cell r="BS24">
            <v>8222</v>
          </cell>
          <cell r="BT24">
            <v>122547</v>
          </cell>
          <cell r="BU24">
            <v>2298</v>
          </cell>
          <cell r="BV24">
            <v>716</v>
          </cell>
          <cell r="BW24">
            <v>1200</v>
          </cell>
          <cell r="BX24">
            <v>8222</v>
          </cell>
          <cell r="BY24">
            <v>122547</v>
          </cell>
          <cell r="BZ24">
            <v>2298</v>
          </cell>
          <cell r="CA24">
            <v>16</v>
          </cell>
          <cell r="CB24">
            <v>700</v>
          </cell>
        </row>
        <row r="25">
          <cell r="A25" t="str">
            <v>US59P015013911100022</v>
          </cell>
          <cell r="B25" t="str">
            <v>Pekin</v>
          </cell>
          <cell r="C25" t="str">
            <v>Jan-Dec</v>
          </cell>
          <cell r="D25" t="str">
            <v>US59P01501</v>
          </cell>
          <cell r="E25" t="str">
            <v>501</v>
          </cell>
          <cell r="F25" t="str">
            <v>Production Admin.</v>
          </cell>
          <cell r="G25" t="str">
            <v>01</v>
          </cell>
          <cell r="H25">
            <v>3911100022</v>
          </cell>
          <cell r="I25" t="str">
            <v>TRAVEL EXPENSES - AIRFARE</v>
          </cell>
          <cell r="J25" t="str">
            <v>VALID</v>
          </cell>
          <cell r="K25">
            <v>1619</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2680</v>
          </cell>
          <cell r="AF25">
            <v>0</v>
          </cell>
          <cell r="AG25">
            <v>-1406</v>
          </cell>
          <cell r="AH25">
            <v>0</v>
          </cell>
          <cell r="AI25">
            <v>0</v>
          </cell>
          <cell r="AJ25">
            <v>938</v>
          </cell>
          <cell r="AK25">
            <v>791</v>
          </cell>
          <cell r="AL25">
            <v>0</v>
          </cell>
          <cell r="AM25">
            <v>0</v>
          </cell>
          <cell r="AN25">
            <v>0</v>
          </cell>
          <cell r="AO25">
            <v>1319</v>
          </cell>
          <cell r="AP25">
            <v>0</v>
          </cell>
          <cell r="AQ25">
            <v>0</v>
          </cell>
          <cell r="AR25">
            <v>0</v>
          </cell>
          <cell r="AS25">
            <v>433</v>
          </cell>
          <cell r="AT25">
            <v>0</v>
          </cell>
          <cell r="AU25">
            <v>0</v>
          </cell>
          <cell r="AV25">
            <v>0</v>
          </cell>
          <cell r="AW25">
            <v>0</v>
          </cell>
          <cell r="AX25">
            <v>0</v>
          </cell>
          <cell r="AZ25">
            <v>350</v>
          </cell>
          <cell r="BA25">
            <v>350</v>
          </cell>
          <cell r="BB25">
            <v>350</v>
          </cell>
          <cell r="BC25">
            <v>350</v>
          </cell>
          <cell r="BD25">
            <v>350</v>
          </cell>
          <cell r="BE25">
            <v>350</v>
          </cell>
          <cell r="BF25">
            <v>350</v>
          </cell>
          <cell r="BG25">
            <v>350</v>
          </cell>
          <cell r="BH25">
            <v>350</v>
          </cell>
          <cell r="BI25">
            <v>350</v>
          </cell>
          <cell r="BJ25">
            <v>350</v>
          </cell>
          <cell r="BK25">
            <v>350</v>
          </cell>
          <cell r="BL25">
            <v>350</v>
          </cell>
          <cell r="BM25">
            <v>350</v>
          </cell>
          <cell r="BN25">
            <v>350</v>
          </cell>
          <cell r="BO25">
            <v>350</v>
          </cell>
          <cell r="BP25">
            <v>350</v>
          </cell>
          <cell r="BQ25">
            <v>350</v>
          </cell>
          <cell r="BR25">
            <v>350</v>
          </cell>
          <cell r="BS25">
            <v>1619</v>
          </cell>
          <cell r="BT25">
            <v>1274</v>
          </cell>
          <cell r="BU25">
            <v>3481</v>
          </cell>
          <cell r="BV25">
            <v>2450</v>
          </cell>
          <cell r="BW25">
            <v>4200</v>
          </cell>
          <cell r="BX25">
            <v>1619</v>
          </cell>
          <cell r="BY25">
            <v>1274</v>
          </cell>
          <cell r="BZ25">
            <v>3481</v>
          </cell>
          <cell r="CA25">
            <v>0</v>
          </cell>
          <cell r="CB25">
            <v>2450</v>
          </cell>
        </row>
        <row r="26">
          <cell r="A26" t="str">
            <v>US59P015013911100041</v>
          </cell>
          <cell r="B26" t="str">
            <v>Pekin</v>
          </cell>
          <cell r="C26" t="str">
            <v>Jan-Dec</v>
          </cell>
          <cell r="D26" t="str">
            <v>US59P01501</v>
          </cell>
          <cell r="E26" t="str">
            <v>501</v>
          </cell>
          <cell r="F26" t="str">
            <v>Production Admin.</v>
          </cell>
          <cell r="G26" t="str">
            <v>01</v>
          </cell>
          <cell r="H26">
            <v>3911100041</v>
          </cell>
          <cell r="I26" t="str">
            <v>TRAVEL EXPENSES - ENTERTAINMENT</v>
          </cell>
          <cell r="J26" t="str">
            <v>VALID</v>
          </cell>
          <cell r="K26">
            <v>23</v>
          </cell>
          <cell r="L26">
            <v>65</v>
          </cell>
          <cell r="M26">
            <v>0</v>
          </cell>
          <cell r="N26">
            <v>0</v>
          </cell>
          <cell r="O26">
            <v>89</v>
          </cell>
          <cell r="P26">
            <v>200</v>
          </cell>
          <cell r="Q26">
            <v>0</v>
          </cell>
          <cell r="R26">
            <v>0</v>
          </cell>
          <cell r="S26">
            <v>41</v>
          </cell>
          <cell r="T26">
            <v>41</v>
          </cell>
          <cell r="U26">
            <v>70</v>
          </cell>
          <cell r="V26">
            <v>45</v>
          </cell>
          <cell r="W26">
            <v>0</v>
          </cell>
          <cell r="X26">
            <v>0</v>
          </cell>
          <cell r="Y26">
            <v>21</v>
          </cell>
          <cell r="Z26">
            <v>0</v>
          </cell>
          <cell r="AA26">
            <v>540</v>
          </cell>
          <cell r="AB26">
            <v>60</v>
          </cell>
          <cell r="AC26">
            <v>0</v>
          </cell>
          <cell r="AD26">
            <v>0</v>
          </cell>
          <cell r="AE26">
            <v>363</v>
          </cell>
          <cell r="AF26">
            <v>476</v>
          </cell>
          <cell r="AG26">
            <v>495</v>
          </cell>
          <cell r="AH26">
            <v>20</v>
          </cell>
          <cell r="AI26">
            <v>87</v>
          </cell>
          <cell r="AJ26">
            <v>259</v>
          </cell>
          <cell r="AK26">
            <v>204</v>
          </cell>
          <cell r="AL26">
            <v>704</v>
          </cell>
          <cell r="AM26">
            <v>8</v>
          </cell>
          <cell r="AN26">
            <v>362</v>
          </cell>
          <cell r="AO26">
            <v>486</v>
          </cell>
          <cell r="AP26">
            <v>0</v>
          </cell>
          <cell r="AQ26">
            <v>16</v>
          </cell>
          <cell r="AR26">
            <v>199</v>
          </cell>
          <cell r="AS26">
            <v>41</v>
          </cell>
          <cell r="AT26">
            <v>61</v>
          </cell>
          <cell r="AU26">
            <v>91</v>
          </cell>
          <cell r="AV26">
            <v>97</v>
          </cell>
          <cell r="AW26">
            <v>12</v>
          </cell>
          <cell r="AX26">
            <v>871</v>
          </cell>
          <cell r="AZ26">
            <v>100</v>
          </cell>
          <cell r="BA26">
            <v>100</v>
          </cell>
          <cell r="BB26">
            <v>100</v>
          </cell>
          <cell r="BC26">
            <v>100</v>
          </cell>
          <cell r="BD26">
            <v>100</v>
          </cell>
          <cell r="BE26">
            <v>100</v>
          </cell>
          <cell r="BF26">
            <v>100</v>
          </cell>
          <cell r="BG26">
            <v>100</v>
          </cell>
          <cell r="BH26">
            <v>100</v>
          </cell>
          <cell r="BI26">
            <v>100</v>
          </cell>
          <cell r="BJ26">
            <v>100</v>
          </cell>
          <cell r="BK26">
            <v>100</v>
          </cell>
          <cell r="BL26">
            <v>100</v>
          </cell>
          <cell r="BM26">
            <v>100</v>
          </cell>
          <cell r="BN26">
            <v>100</v>
          </cell>
          <cell r="BO26">
            <v>100</v>
          </cell>
          <cell r="BP26">
            <v>100</v>
          </cell>
          <cell r="BQ26">
            <v>100</v>
          </cell>
          <cell r="BR26">
            <v>100</v>
          </cell>
          <cell r="BS26">
            <v>574</v>
          </cell>
          <cell r="BT26">
            <v>1975</v>
          </cell>
          <cell r="BU26">
            <v>2427</v>
          </cell>
          <cell r="BV26">
            <v>1771</v>
          </cell>
          <cell r="BW26">
            <v>1200</v>
          </cell>
          <cell r="BX26">
            <v>574</v>
          </cell>
          <cell r="BY26">
            <v>1975</v>
          </cell>
          <cell r="BZ26">
            <v>2427</v>
          </cell>
          <cell r="CA26">
            <v>1071</v>
          </cell>
          <cell r="CB26">
            <v>700</v>
          </cell>
        </row>
        <row r="27">
          <cell r="A27" t="str">
            <v>US59P015013911200000</v>
          </cell>
          <cell r="B27" t="str">
            <v>Pekin</v>
          </cell>
          <cell r="C27" t="str">
            <v>Jan-Dec</v>
          </cell>
          <cell r="D27" t="str">
            <v>US59P01501</v>
          </cell>
          <cell r="E27" t="str">
            <v>501</v>
          </cell>
          <cell r="F27" t="str">
            <v>Production Admin.</v>
          </cell>
          <cell r="G27" t="str">
            <v>01</v>
          </cell>
          <cell r="H27">
            <v>3911200000</v>
          </cell>
          <cell r="I27" t="str">
            <v>PROMOTIONAL EXPENSES ADVERTISEMENT</v>
          </cell>
          <cell r="J27" t="str">
            <v>VALID</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Z27">
            <v>250</v>
          </cell>
          <cell r="BA27">
            <v>250</v>
          </cell>
          <cell r="BB27">
            <v>250</v>
          </cell>
          <cell r="BC27">
            <v>250</v>
          </cell>
          <cell r="BD27">
            <v>250</v>
          </cell>
          <cell r="BE27">
            <v>250</v>
          </cell>
          <cell r="BF27">
            <v>250</v>
          </cell>
          <cell r="BG27">
            <v>250</v>
          </cell>
          <cell r="BH27">
            <v>250</v>
          </cell>
          <cell r="BI27">
            <v>250</v>
          </cell>
          <cell r="BJ27">
            <v>250</v>
          </cell>
          <cell r="BK27">
            <v>250</v>
          </cell>
          <cell r="BL27">
            <v>250</v>
          </cell>
          <cell r="BM27">
            <v>250</v>
          </cell>
          <cell r="BN27">
            <v>250</v>
          </cell>
          <cell r="BO27">
            <v>250</v>
          </cell>
          <cell r="BP27">
            <v>250</v>
          </cell>
          <cell r="BQ27">
            <v>250</v>
          </cell>
          <cell r="BR27">
            <v>250</v>
          </cell>
          <cell r="BS27">
            <v>0</v>
          </cell>
          <cell r="BT27">
            <v>0</v>
          </cell>
          <cell r="BU27">
            <v>0</v>
          </cell>
          <cell r="BV27">
            <v>1750</v>
          </cell>
          <cell r="BW27">
            <v>3000</v>
          </cell>
          <cell r="BX27">
            <v>0</v>
          </cell>
          <cell r="BY27">
            <v>0</v>
          </cell>
          <cell r="BZ27">
            <v>0</v>
          </cell>
          <cell r="CA27">
            <v>0</v>
          </cell>
          <cell r="CB27">
            <v>1750</v>
          </cell>
        </row>
        <row r="28">
          <cell r="A28" t="str">
            <v>US59P015013911200001</v>
          </cell>
          <cell r="B28" t="str">
            <v>Pekin</v>
          </cell>
          <cell r="C28" t="str">
            <v>Jan-Dec</v>
          </cell>
          <cell r="D28" t="str">
            <v>US59P01501</v>
          </cell>
          <cell r="E28" t="str">
            <v>501</v>
          </cell>
          <cell r="F28" t="str">
            <v>Production Admin.</v>
          </cell>
          <cell r="G28" t="str">
            <v>01</v>
          </cell>
          <cell r="H28">
            <v>3911200001</v>
          </cell>
          <cell r="I28" t="str">
            <v>SYMPOSIUMS, CONFERENCES, MEETINGS</v>
          </cell>
          <cell r="J28" t="str">
            <v>VALID</v>
          </cell>
          <cell r="K28">
            <v>0</v>
          </cell>
          <cell r="L28">
            <v>0</v>
          </cell>
          <cell r="M28">
            <v>0</v>
          </cell>
          <cell r="N28">
            <v>0</v>
          </cell>
          <cell r="O28">
            <v>0</v>
          </cell>
          <cell r="P28">
            <v>0</v>
          </cell>
          <cell r="Q28">
            <v>0</v>
          </cell>
          <cell r="R28">
            <v>151</v>
          </cell>
          <cell r="S28">
            <v>143</v>
          </cell>
          <cell r="T28">
            <v>56</v>
          </cell>
          <cell r="U28">
            <v>78</v>
          </cell>
          <cell r="V28">
            <v>1806</v>
          </cell>
          <cell r="W28">
            <v>0</v>
          </cell>
          <cell r="X28">
            <v>1119</v>
          </cell>
          <cell r="Y28">
            <v>0</v>
          </cell>
          <cell r="Z28">
            <v>112</v>
          </cell>
          <cell r="AA28">
            <v>171</v>
          </cell>
          <cell r="AB28">
            <v>68</v>
          </cell>
          <cell r="AC28">
            <v>71</v>
          </cell>
          <cell r="AD28">
            <v>106</v>
          </cell>
          <cell r="AE28">
            <v>240</v>
          </cell>
          <cell r="AF28">
            <v>816</v>
          </cell>
          <cell r="AG28">
            <v>174</v>
          </cell>
          <cell r="AH28">
            <v>162</v>
          </cell>
          <cell r="AI28">
            <v>655</v>
          </cell>
          <cell r="AJ28">
            <v>143</v>
          </cell>
          <cell r="AK28">
            <v>41</v>
          </cell>
          <cell r="AL28">
            <v>113</v>
          </cell>
          <cell r="AM28">
            <v>30</v>
          </cell>
          <cell r="AN28">
            <v>161</v>
          </cell>
          <cell r="AO28">
            <v>690</v>
          </cell>
          <cell r="AP28">
            <v>320</v>
          </cell>
          <cell r="AQ28">
            <v>606</v>
          </cell>
          <cell r="AR28">
            <v>1317</v>
          </cell>
          <cell r="AS28">
            <v>4812</v>
          </cell>
          <cell r="AT28">
            <v>483</v>
          </cell>
          <cell r="AU28">
            <v>57</v>
          </cell>
          <cell r="AV28">
            <v>719</v>
          </cell>
          <cell r="AW28">
            <v>8206</v>
          </cell>
          <cell r="AX28">
            <v>0</v>
          </cell>
          <cell r="AY28">
            <v>431</v>
          </cell>
          <cell r="BA28">
            <v>500</v>
          </cell>
          <cell r="BC28">
            <v>300</v>
          </cell>
          <cell r="BD28">
            <v>500</v>
          </cell>
          <cell r="BE28">
            <v>8000</v>
          </cell>
          <cell r="BF28">
            <v>300</v>
          </cell>
          <cell r="BG28">
            <v>500</v>
          </cell>
          <cell r="BH28">
            <v>500</v>
          </cell>
          <cell r="BI28">
            <v>500</v>
          </cell>
          <cell r="BJ28">
            <v>500</v>
          </cell>
          <cell r="BK28">
            <v>500</v>
          </cell>
          <cell r="BL28">
            <v>500</v>
          </cell>
          <cell r="BM28">
            <v>500</v>
          </cell>
          <cell r="BN28">
            <v>500</v>
          </cell>
          <cell r="BO28">
            <v>500</v>
          </cell>
          <cell r="BP28">
            <v>500</v>
          </cell>
          <cell r="BQ28">
            <v>500</v>
          </cell>
          <cell r="BR28">
            <v>500</v>
          </cell>
          <cell r="BS28">
            <v>2234</v>
          </cell>
          <cell r="BT28">
            <v>3039</v>
          </cell>
          <cell r="BU28">
            <v>9371</v>
          </cell>
          <cell r="BV28">
            <v>19013</v>
          </cell>
          <cell r="BW28">
            <v>6000</v>
          </cell>
          <cell r="BX28">
            <v>2234</v>
          </cell>
          <cell r="BY28">
            <v>3039</v>
          </cell>
          <cell r="BZ28">
            <v>9371</v>
          </cell>
          <cell r="CA28">
            <v>8982</v>
          </cell>
          <cell r="CB28">
            <v>10031</v>
          </cell>
        </row>
        <row r="29">
          <cell r="A29" t="str">
            <v>US59P015013921100000</v>
          </cell>
          <cell r="B29" t="str">
            <v>Pekin</v>
          </cell>
          <cell r="C29" t="str">
            <v>Jan-Dec</v>
          </cell>
          <cell r="D29" t="str">
            <v>US59P01501</v>
          </cell>
          <cell r="E29" t="str">
            <v>501</v>
          </cell>
          <cell r="F29" t="str">
            <v>Production Admin.</v>
          </cell>
          <cell r="G29" t="str">
            <v>01</v>
          </cell>
          <cell r="H29">
            <v>3921100000</v>
          </cell>
          <cell r="I29" t="str">
            <v>UTILITIES EXPENSES WATER</v>
          </cell>
          <cell r="J29" t="str">
            <v>VALID</v>
          </cell>
          <cell r="K29">
            <v>163</v>
          </cell>
          <cell r="L29">
            <v>0</v>
          </cell>
          <cell r="M29">
            <v>0</v>
          </cell>
          <cell r="N29">
            <v>0</v>
          </cell>
          <cell r="O29">
            <v>0</v>
          </cell>
          <cell r="P29">
            <v>0</v>
          </cell>
          <cell r="Q29">
            <v>0</v>
          </cell>
          <cell r="R29">
            <v>0</v>
          </cell>
          <cell r="S29">
            <v>0</v>
          </cell>
          <cell r="T29">
            <v>0</v>
          </cell>
          <cell r="U29">
            <v>0</v>
          </cell>
          <cell r="V29">
            <v>0</v>
          </cell>
          <cell r="W29">
            <v>72</v>
          </cell>
          <cell r="X29">
            <v>188</v>
          </cell>
          <cell r="Y29">
            <v>178</v>
          </cell>
          <cell r="Z29">
            <v>0</v>
          </cell>
          <cell r="AA29">
            <v>67</v>
          </cell>
          <cell r="AB29">
            <v>66</v>
          </cell>
          <cell r="AC29">
            <v>85</v>
          </cell>
          <cell r="AD29">
            <v>76</v>
          </cell>
          <cell r="AE29">
            <v>76</v>
          </cell>
          <cell r="AF29">
            <v>87</v>
          </cell>
          <cell r="AG29">
            <v>98</v>
          </cell>
          <cell r="AH29">
            <v>168</v>
          </cell>
          <cell r="AI29">
            <v>37</v>
          </cell>
          <cell r="AJ29">
            <v>37</v>
          </cell>
          <cell r="AK29">
            <v>81</v>
          </cell>
          <cell r="AL29">
            <v>156</v>
          </cell>
          <cell r="AM29">
            <v>37</v>
          </cell>
          <cell r="AN29">
            <v>149</v>
          </cell>
          <cell r="AO29">
            <v>93</v>
          </cell>
          <cell r="AP29">
            <v>150</v>
          </cell>
          <cell r="AQ29">
            <v>187</v>
          </cell>
          <cell r="AR29">
            <v>135</v>
          </cell>
          <cell r="AS29">
            <v>0</v>
          </cell>
          <cell r="AT29">
            <v>45</v>
          </cell>
          <cell r="AU29">
            <v>181</v>
          </cell>
          <cell r="AV29">
            <v>159</v>
          </cell>
          <cell r="AW29">
            <v>125</v>
          </cell>
          <cell r="AX29">
            <v>45</v>
          </cell>
          <cell r="AY29">
            <v>44.93</v>
          </cell>
          <cell r="BS29">
            <v>163</v>
          </cell>
          <cell r="BT29">
            <v>1161</v>
          </cell>
          <cell r="BU29">
            <v>1107</v>
          </cell>
          <cell r="BV29">
            <v>554.92999999999995</v>
          </cell>
          <cell r="BW29">
            <v>0</v>
          </cell>
          <cell r="BX29">
            <v>163</v>
          </cell>
          <cell r="BY29">
            <v>1161</v>
          </cell>
          <cell r="BZ29">
            <v>1107</v>
          </cell>
          <cell r="CA29">
            <v>510</v>
          </cell>
          <cell r="CB29">
            <v>44.93</v>
          </cell>
        </row>
        <row r="30">
          <cell r="A30" t="str">
            <v>US59P015013921100001</v>
          </cell>
          <cell r="B30" t="str">
            <v>Pekin</v>
          </cell>
          <cell r="C30" t="str">
            <v>Jan-Dec</v>
          </cell>
          <cell r="D30" t="str">
            <v>US59P01501</v>
          </cell>
          <cell r="E30" t="str">
            <v>501</v>
          </cell>
          <cell r="F30" t="str">
            <v>Production Admin.</v>
          </cell>
          <cell r="G30" t="str">
            <v>01</v>
          </cell>
          <cell r="H30">
            <v>3921100001</v>
          </cell>
          <cell r="I30" t="str">
            <v>UTILITY EXPENSES ELECTRICITY</v>
          </cell>
          <cell r="J30" t="str">
            <v>VALID</v>
          </cell>
          <cell r="K30">
            <v>-10000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273</v>
          </cell>
          <cell r="AB30">
            <v>4364</v>
          </cell>
          <cell r="AC30">
            <v>2079</v>
          </cell>
          <cell r="AD30">
            <v>774</v>
          </cell>
          <cell r="AE30">
            <v>0</v>
          </cell>
          <cell r="AF30">
            <v>3504</v>
          </cell>
          <cell r="AG30">
            <v>61</v>
          </cell>
          <cell r="AH30">
            <v>2106</v>
          </cell>
          <cell r="AI30">
            <v>278</v>
          </cell>
          <cell r="AJ30">
            <v>-2591</v>
          </cell>
          <cell r="AK30">
            <v>475</v>
          </cell>
          <cell r="AL30">
            <v>3793</v>
          </cell>
          <cell r="AM30">
            <v>500</v>
          </cell>
          <cell r="AN30">
            <v>4404</v>
          </cell>
          <cell r="AO30">
            <v>3143</v>
          </cell>
          <cell r="AP30">
            <v>148</v>
          </cell>
          <cell r="AQ30">
            <v>4086</v>
          </cell>
          <cell r="AR30">
            <v>64</v>
          </cell>
          <cell r="AS30">
            <v>0</v>
          </cell>
          <cell r="AT30">
            <v>1055</v>
          </cell>
          <cell r="AU30">
            <v>11090</v>
          </cell>
          <cell r="AV30">
            <v>6431</v>
          </cell>
          <cell r="AW30">
            <v>4538</v>
          </cell>
          <cell r="AX30">
            <v>3644</v>
          </cell>
          <cell r="AY30">
            <v>750</v>
          </cell>
          <cell r="AZ30">
            <v>2000</v>
          </cell>
          <cell r="BA30">
            <v>1000</v>
          </cell>
          <cell r="BB30">
            <v>1000</v>
          </cell>
          <cell r="BC30">
            <v>1000</v>
          </cell>
          <cell r="BD30">
            <v>5000</v>
          </cell>
          <cell r="BE30">
            <v>5000</v>
          </cell>
          <cell r="BF30">
            <v>5000</v>
          </cell>
          <cell r="BG30">
            <v>5000</v>
          </cell>
          <cell r="BH30">
            <v>2000</v>
          </cell>
          <cell r="BI30">
            <v>1000</v>
          </cell>
          <cell r="BJ30">
            <v>1000</v>
          </cell>
          <cell r="BK30">
            <v>1000</v>
          </cell>
          <cell r="BL30">
            <v>1000</v>
          </cell>
          <cell r="BM30">
            <v>1000</v>
          </cell>
          <cell r="BN30">
            <v>1000</v>
          </cell>
          <cell r="BO30">
            <v>1000</v>
          </cell>
          <cell r="BP30">
            <v>5000</v>
          </cell>
          <cell r="BQ30">
            <v>5000</v>
          </cell>
          <cell r="BR30">
            <v>5000</v>
          </cell>
          <cell r="BS30">
            <v>-10000</v>
          </cell>
          <cell r="BT30">
            <v>13161</v>
          </cell>
          <cell r="BU30">
            <v>15355</v>
          </cell>
          <cell r="BV30">
            <v>46453</v>
          </cell>
          <cell r="BW30">
            <v>29000</v>
          </cell>
          <cell r="BX30">
            <v>-10000</v>
          </cell>
          <cell r="BY30">
            <v>13161</v>
          </cell>
          <cell r="BZ30">
            <v>15355</v>
          </cell>
          <cell r="CA30">
            <v>25703</v>
          </cell>
          <cell r="CB30">
            <v>20750</v>
          </cell>
        </row>
        <row r="31">
          <cell r="A31" t="str">
            <v>US59P015013921200001</v>
          </cell>
          <cell r="B31" t="str">
            <v>Pekin</v>
          </cell>
          <cell r="C31" t="str">
            <v>Jan-Dec</v>
          </cell>
          <cell r="D31" t="str">
            <v>US59P01501</v>
          </cell>
          <cell r="E31" t="str">
            <v>501</v>
          </cell>
          <cell r="F31" t="str">
            <v>Production Admin.</v>
          </cell>
          <cell r="G31" t="str">
            <v>01</v>
          </cell>
          <cell r="H31">
            <v>3921200001</v>
          </cell>
          <cell r="I31" t="str">
            <v>FUEL</v>
          </cell>
          <cell r="J31" t="str">
            <v>VALID</v>
          </cell>
          <cell r="K31">
            <v>951</v>
          </cell>
          <cell r="L31">
            <v>2101</v>
          </cell>
          <cell r="M31">
            <v>0</v>
          </cell>
          <cell r="N31">
            <v>0</v>
          </cell>
          <cell r="O31">
            <v>0</v>
          </cell>
          <cell r="P31">
            <v>0</v>
          </cell>
          <cell r="Q31">
            <v>0</v>
          </cell>
          <cell r="R31">
            <v>0</v>
          </cell>
          <cell r="S31">
            <v>0</v>
          </cell>
          <cell r="T31">
            <v>0</v>
          </cell>
          <cell r="U31">
            <v>0</v>
          </cell>
          <cell r="V31">
            <v>1975</v>
          </cell>
          <cell r="W31">
            <v>1479</v>
          </cell>
          <cell r="X31">
            <v>4035</v>
          </cell>
          <cell r="Y31">
            <v>5196</v>
          </cell>
          <cell r="Z31">
            <v>5741</v>
          </cell>
          <cell r="AA31">
            <v>3334</v>
          </cell>
          <cell r="AB31">
            <v>153</v>
          </cell>
          <cell r="AC31">
            <v>0</v>
          </cell>
          <cell r="AD31">
            <v>308</v>
          </cell>
          <cell r="AE31">
            <v>0</v>
          </cell>
          <cell r="AF31">
            <v>0</v>
          </cell>
          <cell r="AG31">
            <v>791</v>
          </cell>
          <cell r="AH31">
            <v>0</v>
          </cell>
          <cell r="AI31">
            <v>2067</v>
          </cell>
          <cell r="AJ31">
            <v>1523</v>
          </cell>
          <cell r="AK31">
            <v>2145</v>
          </cell>
          <cell r="AL31">
            <v>2697</v>
          </cell>
          <cell r="AM31">
            <v>238</v>
          </cell>
          <cell r="AN31">
            <v>256</v>
          </cell>
          <cell r="AO31">
            <v>0</v>
          </cell>
          <cell r="AP31">
            <v>124</v>
          </cell>
          <cell r="AQ31">
            <v>0</v>
          </cell>
          <cell r="AR31">
            <v>0</v>
          </cell>
          <cell r="AS31">
            <v>2374</v>
          </cell>
          <cell r="AT31">
            <v>224</v>
          </cell>
          <cell r="AU31">
            <v>4715</v>
          </cell>
          <cell r="AV31">
            <v>3712</v>
          </cell>
          <cell r="AW31">
            <v>602</v>
          </cell>
          <cell r="AX31">
            <v>0</v>
          </cell>
          <cell r="AY31">
            <v>480.61</v>
          </cell>
          <cell r="BS31">
            <v>5027</v>
          </cell>
          <cell r="BT31">
            <v>21037</v>
          </cell>
          <cell r="BU31">
            <v>11648</v>
          </cell>
          <cell r="BV31">
            <v>9509.61</v>
          </cell>
          <cell r="BW31">
            <v>0</v>
          </cell>
          <cell r="BX31">
            <v>5027</v>
          </cell>
          <cell r="BY31">
            <v>21037</v>
          </cell>
          <cell r="BZ31">
            <v>11648</v>
          </cell>
          <cell r="CA31">
            <v>9029</v>
          </cell>
          <cell r="CB31">
            <v>480.61</v>
          </cell>
        </row>
        <row r="32">
          <cell r="A32" t="str">
            <v>US59P015013921200003</v>
          </cell>
          <cell r="B32" t="str">
            <v>Pekin</v>
          </cell>
          <cell r="C32" t="str">
            <v>Jan-Dec</v>
          </cell>
          <cell r="D32" t="str">
            <v>US59P01501</v>
          </cell>
          <cell r="E32" t="str">
            <v>501</v>
          </cell>
          <cell r="F32" t="str">
            <v>Production Admin.</v>
          </cell>
          <cell r="G32" t="str">
            <v>01</v>
          </cell>
          <cell r="H32">
            <v>3921200003</v>
          </cell>
          <cell r="I32" t="str">
            <v>GAS</v>
          </cell>
          <cell r="J32" t="str">
            <v>VALID</v>
          </cell>
          <cell r="K32">
            <v>-6432</v>
          </cell>
          <cell r="L32">
            <v>1701</v>
          </cell>
          <cell r="M32">
            <v>3890</v>
          </cell>
          <cell r="N32">
            <v>3094</v>
          </cell>
          <cell r="O32">
            <v>1233</v>
          </cell>
          <cell r="P32">
            <v>3301</v>
          </cell>
          <cell r="Q32">
            <v>0</v>
          </cell>
          <cell r="R32">
            <v>1271</v>
          </cell>
          <cell r="S32">
            <v>1565</v>
          </cell>
          <cell r="T32">
            <v>1109</v>
          </cell>
          <cell r="U32">
            <v>1489</v>
          </cell>
          <cell r="V32">
            <v>464</v>
          </cell>
          <cell r="W32">
            <v>0</v>
          </cell>
          <cell r="X32">
            <v>516</v>
          </cell>
          <cell r="Y32">
            <v>729</v>
          </cell>
          <cell r="Z32">
            <v>1317</v>
          </cell>
          <cell r="AA32">
            <v>1294</v>
          </cell>
          <cell r="AB32">
            <v>3110</v>
          </cell>
          <cell r="AC32">
            <v>0</v>
          </cell>
          <cell r="AD32">
            <v>2518</v>
          </cell>
          <cell r="AE32">
            <v>2624</v>
          </cell>
          <cell r="AF32">
            <v>3646</v>
          </cell>
          <cell r="AG32">
            <v>3976</v>
          </cell>
          <cell r="AH32">
            <v>1301</v>
          </cell>
          <cell r="AI32">
            <v>1925</v>
          </cell>
          <cell r="AJ32">
            <v>0</v>
          </cell>
          <cell r="AK32">
            <v>1624</v>
          </cell>
          <cell r="AL32">
            <v>2574</v>
          </cell>
          <cell r="AM32">
            <v>1686</v>
          </cell>
          <cell r="AN32">
            <v>8345</v>
          </cell>
          <cell r="AO32">
            <v>0</v>
          </cell>
          <cell r="AP32">
            <v>6000</v>
          </cell>
          <cell r="AQ32">
            <v>7874</v>
          </cell>
          <cell r="AR32">
            <v>3674</v>
          </cell>
          <cell r="AS32">
            <v>6832</v>
          </cell>
          <cell r="AT32">
            <v>834</v>
          </cell>
          <cell r="AU32">
            <v>1182</v>
          </cell>
          <cell r="AV32">
            <v>0</v>
          </cell>
          <cell r="AW32">
            <v>2170</v>
          </cell>
          <cell r="AX32">
            <v>2362</v>
          </cell>
          <cell r="AY32">
            <v>974.97</v>
          </cell>
          <cell r="AZ32">
            <v>1500</v>
          </cell>
          <cell r="BA32">
            <v>6000</v>
          </cell>
          <cell r="BB32">
            <v>6000</v>
          </cell>
          <cell r="BC32">
            <v>7500</v>
          </cell>
          <cell r="BD32">
            <v>5000</v>
          </cell>
          <cell r="BE32">
            <v>2500</v>
          </cell>
          <cell r="BF32">
            <v>2500</v>
          </cell>
          <cell r="BG32">
            <v>1500</v>
          </cell>
          <cell r="BH32">
            <v>1500</v>
          </cell>
          <cell r="BI32">
            <v>1500</v>
          </cell>
          <cell r="BJ32">
            <v>2500</v>
          </cell>
          <cell r="BK32">
            <v>2500</v>
          </cell>
          <cell r="BL32">
            <v>2000</v>
          </cell>
          <cell r="BM32">
            <v>6000</v>
          </cell>
          <cell r="BN32">
            <v>6000</v>
          </cell>
          <cell r="BO32">
            <v>7500</v>
          </cell>
          <cell r="BP32">
            <v>5000</v>
          </cell>
          <cell r="BQ32">
            <v>2500</v>
          </cell>
          <cell r="BR32">
            <v>2500</v>
          </cell>
          <cell r="BS32">
            <v>12685</v>
          </cell>
          <cell r="BT32">
            <v>21031</v>
          </cell>
          <cell r="BU32">
            <v>41368</v>
          </cell>
          <cell r="BV32">
            <v>37688.97</v>
          </cell>
          <cell r="BW32">
            <v>41000</v>
          </cell>
          <cell r="BX32">
            <v>12685</v>
          </cell>
          <cell r="BY32">
            <v>21031</v>
          </cell>
          <cell r="BZ32">
            <v>41368</v>
          </cell>
          <cell r="CA32">
            <v>5714</v>
          </cell>
          <cell r="CB32">
            <v>31974.97</v>
          </cell>
        </row>
        <row r="33">
          <cell r="A33" t="str">
            <v>US59P015013921200006</v>
          </cell>
          <cell r="B33" t="str">
            <v>Pekin</v>
          </cell>
          <cell r="C33" t="str">
            <v>Jan-Dec</v>
          </cell>
          <cell r="D33" t="str">
            <v>US59P01501</v>
          </cell>
          <cell r="E33" t="str">
            <v>501</v>
          </cell>
          <cell r="F33" t="str">
            <v>Production Admin.</v>
          </cell>
          <cell r="G33" t="str">
            <v>01</v>
          </cell>
          <cell r="H33">
            <v>3921200006</v>
          </cell>
          <cell r="I33" t="str">
            <v>FACTORY SUPPLIES MAINTENANCE SUPPLIES</v>
          </cell>
          <cell r="J33" t="str">
            <v>VALID</v>
          </cell>
          <cell r="K33">
            <v>0</v>
          </cell>
          <cell r="L33">
            <v>0</v>
          </cell>
          <cell r="M33">
            <v>0</v>
          </cell>
          <cell r="N33">
            <v>0</v>
          </cell>
          <cell r="O33">
            <v>0</v>
          </cell>
          <cell r="P33">
            <v>0</v>
          </cell>
          <cell r="Q33">
            <v>235</v>
          </cell>
          <cell r="R33">
            <v>0</v>
          </cell>
          <cell r="S33">
            <v>0</v>
          </cell>
          <cell r="T33">
            <v>0</v>
          </cell>
          <cell r="U33">
            <v>0</v>
          </cell>
          <cell r="V33">
            <v>0</v>
          </cell>
          <cell r="W33">
            <v>0</v>
          </cell>
          <cell r="X33">
            <v>0</v>
          </cell>
          <cell r="Y33">
            <v>0</v>
          </cell>
          <cell r="Z33">
            <v>146</v>
          </cell>
          <cell r="AA33">
            <v>-301</v>
          </cell>
          <cell r="AB33">
            <v>0</v>
          </cell>
          <cell r="AC33">
            <v>0</v>
          </cell>
          <cell r="AD33">
            <v>0</v>
          </cell>
          <cell r="AE33">
            <v>0</v>
          </cell>
          <cell r="AF33">
            <v>22</v>
          </cell>
          <cell r="AG33">
            <v>0</v>
          </cell>
          <cell r="AH33">
            <v>0</v>
          </cell>
          <cell r="AI33">
            <v>6</v>
          </cell>
          <cell r="AJ33">
            <v>1237</v>
          </cell>
          <cell r="AK33">
            <v>447</v>
          </cell>
          <cell r="AL33">
            <v>0</v>
          </cell>
          <cell r="AM33">
            <v>288</v>
          </cell>
          <cell r="AN33">
            <v>0</v>
          </cell>
          <cell r="AO33">
            <v>0</v>
          </cell>
          <cell r="AP33">
            <v>46</v>
          </cell>
          <cell r="AQ33">
            <v>0</v>
          </cell>
          <cell r="AR33">
            <v>51</v>
          </cell>
          <cell r="AS33">
            <v>17</v>
          </cell>
          <cell r="AT33">
            <v>0</v>
          </cell>
          <cell r="AU33">
            <v>0</v>
          </cell>
          <cell r="AV33">
            <v>32</v>
          </cell>
          <cell r="AW33">
            <v>0</v>
          </cell>
          <cell r="AX33">
            <v>0</v>
          </cell>
          <cell r="BS33">
            <v>235</v>
          </cell>
          <cell r="BT33">
            <v>-133</v>
          </cell>
          <cell r="BU33">
            <v>2092</v>
          </cell>
          <cell r="BV33">
            <v>32</v>
          </cell>
          <cell r="BW33">
            <v>0</v>
          </cell>
          <cell r="BX33">
            <v>235</v>
          </cell>
          <cell r="BY33">
            <v>-133</v>
          </cell>
          <cell r="BZ33">
            <v>2092</v>
          </cell>
          <cell r="CA33">
            <v>32</v>
          </cell>
          <cell r="CB33">
            <v>0</v>
          </cell>
        </row>
        <row r="34">
          <cell r="A34" t="str">
            <v>US59P015013921200010</v>
          </cell>
          <cell r="B34" t="str">
            <v>Pekin</v>
          </cell>
          <cell r="C34" t="str">
            <v>Jan-Dec</v>
          </cell>
          <cell r="D34" t="str">
            <v>US59P01501</v>
          </cell>
          <cell r="E34" t="str">
            <v>501</v>
          </cell>
          <cell r="F34" t="str">
            <v>Production Admin.</v>
          </cell>
          <cell r="G34" t="str">
            <v>01</v>
          </cell>
          <cell r="H34">
            <v>3921200010</v>
          </cell>
          <cell r="I34" t="str">
            <v>ADMINISTRATIVE SUPPLIES</v>
          </cell>
          <cell r="J34" t="str">
            <v>VALID</v>
          </cell>
          <cell r="K34">
            <v>1614</v>
          </cell>
          <cell r="L34">
            <v>0</v>
          </cell>
          <cell r="M34">
            <v>409</v>
          </cell>
          <cell r="N34">
            <v>241</v>
          </cell>
          <cell r="O34">
            <v>0</v>
          </cell>
          <cell r="P34">
            <v>482</v>
          </cell>
          <cell r="Q34">
            <v>50</v>
          </cell>
          <cell r="R34">
            <v>3357</v>
          </cell>
          <cell r="S34">
            <v>585</v>
          </cell>
          <cell r="T34">
            <v>320</v>
          </cell>
          <cell r="U34">
            <v>317</v>
          </cell>
          <cell r="V34">
            <v>375</v>
          </cell>
          <cell r="W34">
            <v>25</v>
          </cell>
          <cell r="X34">
            <v>405</v>
          </cell>
          <cell r="Y34">
            <v>1036</v>
          </cell>
          <cell r="Z34">
            <v>1668</v>
          </cell>
          <cell r="AA34">
            <v>1144</v>
          </cell>
          <cell r="AB34">
            <v>1081</v>
          </cell>
          <cell r="AC34">
            <v>1521</v>
          </cell>
          <cell r="AD34">
            <v>1212</v>
          </cell>
          <cell r="AE34">
            <v>1122</v>
          </cell>
          <cell r="AF34">
            <v>1234</v>
          </cell>
          <cell r="AG34">
            <v>1459</v>
          </cell>
          <cell r="AH34">
            <v>741</v>
          </cell>
          <cell r="AI34">
            <v>403</v>
          </cell>
          <cell r="AJ34">
            <v>680</v>
          </cell>
          <cell r="AK34">
            <v>1127</v>
          </cell>
          <cell r="AL34">
            <v>289</v>
          </cell>
          <cell r="AM34">
            <v>1048</v>
          </cell>
          <cell r="AN34">
            <v>369</v>
          </cell>
          <cell r="AO34">
            <v>156</v>
          </cell>
          <cell r="AP34">
            <v>529</v>
          </cell>
          <cell r="AQ34">
            <v>4249</v>
          </cell>
          <cell r="AR34">
            <v>200</v>
          </cell>
          <cell r="AS34">
            <v>613</v>
          </cell>
          <cell r="AT34">
            <v>369</v>
          </cell>
          <cell r="AU34">
            <v>549</v>
          </cell>
          <cell r="AV34">
            <v>300</v>
          </cell>
          <cell r="AW34">
            <v>535</v>
          </cell>
          <cell r="AX34">
            <v>304</v>
          </cell>
          <cell r="BS34">
            <v>7750</v>
          </cell>
          <cell r="BT34">
            <v>12648</v>
          </cell>
          <cell r="BU34">
            <v>10032</v>
          </cell>
          <cell r="BV34">
            <v>1688</v>
          </cell>
          <cell r="BW34">
            <v>0</v>
          </cell>
          <cell r="BX34">
            <v>7750</v>
          </cell>
          <cell r="BY34">
            <v>12648</v>
          </cell>
          <cell r="BZ34">
            <v>10032</v>
          </cell>
          <cell r="CA34">
            <v>1688</v>
          </cell>
          <cell r="CB34">
            <v>0</v>
          </cell>
        </row>
        <row r="35">
          <cell r="A35" t="str">
            <v>US59P015013921200026</v>
          </cell>
          <cell r="B35" t="str">
            <v>Pekin</v>
          </cell>
          <cell r="C35" t="str">
            <v>Jan-Dec</v>
          </cell>
          <cell r="D35" t="str">
            <v>US59P01501</v>
          </cell>
          <cell r="E35" t="str">
            <v>501</v>
          </cell>
          <cell r="F35" t="str">
            <v>Production Admin.</v>
          </cell>
          <cell r="G35" t="str">
            <v>01</v>
          </cell>
          <cell r="H35">
            <v>3921200026</v>
          </cell>
          <cell r="I35" t="str">
            <v>MISCELLANEOUS COSTS ON VEHICLES</v>
          </cell>
          <cell r="J35" t="str">
            <v>VALID</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41</v>
          </cell>
          <cell r="AH35">
            <v>54</v>
          </cell>
          <cell r="AI35">
            <v>36</v>
          </cell>
          <cell r="AJ35">
            <v>0</v>
          </cell>
          <cell r="AK35">
            <v>36</v>
          </cell>
          <cell r="AL35">
            <v>113</v>
          </cell>
          <cell r="AM35">
            <v>200</v>
          </cell>
          <cell r="AN35">
            <v>1599</v>
          </cell>
          <cell r="AO35">
            <v>0</v>
          </cell>
          <cell r="AP35">
            <v>0</v>
          </cell>
          <cell r="AQ35">
            <v>0</v>
          </cell>
          <cell r="AR35">
            <v>82</v>
          </cell>
          <cell r="AS35">
            <v>96</v>
          </cell>
          <cell r="AT35">
            <v>20</v>
          </cell>
          <cell r="AU35">
            <v>132</v>
          </cell>
          <cell r="AV35">
            <v>0</v>
          </cell>
          <cell r="AW35">
            <v>169</v>
          </cell>
          <cell r="AX35">
            <v>0</v>
          </cell>
          <cell r="AY35">
            <v>355.73</v>
          </cell>
          <cell r="AZ35">
            <v>200</v>
          </cell>
          <cell r="BA35">
            <v>200</v>
          </cell>
          <cell r="BB35">
            <v>200</v>
          </cell>
          <cell r="BC35">
            <v>200</v>
          </cell>
          <cell r="BD35">
            <v>200</v>
          </cell>
          <cell r="BE35">
            <v>200</v>
          </cell>
          <cell r="BF35">
            <v>200</v>
          </cell>
          <cell r="BG35">
            <v>200</v>
          </cell>
          <cell r="BH35">
            <v>200</v>
          </cell>
          <cell r="BI35">
            <v>200</v>
          </cell>
          <cell r="BJ35">
            <v>200</v>
          </cell>
          <cell r="BK35">
            <v>200</v>
          </cell>
          <cell r="BL35">
            <v>200</v>
          </cell>
          <cell r="BM35">
            <v>200</v>
          </cell>
          <cell r="BN35">
            <v>200</v>
          </cell>
          <cell r="BO35">
            <v>200</v>
          </cell>
          <cell r="BP35">
            <v>200</v>
          </cell>
          <cell r="BQ35">
            <v>200</v>
          </cell>
          <cell r="BR35">
            <v>200</v>
          </cell>
          <cell r="BS35">
            <v>0</v>
          </cell>
          <cell r="BT35">
            <v>95</v>
          </cell>
          <cell r="BU35">
            <v>2182</v>
          </cell>
          <cell r="BV35">
            <v>2056.73</v>
          </cell>
          <cell r="BW35">
            <v>2400</v>
          </cell>
          <cell r="BX35">
            <v>0</v>
          </cell>
          <cell r="BY35">
            <v>95</v>
          </cell>
          <cell r="BZ35">
            <v>2182</v>
          </cell>
          <cell r="CA35">
            <v>301</v>
          </cell>
          <cell r="CB35">
            <v>1755.73</v>
          </cell>
        </row>
        <row r="36">
          <cell r="A36" t="str">
            <v>US59P015013921200037</v>
          </cell>
          <cell r="B36" t="str">
            <v>Pekin</v>
          </cell>
          <cell r="C36" t="str">
            <v>Jan-Dec</v>
          </cell>
          <cell r="D36" t="str">
            <v>US59P01501</v>
          </cell>
          <cell r="E36" t="str">
            <v>501</v>
          </cell>
          <cell r="F36" t="str">
            <v>Production Admin.</v>
          </cell>
          <cell r="G36" t="str">
            <v>01</v>
          </cell>
          <cell r="H36">
            <v>3921200037</v>
          </cell>
          <cell r="I36" t="str">
            <v>EXHAUSTIVE EQUIPMENT</v>
          </cell>
          <cell r="J36" t="str">
            <v>VALID</v>
          </cell>
          <cell r="K36">
            <v>0</v>
          </cell>
          <cell r="L36">
            <v>0</v>
          </cell>
          <cell r="M36">
            <v>0</v>
          </cell>
          <cell r="N36">
            <v>0</v>
          </cell>
          <cell r="O36">
            <v>0</v>
          </cell>
          <cell r="P36">
            <v>8</v>
          </cell>
          <cell r="Q36">
            <v>0</v>
          </cell>
          <cell r="R36">
            <v>0</v>
          </cell>
          <cell r="S36">
            <v>0</v>
          </cell>
          <cell r="T36">
            <v>0</v>
          </cell>
          <cell r="U36">
            <v>0</v>
          </cell>
          <cell r="V36">
            <v>0</v>
          </cell>
          <cell r="W36">
            <v>0</v>
          </cell>
          <cell r="X36">
            <v>0</v>
          </cell>
          <cell r="Y36">
            <v>0</v>
          </cell>
          <cell r="Z36">
            <v>0</v>
          </cell>
          <cell r="AA36">
            <v>107</v>
          </cell>
          <cell r="AB36">
            <v>500</v>
          </cell>
          <cell r="AC36">
            <v>76</v>
          </cell>
          <cell r="AD36">
            <v>97</v>
          </cell>
          <cell r="AE36">
            <v>205</v>
          </cell>
          <cell r="AF36">
            <v>64</v>
          </cell>
          <cell r="AG36">
            <v>0</v>
          </cell>
          <cell r="AH36">
            <v>0</v>
          </cell>
          <cell r="AI36">
            <v>0</v>
          </cell>
          <cell r="AJ36">
            <v>0</v>
          </cell>
          <cell r="AK36">
            <v>0</v>
          </cell>
          <cell r="AL36">
            <v>773</v>
          </cell>
          <cell r="AM36">
            <v>93</v>
          </cell>
          <cell r="AN36">
            <v>271</v>
          </cell>
          <cell r="AO36">
            <v>361</v>
          </cell>
          <cell r="AP36">
            <v>67</v>
          </cell>
          <cell r="AQ36">
            <v>0</v>
          </cell>
          <cell r="AR36">
            <v>260</v>
          </cell>
          <cell r="AS36">
            <v>0</v>
          </cell>
          <cell r="AT36">
            <v>199</v>
          </cell>
          <cell r="AU36">
            <v>632</v>
          </cell>
          <cell r="AV36">
            <v>0</v>
          </cell>
          <cell r="AW36">
            <v>0</v>
          </cell>
          <cell r="AX36">
            <v>187</v>
          </cell>
          <cell r="AY36">
            <v>163.79</v>
          </cell>
          <cell r="BS36">
            <v>8</v>
          </cell>
          <cell r="BT36">
            <v>1049</v>
          </cell>
          <cell r="BU36">
            <v>2024</v>
          </cell>
          <cell r="BV36">
            <v>982.79</v>
          </cell>
          <cell r="BW36">
            <v>0</v>
          </cell>
          <cell r="BX36">
            <v>8</v>
          </cell>
          <cell r="BY36">
            <v>1049</v>
          </cell>
          <cell r="BZ36">
            <v>2024</v>
          </cell>
          <cell r="CA36">
            <v>819</v>
          </cell>
          <cell r="CB36">
            <v>163.79</v>
          </cell>
        </row>
        <row r="37">
          <cell r="A37" t="str">
            <v>US59P015013921200050</v>
          </cell>
          <cell r="B37" t="str">
            <v>Pekin</v>
          </cell>
          <cell r="C37" t="str">
            <v>Jan-Dec</v>
          </cell>
          <cell r="D37" t="str">
            <v>US59P01501</v>
          </cell>
          <cell r="E37" t="str">
            <v>501</v>
          </cell>
          <cell r="F37" t="str">
            <v>Production Admin.</v>
          </cell>
          <cell r="G37" t="str">
            <v>01</v>
          </cell>
          <cell r="H37">
            <v>3921200050</v>
          </cell>
          <cell r="I37" t="str">
            <v>SAFETY EQUIPMENT - SUPPLIES</v>
          </cell>
          <cell r="J37" t="str">
            <v>VALID</v>
          </cell>
          <cell r="K37">
            <v>149</v>
          </cell>
          <cell r="L37">
            <v>321</v>
          </cell>
          <cell r="M37">
            <v>32</v>
          </cell>
          <cell r="N37">
            <v>0</v>
          </cell>
          <cell r="O37">
            <v>0</v>
          </cell>
          <cell r="P37">
            <v>4117</v>
          </cell>
          <cell r="Q37">
            <v>514</v>
          </cell>
          <cell r="R37">
            <v>1214</v>
          </cell>
          <cell r="S37">
            <v>1697</v>
          </cell>
          <cell r="T37">
            <v>2396</v>
          </cell>
          <cell r="U37">
            <v>929</v>
          </cell>
          <cell r="V37">
            <v>0</v>
          </cell>
          <cell r="W37">
            <v>1124</v>
          </cell>
          <cell r="X37">
            <v>747</v>
          </cell>
          <cell r="Y37">
            <v>295</v>
          </cell>
          <cell r="Z37">
            <v>0</v>
          </cell>
          <cell r="AA37">
            <v>800</v>
          </cell>
          <cell r="AB37">
            <v>2704</v>
          </cell>
          <cell r="AC37">
            <v>2629</v>
          </cell>
          <cell r="AD37">
            <v>1895</v>
          </cell>
          <cell r="AE37">
            <v>1957</v>
          </cell>
          <cell r="AF37">
            <v>7353</v>
          </cell>
          <cell r="AG37">
            <v>1288</v>
          </cell>
          <cell r="AH37">
            <v>427</v>
          </cell>
          <cell r="AI37">
            <v>0</v>
          </cell>
          <cell r="AJ37">
            <v>803</v>
          </cell>
          <cell r="AK37">
            <v>504</v>
          </cell>
          <cell r="AL37">
            <v>817</v>
          </cell>
          <cell r="AM37">
            <v>3971</v>
          </cell>
          <cell r="AN37">
            <v>9434</v>
          </cell>
          <cell r="AO37">
            <v>2241</v>
          </cell>
          <cell r="AP37">
            <v>280</v>
          </cell>
          <cell r="AQ37">
            <v>5127</v>
          </cell>
          <cell r="AR37">
            <v>1512</v>
          </cell>
          <cell r="AS37">
            <v>232</v>
          </cell>
          <cell r="AT37">
            <v>1148</v>
          </cell>
          <cell r="AU37">
            <v>659</v>
          </cell>
          <cell r="AV37">
            <v>0</v>
          </cell>
          <cell r="AW37">
            <v>0</v>
          </cell>
          <cell r="AX37">
            <v>138</v>
          </cell>
          <cell r="AY37">
            <v>172.76</v>
          </cell>
          <cell r="BS37">
            <v>11369</v>
          </cell>
          <cell r="BT37">
            <v>21219</v>
          </cell>
          <cell r="BU37">
            <v>26069</v>
          </cell>
          <cell r="BV37">
            <v>969.76</v>
          </cell>
          <cell r="BW37">
            <v>0</v>
          </cell>
          <cell r="BX37">
            <v>11369</v>
          </cell>
          <cell r="BY37">
            <v>21219</v>
          </cell>
          <cell r="BZ37">
            <v>26069</v>
          </cell>
          <cell r="CA37">
            <v>797</v>
          </cell>
          <cell r="CB37">
            <v>172.76</v>
          </cell>
        </row>
        <row r="38">
          <cell r="A38" t="str">
            <v>US59P015013951100002</v>
          </cell>
          <cell r="B38" t="str">
            <v>Pekin</v>
          </cell>
          <cell r="C38" t="str">
            <v>Jan-Dec</v>
          </cell>
          <cell r="D38" t="str">
            <v>US59P01501</v>
          </cell>
          <cell r="E38" t="str">
            <v>501</v>
          </cell>
          <cell r="F38" t="str">
            <v>Production Admin.</v>
          </cell>
          <cell r="G38" t="str">
            <v>01</v>
          </cell>
          <cell r="H38">
            <v>3951100002</v>
          </cell>
          <cell r="I38" t="str">
            <v>RENTALS - REAL ESTATE</v>
          </cell>
          <cell r="J38" t="str">
            <v>VALID</v>
          </cell>
          <cell r="K38">
            <v>0</v>
          </cell>
          <cell r="L38">
            <v>0</v>
          </cell>
          <cell r="M38">
            <v>0</v>
          </cell>
          <cell r="N38">
            <v>0</v>
          </cell>
          <cell r="O38">
            <v>0</v>
          </cell>
          <cell r="P38">
            <v>0</v>
          </cell>
          <cell r="Q38">
            <v>0</v>
          </cell>
          <cell r="R38">
            <v>0</v>
          </cell>
          <cell r="S38">
            <v>2500</v>
          </cell>
          <cell r="T38">
            <v>0</v>
          </cell>
          <cell r="U38">
            <v>0</v>
          </cell>
          <cell r="V38">
            <v>0</v>
          </cell>
          <cell r="W38">
            <v>0</v>
          </cell>
          <cell r="X38">
            <v>0</v>
          </cell>
          <cell r="Y38">
            <v>0</v>
          </cell>
          <cell r="Z38">
            <v>0</v>
          </cell>
          <cell r="AA38">
            <v>0</v>
          </cell>
          <cell r="AB38">
            <v>2500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BA38">
            <v>500</v>
          </cell>
          <cell r="BS38">
            <v>2500</v>
          </cell>
          <cell r="BT38">
            <v>2500</v>
          </cell>
          <cell r="BU38">
            <v>0</v>
          </cell>
          <cell r="BV38">
            <v>500</v>
          </cell>
          <cell r="BW38">
            <v>0</v>
          </cell>
          <cell r="BX38">
            <v>2500</v>
          </cell>
          <cell r="BY38">
            <v>2500</v>
          </cell>
          <cell r="BZ38">
            <v>0</v>
          </cell>
          <cell r="CA38">
            <v>0</v>
          </cell>
          <cell r="CB38">
            <v>500</v>
          </cell>
        </row>
        <row r="39">
          <cell r="A39" t="str">
            <v>US59P015013951100005</v>
          </cell>
          <cell r="B39" t="str">
            <v>Pekin</v>
          </cell>
          <cell r="C39" t="str">
            <v>Jan-Dec</v>
          </cell>
          <cell r="D39" t="str">
            <v>US59P01501</v>
          </cell>
          <cell r="E39" t="str">
            <v>501</v>
          </cell>
          <cell r="F39" t="str">
            <v>Production Admin.</v>
          </cell>
          <cell r="G39" t="str">
            <v>01</v>
          </cell>
          <cell r="H39">
            <v>3951100005</v>
          </cell>
          <cell r="I39" t="str">
            <v>OTHER RENTALS</v>
          </cell>
          <cell r="J39" t="str">
            <v>VALID</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807</v>
          </cell>
          <cell r="AO39">
            <v>0</v>
          </cell>
          <cell r="AP39">
            <v>158</v>
          </cell>
          <cell r="AQ39">
            <v>80</v>
          </cell>
          <cell r="AR39">
            <v>0</v>
          </cell>
          <cell r="AS39">
            <v>19</v>
          </cell>
          <cell r="AT39">
            <v>0</v>
          </cell>
          <cell r="AU39">
            <v>0</v>
          </cell>
          <cell r="AV39">
            <v>0</v>
          </cell>
          <cell r="AW39">
            <v>0</v>
          </cell>
          <cell r="AX39">
            <v>0</v>
          </cell>
          <cell r="BS39">
            <v>0</v>
          </cell>
          <cell r="BT39">
            <v>0</v>
          </cell>
          <cell r="BU39">
            <v>1064</v>
          </cell>
          <cell r="BV39">
            <v>0</v>
          </cell>
          <cell r="BW39">
            <v>0</v>
          </cell>
          <cell r="BX39">
            <v>0</v>
          </cell>
          <cell r="BY39">
            <v>0</v>
          </cell>
          <cell r="BZ39">
            <v>1064</v>
          </cell>
          <cell r="CA39">
            <v>0</v>
          </cell>
          <cell r="CB39">
            <v>0</v>
          </cell>
        </row>
        <row r="40">
          <cell r="A40" t="str">
            <v>US59P015013951200002</v>
          </cell>
          <cell r="B40" t="str">
            <v>Pekin</v>
          </cell>
          <cell r="C40" t="str">
            <v>Jan-Dec</v>
          </cell>
          <cell r="D40" t="str">
            <v>US59P01501</v>
          </cell>
          <cell r="E40" t="str">
            <v>501</v>
          </cell>
          <cell r="F40" t="str">
            <v>Production Admin.</v>
          </cell>
          <cell r="G40" t="str">
            <v>01</v>
          </cell>
          <cell r="H40">
            <v>3951200002</v>
          </cell>
          <cell r="I40" t="str">
            <v>OPERATING LEASES - VEHICLES (SHORT DURAT</v>
          </cell>
          <cell r="J40" t="str">
            <v>VALID</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BS40">
            <v>0</v>
          </cell>
          <cell r="BT40">
            <v>0</v>
          </cell>
          <cell r="BU40">
            <v>0</v>
          </cell>
          <cell r="BV40">
            <v>0</v>
          </cell>
          <cell r="BW40">
            <v>0</v>
          </cell>
          <cell r="BX40">
            <v>0</v>
          </cell>
          <cell r="BY40">
            <v>0</v>
          </cell>
          <cell r="BZ40">
            <v>0</v>
          </cell>
          <cell r="CA40">
            <v>0</v>
          </cell>
          <cell r="CB40">
            <v>0</v>
          </cell>
        </row>
        <row r="41">
          <cell r="A41" t="str">
            <v>US59P015013951200008</v>
          </cell>
          <cell r="B41" t="str">
            <v>Pekin</v>
          </cell>
          <cell r="C41" t="str">
            <v>Jan-Dec</v>
          </cell>
          <cell r="D41" t="str">
            <v>US59P01501</v>
          </cell>
          <cell r="E41" t="str">
            <v>501</v>
          </cell>
          <cell r="F41" t="str">
            <v>Production Admin.</v>
          </cell>
          <cell r="G41" t="str">
            <v>01</v>
          </cell>
          <cell r="H41">
            <v>3951200008</v>
          </cell>
          <cell r="I41" t="str">
            <v>OPERATING LEASES - PERSONAL COMPUTER</v>
          </cell>
          <cell r="J41" t="str">
            <v>VALID</v>
          </cell>
          <cell r="K41">
            <v>0</v>
          </cell>
          <cell r="L41">
            <v>0</v>
          </cell>
          <cell r="M41">
            <v>386</v>
          </cell>
          <cell r="N41">
            <v>0</v>
          </cell>
          <cell r="O41">
            <v>0</v>
          </cell>
          <cell r="P41">
            <v>386</v>
          </cell>
          <cell r="Q41">
            <v>0</v>
          </cell>
          <cell r="R41">
            <v>0</v>
          </cell>
          <cell r="S41">
            <v>386</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BS41">
            <v>1158</v>
          </cell>
          <cell r="BT41">
            <v>0</v>
          </cell>
          <cell r="BU41">
            <v>0</v>
          </cell>
          <cell r="BV41">
            <v>0</v>
          </cell>
          <cell r="BW41">
            <v>0</v>
          </cell>
          <cell r="BX41">
            <v>1158</v>
          </cell>
          <cell r="BY41">
            <v>0</v>
          </cell>
          <cell r="BZ41">
            <v>0</v>
          </cell>
          <cell r="CA41">
            <v>0</v>
          </cell>
          <cell r="CB41">
            <v>0</v>
          </cell>
        </row>
        <row r="42">
          <cell r="A42" t="str">
            <v>US59P015013961100000</v>
          </cell>
          <cell r="B42" t="str">
            <v>Pekin</v>
          </cell>
          <cell r="C42" t="str">
            <v>Jan-Dec</v>
          </cell>
          <cell r="D42" t="str">
            <v>US59P01501</v>
          </cell>
          <cell r="E42" t="str">
            <v>501</v>
          </cell>
          <cell r="F42" t="str">
            <v>Production Admin.</v>
          </cell>
          <cell r="G42" t="str">
            <v>01</v>
          </cell>
          <cell r="H42">
            <v>3961100000</v>
          </cell>
          <cell r="I42" t="str">
            <v>COMPREHENSIVE INSURANCES</v>
          </cell>
          <cell r="J42" t="str">
            <v>VALID</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BS42">
            <v>0</v>
          </cell>
          <cell r="BT42">
            <v>0</v>
          </cell>
          <cell r="BU42">
            <v>0</v>
          </cell>
          <cell r="BV42">
            <v>0</v>
          </cell>
          <cell r="BW42">
            <v>0</v>
          </cell>
          <cell r="BX42">
            <v>0</v>
          </cell>
          <cell r="BY42">
            <v>0</v>
          </cell>
          <cell r="BZ42">
            <v>0</v>
          </cell>
          <cell r="CA42">
            <v>0</v>
          </cell>
          <cell r="CB42">
            <v>0</v>
          </cell>
        </row>
        <row r="43">
          <cell r="A43" t="str">
            <v>US59P015013991200001</v>
          </cell>
          <cell r="B43" t="str">
            <v>Pekin</v>
          </cell>
          <cell r="C43" t="str">
            <v>Jan-Dec</v>
          </cell>
          <cell r="D43" t="str">
            <v>US59P01501</v>
          </cell>
          <cell r="E43" t="str">
            <v>501</v>
          </cell>
          <cell r="F43" t="str">
            <v>Production Admin.</v>
          </cell>
          <cell r="G43" t="str">
            <v>01</v>
          </cell>
          <cell r="H43">
            <v>3991200001</v>
          </cell>
          <cell r="I43" t="str">
            <v>POSTAGE EXPENSES</v>
          </cell>
          <cell r="J43" t="str">
            <v>VALID</v>
          </cell>
          <cell r="K43">
            <v>0</v>
          </cell>
          <cell r="L43">
            <v>0</v>
          </cell>
          <cell r="M43">
            <v>0</v>
          </cell>
          <cell r="N43">
            <v>0</v>
          </cell>
          <cell r="O43">
            <v>0</v>
          </cell>
          <cell r="P43">
            <v>127</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484</v>
          </cell>
          <cell r="AJ43">
            <v>0</v>
          </cell>
          <cell r="AK43">
            <v>0</v>
          </cell>
          <cell r="AL43">
            <v>181</v>
          </cell>
          <cell r="AM43">
            <v>0</v>
          </cell>
          <cell r="AN43">
            <v>267</v>
          </cell>
          <cell r="AO43">
            <v>172</v>
          </cell>
          <cell r="AP43">
            <v>0</v>
          </cell>
          <cell r="AQ43">
            <v>64</v>
          </cell>
          <cell r="AR43">
            <v>160</v>
          </cell>
          <cell r="AS43">
            <v>0</v>
          </cell>
          <cell r="AT43">
            <v>159</v>
          </cell>
          <cell r="AU43">
            <v>0</v>
          </cell>
          <cell r="AV43">
            <v>159</v>
          </cell>
          <cell r="AW43">
            <v>41</v>
          </cell>
          <cell r="AX43">
            <v>120</v>
          </cell>
          <cell r="AY43">
            <v>176.46</v>
          </cell>
          <cell r="BS43">
            <v>127</v>
          </cell>
          <cell r="BT43">
            <v>0</v>
          </cell>
          <cell r="BU43">
            <v>1487</v>
          </cell>
          <cell r="BV43">
            <v>496.46000000000004</v>
          </cell>
          <cell r="BW43">
            <v>0</v>
          </cell>
          <cell r="BX43">
            <v>127</v>
          </cell>
          <cell r="BY43">
            <v>0</v>
          </cell>
          <cell r="BZ43">
            <v>1487</v>
          </cell>
          <cell r="CA43">
            <v>320</v>
          </cell>
          <cell r="CB43">
            <v>176.46</v>
          </cell>
        </row>
        <row r="44">
          <cell r="A44" t="str">
            <v>US59P015013991200012</v>
          </cell>
          <cell r="B44" t="str">
            <v>Pekin</v>
          </cell>
          <cell r="C44" t="str">
            <v>Jan-Dec</v>
          </cell>
          <cell r="D44" t="str">
            <v>US59P01501</v>
          </cell>
          <cell r="E44" t="str">
            <v>501</v>
          </cell>
          <cell r="F44" t="str">
            <v>Production Admin.</v>
          </cell>
          <cell r="G44" t="str">
            <v>01</v>
          </cell>
          <cell r="H44">
            <v>3991200012</v>
          </cell>
          <cell r="I44" t="str">
            <v>DELIVERY SERVICES</v>
          </cell>
          <cell r="J44" t="str">
            <v>VALID</v>
          </cell>
          <cell r="K44">
            <v>496</v>
          </cell>
          <cell r="L44">
            <v>0</v>
          </cell>
          <cell r="M44">
            <v>25</v>
          </cell>
          <cell r="N44">
            <v>0</v>
          </cell>
          <cell r="O44">
            <v>0</v>
          </cell>
          <cell r="P44">
            <v>0</v>
          </cell>
          <cell r="Q44">
            <v>0</v>
          </cell>
          <cell r="R44">
            <v>0</v>
          </cell>
          <cell r="S44">
            <v>25</v>
          </cell>
          <cell r="T44">
            <v>0</v>
          </cell>
          <cell r="U44">
            <v>0</v>
          </cell>
          <cell r="V44">
            <v>21</v>
          </cell>
          <cell r="W44">
            <v>0</v>
          </cell>
          <cell r="X44">
            <v>0</v>
          </cell>
          <cell r="Y44">
            <v>22</v>
          </cell>
          <cell r="Z44">
            <v>17</v>
          </cell>
          <cell r="AA44">
            <v>0</v>
          </cell>
          <cell r="AB44">
            <v>0</v>
          </cell>
          <cell r="AC44">
            <v>0</v>
          </cell>
          <cell r="AD44">
            <v>0</v>
          </cell>
          <cell r="AE44">
            <v>201</v>
          </cell>
          <cell r="AF44">
            <v>488</v>
          </cell>
          <cell r="AG44">
            <v>676</v>
          </cell>
          <cell r="AH44">
            <v>545</v>
          </cell>
          <cell r="AI44">
            <v>0</v>
          </cell>
          <cell r="AJ44">
            <v>0</v>
          </cell>
          <cell r="AK44">
            <v>332</v>
          </cell>
          <cell r="AL44">
            <v>227</v>
          </cell>
          <cell r="AM44">
            <v>0</v>
          </cell>
          <cell r="AN44">
            <v>0</v>
          </cell>
          <cell r="AO44">
            <v>12</v>
          </cell>
          <cell r="AP44">
            <v>231</v>
          </cell>
          <cell r="AQ44">
            <v>178</v>
          </cell>
          <cell r="AR44">
            <v>453</v>
          </cell>
          <cell r="AS44">
            <v>220</v>
          </cell>
          <cell r="AT44">
            <v>325</v>
          </cell>
          <cell r="AU44">
            <v>135</v>
          </cell>
          <cell r="AV44">
            <v>249</v>
          </cell>
          <cell r="AW44">
            <v>234</v>
          </cell>
          <cell r="AX44">
            <v>638</v>
          </cell>
          <cell r="BS44">
            <v>567</v>
          </cell>
          <cell r="BT44">
            <v>1949</v>
          </cell>
          <cell r="BU44">
            <v>1978</v>
          </cell>
          <cell r="BV44">
            <v>1256</v>
          </cell>
          <cell r="BW44">
            <v>0</v>
          </cell>
          <cell r="BX44">
            <v>567</v>
          </cell>
          <cell r="BY44">
            <v>1949</v>
          </cell>
          <cell r="BZ44">
            <v>1978</v>
          </cell>
          <cell r="CA44">
            <v>1256</v>
          </cell>
          <cell r="CB44">
            <v>0</v>
          </cell>
        </row>
        <row r="45">
          <cell r="A45" t="str">
            <v>US59P015013991200013</v>
          </cell>
          <cell r="B45" t="str">
            <v>Pekin</v>
          </cell>
          <cell r="C45" t="str">
            <v>Jan-Dec</v>
          </cell>
          <cell r="D45" t="str">
            <v>US59P01501</v>
          </cell>
          <cell r="E45" t="str">
            <v>501</v>
          </cell>
          <cell r="F45" t="str">
            <v>Production Admin.</v>
          </cell>
          <cell r="G45" t="str">
            <v>01</v>
          </cell>
          <cell r="H45">
            <v>3991200013</v>
          </cell>
          <cell r="I45" t="str">
            <v>CONTRIBUTIONS</v>
          </cell>
          <cell r="J45" t="str">
            <v>VALID</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BS45">
            <v>0</v>
          </cell>
          <cell r="BT45">
            <v>0</v>
          </cell>
          <cell r="BU45">
            <v>0</v>
          </cell>
          <cell r="BV45">
            <v>0</v>
          </cell>
          <cell r="BW45">
            <v>0</v>
          </cell>
          <cell r="BX45">
            <v>0</v>
          </cell>
          <cell r="BY45">
            <v>0</v>
          </cell>
          <cell r="BZ45">
            <v>0</v>
          </cell>
          <cell r="CA45">
            <v>0</v>
          </cell>
          <cell r="CB45">
            <v>0</v>
          </cell>
        </row>
        <row r="46">
          <cell r="A46" t="str">
            <v>US59P015013991200015</v>
          </cell>
          <cell r="B46" t="str">
            <v>Pekin</v>
          </cell>
          <cell r="C46" t="str">
            <v>Jan-Dec</v>
          </cell>
          <cell r="D46" t="str">
            <v>US59P01501</v>
          </cell>
          <cell r="E46" t="str">
            <v>501</v>
          </cell>
          <cell r="F46" t="str">
            <v>Production Admin.</v>
          </cell>
          <cell r="G46" t="str">
            <v>01</v>
          </cell>
          <cell r="H46">
            <v>3991200015</v>
          </cell>
          <cell r="I46" t="str">
            <v>TELEPHONE</v>
          </cell>
          <cell r="J46" t="str">
            <v>VALID</v>
          </cell>
          <cell r="K46">
            <v>8292</v>
          </cell>
          <cell r="L46">
            <v>721</v>
          </cell>
          <cell r="M46">
            <v>396</v>
          </cell>
          <cell r="N46">
            <v>1450</v>
          </cell>
          <cell r="O46">
            <v>884</v>
          </cell>
          <cell r="P46">
            <v>579</v>
          </cell>
          <cell r="Q46">
            <v>1449</v>
          </cell>
          <cell r="R46">
            <v>741</v>
          </cell>
          <cell r="S46">
            <v>1369</v>
          </cell>
          <cell r="T46">
            <v>685</v>
          </cell>
          <cell r="U46">
            <v>1535</v>
          </cell>
          <cell r="V46">
            <v>1174</v>
          </cell>
          <cell r="W46">
            <v>-118</v>
          </cell>
          <cell r="X46">
            <v>21</v>
          </cell>
          <cell r="Y46">
            <v>0</v>
          </cell>
          <cell r="Z46">
            <v>0</v>
          </cell>
          <cell r="AA46">
            <v>22</v>
          </cell>
          <cell r="AB46">
            <v>0</v>
          </cell>
          <cell r="AC46">
            <v>0</v>
          </cell>
          <cell r="AD46">
            <v>0</v>
          </cell>
          <cell r="AE46">
            <v>0</v>
          </cell>
          <cell r="AF46">
            <v>1210</v>
          </cell>
          <cell r="AG46">
            <v>260</v>
          </cell>
          <cell r="AH46">
            <v>0</v>
          </cell>
          <cell r="AI46">
            <v>990</v>
          </cell>
          <cell r="AJ46">
            <v>501</v>
          </cell>
          <cell r="AK46">
            <v>1074</v>
          </cell>
          <cell r="AL46">
            <v>1077</v>
          </cell>
          <cell r="AM46">
            <v>837</v>
          </cell>
          <cell r="AN46">
            <v>885</v>
          </cell>
          <cell r="AO46">
            <v>1100</v>
          </cell>
          <cell r="AP46">
            <v>529</v>
          </cell>
          <cell r="AQ46">
            <v>612</v>
          </cell>
          <cell r="AR46">
            <v>99</v>
          </cell>
          <cell r="AS46">
            <v>0</v>
          </cell>
          <cell r="AT46">
            <v>0</v>
          </cell>
          <cell r="AU46">
            <v>1119</v>
          </cell>
          <cell r="AV46">
            <v>635</v>
          </cell>
          <cell r="AW46">
            <v>0</v>
          </cell>
          <cell r="AX46">
            <v>105</v>
          </cell>
          <cell r="AY46">
            <v>753</v>
          </cell>
          <cell r="BS46">
            <v>19275</v>
          </cell>
          <cell r="BT46">
            <v>1395</v>
          </cell>
          <cell r="BU46">
            <v>7704</v>
          </cell>
          <cell r="BV46">
            <v>2612</v>
          </cell>
          <cell r="BW46">
            <v>0</v>
          </cell>
          <cell r="BX46">
            <v>19275</v>
          </cell>
          <cell r="BY46">
            <v>1395</v>
          </cell>
          <cell r="BZ46">
            <v>7704</v>
          </cell>
          <cell r="CA46">
            <v>1859</v>
          </cell>
          <cell r="CB46">
            <v>753</v>
          </cell>
        </row>
        <row r="47">
          <cell r="A47" t="str">
            <v>US59P015013991200018</v>
          </cell>
          <cell r="B47" t="str">
            <v>Pekin</v>
          </cell>
          <cell r="C47" t="str">
            <v>Jan-Dec</v>
          </cell>
          <cell r="D47" t="str">
            <v>US59P01501</v>
          </cell>
          <cell r="E47" t="str">
            <v>501</v>
          </cell>
          <cell r="F47" t="str">
            <v>Production Admin.</v>
          </cell>
          <cell r="G47" t="str">
            <v>01</v>
          </cell>
          <cell r="H47">
            <v>3991200018</v>
          </cell>
          <cell r="I47" t="str">
            <v>SUBSCRIPTIONS</v>
          </cell>
          <cell r="J47" t="str">
            <v>VALID</v>
          </cell>
          <cell r="K47">
            <v>0</v>
          </cell>
          <cell r="L47">
            <v>0</v>
          </cell>
          <cell r="M47">
            <v>0</v>
          </cell>
          <cell r="N47">
            <v>0</v>
          </cell>
          <cell r="O47">
            <v>0</v>
          </cell>
          <cell r="P47">
            <v>0</v>
          </cell>
          <cell r="Q47">
            <v>0</v>
          </cell>
          <cell r="R47">
            <v>0</v>
          </cell>
          <cell r="S47">
            <v>0</v>
          </cell>
          <cell r="T47">
            <v>0</v>
          </cell>
          <cell r="U47">
            <v>0</v>
          </cell>
          <cell r="V47">
            <v>0</v>
          </cell>
          <cell r="W47">
            <v>450</v>
          </cell>
          <cell r="X47">
            <v>0</v>
          </cell>
          <cell r="Y47">
            <v>0</v>
          </cell>
          <cell r="Z47">
            <v>0</v>
          </cell>
          <cell r="AA47">
            <v>0</v>
          </cell>
          <cell r="AB47">
            <v>0</v>
          </cell>
          <cell r="AC47">
            <v>0</v>
          </cell>
          <cell r="AD47">
            <v>0</v>
          </cell>
          <cell r="AE47">
            <v>0</v>
          </cell>
          <cell r="AF47">
            <v>0</v>
          </cell>
          <cell r="AG47">
            <v>0</v>
          </cell>
          <cell r="AH47">
            <v>244</v>
          </cell>
          <cell r="AI47">
            <v>0</v>
          </cell>
          <cell r="AJ47">
            <v>106</v>
          </cell>
          <cell r="AK47">
            <v>318</v>
          </cell>
          <cell r="AL47">
            <v>0</v>
          </cell>
          <cell r="AM47">
            <v>0</v>
          </cell>
          <cell r="AN47">
            <v>30</v>
          </cell>
          <cell r="AO47">
            <v>0</v>
          </cell>
          <cell r="AP47">
            <v>0</v>
          </cell>
          <cell r="AQ47">
            <v>0</v>
          </cell>
          <cell r="AR47">
            <v>0</v>
          </cell>
          <cell r="AS47">
            <v>0</v>
          </cell>
          <cell r="AT47">
            <v>0</v>
          </cell>
          <cell r="AU47">
            <v>0</v>
          </cell>
          <cell r="AV47">
            <v>0</v>
          </cell>
          <cell r="AW47">
            <v>0</v>
          </cell>
          <cell r="AX47">
            <v>0</v>
          </cell>
          <cell r="BC47">
            <v>100</v>
          </cell>
          <cell r="BD47">
            <v>100</v>
          </cell>
          <cell r="BE47">
            <v>100</v>
          </cell>
          <cell r="BF47">
            <v>100</v>
          </cell>
          <cell r="BS47">
            <v>0</v>
          </cell>
          <cell r="BT47">
            <v>694</v>
          </cell>
          <cell r="BU47">
            <v>454</v>
          </cell>
          <cell r="BV47">
            <v>400</v>
          </cell>
          <cell r="BW47">
            <v>0</v>
          </cell>
          <cell r="BX47">
            <v>0</v>
          </cell>
          <cell r="BY47">
            <v>694</v>
          </cell>
          <cell r="BZ47">
            <v>454</v>
          </cell>
          <cell r="CA47">
            <v>0</v>
          </cell>
          <cell r="CB47">
            <v>400</v>
          </cell>
        </row>
        <row r="48">
          <cell r="A48" t="str">
            <v>US59P015013991200069</v>
          </cell>
          <cell r="B48" t="str">
            <v>Pekin</v>
          </cell>
          <cell r="C48" t="str">
            <v>Jan-Dec</v>
          </cell>
          <cell r="D48" t="str">
            <v>US59P01501</v>
          </cell>
          <cell r="E48" t="str">
            <v>501</v>
          </cell>
          <cell r="F48" t="str">
            <v>Production Admin.</v>
          </cell>
          <cell r="G48" t="str">
            <v>01</v>
          </cell>
          <cell r="H48">
            <v>3991200069</v>
          </cell>
          <cell r="I48" t="str">
            <v>COMPANY MEMBERSHIP DUES</v>
          </cell>
          <cell r="J48" t="str">
            <v>VALID</v>
          </cell>
          <cell r="K48">
            <v>0</v>
          </cell>
          <cell r="L48">
            <v>0</v>
          </cell>
          <cell r="M48">
            <v>0</v>
          </cell>
          <cell r="N48">
            <v>0</v>
          </cell>
          <cell r="O48">
            <v>0</v>
          </cell>
          <cell r="P48">
            <v>0</v>
          </cell>
          <cell r="Q48">
            <v>0</v>
          </cell>
          <cell r="R48">
            <v>0</v>
          </cell>
          <cell r="S48">
            <v>0</v>
          </cell>
          <cell r="T48">
            <v>0</v>
          </cell>
          <cell r="U48">
            <v>0</v>
          </cell>
          <cell r="V48">
            <v>265</v>
          </cell>
          <cell r="W48">
            <v>0</v>
          </cell>
          <cell r="X48">
            <v>0</v>
          </cell>
          <cell r="Y48">
            <v>0</v>
          </cell>
          <cell r="Z48">
            <v>0</v>
          </cell>
          <cell r="AA48">
            <v>0</v>
          </cell>
          <cell r="AB48">
            <v>0</v>
          </cell>
          <cell r="AC48">
            <v>0</v>
          </cell>
          <cell r="AD48">
            <v>0</v>
          </cell>
          <cell r="AE48">
            <v>0</v>
          </cell>
          <cell r="AF48">
            <v>40</v>
          </cell>
          <cell r="AG48">
            <v>315</v>
          </cell>
          <cell r="AH48">
            <v>0</v>
          </cell>
          <cell r="AI48">
            <v>0</v>
          </cell>
          <cell r="AJ48">
            <v>0</v>
          </cell>
          <cell r="AK48">
            <v>0</v>
          </cell>
          <cell r="AL48">
            <v>0</v>
          </cell>
          <cell r="AM48">
            <v>0</v>
          </cell>
          <cell r="AN48">
            <v>0</v>
          </cell>
          <cell r="AO48">
            <v>0</v>
          </cell>
          <cell r="AP48">
            <v>0</v>
          </cell>
          <cell r="AQ48">
            <v>0</v>
          </cell>
          <cell r="AR48">
            <v>0</v>
          </cell>
          <cell r="AS48">
            <v>280</v>
          </cell>
          <cell r="AT48">
            <v>450</v>
          </cell>
          <cell r="AU48">
            <v>0</v>
          </cell>
          <cell r="AV48">
            <v>0</v>
          </cell>
          <cell r="AW48">
            <v>0</v>
          </cell>
          <cell r="AX48">
            <v>0</v>
          </cell>
          <cell r="AY48">
            <v>30</v>
          </cell>
          <cell r="BG48">
            <v>500</v>
          </cell>
          <cell r="BS48">
            <v>265</v>
          </cell>
          <cell r="BT48">
            <v>355</v>
          </cell>
          <cell r="BU48">
            <v>730</v>
          </cell>
          <cell r="BV48">
            <v>30</v>
          </cell>
          <cell r="BW48">
            <v>500</v>
          </cell>
          <cell r="BX48">
            <v>265</v>
          </cell>
          <cell r="BY48">
            <v>355</v>
          </cell>
          <cell r="BZ48">
            <v>730</v>
          </cell>
          <cell r="CA48">
            <v>0</v>
          </cell>
          <cell r="CB48">
            <v>30</v>
          </cell>
        </row>
        <row r="49">
          <cell r="A49" t="str">
            <v>US59P015013991200099</v>
          </cell>
          <cell r="B49" t="str">
            <v>Pekin</v>
          </cell>
          <cell r="C49" t="str">
            <v>Jan-Dec</v>
          </cell>
          <cell r="D49" t="str">
            <v>US59P01501</v>
          </cell>
          <cell r="E49" t="str">
            <v>501</v>
          </cell>
          <cell r="F49" t="str">
            <v>Production Admin.</v>
          </cell>
          <cell r="G49" t="str">
            <v>01</v>
          </cell>
          <cell r="H49">
            <v>3991200099</v>
          </cell>
          <cell r="I49" t="str">
            <v>OTHER EXPENSES TO 3RD PARTIES - ADJUSTME</v>
          </cell>
          <cell r="J49" t="str">
            <v>VALID</v>
          </cell>
          <cell r="K49">
            <v>-990</v>
          </cell>
          <cell r="L49">
            <v>-500</v>
          </cell>
          <cell r="M49">
            <v>-463</v>
          </cell>
          <cell r="N49">
            <v>0</v>
          </cell>
          <cell r="O49">
            <v>-1000</v>
          </cell>
          <cell r="P49">
            <v>0</v>
          </cell>
          <cell r="Q49">
            <v>0</v>
          </cell>
          <cell r="R49">
            <v>0</v>
          </cell>
          <cell r="S49">
            <v>-146</v>
          </cell>
          <cell r="T49">
            <v>-2411</v>
          </cell>
          <cell r="U49">
            <v>-1468</v>
          </cell>
          <cell r="V49">
            <v>0</v>
          </cell>
          <cell r="W49">
            <v>-446</v>
          </cell>
          <cell r="X49">
            <v>23</v>
          </cell>
          <cell r="Y49">
            <v>-397</v>
          </cell>
          <cell r="Z49">
            <v>0</v>
          </cell>
          <cell r="AA49">
            <v>-933</v>
          </cell>
          <cell r="AB49">
            <v>98</v>
          </cell>
          <cell r="AC49">
            <v>-253</v>
          </cell>
          <cell r="AD49">
            <v>212</v>
          </cell>
          <cell r="AE49">
            <v>184</v>
          </cell>
          <cell r="AF49">
            <v>5</v>
          </cell>
          <cell r="AG49">
            <v>-5</v>
          </cell>
          <cell r="AH49">
            <v>73</v>
          </cell>
          <cell r="AI49">
            <v>187</v>
          </cell>
          <cell r="AJ49">
            <v>152</v>
          </cell>
          <cell r="AK49">
            <v>300</v>
          </cell>
          <cell r="AL49">
            <v>0</v>
          </cell>
          <cell r="AM49">
            <v>626</v>
          </cell>
          <cell r="AN49">
            <v>173</v>
          </cell>
          <cell r="AO49">
            <v>0</v>
          </cell>
          <cell r="AP49">
            <v>170</v>
          </cell>
          <cell r="AQ49">
            <v>0</v>
          </cell>
          <cell r="AR49">
            <v>25</v>
          </cell>
          <cell r="AS49">
            <v>1134</v>
          </cell>
          <cell r="AT49">
            <v>464</v>
          </cell>
          <cell r="AU49">
            <v>53</v>
          </cell>
          <cell r="AV49">
            <v>33</v>
          </cell>
          <cell r="AW49">
            <v>0</v>
          </cell>
          <cell r="AX49">
            <v>327</v>
          </cell>
          <cell r="AY49">
            <v>433.91</v>
          </cell>
          <cell r="BS49">
            <v>-6978</v>
          </cell>
          <cell r="BT49">
            <v>-1439</v>
          </cell>
          <cell r="BU49">
            <v>3231</v>
          </cell>
          <cell r="BV49">
            <v>846.91000000000008</v>
          </cell>
          <cell r="BW49">
            <v>0</v>
          </cell>
          <cell r="BX49">
            <v>-6978</v>
          </cell>
          <cell r="BY49">
            <v>-1439</v>
          </cell>
          <cell r="BZ49">
            <v>3231</v>
          </cell>
          <cell r="CA49">
            <v>413</v>
          </cell>
          <cell r="CB49">
            <v>433.91</v>
          </cell>
        </row>
        <row r="50">
          <cell r="A50" t="str">
            <v>US59P015013111100020</v>
          </cell>
          <cell r="B50" t="str">
            <v>Pekin</v>
          </cell>
          <cell r="C50" t="str">
            <v>Jan-Dec</v>
          </cell>
          <cell r="D50" t="str">
            <v>US59P01501</v>
          </cell>
          <cell r="E50" t="str">
            <v>501</v>
          </cell>
          <cell r="F50" t="str">
            <v>Production Admin.</v>
          </cell>
          <cell r="G50" t="str">
            <v>01</v>
          </cell>
          <cell r="H50">
            <v>3111100020</v>
          </cell>
          <cell r="I50" t="str">
            <v>INCENTIVE PLAN (functions)</v>
          </cell>
          <cell r="J50" t="str">
            <v>INVALID</v>
          </cell>
          <cell r="K50">
            <v>0</v>
          </cell>
          <cell r="L50">
            <v>0</v>
          </cell>
          <cell r="M50">
            <v>0</v>
          </cell>
          <cell r="N50">
            <v>0</v>
          </cell>
          <cell r="O50">
            <v>0</v>
          </cell>
          <cell r="P50">
            <v>0</v>
          </cell>
          <cell r="Q50">
            <v>0</v>
          </cell>
          <cell r="R50">
            <v>0</v>
          </cell>
          <cell r="S50">
            <v>0</v>
          </cell>
          <cell r="T50">
            <v>0</v>
          </cell>
          <cell r="U50">
            <v>0</v>
          </cell>
          <cell r="V50">
            <v>0</v>
          </cell>
          <cell r="W50">
            <v>840</v>
          </cell>
          <cell r="X50">
            <v>-840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BS50">
            <v>0</v>
          </cell>
          <cell r="BT50">
            <v>0</v>
          </cell>
          <cell r="BU50">
            <v>0</v>
          </cell>
          <cell r="BV50">
            <v>0</v>
          </cell>
          <cell r="BW50">
            <v>0</v>
          </cell>
          <cell r="BX50">
            <v>0</v>
          </cell>
          <cell r="BY50">
            <v>0</v>
          </cell>
          <cell r="BZ50">
            <v>0</v>
          </cell>
          <cell r="CA50">
            <v>0</v>
          </cell>
          <cell r="CB50">
            <v>0</v>
          </cell>
        </row>
        <row r="51">
          <cell r="A51" t="str">
            <v>US59P015013131100005</v>
          </cell>
          <cell r="B51" t="str">
            <v>Pekin</v>
          </cell>
          <cell r="C51" t="str">
            <v>Jan-Dec</v>
          </cell>
          <cell r="D51" t="str">
            <v>US59P01501</v>
          </cell>
          <cell r="E51" t="str">
            <v>501</v>
          </cell>
          <cell r="F51" t="str">
            <v>Production Admin.</v>
          </cell>
          <cell r="G51" t="str">
            <v>01</v>
          </cell>
          <cell r="H51">
            <v>3131100005</v>
          </cell>
          <cell r="I51" t="str">
            <v>MOVINGS</v>
          </cell>
          <cell r="J51" t="str">
            <v>INVALID</v>
          </cell>
          <cell r="K51">
            <v>0</v>
          </cell>
          <cell r="L51">
            <v>0</v>
          </cell>
          <cell r="M51">
            <v>3500</v>
          </cell>
          <cell r="N51">
            <v>700</v>
          </cell>
          <cell r="O51">
            <v>1285</v>
          </cell>
          <cell r="P51">
            <v>0</v>
          </cell>
          <cell r="Q51">
            <v>0</v>
          </cell>
          <cell r="R51">
            <v>0</v>
          </cell>
          <cell r="S51">
            <v>0</v>
          </cell>
          <cell r="T51">
            <v>0</v>
          </cell>
          <cell r="U51">
            <v>0</v>
          </cell>
          <cell r="V51">
            <v>0</v>
          </cell>
          <cell r="W51">
            <v>0</v>
          </cell>
          <cell r="X51">
            <v>0</v>
          </cell>
          <cell r="Y51">
            <v>9750</v>
          </cell>
          <cell r="Z51">
            <v>380</v>
          </cell>
          <cell r="AA51">
            <v>5565</v>
          </cell>
          <cell r="AB51">
            <v>23470</v>
          </cell>
          <cell r="AC51">
            <v>22472</v>
          </cell>
          <cell r="AD51">
            <v>2973</v>
          </cell>
          <cell r="AE51">
            <v>25260</v>
          </cell>
          <cell r="AF51">
            <v>3387</v>
          </cell>
          <cell r="AG51">
            <v>0</v>
          </cell>
          <cell r="AH51">
            <v>-1773</v>
          </cell>
          <cell r="AI51">
            <v>320</v>
          </cell>
          <cell r="AJ51">
            <v>177</v>
          </cell>
          <cell r="AK51">
            <v>0</v>
          </cell>
          <cell r="AL51">
            <v>2183</v>
          </cell>
          <cell r="AM51">
            <v>4119</v>
          </cell>
          <cell r="AN51">
            <v>0</v>
          </cell>
          <cell r="AO51">
            <v>1007</v>
          </cell>
          <cell r="AP51">
            <v>3625</v>
          </cell>
          <cell r="AQ51">
            <v>4939</v>
          </cell>
          <cell r="AR51">
            <v>36995</v>
          </cell>
          <cell r="AS51">
            <v>-83495</v>
          </cell>
          <cell r="AT51">
            <v>30129</v>
          </cell>
          <cell r="AU51">
            <v>0</v>
          </cell>
          <cell r="AV51">
            <v>0</v>
          </cell>
          <cell r="AW51">
            <v>0</v>
          </cell>
          <cell r="AX51">
            <v>0</v>
          </cell>
          <cell r="BS51">
            <v>5485</v>
          </cell>
          <cell r="BT51">
            <v>91484</v>
          </cell>
          <cell r="BU51">
            <v>-1</v>
          </cell>
          <cell r="BV51">
            <v>0</v>
          </cell>
          <cell r="BW51">
            <v>0</v>
          </cell>
          <cell r="BX51">
            <v>5485</v>
          </cell>
          <cell r="BY51">
            <v>91484</v>
          </cell>
          <cell r="BZ51">
            <v>-1</v>
          </cell>
          <cell r="CA51">
            <v>0</v>
          </cell>
          <cell r="CB51">
            <v>0</v>
          </cell>
        </row>
        <row r="52">
          <cell r="A52" t="str">
            <v>US59P015013131100006</v>
          </cell>
          <cell r="B52" t="str">
            <v>Pekin</v>
          </cell>
          <cell r="C52" t="str">
            <v>Jan-Dec</v>
          </cell>
          <cell r="D52" t="str">
            <v>US59P01501</v>
          </cell>
          <cell r="E52" t="str">
            <v>501</v>
          </cell>
          <cell r="F52" t="str">
            <v>Production Admin.</v>
          </cell>
          <cell r="G52" t="str">
            <v>01</v>
          </cell>
          <cell r="H52">
            <v>3131100006</v>
          </cell>
          <cell r="I52" t="str">
            <v>RECRUITMENT</v>
          </cell>
          <cell r="J52" t="str">
            <v>INVALID</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995</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402</v>
          </cell>
          <cell r="AQ52">
            <v>0</v>
          </cell>
          <cell r="AR52">
            <v>0</v>
          </cell>
          <cell r="AS52">
            <v>0</v>
          </cell>
          <cell r="AT52">
            <v>0</v>
          </cell>
          <cell r="AU52">
            <v>0</v>
          </cell>
          <cell r="AV52">
            <v>0</v>
          </cell>
          <cell r="AW52">
            <v>0</v>
          </cell>
          <cell r="AX52">
            <v>0</v>
          </cell>
          <cell r="BS52">
            <v>0</v>
          </cell>
          <cell r="BT52">
            <v>995</v>
          </cell>
          <cell r="BU52">
            <v>402</v>
          </cell>
          <cell r="BV52">
            <v>0</v>
          </cell>
          <cell r="BW52">
            <v>0</v>
          </cell>
          <cell r="BX52">
            <v>0</v>
          </cell>
          <cell r="BY52">
            <v>995</v>
          </cell>
          <cell r="BZ52">
            <v>402</v>
          </cell>
          <cell r="CA52">
            <v>0</v>
          </cell>
          <cell r="CB52">
            <v>0</v>
          </cell>
        </row>
        <row r="53">
          <cell r="A53" t="str">
            <v>US59P015013201400003</v>
          </cell>
          <cell r="B53" t="str">
            <v>Pekin</v>
          </cell>
          <cell r="C53" t="str">
            <v>Jan-Dec</v>
          </cell>
          <cell r="D53" t="str">
            <v>US59P01501</v>
          </cell>
          <cell r="E53" t="str">
            <v>501</v>
          </cell>
          <cell r="F53" t="str">
            <v>Production Admin.</v>
          </cell>
          <cell r="G53" t="str">
            <v>01</v>
          </cell>
          <cell r="H53">
            <v>3201400003</v>
          </cell>
          <cell r="I53" t="str">
            <v>MAINTENANCE OF OFFICE EQUIPMENT AND FURN</v>
          </cell>
          <cell r="J53" t="str">
            <v>INVALID</v>
          </cell>
          <cell r="K53">
            <v>0</v>
          </cell>
          <cell r="L53">
            <v>0</v>
          </cell>
          <cell r="M53">
            <v>0</v>
          </cell>
          <cell r="N53">
            <v>0</v>
          </cell>
          <cell r="O53">
            <v>0</v>
          </cell>
          <cell r="P53">
            <v>0</v>
          </cell>
          <cell r="Q53">
            <v>0</v>
          </cell>
          <cell r="R53">
            <v>0</v>
          </cell>
          <cell r="S53">
            <v>0</v>
          </cell>
          <cell r="T53">
            <v>0</v>
          </cell>
          <cell r="U53">
            <v>0</v>
          </cell>
          <cell r="V53">
            <v>0</v>
          </cell>
          <cell r="W53">
            <v>0</v>
          </cell>
          <cell r="X53">
            <v>140</v>
          </cell>
          <cell r="Y53">
            <v>0</v>
          </cell>
          <cell r="Z53">
            <v>0</v>
          </cell>
          <cell r="AA53">
            <v>0</v>
          </cell>
          <cell r="AB53">
            <v>130</v>
          </cell>
          <cell r="AC53">
            <v>242</v>
          </cell>
          <cell r="AD53">
            <v>124</v>
          </cell>
          <cell r="AE53">
            <v>229</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BS53">
            <v>0</v>
          </cell>
          <cell r="BT53">
            <v>865</v>
          </cell>
          <cell r="BU53">
            <v>0</v>
          </cell>
          <cell r="BV53">
            <v>0</v>
          </cell>
          <cell r="BW53">
            <v>0</v>
          </cell>
          <cell r="BX53">
            <v>0</v>
          </cell>
          <cell r="BY53">
            <v>865</v>
          </cell>
          <cell r="BZ53">
            <v>0</v>
          </cell>
          <cell r="CA53">
            <v>0</v>
          </cell>
          <cell r="CB53">
            <v>0</v>
          </cell>
        </row>
        <row r="54">
          <cell r="A54" t="str">
            <v>US59P015013201400006</v>
          </cell>
          <cell r="B54" t="str">
            <v>Pekin</v>
          </cell>
          <cell r="C54" t="str">
            <v>Jan-Dec</v>
          </cell>
          <cell r="D54" t="str">
            <v>US59P01501</v>
          </cell>
          <cell r="E54" t="str">
            <v>501</v>
          </cell>
          <cell r="F54" t="str">
            <v>Production Admin.</v>
          </cell>
          <cell r="G54" t="str">
            <v>01</v>
          </cell>
          <cell r="H54">
            <v>3201400006</v>
          </cell>
          <cell r="I54" t="str">
            <v>MAINTENANCE OF GREEN AREAS</v>
          </cell>
          <cell r="J54" t="str">
            <v>INVALID</v>
          </cell>
          <cell r="K54">
            <v>0</v>
          </cell>
          <cell r="L54">
            <v>0</v>
          </cell>
          <cell r="M54">
            <v>0</v>
          </cell>
          <cell r="N54">
            <v>0</v>
          </cell>
          <cell r="O54">
            <v>0</v>
          </cell>
          <cell r="P54">
            <v>0</v>
          </cell>
          <cell r="Q54">
            <v>0</v>
          </cell>
          <cell r="R54">
            <v>0</v>
          </cell>
          <cell r="S54">
            <v>0</v>
          </cell>
          <cell r="T54">
            <v>0</v>
          </cell>
          <cell r="U54">
            <v>0</v>
          </cell>
          <cell r="V54">
            <v>0</v>
          </cell>
          <cell r="W54">
            <v>2000</v>
          </cell>
          <cell r="X54">
            <v>0</v>
          </cell>
          <cell r="Y54">
            <v>0</v>
          </cell>
          <cell r="Z54">
            <v>0</v>
          </cell>
          <cell r="AA54">
            <v>0</v>
          </cell>
          <cell r="AB54">
            <v>938</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BS54">
            <v>0</v>
          </cell>
          <cell r="BT54">
            <v>2938</v>
          </cell>
          <cell r="BU54">
            <v>0</v>
          </cell>
          <cell r="BV54">
            <v>0</v>
          </cell>
          <cell r="BW54">
            <v>0</v>
          </cell>
          <cell r="BX54">
            <v>0</v>
          </cell>
          <cell r="BY54">
            <v>2938</v>
          </cell>
          <cell r="BZ54">
            <v>0</v>
          </cell>
          <cell r="CA54">
            <v>0</v>
          </cell>
          <cell r="CB54">
            <v>0</v>
          </cell>
        </row>
        <row r="55">
          <cell r="A55" t="str">
            <v>US59P015013201400054</v>
          </cell>
          <cell r="B55" t="str">
            <v>Pekin</v>
          </cell>
          <cell r="C55" t="str">
            <v>Jan-Dec</v>
          </cell>
          <cell r="D55" t="str">
            <v>US59P01501</v>
          </cell>
          <cell r="E55" t="str">
            <v>501</v>
          </cell>
          <cell r="F55" t="str">
            <v>Production Admin.</v>
          </cell>
          <cell r="G55" t="str">
            <v>01</v>
          </cell>
          <cell r="H55">
            <v>3201400054</v>
          </cell>
          <cell r="I55" t="str">
            <v>TECHNICAL SERVICES</v>
          </cell>
          <cell r="J55" t="str">
            <v>INVALID</v>
          </cell>
          <cell r="K55">
            <v>203</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BS55">
            <v>203</v>
          </cell>
          <cell r="BT55">
            <v>0</v>
          </cell>
          <cell r="BU55">
            <v>0</v>
          </cell>
          <cell r="BV55">
            <v>0</v>
          </cell>
          <cell r="BW55">
            <v>0</v>
          </cell>
          <cell r="BX55">
            <v>203</v>
          </cell>
          <cell r="BY55">
            <v>0</v>
          </cell>
          <cell r="BZ55">
            <v>0</v>
          </cell>
          <cell r="CA55">
            <v>0</v>
          </cell>
          <cell r="CB55">
            <v>0</v>
          </cell>
        </row>
        <row r="56">
          <cell r="A56" t="str">
            <v>US59P015013201400056</v>
          </cell>
          <cell r="B56" t="str">
            <v>Pekin</v>
          </cell>
          <cell r="C56" t="str">
            <v>Jan-Dec</v>
          </cell>
          <cell r="D56" t="str">
            <v>US59P01501</v>
          </cell>
          <cell r="E56" t="str">
            <v>501</v>
          </cell>
          <cell r="F56" t="str">
            <v>Production Admin.</v>
          </cell>
          <cell r="G56" t="str">
            <v>01</v>
          </cell>
          <cell r="H56">
            <v>3201400056</v>
          </cell>
          <cell r="I56" t="str">
            <v>FIELD AND PRODUCTION EXPENSES</v>
          </cell>
          <cell r="J56" t="str">
            <v>INVALID</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BS56">
            <v>0</v>
          </cell>
          <cell r="BT56">
            <v>0</v>
          </cell>
          <cell r="BU56">
            <v>0</v>
          </cell>
          <cell r="BV56">
            <v>0</v>
          </cell>
          <cell r="BW56">
            <v>0</v>
          </cell>
          <cell r="BX56">
            <v>0</v>
          </cell>
          <cell r="BY56">
            <v>0</v>
          </cell>
          <cell r="BZ56">
            <v>0</v>
          </cell>
          <cell r="CA56">
            <v>0</v>
          </cell>
          <cell r="CB56">
            <v>0</v>
          </cell>
        </row>
        <row r="57">
          <cell r="A57" t="str">
            <v>US59P015013501500031</v>
          </cell>
          <cell r="B57" t="str">
            <v>Pekin</v>
          </cell>
          <cell r="C57" t="str">
            <v>Jan-Dec</v>
          </cell>
          <cell r="D57" t="str">
            <v>US59P01501</v>
          </cell>
          <cell r="E57" t="str">
            <v>501</v>
          </cell>
          <cell r="F57" t="str">
            <v>Production Admin.</v>
          </cell>
          <cell r="G57" t="str">
            <v>01</v>
          </cell>
          <cell r="H57">
            <v>3501500031</v>
          </cell>
          <cell r="I57" t="str">
            <v>BUSINESS LICENSES &amp; LOCAL TAXES</v>
          </cell>
          <cell r="J57" t="str">
            <v>INVALID</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884</v>
          </cell>
          <cell r="AM57">
            <v>0</v>
          </cell>
          <cell r="AN57">
            <v>0</v>
          </cell>
          <cell r="AO57">
            <v>0</v>
          </cell>
          <cell r="AP57">
            <v>0</v>
          </cell>
          <cell r="AQ57">
            <v>0</v>
          </cell>
          <cell r="AR57">
            <v>0</v>
          </cell>
          <cell r="AS57">
            <v>0</v>
          </cell>
          <cell r="AT57">
            <v>0</v>
          </cell>
          <cell r="AU57">
            <v>0</v>
          </cell>
          <cell r="AV57">
            <v>0</v>
          </cell>
          <cell r="AW57">
            <v>0</v>
          </cell>
          <cell r="AX57">
            <v>0</v>
          </cell>
          <cell r="BS57">
            <v>0</v>
          </cell>
          <cell r="BT57">
            <v>0</v>
          </cell>
          <cell r="BU57">
            <v>884</v>
          </cell>
          <cell r="BV57">
            <v>0</v>
          </cell>
          <cell r="BW57">
            <v>0</v>
          </cell>
          <cell r="BX57">
            <v>0</v>
          </cell>
          <cell r="BY57">
            <v>0</v>
          </cell>
          <cell r="BZ57">
            <v>884</v>
          </cell>
          <cell r="CA57">
            <v>0</v>
          </cell>
          <cell r="CB57">
            <v>0</v>
          </cell>
        </row>
        <row r="58">
          <cell r="A58" t="str">
            <v>US59P015013911200014</v>
          </cell>
          <cell r="B58" t="str">
            <v>Pekin</v>
          </cell>
          <cell r="C58" t="str">
            <v>Jan-Dec</v>
          </cell>
          <cell r="D58" t="str">
            <v>US59P01501</v>
          </cell>
          <cell r="E58" t="str">
            <v>501</v>
          </cell>
          <cell r="F58" t="str">
            <v>Production Admin.</v>
          </cell>
          <cell r="G58" t="str">
            <v>01</v>
          </cell>
          <cell r="H58">
            <v>3911200014</v>
          </cell>
          <cell r="I58" t="str">
            <v>PROMOTIONAL EXPENSES OTHERS</v>
          </cell>
          <cell r="J58" t="str">
            <v>INVALID</v>
          </cell>
          <cell r="K58">
            <v>0</v>
          </cell>
          <cell r="L58">
            <v>0</v>
          </cell>
          <cell r="M58">
            <v>1140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BS58">
            <v>1140</v>
          </cell>
          <cell r="BT58">
            <v>0</v>
          </cell>
          <cell r="BU58">
            <v>0</v>
          </cell>
          <cell r="BV58">
            <v>0</v>
          </cell>
          <cell r="BW58">
            <v>0</v>
          </cell>
          <cell r="BX58">
            <v>1140</v>
          </cell>
          <cell r="BY58">
            <v>0</v>
          </cell>
          <cell r="BZ58">
            <v>0</v>
          </cell>
          <cell r="CA58">
            <v>0</v>
          </cell>
          <cell r="CB58">
            <v>0</v>
          </cell>
        </row>
        <row r="59">
          <cell r="A59" t="str">
            <v>US59P015013921200100</v>
          </cell>
          <cell r="B59" t="str">
            <v>Pekin</v>
          </cell>
          <cell r="C59" t="str">
            <v>Jan-Dec</v>
          </cell>
          <cell r="D59" t="str">
            <v>US59P01501</v>
          </cell>
          <cell r="E59" t="str">
            <v>501</v>
          </cell>
          <cell r="F59" t="str">
            <v>Production Admin.</v>
          </cell>
          <cell r="G59" t="str">
            <v>01</v>
          </cell>
          <cell r="H59">
            <v>3921200100</v>
          </cell>
          <cell r="I59" t="str">
            <v>FIELD &amp; PRODUCTION SUPPLIES</v>
          </cell>
          <cell r="J59" t="str">
            <v>INVALID</v>
          </cell>
          <cell r="K59">
            <v>0</v>
          </cell>
          <cell r="L59">
            <v>0</v>
          </cell>
          <cell r="M59">
            <v>0</v>
          </cell>
          <cell r="N59">
            <v>0</v>
          </cell>
          <cell r="O59">
            <v>0</v>
          </cell>
          <cell r="P59">
            <v>0</v>
          </cell>
          <cell r="Q59">
            <v>809</v>
          </cell>
          <cell r="R59">
            <v>0</v>
          </cell>
          <cell r="S59">
            <v>0</v>
          </cell>
          <cell r="T59">
            <v>0</v>
          </cell>
          <cell r="U59">
            <v>0</v>
          </cell>
          <cell r="V59">
            <v>0</v>
          </cell>
          <cell r="W59">
            <v>0</v>
          </cell>
          <cell r="X59">
            <v>0</v>
          </cell>
          <cell r="Y59">
            <v>30</v>
          </cell>
          <cell r="Z59">
            <v>0</v>
          </cell>
          <cell r="AA59">
            <v>667</v>
          </cell>
          <cell r="AB59">
            <v>0</v>
          </cell>
          <cell r="AC59">
            <v>0</v>
          </cell>
          <cell r="AD59">
            <v>0</v>
          </cell>
          <cell r="AE59">
            <v>0</v>
          </cell>
          <cell r="AF59">
            <v>0</v>
          </cell>
          <cell r="AG59">
            <v>0</v>
          </cell>
          <cell r="AH59">
            <v>0</v>
          </cell>
          <cell r="AI59">
            <v>0</v>
          </cell>
          <cell r="AJ59">
            <v>0</v>
          </cell>
          <cell r="AK59">
            <v>0</v>
          </cell>
          <cell r="AL59">
            <v>11</v>
          </cell>
          <cell r="AM59">
            <v>0</v>
          </cell>
          <cell r="AN59">
            <v>0</v>
          </cell>
          <cell r="AO59">
            <v>0</v>
          </cell>
          <cell r="AP59">
            <v>0</v>
          </cell>
          <cell r="AQ59">
            <v>0</v>
          </cell>
          <cell r="AR59">
            <v>0</v>
          </cell>
          <cell r="AS59">
            <v>0</v>
          </cell>
          <cell r="AT59">
            <v>0</v>
          </cell>
          <cell r="AU59">
            <v>0</v>
          </cell>
          <cell r="AV59">
            <v>0</v>
          </cell>
          <cell r="AW59">
            <v>0</v>
          </cell>
          <cell r="AX59">
            <v>0</v>
          </cell>
          <cell r="BS59">
            <v>809</v>
          </cell>
          <cell r="BT59">
            <v>697</v>
          </cell>
          <cell r="BU59">
            <v>11</v>
          </cell>
          <cell r="BV59">
            <v>0</v>
          </cell>
          <cell r="BW59">
            <v>0</v>
          </cell>
          <cell r="BX59">
            <v>809</v>
          </cell>
          <cell r="BY59">
            <v>697</v>
          </cell>
          <cell r="BZ59">
            <v>11</v>
          </cell>
          <cell r="CA59">
            <v>0</v>
          </cell>
          <cell r="CB59">
            <v>0</v>
          </cell>
        </row>
        <row r="60">
          <cell r="A60" t="str">
            <v>US59P015013981100067</v>
          </cell>
          <cell r="B60" t="str">
            <v>Pekin</v>
          </cell>
          <cell r="C60" t="str">
            <v>Jan-Dec</v>
          </cell>
          <cell r="D60" t="str">
            <v>US59P01501</v>
          </cell>
          <cell r="E60" t="str">
            <v>501</v>
          </cell>
          <cell r="F60" t="str">
            <v>Production Admin.</v>
          </cell>
          <cell r="G60" t="str">
            <v>01</v>
          </cell>
          <cell r="H60">
            <v>3981100067</v>
          </cell>
          <cell r="I60" t="str">
            <v>NET BOOK VALUE OF FIXED ASSETS 3RD</v>
          </cell>
          <cell r="J60" t="str">
            <v>INVALID</v>
          </cell>
          <cell r="K60">
            <v>0</v>
          </cell>
          <cell r="L60">
            <v>0</v>
          </cell>
          <cell r="M60">
            <v>0</v>
          </cell>
          <cell r="N60">
            <v>0</v>
          </cell>
          <cell r="O60">
            <v>0</v>
          </cell>
          <cell r="P60">
            <v>-8385</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BS60">
            <v>-8385</v>
          </cell>
          <cell r="BT60">
            <v>0</v>
          </cell>
          <cell r="BU60">
            <v>0</v>
          </cell>
          <cell r="BV60">
            <v>0</v>
          </cell>
          <cell r="BW60">
            <v>0</v>
          </cell>
          <cell r="BX60">
            <v>-8385</v>
          </cell>
          <cell r="BY60">
            <v>0</v>
          </cell>
          <cell r="BZ60">
            <v>0</v>
          </cell>
          <cell r="CA60">
            <v>0</v>
          </cell>
          <cell r="CB60">
            <v>0</v>
          </cell>
        </row>
        <row r="61">
          <cell r="A61" t="str">
            <v>US59P015013981100078</v>
          </cell>
          <cell r="B61" t="str">
            <v>Pekin</v>
          </cell>
          <cell r="C61" t="str">
            <v>Jan-Dec</v>
          </cell>
          <cell r="D61" t="str">
            <v>US59P01501</v>
          </cell>
          <cell r="E61" t="str">
            <v>501</v>
          </cell>
          <cell r="F61" t="str">
            <v>Production Admin.</v>
          </cell>
          <cell r="G61" t="str">
            <v>01</v>
          </cell>
          <cell r="H61">
            <v>3981100078</v>
          </cell>
          <cell r="I61" t="str">
            <v>GAIN ON FIXED ASSET</v>
          </cell>
          <cell r="J61" t="str">
            <v>INVALID</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20999</v>
          </cell>
          <cell r="AE61">
            <v>0</v>
          </cell>
          <cell r="AF61">
            <v>0</v>
          </cell>
          <cell r="AG61">
            <v>0</v>
          </cell>
          <cell r="AH61">
            <v>0</v>
          </cell>
          <cell r="AI61">
            <v>0</v>
          </cell>
          <cell r="AJ61">
            <v>0</v>
          </cell>
          <cell r="AK61">
            <v>0</v>
          </cell>
          <cell r="AL61">
            <v>0</v>
          </cell>
          <cell r="AM61">
            <v>0</v>
          </cell>
          <cell r="AN61">
            <v>0</v>
          </cell>
          <cell r="AO61">
            <v>0</v>
          </cell>
          <cell r="AP61">
            <v>0</v>
          </cell>
          <cell r="AQ61">
            <v>0</v>
          </cell>
          <cell r="AR61">
            <v>42</v>
          </cell>
          <cell r="AS61">
            <v>0</v>
          </cell>
          <cell r="AT61">
            <v>0</v>
          </cell>
          <cell r="AU61">
            <v>0</v>
          </cell>
          <cell r="AV61">
            <v>0</v>
          </cell>
          <cell r="AW61">
            <v>0</v>
          </cell>
          <cell r="AX61">
            <v>0</v>
          </cell>
          <cell r="BS61">
            <v>0</v>
          </cell>
          <cell r="BT61">
            <v>20999</v>
          </cell>
          <cell r="BU61">
            <v>42</v>
          </cell>
          <cell r="BV61">
            <v>0</v>
          </cell>
          <cell r="BW61">
            <v>0</v>
          </cell>
          <cell r="BX61">
            <v>0</v>
          </cell>
          <cell r="BY61">
            <v>20999</v>
          </cell>
          <cell r="BZ61">
            <v>42</v>
          </cell>
          <cell r="CA61">
            <v>0</v>
          </cell>
          <cell r="CB61">
            <v>0</v>
          </cell>
        </row>
        <row r="62">
          <cell r="A62" t="str">
            <v>US59P015013991200023</v>
          </cell>
          <cell r="B62" t="str">
            <v>Pekin</v>
          </cell>
          <cell r="C62" t="str">
            <v>Jan-Dec</v>
          </cell>
          <cell r="D62" t="str">
            <v>US59P01501</v>
          </cell>
          <cell r="E62" t="str">
            <v>501</v>
          </cell>
          <cell r="F62" t="str">
            <v>Production Admin.</v>
          </cell>
          <cell r="G62" t="str">
            <v>01</v>
          </cell>
          <cell r="H62">
            <v>3991200023</v>
          </cell>
          <cell r="I62" t="str">
            <v>OTHER COMMUNICATION MEANS</v>
          </cell>
          <cell r="J62" t="str">
            <v>INVALID</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34</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BS62">
            <v>0</v>
          </cell>
          <cell r="BT62">
            <v>34</v>
          </cell>
          <cell r="BU62">
            <v>0</v>
          </cell>
          <cell r="BV62">
            <v>0</v>
          </cell>
          <cell r="BW62">
            <v>0</v>
          </cell>
          <cell r="BX62">
            <v>0</v>
          </cell>
          <cell r="BY62">
            <v>34</v>
          </cell>
          <cell r="BZ62">
            <v>0</v>
          </cell>
          <cell r="CA62">
            <v>0</v>
          </cell>
          <cell r="CB62">
            <v>0</v>
          </cell>
        </row>
        <row r="63">
          <cell r="A63" t="str">
            <v>US59P015013991200068</v>
          </cell>
          <cell r="B63" t="str">
            <v>Pekin</v>
          </cell>
          <cell r="C63" t="str">
            <v>Jan-Dec</v>
          </cell>
          <cell r="D63" t="str">
            <v>US59P01501</v>
          </cell>
          <cell r="E63" t="str">
            <v>501</v>
          </cell>
          <cell r="F63" t="str">
            <v>Production Admin.</v>
          </cell>
          <cell r="G63" t="str">
            <v>01</v>
          </cell>
          <cell r="H63">
            <v>3991200068</v>
          </cell>
          <cell r="I63" t="str">
            <v>ASSOCIATION AND DEVELOPMENT FUND</v>
          </cell>
          <cell r="J63" t="str">
            <v>INVALID</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450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BS63">
            <v>0</v>
          </cell>
          <cell r="BT63">
            <v>450</v>
          </cell>
          <cell r="BU63">
            <v>0</v>
          </cell>
          <cell r="BV63">
            <v>0</v>
          </cell>
          <cell r="BW63">
            <v>0</v>
          </cell>
          <cell r="BX63">
            <v>0</v>
          </cell>
          <cell r="BY63">
            <v>450</v>
          </cell>
          <cell r="BZ63">
            <v>0</v>
          </cell>
          <cell r="CA63">
            <v>0</v>
          </cell>
          <cell r="CB63">
            <v>0</v>
          </cell>
        </row>
        <row r="64">
          <cell r="A64" t="str">
            <v>US59P015013991200101</v>
          </cell>
          <cell r="B64" t="str">
            <v>Pekin</v>
          </cell>
          <cell r="C64" t="str">
            <v>Jan-Dec</v>
          </cell>
          <cell r="D64" t="str">
            <v>US59P01501</v>
          </cell>
          <cell r="E64" t="str">
            <v>501</v>
          </cell>
          <cell r="F64" t="str">
            <v>Production Admin.</v>
          </cell>
          <cell r="G64" t="str">
            <v>01</v>
          </cell>
          <cell r="H64">
            <v>3991200101</v>
          </cell>
          <cell r="I64" t="str">
            <v>EXPENSE RECOVERY</v>
          </cell>
          <cell r="J64" t="str">
            <v>INVALID</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BS64">
            <v>0</v>
          </cell>
          <cell r="BT64">
            <v>0</v>
          </cell>
          <cell r="BU64">
            <v>0</v>
          </cell>
          <cell r="BV64">
            <v>0</v>
          </cell>
          <cell r="BW64">
            <v>0</v>
          </cell>
          <cell r="BX64">
            <v>0</v>
          </cell>
          <cell r="BY64">
            <v>0</v>
          </cell>
          <cell r="BZ64">
            <v>0</v>
          </cell>
          <cell r="CA64">
            <v>0</v>
          </cell>
          <cell r="CB64">
            <v>0</v>
          </cell>
        </row>
        <row r="65">
          <cell r="A65" t="str">
            <v>US59P015013991200201</v>
          </cell>
          <cell r="B65" t="str">
            <v>Pekin</v>
          </cell>
          <cell r="C65" t="str">
            <v>Jan-Dec</v>
          </cell>
          <cell r="D65" t="str">
            <v>US59P01501</v>
          </cell>
          <cell r="E65" t="str">
            <v>501</v>
          </cell>
          <cell r="F65" t="str">
            <v>Production Admin.</v>
          </cell>
          <cell r="G65" t="str">
            <v>01</v>
          </cell>
          <cell r="H65">
            <v>3991200201</v>
          </cell>
          <cell r="I65" t="str">
            <v>ALLOCATIONS OTHER IN/OUT LOAD AC</v>
          </cell>
          <cell r="J65" t="str">
            <v>INVALID</v>
          </cell>
          <cell r="K65">
            <v>0</v>
          </cell>
          <cell r="L65">
            <v>0</v>
          </cell>
          <cell r="M65">
            <v>0</v>
          </cell>
          <cell r="N65">
            <v>0</v>
          </cell>
          <cell r="O65">
            <v>0</v>
          </cell>
          <cell r="P65">
            <v>0</v>
          </cell>
          <cell r="Q65">
            <v>0</v>
          </cell>
          <cell r="R65">
            <v>0</v>
          </cell>
          <cell r="S65">
            <v>0</v>
          </cell>
          <cell r="T65">
            <v>0</v>
          </cell>
          <cell r="U65">
            <v>0</v>
          </cell>
          <cell r="V65">
            <v>0</v>
          </cell>
          <cell r="W65">
            <v>0</v>
          </cell>
          <cell r="X65">
            <v>-398</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BS65">
            <v>0</v>
          </cell>
          <cell r="BT65">
            <v>-398</v>
          </cell>
          <cell r="BU65">
            <v>0</v>
          </cell>
          <cell r="BV65">
            <v>0</v>
          </cell>
          <cell r="BW65">
            <v>0</v>
          </cell>
          <cell r="BX65">
            <v>0</v>
          </cell>
          <cell r="BY65">
            <v>-398</v>
          </cell>
          <cell r="BZ65">
            <v>0</v>
          </cell>
          <cell r="CA65">
            <v>0</v>
          </cell>
          <cell r="CB65">
            <v>0</v>
          </cell>
        </row>
        <row r="66">
          <cell r="A66" t="str">
            <v>US59P015019420000002</v>
          </cell>
          <cell r="B66" t="str">
            <v>Pekin</v>
          </cell>
          <cell r="C66" t="str">
            <v>Jan-Dec</v>
          </cell>
          <cell r="D66" t="str">
            <v>US59P01501</v>
          </cell>
          <cell r="E66" t="str">
            <v>501</v>
          </cell>
          <cell r="F66" t="str">
            <v>Production Admin.</v>
          </cell>
          <cell r="G66" t="str">
            <v>01</v>
          </cell>
          <cell r="H66">
            <v>9420000002</v>
          </cell>
          <cell r="I66" t="str">
            <v>Allocation by BA</v>
          </cell>
          <cell r="J66" t="str">
            <v>VALID - NON BUDGET</v>
          </cell>
          <cell r="K66">
            <v>12505</v>
          </cell>
          <cell r="L66">
            <v>16694</v>
          </cell>
          <cell r="M66">
            <v>51757</v>
          </cell>
          <cell r="N66">
            <v>30858</v>
          </cell>
          <cell r="O66">
            <v>95750</v>
          </cell>
          <cell r="P66">
            <v>60943</v>
          </cell>
          <cell r="Q66">
            <v>82721</v>
          </cell>
          <cell r="R66">
            <v>37078</v>
          </cell>
          <cell r="S66">
            <v>50309</v>
          </cell>
          <cell r="T66">
            <v>21133</v>
          </cell>
          <cell r="U66">
            <v>18663</v>
          </cell>
          <cell r="V66">
            <v>20320</v>
          </cell>
          <cell r="W66">
            <v>23623</v>
          </cell>
          <cell r="X66">
            <v>17930</v>
          </cell>
          <cell r="Y66">
            <v>20709</v>
          </cell>
          <cell r="Z66">
            <v>21186</v>
          </cell>
          <cell r="AA66">
            <v>24212</v>
          </cell>
          <cell r="AB66">
            <v>23312</v>
          </cell>
          <cell r="AC66">
            <v>22487</v>
          </cell>
          <cell r="AD66">
            <v>22781</v>
          </cell>
          <cell r="AE66">
            <v>20517</v>
          </cell>
          <cell r="AF66">
            <v>23382</v>
          </cell>
          <cell r="AG66">
            <v>21772</v>
          </cell>
          <cell r="AH66">
            <v>20702</v>
          </cell>
          <cell r="AI66">
            <v>23247</v>
          </cell>
          <cell r="AJ66">
            <v>23254</v>
          </cell>
          <cell r="AK66">
            <v>22476</v>
          </cell>
          <cell r="AL66">
            <v>24712</v>
          </cell>
          <cell r="AM66">
            <v>25080</v>
          </cell>
          <cell r="AN66">
            <v>27882</v>
          </cell>
          <cell r="AO66">
            <v>20674</v>
          </cell>
          <cell r="AP66">
            <v>24288</v>
          </cell>
          <cell r="AQ66">
            <v>24457</v>
          </cell>
          <cell r="AR66">
            <v>24205</v>
          </cell>
          <cell r="AS66">
            <v>24171</v>
          </cell>
          <cell r="AT66">
            <v>24322</v>
          </cell>
          <cell r="AU66">
            <v>0</v>
          </cell>
          <cell r="AV66">
            <v>0</v>
          </cell>
          <cell r="AW66">
            <v>0</v>
          </cell>
          <cell r="AX66">
            <v>0</v>
          </cell>
          <cell r="BS66">
            <v>498731</v>
          </cell>
          <cell r="BT66">
            <v>262613</v>
          </cell>
          <cell r="BU66">
            <v>288768</v>
          </cell>
          <cell r="BV66">
            <v>0</v>
          </cell>
          <cell r="BW66">
            <v>0</v>
          </cell>
          <cell r="BX66">
            <v>498731</v>
          </cell>
          <cell r="BY66">
            <v>262613</v>
          </cell>
          <cell r="BZ66">
            <v>288768</v>
          </cell>
          <cell r="CA66">
            <v>0</v>
          </cell>
          <cell r="CB66">
            <v>0</v>
          </cell>
        </row>
        <row r="67">
          <cell r="A67" t="str">
            <v>US59P015019420000025</v>
          </cell>
          <cell r="B67" t="str">
            <v>Pekin</v>
          </cell>
          <cell r="C67" t="str">
            <v>Jan-Dec</v>
          </cell>
          <cell r="D67" t="str">
            <v>US59P01501</v>
          </cell>
          <cell r="E67" t="str">
            <v>501</v>
          </cell>
          <cell r="F67" t="str">
            <v>Production Admin.</v>
          </cell>
          <cell r="G67" t="str">
            <v>01</v>
          </cell>
          <cell r="H67">
            <v>9420000025</v>
          </cell>
          <cell r="I67" t="str">
            <v>EMPLOYEE BENEFIT ALLOCATION</v>
          </cell>
          <cell r="J67" t="str">
            <v>VALID - NON BUDGET</v>
          </cell>
          <cell r="K67">
            <v>18189</v>
          </cell>
          <cell r="L67">
            <v>17337</v>
          </cell>
          <cell r="M67">
            <v>23013</v>
          </cell>
          <cell r="N67">
            <v>20353</v>
          </cell>
          <cell r="O67">
            <v>22593</v>
          </cell>
          <cell r="P67">
            <v>11704</v>
          </cell>
          <cell r="Q67">
            <v>15996</v>
          </cell>
          <cell r="R67">
            <v>18986</v>
          </cell>
          <cell r="S67">
            <v>5044</v>
          </cell>
          <cell r="T67">
            <v>5113</v>
          </cell>
          <cell r="U67">
            <v>6462</v>
          </cell>
          <cell r="V67">
            <v>6093</v>
          </cell>
          <cell r="W67">
            <v>10034</v>
          </cell>
          <cell r="X67">
            <v>6288</v>
          </cell>
          <cell r="Y67">
            <v>7664</v>
          </cell>
          <cell r="Z67">
            <v>6881</v>
          </cell>
          <cell r="AA67">
            <v>8842</v>
          </cell>
          <cell r="AB67">
            <v>8085</v>
          </cell>
          <cell r="AC67">
            <v>8500</v>
          </cell>
          <cell r="AD67">
            <v>7901</v>
          </cell>
          <cell r="AE67">
            <v>6182</v>
          </cell>
          <cell r="AF67">
            <v>7667</v>
          </cell>
          <cell r="AG67">
            <v>6349</v>
          </cell>
          <cell r="AH67">
            <v>5968</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BS67">
            <v>170883</v>
          </cell>
          <cell r="BT67">
            <v>90361</v>
          </cell>
          <cell r="BU67">
            <v>0</v>
          </cell>
          <cell r="BV67">
            <v>0</v>
          </cell>
          <cell r="BW67">
            <v>0</v>
          </cell>
          <cell r="BX67">
            <v>170883</v>
          </cell>
          <cell r="BY67">
            <v>90361</v>
          </cell>
          <cell r="BZ67">
            <v>0</v>
          </cell>
          <cell r="CA67">
            <v>0</v>
          </cell>
          <cell r="CB67">
            <v>0</v>
          </cell>
        </row>
        <row r="68">
          <cell r="A68" t="str">
            <v>US59P015019420000026</v>
          </cell>
          <cell r="B68" t="str">
            <v>Pekin</v>
          </cell>
          <cell r="C68" t="str">
            <v>Jan-Dec</v>
          </cell>
          <cell r="D68" t="str">
            <v>US59P01501</v>
          </cell>
          <cell r="E68" t="str">
            <v>501</v>
          </cell>
          <cell r="F68" t="str">
            <v>Production Admin.</v>
          </cell>
          <cell r="G68" t="str">
            <v>01</v>
          </cell>
          <cell r="H68">
            <v>9420000026</v>
          </cell>
          <cell r="I68" t="str">
            <v>FACILITY ALLOCATION</v>
          </cell>
          <cell r="J68" t="str">
            <v>INVALID</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-849</v>
          </cell>
          <cell r="AA68">
            <v>832</v>
          </cell>
          <cell r="AB68">
            <v>929</v>
          </cell>
          <cell r="AC68">
            <v>721</v>
          </cell>
          <cell r="AD68">
            <v>1233</v>
          </cell>
          <cell r="AE68">
            <v>1010</v>
          </cell>
          <cell r="AF68">
            <v>933</v>
          </cell>
          <cell r="AG68">
            <v>998</v>
          </cell>
          <cell r="AH68">
            <v>759</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BS68">
            <v>0</v>
          </cell>
          <cell r="BT68">
            <v>6566</v>
          </cell>
          <cell r="BU68">
            <v>0</v>
          </cell>
          <cell r="BV68">
            <v>0</v>
          </cell>
          <cell r="BW68">
            <v>0</v>
          </cell>
          <cell r="BX68">
            <v>0</v>
          </cell>
          <cell r="BY68">
            <v>6566</v>
          </cell>
          <cell r="BZ68">
            <v>0</v>
          </cell>
          <cell r="CA68">
            <v>0</v>
          </cell>
          <cell r="CB68">
            <v>0</v>
          </cell>
        </row>
      </sheetData>
      <sheetData sheetId="18">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US59PZA5013111100000</v>
          </cell>
          <cell r="B4" t="str">
            <v>Pekin</v>
          </cell>
          <cell r="C4" t="str">
            <v>Jan-Dec</v>
          </cell>
          <cell r="D4" t="str">
            <v>US59PZA501</v>
          </cell>
          <cell r="E4" t="str">
            <v>501</v>
          </cell>
          <cell r="F4" t="str">
            <v>Production Admin.</v>
          </cell>
          <cell r="G4" t="str">
            <v>ZA</v>
          </cell>
          <cell r="H4">
            <v>3111100000</v>
          </cell>
          <cell r="I4" t="str">
            <v>WAGES,SALARIES,ALLOWANCES AND COMMI/PERM</v>
          </cell>
          <cell r="J4" t="str">
            <v>VALID</v>
          </cell>
          <cell r="K4">
            <v>5893</v>
          </cell>
          <cell r="L4">
            <v>9821</v>
          </cell>
          <cell r="M4">
            <v>16868</v>
          </cell>
          <cell r="N4">
            <v>15484</v>
          </cell>
          <cell r="O4">
            <v>18741</v>
          </cell>
          <cell r="P4">
            <v>20093</v>
          </cell>
          <cell r="Q4">
            <v>18704</v>
          </cell>
          <cell r="R4">
            <v>12925</v>
          </cell>
          <cell r="S4">
            <v>10999</v>
          </cell>
          <cell r="T4">
            <v>11522</v>
          </cell>
          <cell r="U4">
            <v>11522</v>
          </cell>
          <cell r="V4">
            <v>10999</v>
          </cell>
          <cell r="W4">
            <v>12046</v>
          </cell>
          <cell r="X4">
            <v>10475</v>
          </cell>
          <cell r="Y4">
            <v>11522</v>
          </cell>
          <cell r="Z4">
            <v>11608</v>
          </cell>
          <cell r="AA4">
            <v>12585</v>
          </cell>
          <cell r="AB4">
            <v>12327</v>
          </cell>
          <cell r="AC4">
            <v>12958</v>
          </cell>
          <cell r="AD4">
            <v>13547</v>
          </cell>
          <cell r="AE4">
            <v>11780</v>
          </cell>
          <cell r="AF4">
            <v>13547</v>
          </cell>
          <cell r="AG4">
            <v>12958</v>
          </cell>
          <cell r="AH4">
            <v>12369</v>
          </cell>
          <cell r="AI4">
            <v>12761</v>
          </cell>
          <cell r="AJ4">
            <v>12761</v>
          </cell>
          <cell r="AK4">
            <v>12761</v>
          </cell>
          <cell r="AL4">
            <v>14161</v>
          </cell>
          <cell r="AM4">
            <v>14161</v>
          </cell>
          <cell r="AN4">
            <v>18169</v>
          </cell>
          <cell r="AO4">
            <v>10154</v>
          </cell>
          <cell r="AP4">
            <v>14161</v>
          </cell>
          <cell r="AQ4">
            <v>14161</v>
          </cell>
          <cell r="AR4">
            <v>14161</v>
          </cell>
          <cell r="AS4">
            <v>14161</v>
          </cell>
          <cell r="AT4">
            <v>14161</v>
          </cell>
          <cell r="AU4">
            <v>14161</v>
          </cell>
          <cell r="AV4">
            <v>14161</v>
          </cell>
          <cell r="AW4">
            <v>-28323</v>
          </cell>
          <cell r="AX4">
            <v>0</v>
          </cell>
          <cell r="BS4">
            <v>163571</v>
          </cell>
          <cell r="BT4">
            <v>147722</v>
          </cell>
          <cell r="BU4">
            <v>165733</v>
          </cell>
          <cell r="BV4">
            <v>-1</v>
          </cell>
          <cell r="BW4">
            <v>0</v>
          </cell>
          <cell r="BX4">
            <v>163571</v>
          </cell>
          <cell r="BY4">
            <v>147722</v>
          </cell>
          <cell r="BZ4">
            <v>165733</v>
          </cell>
          <cell r="CA4">
            <v>-1</v>
          </cell>
          <cell r="CB4">
            <v>0</v>
          </cell>
        </row>
        <row r="5">
          <cell r="A5" t="str">
            <v>US59PZA5013111100012</v>
          </cell>
          <cell r="B5" t="str">
            <v>Pekin</v>
          </cell>
          <cell r="C5" t="str">
            <v>Jan-Dec</v>
          </cell>
          <cell r="D5" t="str">
            <v>US59PZA501</v>
          </cell>
          <cell r="E5" t="str">
            <v>501</v>
          </cell>
          <cell r="F5" t="str">
            <v>Production Admin.</v>
          </cell>
          <cell r="G5" t="str">
            <v>ZA</v>
          </cell>
          <cell r="H5">
            <v>3111100012</v>
          </cell>
          <cell r="I5" t="str">
            <v>OVERTIME HOURS /PERMANENTS</v>
          </cell>
          <cell r="J5" t="str">
            <v>VALID</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BS5">
            <v>0</v>
          </cell>
          <cell r="BT5">
            <v>0</v>
          </cell>
          <cell r="BU5">
            <v>0</v>
          </cell>
          <cell r="BV5">
            <v>0</v>
          </cell>
          <cell r="BW5">
            <v>0</v>
          </cell>
          <cell r="BX5">
            <v>0</v>
          </cell>
          <cell r="BY5">
            <v>0</v>
          </cell>
          <cell r="BZ5">
            <v>0</v>
          </cell>
          <cell r="CA5">
            <v>0</v>
          </cell>
          <cell r="CB5">
            <v>0</v>
          </cell>
        </row>
        <row r="6">
          <cell r="A6" t="str">
            <v>US59PZA5013111100900</v>
          </cell>
          <cell r="B6" t="str">
            <v>Pekin</v>
          </cell>
          <cell r="C6" t="str">
            <v>Jan-Dec</v>
          </cell>
          <cell r="D6" t="str">
            <v>US59PZA501</v>
          </cell>
          <cell r="E6" t="str">
            <v>501</v>
          </cell>
          <cell r="F6" t="str">
            <v>Production Admin.</v>
          </cell>
          <cell r="G6" t="str">
            <v>ZA</v>
          </cell>
          <cell r="H6">
            <v>3111100900</v>
          </cell>
          <cell r="I6" t="str">
            <v>WAGES &amp; SALARIES / SEASONALS</v>
          </cell>
          <cell r="J6" t="str">
            <v>VALID</v>
          </cell>
          <cell r="K6">
            <v>38</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BS6">
            <v>38</v>
          </cell>
          <cell r="BT6">
            <v>0</v>
          </cell>
          <cell r="BU6">
            <v>0</v>
          </cell>
          <cell r="BV6">
            <v>0</v>
          </cell>
          <cell r="BW6">
            <v>0</v>
          </cell>
          <cell r="BX6">
            <v>38</v>
          </cell>
          <cell r="BY6">
            <v>0</v>
          </cell>
          <cell r="BZ6">
            <v>0</v>
          </cell>
          <cell r="CA6">
            <v>0</v>
          </cell>
          <cell r="CB6">
            <v>0</v>
          </cell>
        </row>
        <row r="7">
          <cell r="A7" t="str">
            <v>US59PZA5013121300013</v>
          </cell>
          <cell r="B7" t="str">
            <v>Pekin</v>
          </cell>
          <cell r="C7" t="str">
            <v>Jan-Dec</v>
          </cell>
          <cell r="D7" t="str">
            <v>US59PZA501</v>
          </cell>
          <cell r="E7" t="str">
            <v>501</v>
          </cell>
          <cell r="F7" t="str">
            <v>Production Admin.</v>
          </cell>
          <cell r="G7" t="str">
            <v>ZA</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4747</v>
          </cell>
          <cell r="AJ7">
            <v>4747</v>
          </cell>
          <cell r="AK7">
            <v>4747</v>
          </cell>
          <cell r="AL7">
            <v>5268</v>
          </cell>
          <cell r="AM7">
            <v>5268</v>
          </cell>
          <cell r="AN7">
            <v>5268</v>
          </cell>
          <cell r="AO7">
            <v>5268</v>
          </cell>
          <cell r="AP7">
            <v>5268</v>
          </cell>
          <cell r="AQ7">
            <v>5268</v>
          </cell>
          <cell r="AR7">
            <v>5268</v>
          </cell>
          <cell r="AS7">
            <v>5268</v>
          </cell>
          <cell r="AT7">
            <v>5268</v>
          </cell>
          <cell r="AU7">
            <v>5183</v>
          </cell>
          <cell r="AV7">
            <v>5183</v>
          </cell>
          <cell r="AW7">
            <v>-10366</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61653</v>
          </cell>
          <cell r="BV7">
            <v>0</v>
          </cell>
          <cell r="BW7">
            <v>0</v>
          </cell>
          <cell r="BX7">
            <v>0</v>
          </cell>
          <cell r="BY7">
            <v>0</v>
          </cell>
          <cell r="BZ7">
            <v>61653</v>
          </cell>
          <cell r="CA7">
            <v>0</v>
          </cell>
          <cell r="CB7">
            <v>0</v>
          </cell>
        </row>
        <row r="8">
          <cell r="A8" t="str">
            <v>US59PZA5013131100007</v>
          </cell>
          <cell r="B8" t="str">
            <v>Pekin</v>
          </cell>
          <cell r="C8" t="str">
            <v>Jan-Dec</v>
          </cell>
          <cell r="D8" t="str">
            <v>US59PZA501</v>
          </cell>
          <cell r="E8" t="str">
            <v>501</v>
          </cell>
          <cell r="F8" t="str">
            <v>Production Admin.</v>
          </cell>
          <cell r="G8" t="str">
            <v>ZA</v>
          </cell>
          <cell r="H8">
            <v>3131100007</v>
          </cell>
          <cell r="I8" t="str">
            <v>EXTERNAL TRAINING</v>
          </cell>
          <cell r="J8" t="str">
            <v>VALID</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BS8">
            <v>0</v>
          </cell>
          <cell r="BT8">
            <v>0</v>
          </cell>
          <cell r="BU8">
            <v>0</v>
          </cell>
          <cell r="BV8">
            <v>0</v>
          </cell>
          <cell r="BW8">
            <v>0</v>
          </cell>
          <cell r="BX8">
            <v>0</v>
          </cell>
          <cell r="BY8">
            <v>0</v>
          </cell>
          <cell r="BZ8">
            <v>0</v>
          </cell>
          <cell r="CA8">
            <v>0</v>
          </cell>
          <cell r="CB8">
            <v>0</v>
          </cell>
        </row>
        <row r="9">
          <cell r="A9" t="str">
            <v>US59PZA5013131100025</v>
          </cell>
          <cell r="B9" t="str">
            <v>Pekin</v>
          </cell>
          <cell r="C9" t="str">
            <v>Jan-Dec</v>
          </cell>
          <cell r="D9" t="str">
            <v>US59PZA501</v>
          </cell>
          <cell r="E9" t="str">
            <v>501</v>
          </cell>
          <cell r="F9" t="str">
            <v>Production Admin.</v>
          </cell>
          <cell r="G9" t="str">
            <v>ZA</v>
          </cell>
          <cell r="H9">
            <v>3131100025</v>
          </cell>
          <cell r="I9" t="str">
            <v>OTHER PERSONNEL EXPENSES</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BS9">
            <v>0</v>
          </cell>
          <cell r="BT9">
            <v>0</v>
          </cell>
          <cell r="BU9">
            <v>0</v>
          </cell>
          <cell r="BV9">
            <v>0</v>
          </cell>
          <cell r="BW9">
            <v>0</v>
          </cell>
          <cell r="BX9">
            <v>0</v>
          </cell>
          <cell r="BY9">
            <v>0</v>
          </cell>
          <cell r="BZ9">
            <v>0</v>
          </cell>
          <cell r="CA9">
            <v>0</v>
          </cell>
          <cell r="CB9">
            <v>0</v>
          </cell>
        </row>
        <row r="10">
          <cell r="A10" t="str">
            <v>US59PZA5013131100031</v>
          </cell>
          <cell r="B10" t="str">
            <v>Pekin</v>
          </cell>
          <cell r="C10" t="str">
            <v>Jan-Dec</v>
          </cell>
          <cell r="D10" t="str">
            <v>US59PZA501</v>
          </cell>
          <cell r="E10" t="str">
            <v>501</v>
          </cell>
          <cell r="F10" t="str">
            <v>Production Admin.</v>
          </cell>
          <cell r="G10" t="str">
            <v>ZA</v>
          </cell>
          <cell r="H10">
            <v>3131100031</v>
          </cell>
          <cell r="I10" t="str">
            <v>TUITION REIMBERSEMENT</v>
          </cell>
          <cell r="J10" t="str">
            <v>VALID</v>
          </cell>
          <cell r="K10">
            <v>0</v>
          </cell>
          <cell r="L10">
            <v>412</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640</v>
          </cell>
          <cell r="AK10">
            <v>0</v>
          </cell>
          <cell r="AL10">
            <v>0</v>
          </cell>
          <cell r="AM10">
            <v>960</v>
          </cell>
          <cell r="AN10">
            <v>0</v>
          </cell>
          <cell r="AO10">
            <v>0</v>
          </cell>
          <cell r="AP10">
            <v>0</v>
          </cell>
          <cell r="AQ10">
            <v>0</v>
          </cell>
          <cell r="AR10">
            <v>0</v>
          </cell>
          <cell r="AS10">
            <v>0</v>
          </cell>
          <cell r="AT10">
            <v>0</v>
          </cell>
          <cell r="AU10">
            <v>2034</v>
          </cell>
          <cell r="AV10">
            <v>0</v>
          </cell>
          <cell r="AW10">
            <v>-2034</v>
          </cell>
          <cell r="AX10">
            <v>0</v>
          </cell>
          <cell r="BS10">
            <v>412</v>
          </cell>
          <cell r="BT10">
            <v>0</v>
          </cell>
          <cell r="BU10">
            <v>1600</v>
          </cell>
          <cell r="BV10">
            <v>0</v>
          </cell>
          <cell r="BW10">
            <v>0</v>
          </cell>
          <cell r="BX10">
            <v>412</v>
          </cell>
          <cell r="BY10">
            <v>0</v>
          </cell>
          <cell r="BZ10">
            <v>1600</v>
          </cell>
          <cell r="CA10">
            <v>0</v>
          </cell>
          <cell r="CB10">
            <v>0</v>
          </cell>
        </row>
        <row r="11">
          <cell r="A11" t="str">
            <v>US59PZA5013201300001</v>
          </cell>
          <cell r="B11" t="str">
            <v>Pekin</v>
          </cell>
          <cell r="C11" t="str">
            <v>Jan-Dec</v>
          </cell>
          <cell r="D11" t="str">
            <v>US59PZA501</v>
          </cell>
          <cell r="E11" t="str">
            <v>501</v>
          </cell>
          <cell r="F11" t="str">
            <v>Production Admin.</v>
          </cell>
          <cell r="G11" t="str">
            <v>ZA</v>
          </cell>
          <cell r="H11">
            <v>3201300001</v>
          </cell>
          <cell r="I11" t="str">
            <v>HIRED PERSONNEL FROM 3RD PARTIES</v>
          </cell>
          <cell r="J11" t="str">
            <v>VALID</v>
          </cell>
          <cell r="K11">
            <v>3739</v>
          </cell>
          <cell r="L11">
            <v>0</v>
          </cell>
          <cell r="M11">
            <v>1028</v>
          </cell>
          <cell r="N11">
            <v>1229</v>
          </cell>
          <cell r="O11">
            <v>2182</v>
          </cell>
          <cell r="P11">
            <v>928</v>
          </cell>
          <cell r="Q11">
            <v>957</v>
          </cell>
          <cell r="R11">
            <v>318</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BS11">
            <v>10381</v>
          </cell>
          <cell r="BT11">
            <v>0</v>
          </cell>
          <cell r="BU11">
            <v>0</v>
          </cell>
          <cell r="BV11">
            <v>0</v>
          </cell>
          <cell r="BW11">
            <v>0</v>
          </cell>
          <cell r="BX11">
            <v>10381</v>
          </cell>
          <cell r="BY11">
            <v>0</v>
          </cell>
          <cell r="BZ11">
            <v>0</v>
          </cell>
          <cell r="CA11">
            <v>0</v>
          </cell>
          <cell r="CB11">
            <v>0</v>
          </cell>
        </row>
        <row r="12">
          <cell r="A12" t="str">
            <v>US59PZA5013201300002</v>
          </cell>
          <cell r="B12" t="str">
            <v>Pekin</v>
          </cell>
          <cell r="C12" t="str">
            <v>Jan-Dec</v>
          </cell>
          <cell r="D12" t="str">
            <v>US59PZA501</v>
          </cell>
          <cell r="E12" t="str">
            <v>501</v>
          </cell>
          <cell r="F12" t="str">
            <v>Production Admin.</v>
          </cell>
          <cell r="G12" t="str">
            <v>ZA</v>
          </cell>
          <cell r="H12">
            <v>3201300002</v>
          </cell>
          <cell r="I12" t="str">
            <v>O/S SERVICES</v>
          </cell>
          <cell r="J12" t="str">
            <v>VALID</v>
          </cell>
          <cell r="K12">
            <v>0</v>
          </cell>
          <cell r="L12">
            <v>0</v>
          </cell>
          <cell r="M12">
            <v>26</v>
          </cell>
          <cell r="N12">
            <v>156</v>
          </cell>
          <cell r="O12">
            <v>57</v>
          </cell>
          <cell r="P12">
            <v>1832</v>
          </cell>
          <cell r="Q12">
            <v>1215</v>
          </cell>
          <cell r="R12">
            <v>461</v>
          </cell>
          <cell r="S12">
            <v>3925</v>
          </cell>
          <cell r="T12">
            <v>492</v>
          </cell>
          <cell r="U12">
            <v>1771</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BS12">
            <v>9935</v>
          </cell>
          <cell r="BT12">
            <v>0</v>
          </cell>
          <cell r="BU12">
            <v>0</v>
          </cell>
          <cell r="BV12">
            <v>0</v>
          </cell>
          <cell r="BW12">
            <v>0</v>
          </cell>
          <cell r="BX12">
            <v>9935</v>
          </cell>
          <cell r="BY12">
            <v>0</v>
          </cell>
          <cell r="BZ12">
            <v>0</v>
          </cell>
          <cell r="CA12">
            <v>0</v>
          </cell>
          <cell r="CB12">
            <v>0</v>
          </cell>
        </row>
        <row r="13">
          <cell r="A13" t="str">
            <v>US59PZA5013201300005</v>
          </cell>
          <cell r="B13" t="str">
            <v>Pekin</v>
          </cell>
          <cell r="C13" t="str">
            <v>Jan-Dec</v>
          </cell>
          <cell r="D13" t="str">
            <v>US59PZA501</v>
          </cell>
          <cell r="E13" t="str">
            <v>501</v>
          </cell>
          <cell r="F13" t="str">
            <v>Production Admin.</v>
          </cell>
          <cell r="G13" t="str">
            <v>ZA</v>
          </cell>
          <cell r="H13">
            <v>3201300005</v>
          </cell>
          <cell r="I13" t="str">
            <v>O/S SERVICES - COMPUTER LIC. &amp; SUPPORT</v>
          </cell>
          <cell r="J13" t="str">
            <v>VALID</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BS13">
            <v>0</v>
          </cell>
          <cell r="BT13">
            <v>0</v>
          </cell>
          <cell r="BU13">
            <v>0</v>
          </cell>
          <cell r="BV13">
            <v>0</v>
          </cell>
          <cell r="BW13">
            <v>0</v>
          </cell>
          <cell r="BX13">
            <v>0</v>
          </cell>
          <cell r="BY13">
            <v>0</v>
          </cell>
          <cell r="BZ13">
            <v>0</v>
          </cell>
          <cell r="CA13">
            <v>0</v>
          </cell>
          <cell r="CB13">
            <v>0</v>
          </cell>
        </row>
        <row r="14">
          <cell r="A14" t="str">
            <v>US59PZA5013201400002</v>
          </cell>
          <cell r="B14" t="str">
            <v>Pekin</v>
          </cell>
          <cell r="C14" t="str">
            <v>Jan-Dec</v>
          </cell>
          <cell r="D14" t="str">
            <v>US59PZA501</v>
          </cell>
          <cell r="E14" t="str">
            <v>501</v>
          </cell>
          <cell r="F14" t="str">
            <v>Production Admin.</v>
          </cell>
          <cell r="G14" t="str">
            <v>ZA</v>
          </cell>
          <cell r="H14">
            <v>3201400002</v>
          </cell>
          <cell r="I14" t="str">
            <v>MAINTENANCE OF VEHICLES</v>
          </cell>
          <cell r="J14" t="str">
            <v>VALID</v>
          </cell>
          <cell r="K14">
            <v>0</v>
          </cell>
          <cell r="L14">
            <v>0</v>
          </cell>
          <cell r="M14">
            <v>0</v>
          </cell>
          <cell r="N14">
            <v>2</v>
          </cell>
          <cell r="O14">
            <v>0</v>
          </cell>
          <cell r="P14">
            <v>0</v>
          </cell>
          <cell r="Q14">
            <v>0</v>
          </cell>
          <cell r="R14">
            <v>0</v>
          </cell>
          <cell r="S14">
            <v>0</v>
          </cell>
          <cell r="T14">
            <v>16</v>
          </cell>
          <cell r="U14">
            <v>0</v>
          </cell>
          <cell r="V14">
            <v>68</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BS14">
            <v>86</v>
          </cell>
          <cell r="BT14">
            <v>0</v>
          </cell>
          <cell r="BU14">
            <v>0</v>
          </cell>
          <cell r="BV14">
            <v>0</v>
          </cell>
          <cell r="BW14">
            <v>0</v>
          </cell>
          <cell r="BX14">
            <v>86</v>
          </cell>
          <cell r="BY14">
            <v>0</v>
          </cell>
          <cell r="BZ14">
            <v>0</v>
          </cell>
          <cell r="CA14">
            <v>0</v>
          </cell>
          <cell r="CB14">
            <v>0</v>
          </cell>
        </row>
        <row r="15">
          <cell r="A15" t="str">
            <v>US59PZA5013201400025</v>
          </cell>
          <cell r="B15" t="str">
            <v>Pekin</v>
          </cell>
          <cell r="C15" t="str">
            <v>Jan-Dec</v>
          </cell>
          <cell r="D15" t="str">
            <v>US59PZA501</v>
          </cell>
          <cell r="E15" t="str">
            <v>501</v>
          </cell>
          <cell r="F15" t="str">
            <v>Production Admin.</v>
          </cell>
          <cell r="G15" t="str">
            <v>ZA</v>
          </cell>
          <cell r="H15">
            <v>3201400025</v>
          </cell>
          <cell r="I15" t="str">
            <v>CLEANING EXPENSES</v>
          </cell>
          <cell r="J15" t="str">
            <v>VALID</v>
          </cell>
          <cell r="K15">
            <v>0</v>
          </cell>
          <cell r="L15">
            <v>580</v>
          </cell>
          <cell r="M15">
            <v>1316</v>
          </cell>
          <cell r="N15">
            <v>655</v>
          </cell>
          <cell r="O15">
            <v>665</v>
          </cell>
          <cell r="P15">
            <v>665</v>
          </cell>
          <cell r="Q15">
            <v>0</v>
          </cell>
          <cell r="R15">
            <v>975</v>
          </cell>
          <cell r="S15">
            <v>1391</v>
          </cell>
          <cell r="T15">
            <v>1472</v>
          </cell>
          <cell r="U15">
            <v>930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1500</v>
          </cell>
          <cell r="BA15">
            <v>1500</v>
          </cell>
          <cell r="BB15">
            <v>1500</v>
          </cell>
          <cell r="BC15">
            <v>1500</v>
          </cell>
          <cell r="BD15">
            <v>1500</v>
          </cell>
          <cell r="BE15">
            <v>1500</v>
          </cell>
          <cell r="BF15">
            <v>1500</v>
          </cell>
          <cell r="BG15">
            <v>1500</v>
          </cell>
          <cell r="BH15">
            <v>1500</v>
          </cell>
          <cell r="BI15">
            <v>1500</v>
          </cell>
          <cell r="BJ15">
            <v>1500</v>
          </cell>
          <cell r="BK15">
            <v>1500</v>
          </cell>
          <cell r="BL15">
            <v>1500</v>
          </cell>
          <cell r="BM15">
            <v>1500</v>
          </cell>
          <cell r="BN15">
            <v>1500</v>
          </cell>
          <cell r="BO15">
            <v>1500</v>
          </cell>
          <cell r="BP15">
            <v>1500</v>
          </cell>
          <cell r="BQ15">
            <v>1500</v>
          </cell>
          <cell r="BR15">
            <v>1500</v>
          </cell>
          <cell r="BS15">
            <v>8649</v>
          </cell>
          <cell r="BT15">
            <v>0</v>
          </cell>
          <cell r="BU15">
            <v>0</v>
          </cell>
          <cell r="BV15">
            <v>10500</v>
          </cell>
          <cell r="BW15">
            <v>18000</v>
          </cell>
          <cell r="BX15">
            <v>8649</v>
          </cell>
          <cell r="BY15">
            <v>0</v>
          </cell>
          <cell r="BZ15">
            <v>0</v>
          </cell>
          <cell r="CA15">
            <v>0</v>
          </cell>
          <cell r="CB15">
            <v>10500</v>
          </cell>
        </row>
        <row r="16">
          <cell r="A16" t="str">
            <v>US59PZA5013201400029</v>
          </cell>
          <cell r="B16" t="str">
            <v>Pekin</v>
          </cell>
          <cell r="C16" t="str">
            <v>Jan-Dec</v>
          </cell>
          <cell r="D16" t="str">
            <v>US59PZA501</v>
          </cell>
          <cell r="E16" t="str">
            <v>501</v>
          </cell>
          <cell r="F16" t="str">
            <v>Production Admin.</v>
          </cell>
          <cell r="G16" t="str">
            <v>ZA</v>
          </cell>
          <cell r="H16">
            <v>3201400029</v>
          </cell>
          <cell r="I16" t="str">
            <v>OTH OUTSIDE SERVICES OTHER</v>
          </cell>
          <cell r="J16" t="str">
            <v>VALID</v>
          </cell>
          <cell r="K16">
            <v>0</v>
          </cell>
          <cell r="L16">
            <v>0</v>
          </cell>
          <cell r="M16">
            <v>0</v>
          </cell>
          <cell r="N16">
            <v>0</v>
          </cell>
          <cell r="O16">
            <v>441</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BS16">
            <v>441</v>
          </cell>
          <cell r="BT16">
            <v>0</v>
          </cell>
          <cell r="BU16">
            <v>0</v>
          </cell>
          <cell r="BV16">
            <v>0</v>
          </cell>
          <cell r="BW16">
            <v>0</v>
          </cell>
          <cell r="BX16">
            <v>441</v>
          </cell>
          <cell r="BY16">
            <v>0</v>
          </cell>
          <cell r="BZ16">
            <v>0</v>
          </cell>
          <cell r="CA16">
            <v>0</v>
          </cell>
          <cell r="CB16">
            <v>0</v>
          </cell>
        </row>
        <row r="17">
          <cell r="A17" t="str">
            <v>US59PZA5013201400036</v>
          </cell>
          <cell r="B17" t="str">
            <v>Pekin</v>
          </cell>
          <cell r="C17" t="str">
            <v>Jan-Dec</v>
          </cell>
          <cell r="D17" t="str">
            <v>US59PZA501</v>
          </cell>
          <cell r="E17" t="str">
            <v>501</v>
          </cell>
          <cell r="F17" t="str">
            <v>Production Admin.</v>
          </cell>
          <cell r="G17" t="str">
            <v>ZA</v>
          </cell>
          <cell r="H17">
            <v>3201400036</v>
          </cell>
          <cell r="I17" t="str">
            <v>OTHER MAINTENANCE BUILDINGS</v>
          </cell>
          <cell r="J17" t="str">
            <v>VALID</v>
          </cell>
          <cell r="K17">
            <v>0</v>
          </cell>
          <cell r="L17">
            <v>0</v>
          </cell>
          <cell r="M17">
            <v>0</v>
          </cell>
          <cell r="N17">
            <v>0</v>
          </cell>
          <cell r="O17">
            <v>0</v>
          </cell>
          <cell r="P17">
            <v>0</v>
          </cell>
          <cell r="Q17">
            <v>0</v>
          </cell>
          <cell r="R17">
            <v>0</v>
          </cell>
          <cell r="S17">
            <v>0</v>
          </cell>
          <cell r="T17">
            <v>0</v>
          </cell>
          <cell r="U17">
            <v>472</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BS17">
            <v>472</v>
          </cell>
          <cell r="BT17">
            <v>0</v>
          </cell>
          <cell r="BU17">
            <v>0</v>
          </cell>
          <cell r="BV17">
            <v>0</v>
          </cell>
          <cell r="BW17">
            <v>0</v>
          </cell>
          <cell r="BX17">
            <v>472</v>
          </cell>
          <cell r="BY17">
            <v>0</v>
          </cell>
          <cell r="BZ17">
            <v>0</v>
          </cell>
          <cell r="CA17">
            <v>0</v>
          </cell>
          <cell r="CB17">
            <v>0</v>
          </cell>
        </row>
        <row r="18">
          <cell r="A18" t="str">
            <v>US59PZA5013201400051</v>
          </cell>
          <cell r="B18" t="str">
            <v>Pekin</v>
          </cell>
          <cell r="C18" t="str">
            <v>Jan-Dec</v>
          </cell>
          <cell r="D18" t="str">
            <v>US59PZA501</v>
          </cell>
          <cell r="E18" t="str">
            <v>501</v>
          </cell>
          <cell r="F18" t="str">
            <v>Production Admin.</v>
          </cell>
          <cell r="G18" t="str">
            <v>ZA</v>
          </cell>
          <cell r="H18">
            <v>3201400051</v>
          </cell>
          <cell r="I18" t="str">
            <v>MAINTENANCE EQUIPMENT</v>
          </cell>
          <cell r="J18" t="str">
            <v>VALID</v>
          </cell>
          <cell r="K18">
            <v>0</v>
          </cell>
          <cell r="L18">
            <v>0</v>
          </cell>
          <cell r="M18">
            <v>0</v>
          </cell>
          <cell r="N18">
            <v>0</v>
          </cell>
          <cell r="O18">
            <v>0</v>
          </cell>
          <cell r="P18">
            <v>80</v>
          </cell>
          <cell r="Q18">
            <v>0</v>
          </cell>
          <cell r="R18">
            <v>244</v>
          </cell>
          <cell r="S18">
            <v>0</v>
          </cell>
          <cell r="T18">
            <v>0</v>
          </cell>
          <cell r="U18">
            <v>163</v>
          </cell>
          <cell r="V18">
            <v>0</v>
          </cell>
          <cell r="W18">
            <v>0</v>
          </cell>
          <cell r="X18">
            <v>0</v>
          </cell>
          <cell r="Y18">
            <v>0</v>
          </cell>
          <cell r="Z18">
            <v>0</v>
          </cell>
          <cell r="AA18">
            <v>0</v>
          </cell>
          <cell r="AB18">
            <v>0</v>
          </cell>
          <cell r="AC18">
            <v>0</v>
          </cell>
          <cell r="AD18">
            <v>160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400</v>
          </cell>
          <cell r="BA18">
            <v>400</v>
          </cell>
          <cell r="BB18">
            <v>400</v>
          </cell>
          <cell r="BC18">
            <v>400</v>
          </cell>
          <cell r="BD18">
            <v>400</v>
          </cell>
          <cell r="BE18">
            <v>400</v>
          </cell>
          <cell r="BF18">
            <v>400</v>
          </cell>
          <cell r="BG18">
            <v>400</v>
          </cell>
          <cell r="BH18">
            <v>400</v>
          </cell>
          <cell r="BI18">
            <v>400</v>
          </cell>
          <cell r="BJ18">
            <v>400</v>
          </cell>
          <cell r="BK18">
            <v>400</v>
          </cell>
          <cell r="BL18">
            <v>400</v>
          </cell>
          <cell r="BM18">
            <v>400</v>
          </cell>
          <cell r="BN18">
            <v>400</v>
          </cell>
          <cell r="BO18">
            <v>400</v>
          </cell>
          <cell r="BP18">
            <v>400</v>
          </cell>
          <cell r="BQ18">
            <v>400</v>
          </cell>
          <cell r="BR18">
            <v>400</v>
          </cell>
          <cell r="BS18">
            <v>487</v>
          </cell>
          <cell r="BT18">
            <v>160</v>
          </cell>
          <cell r="BU18">
            <v>0</v>
          </cell>
          <cell r="BV18">
            <v>2800</v>
          </cell>
          <cell r="BW18">
            <v>4800</v>
          </cell>
          <cell r="BX18">
            <v>487</v>
          </cell>
          <cell r="BY18">
            <v>160</v>
          </cell>
          <cell r="BZ18">
            <v>0</v>
          </cell>
          <cell r="CA18">
            <v>0</v>
          </cell>
          <cell r="CB18">
            <v>2800</v>
          </cell>
        </row>
        <row r="19">
          <cell r="A19" t="str">
            <v>US59PZA5013311400099</v>
          </cell>
          <cell r="B19" t="str">
            <v>Pekin</v>
          </cell>
          <cell r="C19" t="str">
            <v>Jan-Dec</v>
          </cell>
          <cell r="D19" t="str">
            <v>US59PZA501</v>
          </cell>
          <cell r="E19" t="str">
            <v>501</v>
          </cell>
          <cell r="F19" t="str">
            <v>Production Admin.</v>
          </cell>
          <cell r="G19" t="str">
            <v>ZA</v>
          </cell>
          <cell r="H19">
            <v>3311400099</v>
          </cell>
          <cell r="I19" t="str">
            <v>CO DEPRECIATION</v>
          </cell>
          <cell r="J19" t="str">
            <v>VALID</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BS19">
            <v>0</v>
          </cell>
          <cell r="BT19">
            <v>0</v>
          </cell>
          <cell r="BU19">
            <v>0</v>
          </cell>
          <cell r="BV19">
            <v>0</v>
          </cell>
          <cell r="BW19">
            <v>0</v>
          </cell>
          <cell r="BX19">
            <v>0</v>
          </cell>
          <cell r="BY19">
            <v>0</v>
          </cell>
          <cell r="BZ19">
            <v>0</v>
          </cell>
          <cell r="CA19">
            <v>0</v>
          </cell>
          <cell r="CB19">
            <v>0</v>
          </cell>
        </row>
        <row r="20">
          <cell r="A20" t="str">
            <v>US59PZA5013311500300</v>
          </cell>
          <cell r="B20" t="str">
            <v>Pekin</v>
          </cell>
          <cell r="C20" t="str">
            <v>Jan-Dec</v>
          </cell>
          <cell r="D20" t="str">
            <v>US59PZA501</v>
          </cell>
          <cell r="E20" t="str">
            <v>501</v>
          </cell>
          <cell r="F20" t="str">
            <v>Production Admin.</v>
          </cell>
          <cell r="G20" t="str">
            <v>ZA</v>
          </cell>
          <cell r="H20">
            <v>3311500300</v>
          </cell>
          <cell r="I20" t="str">
            <v>Amort. Exp. - Fin. Leased</v>
          </cell>
          <cell r="J20" t="str">
            <v>VALID</v>
          </cell>
          <cell r="K20">
            <v>0</v>
          </cell>
          <cell r="L20">
            <v>0</v>
          </cell>
          <cell r="M20">
            <v>0</v>
          </cell>
          <cell r="N20">
            <v>1024</v>
          </cell>
          <cell r="O20">
            <v>-80</v>
          </cell>
          <cell r="P20">
            <v>-80</v>
          </cell>
          <cell r="Q20">
            <v>-80</v>
          </cell>
          <cell r="R20">
            <v>-80</v>
          </cell>
          <cell r="S20">
            <v>-80</v>
          </cell>
          <cell r="T20">
            <v>-80</v>
          </cell>
          <cell r="U20">
            <v>-80</v>
          </cell>
          <cell r="V20">
            <v>-80</v>
          </cell>
          <cell r="W20">
            <v>-80</v>
          </cell>
          <cell r="X20">
            <v>-80</v>
          </cell>
          <cell r="Y20">
            <v>-80</v>
          </cell>
          <cell r="Z20">
            <v>-80</v>
          </cell>
          <cell r="AA20">
            <v>-80</v>
          </cell>
          <cell r="AB20">
            <v>-80</v>
          </cell>
          <cell r="AC20">
            <v>-80</v>
          </cell>
          <cell r="AD20">
            <v>-80</v>
          </cell>
          <cell r="AE20">
            <v>-80</v>
          </cell>
          <cell r="AF20">
            <v>-80</v>
          </cell>
          <cell r="AG20">
            <v>-80</v>
          </cell>
          <cell r="AH20">
            <v>-80</v>
          </cell>
          <cell r="AI20">
            <v>-80</v>
          </cell>
          <cell r="AJ20">
            <v>-80</v>
          </cell>
          <cell r="AK20">
            <v>-80</v>
          </cell>
          <cell r="AL20">
            <v>-80</v>
          </cell>
          <cell r="AM20">
            <v>-80</v>
          </cell>
          <cell r="AN20">
            <v>-80</v>
          </cell>
          <cell r="AO20">
            <v>-80</v>
          </cell>
          <cell r="AP20">
            <v>-80</v>
          </cell>
          <cell r="AQ20">
            <v>-80</v>
          </cell>
          <cell r="AR20">
            <v>-80</v>
          </cell>
          <cell r="AS20">
            <v>-80</v>
          </cell>
          <cell r="AT20">
            <v>-80</v>
          </cell>
          <cell r="AU20">
            <v>0</v>
          </cell>
          <cell r="AV20">
            <v>0</v>
          </cell>
          <cell r="AW20">
            <v>0</v>
          </cell>
          <cell r="AX20">
            <v>0</v>
          </cell>
          <cell r="BS20">
            <v>384</v>
          </cell>
          <cell r="BT20">
            <v>-960</v>
          </cell>
          <cell r="BU20">
            <v>-960</v>
          </cell>
          <cell r="BV20">
            <v>0</v>
          </cell>
          <cell r="BW20">
            <v>0</v>
          </cell>
          <cell r="BX20">
            <v>384</v>
          </cell>
          <cell r="BY20">
            <v>-960</v>
          </cell>
          <cell r="BZ20">
            <v>-960</v>
          </cell>
          <cell r="CA20">
            <v>0</v>
          </cell>
          <cell r="CB20">
            <v>0</v>
          </cell>
        </row>
        <row r="21">
          <cell r="A21" t="str">
            <v>US59PZA5013501500031</v>
          </cell>
          <cell r="B21" t="str">
            <v>Pekin</v>
          </cell>
          <cell r="C21" t="str">
            <v>Jan-Dec</v>
          </cell>
          <cell r="D21" t="str">
            <v>US59PZA501</v>
          </cell>
          <cell r="E21" t="str">
            <v>501</v>
          </cell>
          <cell r="F21" t="str">
            <v>Production Admin.</v>
          </cell>
          <cell r="G21" t="str">
            <v>ZA</v>
          </cell>
          <cell r="H21">
            <v>3501500031</v>
          </cell>
          <cell r="I21" t="str">
            <v>BUSINESS LICENSES &amp; LOCAL TAXES</v>
          </cell>
          <cell r="J21" t="str">
            <v>VALID</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BS21">
            <v>0</v>
          </cell>
          <cell r="BT21">
            <v>0</v>
          </cell>
          <cell r="BU21">
            <v>0</v>
          </cell>
          <cell r="BV21">
            <v>0</v>
          </cell>
          <cell r="BW21">
            <v>0</v>
          </cell>
          <cell r="BX21">
            <v>0</v>
          </cell>
          <cell r="BY21">
            <v>0</v>
          </cell>
          <cell r="BZ21">
            <v>0</v>
          </cell>
          <cell r="CA21">
            <v>0</v>
          </cell>
          <cell r="CB21">
            <v>0</v>
          </cell>
        </row>
        <row r="22">
          <cell r="A22" t="str">
            <v>US59PZA5013501500034</v>
          </cell>
          <cell r="B22" t="str">
            <v>Pekin</v>
          </cell>
          <cell r="C22" t="str">
            <v>Jan-Dec</v>
          </cell>
          <cell r="D22" t="str">
            <v>US59PZA501</v>
          </cell>
          <cell r="E22" t="str">
            <v>501</v>
          </cell>
          <cell r="F22" t="str">
            <v>Production Admin.</v>
          </cell>
          <cell r="G22" t="str">
            <v>ZA</v>
          </cell>
          <cell r="H22">
            <v>3501500034</v>
          </cell>
          <cell r="I22" t="str">
            <v>PROPERTY TAXES</v>
          </cell>
          <cell r="J22" t="str">
            <v>VALID</v>
          </cell>
          <cell r="K22">
            <v>0</v>
          </cell>
          <cell r="L22">
            <v>0</v>
          </cell>
          <cell r="M22">
            <v>0</v>
          </cell>
          <cell r="N22">
            <v>0</v>
          </cell>
          <cell r="O22">
            <v>0</v>
          </cell>
          <cell r="P22">
            <v>0</v>
          </cell>
          <cell r="Q22">
            <v>0</v>
          </cell>
          <cell r="R22">
            <v>0</v>
          </cell>
          <cell r="S22">
            <v>0</v>
          </cell>
          <cell r="T22">
            <v>0</v>
          </cell>
          <cell r="U22">
            <v>0</v>
          </cell>
          <cell r="V22">
            <v>0</v>
          </cell>
          <cell r="W22">
            <v>7140</v>
          </cell>
          <cell r="X22">
            <v>7140</v>
          </cell>
          <cell r="Y22">
            <v>7140</v>
          </cell>
          <cell r="Z22">
            <v>7140</v>
          </cell>
          <cell r="AA22">
            <v>7140</v>
          </cell>
          <cell r="AB22">
            <v>7140</v>
          </cell>
          <cell r="AC22">
            <v>7140</v>
          </cell>
          <cell r="AD22">
            <v>7140</v>
          </cell>
          <cell r="AE22">
            <v>7140</v>
          </cell>
          <cell r="AF22">
            <v>7140</v>
          </cell>
          <cell r="AG22">
            <v>7140</v>
          </cell>
          <cell r="AH22">
            <v>7140</v>
          </cell>
          <cell r="AI22">
            <v>7545</v>
          </cell>
          <cell r="AJ22">
            <v>7545</v>
          </cell>
          <cell r="AK22">
            <v>7545</v>
          </cell>
          <cell r="AL22">
            <v>7545</v>
          </cell>
          <cell r="AM22">
            <v>7545</v>
          </cell>
          <cell r="AN22">
            <v>7545</v>
          </cell>
          <cell r="AO22">
            <v>7545</v>
          </cell>
          <cell r="AP22">
            <v>7545</v>
          </cell>
          <cell r="AQ22">
            <v>7545</v>
          </cell>
          <cell r="AR22">
            <v>7545</v>
          </cell>
          <cell r="AS22">
            <v>7122</v>
          </cell>
          <cell r="AT22">
            <v>7545</v>
          </cell>
          <cell r="AU22">
            <v>7588</v>
          </cell>
          <cell r="AV22">
            <v>7588</v>
          </cell>
          <cell r="AW22">
            <v>7588</v>
          </cell>
          <cell r="AX22">
            <v>7588</v>
          </cell>
          <cell r="AY22">
            <v>7588</v>
          </cell>
          <cell r="AZ22">
            <v>7588</v>
          </cell>
          <cell r="BA22">
            <v>7588</v>
          </cell>
          <cell r="BB22">
            <v>7588</v>
          </cell>
          <cell r="BC22">
            <v>7588</v>
          </cell>
          <cell r="BD22">
            <v>7588</v>
          </cell>
          <cell r="BE22">
            <v>7588</v>
          </cell>
          <cell r="BF22">
            <v>7588</v>
          </cell>
          <cell r="BG22">
            <v>7588</v>
          </cell>
          <cell r="BH22">
            <v>7588</v>
          </cell>
          <cell r="BI22">
            <v>7588</v>
          </cell>
          <cell r="BJ22">
            <v>7588</v>
          </cell>
          <cell r="BK22">
            <v>7588</v>
          </cell>
          <cell r="BL22">
            <v>7588</v>
          </cell>
          <cell r="BM22">
            <v>7588</v>
          </cell>
          <cell r="BN22">
            <v>7588</v>
          </cell>
          <cell r="BO22">
            <v>7588</v>
          </cell>
          <cell r="BP22">
            <v>7588</v>
          </cell>
          <cell r="BQ22">
            <v>7588</v>
          </cell>
          <cell r="BR22">
            <v>7588</v>
          </cell>
          <cell r="BS22">
            <v>0</v>
          </cell>
          <cell r="BT22">
            <v>85680</v>
          </cell>
          <cell r="BU22">
            <v>90117</v>
          </cell>
          <cell r="BV22">
            <v>91056</v>
          </cell>
          <cell r="BW22">
            <v>91056</v>
          </cell>
          <cell r="BX22">
            <v>0</v>
          </cell>
          <cell r="BY22">
            <v>85680</v>
          </cell>
          <cell r="BZ22">
            <v>90117</v>
          </cell>
          <cell r="CA22">
            <v>30352</v>
          </cell>
          <cell r="CB22">
            <v>60704</v>
          </cell>
        </row>
        <row r="23">
          <cell r="A23" t="str">
            <v>US59PZA5013911100010</v>
          </cell>
          <cell r="B23" t="str">
            <v>Pekin</v>
          </cell>
          <cell r="C23" t="str">
            <v>Jan-Dec</v>
          </cell>
          <cell r="D23" t="str">
            <v>US59PZA501</v>
          </cell>
          <cell r="E23" t="str">
            <v>501</v>
          </cell>
          <cell r="F23" t="str">
            <v>Production Admin.</v>
          </cell>
          <cell r="G23" t="str">
            <v>ZA</v>
          </cell>
          <cell r="H23">
            <v>3911100010</v>
          </cell>
          <cell r="I23" t="str">
            <v>TRAVEL EXPENSES PERMANENTS / MEALS</v>
          </cell>
          <cell r="J23" t="str">
            <v>VALID</v>
          </cell>
          <cell r="K23">
            <v>0</v>
          </cell>
          <cell r="L23">
            <v>239</v>
          </cell>
          <cell r="M23">
            <v>254</v>
          </cell>
          <cell r="N23">
            <v>454</v>
          </cell>
          <cell r="O23">
            <v>1026</v>
          </cell>
          <cell r="P23">
            <v>473</v>
          </cell>
          <cell r="Q23">
            <v>256</v>
          </cell>
          <cell r="R23">
            <v>88</v>
          </cell>
          <cell r="S23">
            <v>32</v>
          </cell>
          <cell r="T23">
            <v>86</v>
          </cell>
          <cell r="U23">
            <v>20</v>
          </cell>
          <cell r="V23">
            <v>0</v>
          </cell>
          <cell r="W23">
            <v>0</v>
          </cell>
          <cell r="X23">
            <v>0</v>
          </cell>
          <cell r="Y23">
            <v>0</v>
          </cell>
          <cell r="Z23">
            <v>63</v>
          </cell>
          <cell r="AA23">
            <v>32</v>
          </cell>
          <cell r="AB23">
            <v>62</v>
          </cell>
          <cell r="AC23">
            <v>0</v>
          </cell>
          <cell r="AD23">
            <v>0</v>
          </cell>
          <cell r="AE23">
            <v>0</v>
          </cell>
          <cell r="AF23">
            <v>7</v>
          </cell>
          <cell r="AG23">
            <v>0</v>
          </cell>
          <cell r="AH23">
            <v>0</v>
          </cell>
          <cell r="AI23">
            <v>0</v>
          </cell>
          <cell r="AJ23">
            <v>0</v>
          </cell>
          <cell r="AK23">
            <v>0</v>
          </cell>
          <cell r="AL23">
            <v>0</v>
          </cell>
          <cell r="AM23">
            <v>0</v>
          </cell>
          <cell r="AN23">
            <v>6</v>
          </cell>
          <cell r="AO23">
            <v>8</v>
          </cell>
          <cell r="AP23">
            <v>0</v>
          </cell>
          <cell r="AQ23">
            <v>4</v>
          </cell>
          <cell r="AR23">
            <v>0</v>
          </cell>
          <cell r="AS23">
            <v>0</v>
          </cell>
          <cell r="AT23">
            <v>20</v>
          </cell>
          <cell r="AU23">
            <v>0</v>
          </cell>
          <cell r="AV23">
            <v>0</v>
          </cell>
          <cell r="AW23">
            <v>0</v>
          </cell>
          <cell r="AX23">
            <v>0</v>
          </cell>
          <cell r="BS23">
            <v>2928</v>
          </cell>
          <cell r="BT23">
            <v>164</v>
          </cell>
          <cell r="BU23">
            <v>38</v>
          </cell>
          <cell r="BV23">
            <v>0</v>
          </cell>
          <cell r="BW23">
            <v>0</v>
          </cell>
          <cell r="BX23">
            <v>2928</v>
          </cell>
          <cell r="BY23">
            <v>164</v>
          </cell>
          <cell r="BZ23">
            <v>38</v>
          </cell>
          <cell r="CA23">
            <v>0</v>
          </cell>
          <cell r="CB23">
            <v>0</v>
          </cell>
        </row>
        <row r="24">
          <cell r="A24" t="str">
            <v>US59PZA5013911100012</v>
          </cell>
          <cell r="B24" t="str">
            <v>Pekin</v>
          </cell>
          <cell r="C24" t="str">
            <v>Jan-Dec</v>
          </cell>
          <cell r="D24" t="str">
            <v>US59PZA501</v>
          </cell>
          <cell r="E24" t="str">
            <v>501</v>
          </cell>
          <cell r="F24" t="str">
            <v>Production Admin.</v>
          </cell>
          <cell r="G24" t="str">
            <v>ZA</v>
          </cell>
          <cell r="H24">
            <v>3911100012</v>
          </cell>
          <cell r="I24" t="str">
            <v>TRAVEL EXPENSES PERMANENTS / HOTELS</v>
          </cell>
          <cell r="J24" t="str">
            <v>VALID</v>
          </cell>
          <cell r="K24">
            <v>0</v>
          </cell>
          <cell r="L24">
            <v>1112</v>
          </cell>
          <cell r="M24">
            <v>1466</v>
          </cell>
          <cell r="N24">
            <v>3248</v>
          </cell>
          <cell r="O24">
            <v>1608</v>
          </cell>
          <cell r="P24">
            <v>3951</v>
          </cell>
          <cell r="Q24">
            <v>1132</v>
          </cell>
          <cell r="R24">
            <v>1165</v>
          </cell>
          <cell r="S24">
            <v>4595</v>
          </cell>
          <cell r="T24">
            <v>195</v>
          </cell>
          <cell r="U24">
            <v>199</v>
          </cell>
          <cell r="V24">
            <v>0</v>
          </cell>
          <cell r="W24">
            <v>0</v>
          </cell>
          <cell r="X24">
            <v>0</v>
          </cell>
          <cell r="Y24">
            <v>0</v>
          </cell>
          <cell r="Z24">
            <v>407</v>
          </cell>
          <cell r="AA24">
            <v>0</v>
          </cell>
          <cell r="AB24">
            <v>772</v>
          </cell>
          <cell r="AC24">
            <v>0</v>
          </cell>
          <cell r="AD24">
            <v>0</v>
          </cell>
          <cell r="AE24">
            <v>0</v>
          </cell>
          <cell r="AF24">
            <v>518</v>
          </cell>
          <cell r="AG24">
            <v>0</v>
          </cell>
          <cell r="AH24">
            <v>0</v>
          </cell>
          <cell r="AI24">
            <v>0</v>
          </cell>
          <cell r="AJ24">
            <v>0</v>
          </cell>
          <cell r="AK24">
            <v>0</v>
          </cell>
          <cell r="AL24">
            <v>321</v>
          </cell>
          <cell r="AM24">
            <v>0</v>
          </cell>
          <cell r="AN24">
            <v>0</v>
          </cell>
          <cell r="AO24">
            <v>69</v>
          </cell>
          <cell r="AP24">
            <v>0</v>
          </cell>
          <cell r="AQ24">
            <v>276</v>
          </cell>
          <cell r="AR24">
            <v>0</v>
          </cell>
          <cell r="AS24">
            <v>302</v>
          </cell>
          <cell r="AT24">
            <v>103</v>
          </cell>
          <cell r="AU24">
            <v>0</v>
          </cell>
          <cell r="AV24">
            <v>0</v>
          </cell>
          <cell r="AW24">
            <v>0</v>
          </cell>
          <cell r="AX24">
            <v>239</v>
          </cell>
          <cell r="BS24">
            <v>18671</v>
          </cell>
          <cell r="BT24">
            <v>1697</v>
          </cell>
          <cell r="BU24">
            <v>1071</v>
          </cell>
          <cell r="BV24">
            <v>239</v>
          </cell>
          <cell r="BW24">
            <v>0</v>
          </cell>
          <cell r="BX24">
            <v>18671</v>
          </cell>
          <cell r="BY24">
            <v>1697</v>
          </cell>
          <cell r="BZ24">
            <v>1071</v>
          </cell>
          <cell r="CA24">
            <v>239</v>
          </cell>
          <cell r="CB24">
            <v>0</v>
          </cell>
        </row>
        <row r="25">
          <cell r="A25" t="str">
            <v>US59PZA5013911100015</v>
          </cell>
          <cell r="B25" t="str">
            <v>Pekin</v>
          </cell>
          <cell r="C25" t="str">
            <v>Jan-Dec</v>
          </cell>
          <cell r="D25" t="str">
            <v>US59PZA501</v>
          </cell>
          <cell r="E25" t="str">
            <v>501</v>
          </cell>
          <cell r="F25" t="str">
            <v>Production Admin.</v>
          </cell>
          <cell r="G25" t="str">
            <v>ZA</v>
          </cell>
          <cell r="H25">
            <v>3911100015</v>
          </cell>
          <cell r="I25" t="str">
            <v>TRAVEL EXPENSES PERMANENTS / OTHER</v>
          </cell>
          <cell r="J25" t="str">
            <v>VALID</v>
          </cell>
          <cell r="K25">
            <v>0</v>
          </cell>
          <cell r="L25">
            <v>1415</v>
          </cell>
          <cell r="M25">
            <v>766</v>
          </cell>
          <cell r="N25">
            <v>2283</v>
          </cell>
          <cell r="O25">
            <v>2204</v>
          </cell>
          <cell r="P25">
            <v>1077</v>
          </cell>
          <cell r="Q25">
            <v>4272</v>
          </cell>
          <cell r="R25">
            <v>957</v>
          </cell>
          <cell r="S25">
            <v>2744</v>
          </cell>
          <cell r="T25">
            <v>0</v>
          </cell>
          <cell r="U25">
            <v>196</v>
          </cell>
          <cell r="V25">
            <v>0</v>
          </cell>
          <cell r="W25">
            <v>0</v>
          </cell>
          <cell r="X25">
            <v>0</v>
          </cell>
          <cell r="Y25">
            <v>0</v>
          </cell>
          <cell r="Z25">
            <v>0</v>
          </cell>
          <cell r="AA25">
            <v>0</v>
          </cell>
          <cell r="AB25">
            <v>0</v>
          </cell>
          <cell r="AC25">
            <v>0</v>
          </cell>
          <cell r="AD25">
            <v>0</v>
          </cell>
          <cell r="AE25">
            <v>0</v>
          </cell>
          <cell r="AF25">
            <v>0</v>
          </cell>
          <cell r="AG25">
            <v>355</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BS25">
            <v>15914</v>
          </cell>
          <cell r="BT25">
            <v>355</v>
          </cell>
          <cell r="BU25">
            <v>0</v>
          </cell>
          <cell r="BV25">
            <v>0</v>
          </cell>
          <cell r="BW25">
            <v>0</v>
          </cell>
          <cell r="BX25">
            <v>15914</v>
          </cell>
          <cell r="BY25">
            <v>355</v>
          </cell>
          <cell r="BZ25">
            <v>0</v>
          </cell>
          <cell r="CA25">
            <v>0</v>
          </cell>
          <cell r="CB25">
            <v>0</v>
          </cell>
        </row>
        <row r="26">
          <cell r="A26" t="str">
            <v>US59PZA5013911100022</v>
          </cell>
          <cell r="B26" t="str">
            <v>Pekin</v>
          </cell>
          <cell r="C26" t="str">
            <v>Jan-Dec</v>
          </cell>
          <cell r="D26" t="str">
            <v>US59PZA501</v>
          </cell>
          <cell r="E26" t="str">
            <v>501</v>
          </cell>
          <cell r="F26" t="str">
            <v>Production Admin.</v>
          </cell>
          <cell r="G26" t="str">
            <v>ZA</v>
          </cell>
          <cell r="H26">
            <v>3911100022</v>
          </cell>
          <cell r="I26" t="str">
            <v>TRAVEL EXPENSES - AIRFARE</v>
          </cell>
          <cell r="J26" t="str">
            <v>VALID</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1182</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BS26">
            <v>0</v>
          </cell>
          <cell r="BT26">
            <v>1182</v>
          </cell>
          <cell r="BU26">
            <v>0</v>
          </cell>
          <cell r="BV26">
            <v>0</v>
          </cell>
          <cell r="BW26">
            <v>0</v>
          </cell>
          <cell r="BX26">
            <v>0</v>
          </cell>
          <cell r="BY26">
            <v>1182</v>
          </cell>
          <cell r="BZ26">
            <v>0</v>
          </cell>
          <cell r="CA26">
            <v>0</v>
          </cell>
          <cell r="CB26">
            <v>0</v>
          </cell>
        </row>
        <row r="27">
          <cell r="A27" t="str">
            <v>US59PZA5013911100041</v>
          </cell>
          <cell r="B27" t="str">
            <v>Pekin</v>
          </cell>
          <cell r="C27" t="str">
            <v>Jan-Dec</v>
          </cell>
          <cell r="D27" t="str">
            <v>US59PZA501</v>
          </cell>
          <cell r="E27" t="str">
            <v>501</v>
          </cell>
          <cell r="F27" t="str">
            <v>Production Admin.</v>
          </cell>
          <cell r="G27" t="str">
            <v>ZA</v>
          </cell>
          <cell r="H27">
            <v>3911100041</v>
          </cell>
          <cell r="I27" t="str">
            <v>TRAVEL EXPENSES - ENTERTAINMENT</v>
          </cell>
          <cell r="J27" t="str">
            <v>VALID</v>
          </cell>
          <cell r="K27">
            <v>0</v>
          </cell>
          <cell r="L27">
            <v>206</v>
          </cell>
          <cell r="M27">
            <v>42</v>
          </cell>
          <cell r="N27">
            <v>640</v>
          </cell>
          <cell r="O27">
            <v>724</v>
          </cell>
          <cell r="P27">
            <v>249</v>
          </cell>
          <cell r="Q27">
            <v>425</v>
          </cell>
          <cell r="R27">
            <v>69</v>
          </cell>
          <cell r="S27">
            <v>42</v>
          </cell>
          <cell r="T27">
            <v>57</v>
          </cell>
          <cell r="U27">
            <v>0</v>
          </cell>
          <cell r="V27">
            <v>34</v>
          </cell>
          <cell r="W27">
            <v>0</v>
          </cell>
          <cell r="X27">
            <v>0</v>
          </cell>
          <cell r="Y27">
            <v>0</v>
          </cell>
          <cell r="Z27">
            <v>18</v>
          </cell>
          <cell r="AA27">
            <v>0</v>
          </cell>
          <cell r="AB27">
            <v>0</v>
          </cell>
          <cell r="AC27">
            <v>0</v>
          </cell>
          <cell r="AD27">
            <v>0</v>
          </cell>
          <cell r="AE27">
            <v>0</v>
          </cell>
          <cell r="AF27">
            <v>70</v>
          </cell>
          <cell r="AG27">
            <v>0</v>
          </cell>
          <cell r="AH27">
            <v>0</v>
          </cell>
          <cell r="AI27">
            <v>123</v>
          </cell>
          <cell r="AJ27">
            <v>0</v>
          </cell>
          <cell r="AK27">
            <v>0</v>
          </cell>
          <cell r="AL27">
            <v>0</v>
          </cell>
          <cell r="AM27">
            <v>0</v>
          </cell>
          <cell r="AN27">
            <v>72</v>
          </cell>
          <cell r="AO27">
            <v>0</v>
          </cell>
          <cell r="AP27">
            <v>0</v>
          </cell>
          <cell r="AQ27">
            <v>0</v>
          </cell>
          <cell r="AR27">
            <v>0</v>
          </cell>
          <cell r="AS27">
            <v>0</v>
          </cell>
          <cell r="AT27">
            <v>0</v>
          </cell>
          <cell r="AU27">
            <v>0</v>
          </cell>
          <cell r="AV27">
            <v>0</v>
          </cell>
          <cell r="AW27">
            <v>0</v>
          </cell>
          <cell r="AX27">
            <v>0</v>
          </cell>
          <cell r="BS27">
            <v>2488</v>
          </cell>
          <cell r="BT27">
            <v>88</v>
          </cell>
          <cell r="BU27">
            <v>195</v>
          </cell>
          <cell r="BV27">
            <v>0</v>
          </cell>
          <cell r="BW27">
            <v>0</v>
          </cell>
          <cell r="BX27">
            <v>2488</v>
          </cell>
          <cell r="BY27">
            <v>88</v>
          </cell>
          <cell r="BZ27">
            <v>195</v>
          </cell>
          <cell r="CA27">
            <v>0</v>
          </cell>
          <cell r="CB27">
            <v>0</v>
          </cell>
        </row>
        <row r="28">
          <cell r="A28" t="str">
            <v>US59PZA5013911200000</v>
          </cell>
          <cell r="B28" t="str">
            <v>Pekin</v>
          </cell>
          <cell r="C28" t="str">
            <v>Jan-Dec</v>
          </cell>
          <cell r="D28" t="str">
            <v>US59PZA501</v>
          </cell>
          <cell r="E28" t="str">
            <v>501</v>
          </cell>
          <cell r="F28" t="str">
            <v>Production Admin.</v>
          </cell>
          <cell r="G28" t="str">
            <v>ZA</v>
          </cell>
          <cell r="H28">
            <v>3911200000</v>
          </cell>
          <cell r="I28" t="str">
            <v>PROMOTIONAL EXPENSES ADVERTISEMENT</v>
          </cell>
          <cell r="J28" t="str">
            <v>VALID</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BS28">
            <v>0</v>
          </cell>
          <cell r="BT28">
            <v>0</v>
          </cell>
          <cell r="BU28">
            <v>0</v>
          </cell>
          <cell r="BV28">
            <v>0</v>
          </cell>
          <cell r="BW28">
            <v>0</v>
          </cell>
          <cell r="BX28">
            <v>0</v>
          </cell>
          <cell r="BY28">
            <v>0</v>
          </cell>
          <cell r="BZ28">
            <v>0</v>
          </cell>
          <cell r="CA28">
            <v>0</v>
          </cell>
          <cell r="CB28">
            <v>0</v>
          </cell>
        </row>
        <row r="29">
          <cell r="A29" t="str">
            <v>US59PZA5013911200001</v>
          </cell>
          <cell r="B29" t="str">
            <v>Pekin</v>
          </cell>
          <cell r="C29" t="str">
            <v>Jan-Dec</v>
          </cell>
          <cell r="D29" t="str">
            <v>US59PZA501</v>
          </cell>
          <cell r="E29" t="str">
            <v>501</v>
          </cell>
          <cell r="F29" t="str">
            <v>Production Admin.</v>
          </cell>
          <cell r="G29" t="str">
            <v>ZA</v>
          </cell>
          <cell r="H29">
            <v>3911200001</v>
          </cell>
          <cell r="I29" t="str">
            <v>SYMPOSIUMS, CONFERENCES, MEETINGS</v>
          </cell>
          <cell r="J29" t="str">
            <v>VALID</v>
          </cell>
          <cell r="K29">
            <v>0</v>
          </cell>
          <cell r="L29">
            <v>125</v>
          </cell>
          <cell r="M29">
            <v>32</v>
          </cell>
          <cell r="N29">
            <v>0</v>
          </cell>
          <cell r="O29">
            <v>0</v>
          </cell>
          <cell r="P29">
            <v>11</v>
          </cell>
          <cell r="Q29">
            <v>4279</v>
          </cell>
          <cell r="R29">
            <v>113</v>
          </cell>
          <cell r="S29">
            <v>0</v>
          </cell>
          <cell r="T29">
            <v>523</v>
          </cell>
          <cell r="U29">
            <v>60</v>
          </cell>
          <cell r="V29">
            <v>206</v>
          </cell>
          <cell r="W29">
            <v>0</v>
          </cell>
          <cell r="X29">
            <v>4</v>
          </cell>
          <cell r="Y29">
            <v>0</v>
          </cell>
          <cell r="Z29">
            <v>47</v>
          </cell>
          <cell r="AA29">
            <v>130</v>
          </cell>
          <cell r="AB29">
            <v>0</v>
          </cell>
          <cell r="AC29">
            <v>0</v>
          </cell>
          <cell r="AD29">
            <v>0</v>
          </cell>
          <cell r="AE29">
            <v>74</v>
          </cell>
          <cell r="AF29">
            <v>38</v>
          </cell>
          <cell r="AG29">
            <v>535</v>
          </cell>
          <cell r="AH29">
            <v>0</v>
          </cell>
          <cell r="AI29">
            <v>87</v>
          </cell>
          <cell r="AJ29">
            <v>0</v>
          </cell>
          <cell r="AK29">
            <v>0</v>
          </cell>
          <cell r="AL29">
            <v>0</v>
          </cell>
          <cell r="AM29">
            <v>160</v>
          </cell>
          <cell r="AN29">
            <v>0</v>
          </cell>
          <cell r="AO29">
            <v>0</v>
          </cell>
          <cell r="AP29">
            <v>28</v>
          </cell>
          <cell r="AQ29">
            <v>77</v>
          </cell>
          <cell r="AR29">
            <v>0</v>
          </cell>
          <cell r="AS29">
            <v>0</v>
          </cell>
          <cell r="AT29">
            <v>0</v>
          </cell>
          <cell r="AU29">
            <v>26</v>
          </cell>
          <cell r="AV29">
            <v>59</v>
          </cell>
          <cell r="AW29">
            <v>0</v>
          </cell>
          <cell r="AX29">
            <v>0</v>
          </cell>
          <cell r="BS29">
            <v>5349</v>
          </cell>
          <cell r="BT29">
            <v>828</v>
          </cell>
          <cell r="BU29">
            <v>352</v>
          </cell>
          <cell r="BV29">
            <v>85</v>
          </cell>
          <cell r="BW29">
            <v>0</v>
          </cell>
          <cell r="BX29">
            <v>5349</v>
          </cell>
          <cell r="BY29">
            <v>828</v>
          </cell>
          <cell r="BZ29">
            <v>352</v>
          </cell>
          <cell r="CA29">
            <v>85</v>
          </cell>
          <cell r="CB29">
            <v>0</v>
          </cell>
        </row>
        <row r="30">
          <cell r="A30" t="str">
            <v>US59PZA5013911200003</v>
          </cell>
          <cell r="B30" t="str">
            <v>Pekin</v>
          </cell>
          <cell r="C30" t="str">
            <v>Jan-Dec</v>
          </cell>
          <cell r="D30" t="str">
            <v>US59PZA501</v>
          </cell>
          <cell r="E30" t="str">
            <v>501</v>
          </cell>
          <cell r="F30" t="str">
            <v>Production Admin.</v>
          </cell>
          <cell r="G30" t="str">
            <v>ZA</v>
          </cell>
          <cell r="H30">
            <v>3911200003</v>
          </cell>
          <cell r="I30" t="str">
            <v>Promotional Actions</v>
          </cell>
          <cell r="J30" t="str">
            <v>VALID</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BS30">
            <v>0</v>
          </cell>
          <cell r="BT30">
            <v>0</v>
          </cell>
          <cell r="BU30">
            <v>0</v>
          </cell>
          <cell r="BV30">
            <v>0</v>
          </cell>
          <cell r="BW30">
            <v>0</v>
          </cell>
          <cell r="BX30">
            <v>0</v>
          </cell>
          <cell r="BY30">
            <v>0</v>
          </cell>
          <cell r="BZ30">
            <v>0</v>
          </cell>
          <cell r="CA30">
            <v>0</v>
          </cell>
          <cell r="CB30">
            <v>0</v>
          </cell>
        </row>
        <row r="31">
          <cell r="A31" t="str">
            <v>US59PZA5013921100000</v>
          </cell>
          <cell r="B31" t="str">
            <v>Pekin</v>
          </cell>
          <cell r="C31" t="str">
            <v>Jan-Dec</v>
          </cell>
          <cell r="D31" t="str">
            <v>US59PZA501</v>
          </cell>
          <cell r="E31" t="str">
            <v>501</v>
          </cell>
          <cell r="F31" t="str">
            <v>Production Admin.</v>
          </cell>
          <cell r="G31" t="str">
            <v>ZA</v>
          </cell>
          <cell r="H31">
            <v>3921100000</v>
          </cell>
          <cell r="I31" t="str">
            <v>UTILITIES EXPENSES WATER</v>
          </cell>
          <cell r="J31" t="str">
            <v>VALID</v>
          </cell>
          <cell r="K31">
            <v>0</v>
          </cell>
          <cell r="L31">
            <v>162</v>
          </cell>
          <cell r="M31">
            <v>165</v>
          </cell>
          <cell r="N31">
            <v>170</v>
          </cell>
          <cell r="O31">
            <v>45</v>
          </cell>
          <cell r="P31">
            <v>172</v>
          </cell>
          <cell r="Q31">
            <v>176</v>
          </cell>
          <cell r="R31">
            <v>170</v>
          </cell>
          <cell r="S31">
            <v>175</v>
          </cell>
          <cell r="T31">
            <v>181</v>
          </cell>
          <cell r="U31">
            <v>175</v>
          </cell>
          <cell r="V31">
            <v>37</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200</v>
          </cell>
          <cell r="BA31">
            <v>200</v>
          </cell>
          <cell r="BB31">
            <v>200</v>
          </cell>
          <cell r="BC31">
            <v>200</v>
          </cell>
          <cell r="BD31">
            <v>200</v>
          </cell>
          <cell r="BE31">
            <v>200</v>
          </cell>
          <cell r="BF31">
            <v>200</v>
          </cell>
          <cell r="BG31">
            <v>200</v>
          </cell>
          <cell r="BH31">
            <v>200</v>
          </cell>
          <cell r="BI31">
            <v>200</v>
          </cell>
          <cell r="BJ31">
            <v>200</v>
          </cell>
          <cell r="BK31">
            <v>200</v>
          </cell>
          <cell r="BL31">
            <v>200</v>
          </cell>
          <cell r="BM31">
            <v>200</v>
          </cell>
          <cell r="BN31">
            <v>200</v>
          </cell>
          <cell r="BO31">
            <v>200</v>
          </cell>
          <cell r="BP31">
            <v>200</v>
          </cell>
          <cell r="BQ31">
            <v>200</v>
          </cell>
          <cell r="BR31">
            <v>200</v>
          </cell>
          <cell r="BS31">
            <v>1628</v>
          </cell>
          <cell r="BT31">
            <v>0</v>
          </cell>
          <cell r="BU31">
            <v>0</v>
          </cell>
          <cell r="BV31">
            <v>1400</v>
          </cell>
          <cell r="BW31">
            <v>2400</v>
          </cell>
          <cell r="BX31">
            <v>1628</v>
          </cell>
          <cell r="BY31">
            <v>0</v>
          </cell>
          <cell r="BZ31">
            <v>0</v>
          </cell>
          <cell r="CA31">
            <v>0</v>
          </cell>
          <cell r="CB31">
            <v>1400</v>
          </cell>
        </row>
        <row r="32">
          <cell r="A32" t="str">
            <v>US59PZA5013921100001</v>
          </cell>
          <cell r="B32" t="str">
            <v>Pekin</v>
          </cell>
          <cell r="C32" t="str">
            <v>Jan-Dec</v>
          </cell>
          <cell r="D32" t="str">
            <v>US59PZA501</v>
          </cell>
          <cell r="E32" t="str">
            <v>501</v>
          </cell>
          <cell r="F32" t="str">
            <v>Production Admin.</v>
          </cell>
          <cell r="G32" t="str">
            <v>ZA</v>
          </cell>
          <cell r="H32">
            <v>3921100001</v>
          </cell>
          <cell r="I32" t="str">
            <v>UTILITY EXPENSES ELECTRICITY</v>
          </cell>
          <cell r="J32" t="str">
            <v>VALID</v>
          </cell>
          <cell r="K32">
            <v>0</v>
          </cell>
          <cell r="L32">
            <v>0</v>
          </cell>
          <cell r="M32">
            <v>18644</v>
          </cell>
          <cell r="N32">
            <v>0</v>
          </cell>
          <cell r="O32">
            <v>7661</v>
          </cell>
          <cell r="P32">
            <v>13474</v>
          </cell>
          <cell r="Q32">
            <v>0</v>
          </cell>
          <cell r="R32">
            <v>7338</v>
          </cell>
          <cell r="S32">
            <v>7747</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BS32">
            <v>54864</v>
          </cell>
          <cell r="BT32">
            <v>0</v>
          </cell>
          <cell r="BU32">
            <v>0</v>
          </cell>
          <cell r="BV32">
            <v>0</v>
          </cell>
          <cell r="BW32">
            <v>0</v>
          </cell>
          <cell r="BX32">
            <v>54864</v>
          </cell>
          <cell r="BY32">
            <v>0</v>
          </cell>
          <cell r="BZ32">
            <v>0</v>
          </cell>
          <cell r="CA32">
            <v>0</v>
          </cell>
          <cell r="CB32">
            <v>0</v>
          </cell>
        </row>
        <row r="33">
          <cell r="A33" t="str">
            <v>US59PZA5013921200001</v>
          </cell>
          <cell r="B33" t="str">
            <v>Pekin</v>
          </cell>
          <cell r="C33" t="str">
            <v>Jan-Dec</v>
          </cell>
          <cell r="D33" t="str">
            <v>US59PZA501</v>
          </cell>
          <cell r="E33" t="str">
            <v>501</v>
          </cell>
          <cell r="F33" t="str">
            <v>Production Admin.</v>
          </cell>
          <cell r="G33" t="str">
            <v>ZA</v>
          </cell>
          <cell r="H33">
            <v>3921200001</v>
          </cell>
          <cell r="I33" t="str">
            <v>FUEL</v>
          </cell>
          <cell r="J33" t="str">
            <v>VALID</v>
          </cell>
          <cell r="K33">
            <v>0</v>
          </cell>
          <cell r="L33">
            <v>0</v>
          </cell>
          <cell r="M33">
            <v>3760</v>
          </cell>
          <cell r="N33">
            <v>230</v>
          </cell>
          <cell r="O33">
            <v>1734</v>
          </cell>
          <cell r="P33">
            <v>310</v>
          </cell>
          <cell r="Q33">
            <v>0</v>
          </cell>
          <cell r="R33">
            <v>2053</v>
          </cell>
          <cell r="S33">
            <v>123</v>
          </cell>
          <cell r="T33">
            <v>0</v>
          </cell>
          <cell r="U33">
            <v>236</v>
          </cell>
          <cell r="V33">
            <v>429</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Z33">
            <v>0</v>
          </cell>
          <cell r="BA33">
            <v>0</v>
          </cell>
          <cell r="BB33">
            <v>0</v>
          </cell>
          <cell r="BC33">
            <v>1000</v>
          </cell>
          <cell r="BD33">
            <v>1000</v>
          </cell>
          <cell r="BE33">
            <v>1000</v>
          </cell>
          <cell r="BF33">
            <v>2000</v>
          </cell>
          <cell r="BG33">
            <v>2000</v>
          </cell>
          <cell r="BH33">
            <v>2000</v>
          </cell>
          <cell r="BI33">
            <v>2000</v>
          </cell>
          <cell r="BJ33">
            <v>2000</v>
          </cell>
          <cell r="BK33">
            <v>1000</v>
          </cell>
          <cell r="BL33">
            <v>0</v>
          </cell>
          <cell r="BM33">
            <v>0</v>
          </cell>
          <cell r="BN33">
            <v>0</v>
          </cell>
          <cell r="BO33">
            <v>0</v>
          </cell>
          <cell r="BP33">
            <v>1000</v>
          </cell>
          <cell r="BQ33">
            <v>1000</v>
          </cell>
          <cell r="BR33">
            <v>2000</v>
          </cell>
          <cell r="BS33">
            <v>8875</v>
          </cell>
          <cell r="BT33">
            <v>0</v>
          </cell>
          <cell r="BU33">
            <v>0</v>
          </cell>
          <cell r="BV33">
            <v>5000</v>
          </cell>
          <cell r="BW33">
            <v>13000</v>
          </cell>
          <cell r="BX33">
            <v>8875</v>
          </cell>
          <cell r="BY33">
            <v>0</v>
          </cell>
          <cell r="BZ33">
            <v>0</v>
          </cell>
          <cell r="CA33">
            <v>0</v>
          </cell>
          <cell r="CB33">
            <v>5000</v>
          </cell>
        </row>
        <row r="34">
          <cell r="A34" t="str">
            <v>US59PZA5013921200003</v>
          </cell>
          <cell r="B34" t="str">
            <v>Pekin</v>
          </cell>
          <cell r="C34" t="str">
            <v>Jan-Dec</v>
          </cell>
          <cell r="D34" t="str">
            <v>US59PZA501</v>
          </cell>
          <cell r="E34" t="str">
            <v>501</v>
          </cell>
          <cell r="F34" t="str">
            <v>Production Admin.</v>
          </cell>
          <cell r="G34" t="str">
            <v>ZA</v>
          </cell>
          <cell r="H34">
            <v>3921200003</v>
          </cell>
          <cell r="I34" t="str">
            <v>GAS</v>
          </cell>
          <cell r="J34" t="str">
            <v>VALID</v>
          </cell>
          <cell r="K34">
            <v>426</v>
          </cell>
          <cell r="L34">
            <v>0</v>
          </cell>
          <cell r="M34">
            <v>0</v>
          </cell>
          <cell r="N34">
            <v>40</v>
          </cell>
          <cell r="O34">
            <v>130</v>
          </cell>
          <cell r="P34">
            <v>2313</v>
          </cell>
          <cell r="Q34">
            <v>272</v>
          </cell>
          <cell r="R34">
            <v>76</v>
          </cell>
          <cell r="S34">
            <v>70</v>
          </cell>
          <cell r="T34">
            <v>0</v>
          </cell>
          <cell r="U34">
            <v>59</v>
          </cell>
          <cell r="V34">
            <v>0</v>
          </cell>
          <cell r="W34">
            <v>0</v>
          </cell>
          <cell r="X34">
            <v>0</v>
          </cell>
          <cell r="Y34">
            <v>0</v>
          </cell>
          <cell r="Z34">
            <v>127</v>
          </cell>
          <cell r="AA34">
            <v>0</v>
          </cell>
          <cell r="AB34">
            <v>96</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BS34">
            <v>3386</v>
          </cell>
          <cell r="BT34">
            <v>223</v>
          </cell>
          <cell r="BU34">
            <v>0</v>
          </cell>
          <cell r="BV34">
            <v>0</v>
          </cell>
          <cell r="BW34">
            <v>0</v>
          </cell>
          <cell r="BX34">
            <v>3386</v>
          </cell>
          <cell r="BY34">
            <v>223</v>
          </cell>
          <cell r="BZ34">
            <v>0</v>
          </cell>
          <cell r="CA34">
            <v>0</v>
          </cell>
          <cell r="CB34">
            <v>0</v>
          </cell>
        </row>
        <row r="35">
          <cell r="A35" t="str">
            <v>US59PZA5013921200006</v>
          </cell>
          <cell r="B35" t="str">
            <v>Pekin</v>
          </cell>
          <cell r="C35" t="str">
            <v>Jan-Dec</v>
          </cell>
          <cell r="D35" t="str">
            <v>US59PZA501</v>
          </cell>
          <cell r="E35" t="str">
            <v>501</v>
          </cell>
          <cell r="F35" t="str">
            <v>Production Admin.</v>
          </cell>
          <cell r="G35" t="str">
            <v>ZA</v>
          </cell>
          <cell r="H35">
            <v>3921200006</v>
          </cell>
          <cell r="I35" t="str">
            <v>FACTORY SUPPLIES MAINTENANCE SUPPLIES</v>
          </cell>
          <cell r="J35" t="str">
            <v>VALID</v>
          </cell>
          <cell r="K35">
            <v>0</v>
          </cell>
          <cell r="L35">
            <v>0</v>
          </cell>
          <cell r="M35">
            <v>0</v>
          </cell>
          <cell r="N35">
            <v>0</v>
          </cell>
          <cell r="O35">
            <v>12</v>
          </cell>
          <cell r="P35">
            <v>129</v>
          </cell>
          <cell r="Q35">
            <v>0</v>
          </cell>
          <cell r="R35">
            <v>49</v>
          </cell>
          <cell r="S35">
            <v>0</v>
          </cell>
          <cell r="T35">
            <v>51</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200</v>
          </cell>
          <cell r="BA35">
            <v>200</v>
          </cell>
          <cell r="BB35">
            <v>200</v>
          </cell>
          <cell r="BC35">
            <v>200</v>
          </cell>
          <cell r="BD35">
            <v>200</v>
          </cell>
          <cell r="BE35">
            <v>200</v>
          </cell>
          <cell r="BF35">
            <v>200</v>
          </cell>
          <cell r="BG35">
            <v>200</v>
          </cell>
          <cell r="BH35">
            <v>200</v>
          </cell>
          <cell r="BI35">
            <v>200</v>
          </cell>
          <cell r="BJ35">
            <v>200</v>
          </cell>
          <cell r="BK35">
            <v>200</v>
          </cell>
          <cell r="BL35">
            <v>200</v>
          </cell>
          <cell r="BM35">
            <v>200</v>
          </cell>
          <cell r="BN35">
            <v>200</v>
          </cell>
          <cell r="BO35">
            <v>200</v>
          </cell>
          <cell r="BP35">
            <v>200</v>
          </cell>
          <cell r="BQ35">
            <v>200</v>
          </cell>
          <cell r="BR35">
            <v>200</v>
          </cell>
          <cell r="BS35">
            <v>241</v>
          </cell>
          <cell r="BT35">
            <v>0</v>
          </cell>
          <cell r="BU35">
            <v>0</v>
          </cell>
          <cell r="BV35">
            <v>1400</v>
          </cell>
          <cell r="BW35">
            <v>2400</v>
          </cell>
          <cell r="BX35">
            <v>241</v>
          </cell>
          <cell r="BY35">
            <v>0</v>
          </cell>
          <cell r="BZ35">
            <v>0</v>
          </cell>
          <cell r="CA35">
            <v>0</v>
          </cell>
          <cell r="CB35">
            <v>1400</v>
          </cell>
        </row>
        <row r="36">
          <cell r="A36" t="str">
            <v>US59PZA5013921200010</v>
          </cell>
          <cell r="B36" t="str">
            <v>Pekin</v>
          </cell>
          <cell r="C36" t="str">
            <v>Jan-Dec</v>
          </cell>
          <cell r="D36" t="str">
            <v>US59PZA501</v>
          </cell>
          <cell r="E36" t="str">
            <v>501</v>
          </cell>
          <cell r="F36" t="str">
            <v>Production Admin.</v>
          </cell>
          <cell r="G36" t="str">
            <v>ZA</v>
          </cell>
          <cell r="H36">
            <v>3921200010</v>
          </cell>
          <cell r="I36" t="str">
            <v>ADMINISTRATIVE SUPPLIES</v>
          </cell>
          <cell r="J36" t="str">
            <v>VALID</v>
          </cell>
          <cell r="K36">
            <v>795</v>
          </cell>
          <cell r="L36">
            <v>784</v>
          </cell>
          <cell r="M36">
            <v>1828</v>
          </cell>
          <cell r="N36">
            <v>1157</v>
          </cell>
          <cell r="O36">
            <v>1145</v>
          </cell>
          <cell r="P36">
            <v>3072</v>
          </cell>
          <cell r="Q36">
            <v>1388</v>
          </cell>
          <cell r="R36">
            <v>497</v>
          </cell>
          <cell r="S36">
            <v>1043</v>
          </cell>
          <cell r="T36">
            <v>1528</v>
          </cell>
          <cell r="U36">
            <v>0</v>
          </cell>
          <cell r="V36">
            <v>456</v>
          </cell>
          <cell r="W36">
            <v>126</v>
          </cell>
          <cell r="X36">
            <v>274</v>
          </cell>
          <cell r="Y36">
            <v>0</v>
          </cell>
          <cell r="Z36">
            <v>227</v>
          </cell>
          <cell r="AA36">
            <v>867</v>
          </cell>
          <cell r="AB36">
            <v>547</v>
          </cell>
          <cell r="AC36">
            <v>0</v>
          </cell>
          <cell r="AD36">
            <v>135</v>
          </cell>
          <cell r="AE36">
            <v>0</v>
          </cell>
          <cell r="AF36">
            <v>0</v>
          </cell>
          <cell r="AG36">
            <v>226</v>
          </cell>
          <cell r="AH36">
            <v>0</v>
          </cell>
          <cell r="AI36">
            <v>134</v>
          </cell>
          <cell r="AJ36">
            <v>225</v>
          </cell>
          <cell r="AK36">
            <v>0</v>
          </cell>
          <cell r="AL36">
            <v>243</v>
          </cell>
          <cell r="AM36">
            <v>0</v>
          </cell>
          <cell r="AN36">
            <v>0</v>
          </cell>
          <cell r="AO36">
            <v>0</v>
          </cell>
          <cell r="AP36">
            <v>92</v>
          </cell>
          <cell r="AQ36">
            <v>0</v>
          </cell>
          <cell r="AR36">
            <v>0</v>
          </cell>
          <cell r="AS36">
            <v>0</v>
          </cell>
          <cell r="AT36">
            <v>0</v>
          </cell>
          <cell r="AU36">
            <v>0</v>
          </cell>
          <cell r="AV36">
            <v>0</v>
          </cell>
          <cell r="AW36">
            <v>147</v>
          </cell>
          <cell r="AX36">
            <v>0</v>
          </cell>
          <cell r="AY36">
            <v>0</v>
          </cell>
          <cell r="AZ36">
            <v>1250</v>
          </cell>
          <cell r="BA36">
            <v>1250</v>
          </cell>
          <cell r="BB36">
            <v>1750</v>
          </cell>
          <cell r="BC36">
            <v>1500</v>
          </cell>
          <cell r="BD36">
            <v>1500</v>
          </cell>
          <cell r="BE36">
            <v>1500</v>
          </cell>
          <cell r="BF36">
            <v>1500</v>
          </cell>
          <cell r="BG36">
            <v>1500</v>
          </cell>
          <cell r="BH36">
            <v>1500</v>
          </cell>
          <cell r="BI36">
            <v>1500</v>
          </cell>
          <cell r="BJ36">
            <v>1500</v>
          </cell>
          <cell r="BK36">
            <v>1500</v>
          </cell>
          <cell r="BL36">
            <v>1500</v>
          </cell>
          <cell r="BM36">
            <v>1500</v>
          </cell>
          <cell r="BN36">
            <v>1500</v>
          </cell>
          <cell r="BO36">
            <v>1500</v>
          </cell>
          <cell r="BP36">
            <v>1500</v>
          </cell>
          <cell r="BQ36">
            <v>1500</v>
          </cell>
          <cell r="BR36">
            <v>1500</v>
          </cell>
          <cell r="BS36">
            <v>13693</v>
          </cell>
          <cell r="BT36">
            <v>2402</v>
          </cell>
          <cell r="BU36">
            <v>694</v>
          </cell>
          <cell r="BV36">
            <v>10397</v>
          </cell>
          <cell r="BW36">
            <v>18000</v>
          </cell>
          <cell r="BX36">
            <v>13693</v>
          </cell>
          <cell r="BY36">
            <v>2402</v>
          </cell>
          <cell r="BZ36">
            <v>694</v>
          </cell>
          <cell r="CA36">
            <v>147</v>
          </cell>
          <cell r="CB36">
            <v>10250</v>
          </cell>
        </row>
        <row r="37">
          <cell r="A37" t="str">
            <v>US59PZA5013921200026</v>
          </cell>
          <cell r="B37" t="str">
            <v>Pekin</v>
          </cell>
          <cell r="C37" t="str">
            <v>Jan-Dec</v>
          </cell>
          <cell r="D37" t="str">
            <v>US59PZA501</v>
          </cell>
          <cell r="E37" t="str">
            <v>501</v>
          </cell>
          <cell r="F37" t="str">
            <v>Production Admin.</v>
          </cell>
          <cell r="G37" t="str">
            <v>ZA</v>
          </cell>
          <cell r="H37">
            <v>3921200026</v>
          </cell>
          <cell r="I37" t="str">
            <v>MISCELLANEOUS COSTS ON VEHICLES</v>
          </cell>
          <cell r="J37" t="str">
            <v>VALID</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BS37">
            <v>0</v>
          </cell>
          <cell r="BT37">
            <v>0</v>
          </cell>
          <cell r="BU37">
            <v>0</v>
          </cell>
          <cell r="BV37">
            <v>0</v>
          </cell>
          <cell r="BW37">
            <v>0</v>
          </cell>
          <cell r="BX37">
            <v>0</v>
          </cell>
          <cell r="BY37">
            <v>0</v>
          </cell>
          <cell r="BZ37">
            <v>0</v>
          </cell>
          <cell r="CA37">
            <v>0</v>
          </cell>
          <cell r="CB37">
            <v>0</v>
          </cell>
        </row>
        <row r="38">
          <cell r="A38" t="str">
            <v>US59PZA5013921200037</v>
          </cell>
          <cell r="B38" t="str">
            <v>Pekin</v>
          </cell>
          <cell r="C38" t="str">
            <v>Jan-Dec</v>
          </cell>
          <cell r="D38" t="str">
            <v>US59PZA501</v>
          </cell>
          <cell r="E38" t="str">
            <v>501</v>
          </cell>
          <cell r="F38" t="str">
            <v>Production Admin.</v>
          </cell>
          <cell r="G38" t="str">
            <v>ZA</v>
          </cell>
          <cell r="H38">
            <v>3921200037</v>
          </cell>
          <cell r="I38" t="str">
            <v>EXHAUSTIVE EQUIPMENT</v>
          </cell>
          <cell r="J38" t="str">
            <v>VALID</v>
          </cell>
          <cell r="K38">
            <v>0</v>
          </cell>
          <cell r="L38">
            <v>0</v>
          </cell>
          <cell r="M38">
            <v>0</v>
          </cell>
          <cell r="N38">
            <v>0</v>
          </cell>
          <cell r="O38">
            <v>0</v>
          </cell>
          <cell r="P38">
            <v>0</v>
          </cell>
          <cell r="Q38">
            <v>0</v>
          </cell>
          <cell r="R38">
            <v>0</v>
          </cell>
          <cell r="S38">
            <v>0</v>
          </cell>
          <cell r="T38">
            <v>0</v>
          </cell>
          <cell r="U38">
            <v>52</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BS38">
            <v>52</v>
          </cell>
          <cell r="BT38">
            <v>0</v>
          </cell>
          <cell r="BU38">
            <v>0</v>
          </cell>
          <cell r="BV38">
            <v>0</v>
          </cell>
          <cell r="BW38">
            <v>0</v>
          </cell>
          <cell r="BX38">
            <v>52</v>
          </cell>
          <cell r="BY38">
            <v>0</v>
          </cell>
          <cell r="BZ38">
            <v>0</v>
          </cell>
          <cell r="CA38">
            <v>0</v>
          </cell>
          <cell r="CB38">
            <v>0</v>
          </cell>
        </row>
        <row r="39">
          <cell r="A39" t="str">
            <v>US59PZA5013921200050</v>
          </cell>
          <cell r="B39" t="str">
            <v>Pekin</v>
          </cell>
          <cell r="C39" t="str">
            <v>Jan-Dec</v>
          </cell>
          <cell r="D39" t="str">
            <v>US59PZA501</v>
          </cell>
          <cell r="E39" t="str">
            <v>501</v>
          </cell>
          <cell r="F39" t="str">
            <v>Production Admin.</v>
          </cell>
          <cell r="G39" t="str">
            <v>ZA</v>
          </cell>
          <cell r="H39">
            <v>3921200050</v>
          </cell>
          <cell r="I39" t="str">
            <v>SAFETY EQUIPMENT - SUPPLIES</v>
          </cell>
          <cell r="J39" t="str">
            <v>VALID</v>
          </cell>
          <cell r="K39">
            <v>509</v>
          </cell>
          <cell r="L39">
            <v>658</v>
          </cell>
          <cell r="M39">
            <v>825</v>
          </cell>
          <cell r="N39">
            <v>1615</v>
          </cell>
          <cell r="O39">
            <v>946</v>
          </cell>
          <cell r="P39">
            <v>3877</v>
          </cell>
          <cell r="Q39">
            <v>2948</v>
          </cell>
          <cell r="R39">
            <v>0</v>
          </cell>
          <cell r="S39">
            <v>0</v>
          </cell>
          <cell r="T39">
            <v>100</v>
          </cell>
          <cell r="U39">
            <v>100</v>
          </cell>
          <cell r="V39">
            <v>0</v>
          </cell>
          <cell r="W39">
            <v>162</v>
          </cell>
          <cell r="X39">
            <v>0</v>
          </cell>
          <cell r="Y39">
            <v>0</v>
          </cell>
          <cell r="Z39">
            <v>0</v>
          </cell>
          <cell r="AA39">
            <v>0</v>
          </cell>
          <cell r="AB39">
            <v>0</v>
          </cell>
          <cell r="AC39">
            <v>944</v>
          </cell>
          <cell r="AD39">
            <v>0</v>
          </cell>
          <cell r="AE39">
            <v>281</v>
          </cell>
          <cell r="AF39">
            <v>618</v>
          </cell>
          <cell r="AG39">
            <v>0</v>
          </cell>
          <cell r="AH39">
            <v>0</v>
          </cell>
          <cell r="AI39">
            <v>0</v>
          </cell>
          <cell r="AJ39">
            <v>168</v>
          </cell>
          <cell r="AK39">
            <v>247</v>
          </cell>
          <cell r="AL39">
            <v>1291</v>
          </cell>
          <cell r="AM39">
            <v>-120</v>
          </cell>
          <cell r="AN39">
            <v>0</v>
          </cell>
          <cell r="AO39">
            <v>0</v>
          </cell>
          <cell r="AP39">
            <v>0</v>
          </cell>
          <cell r="AQ39">
            <v>156</v>
          </cell>
          <cell r="AR39">
            <v>0</v>
          </cell>
          <cell r="AS39">
            <v>0</v>
          </cell>
          <cell r="AT39">
            <v>0</v>
          </cell>
          <cell r="AU39">
            <v>0</v>
          </cell>
          <cell r="AV39">
            <v>0</v>
          </cell>
          <cell r="AW39">
            <v>0</v>
          </cell>
          <cell r="AX39">
            <v>0</v>
          </cell>
          <cell r="AY39">
            <v>0</v>
          </cell>
          <cell r="AZ39">
            <v>2500</v>
          </cell>
          <cell r="BA39">
            <v>2500</v>
          </cell>
          <cell r="BB39">
            <v>2500</v>
          </cell>
          <cell r="BC39">
            <v>2500</v>
          </cell>
          <cell r="BD39">
            <v>2500</v>
          </cell>
          <cell r="BE39">
            <v>2500</v>
          </cell>
          <cell r="BF39">
            <v>2500</v>
          </cell>
          <cell r="BG39">
            <v>2500</v>
          </cell>
          <cell r="BH39">
            <v>2500</v>
          </cell>
          <cell r="BI39">
            <v>2500</v>
          </cell>
          <cell r="BJ39">
            <v>2500</v>
          </cell>
          <cell r="BK39">
            <v>2500</v>
          </cell>
          <cell r="BL39">
            <v>2500</v>
          </cell>
          <cell r="BM39">
            <v>2500</v>
          </cell>
          <cell r="BN39">
            <v>2500</v>
          </cell>
          <cell r="BO39">
            <v>2500</v>
          </cell>
          <cell r="BP39">
            <v>2500</v>
          </cell>
          <cell r="BQ39">
            <v>2500</v>
          </cell>
          <cell r="BR39">
            <v>2500</v>
          </cell>
          <cell r="BS39">
            <v>11578</v>
          </cell>
          <cell r="BT39">
            <v>2005</v>
          </cell>
          <cell r="BU39">
            <v>1742</v>
          </cell>
          <cell r="BV39">
            <v>17500</v>
          </cell>
          <cell r="BW39">
            <v>30000</v>
          </cell>
          <cell r="BX39">
            <v>11578</v>
          </cell>
          <cell r="BY39">
            <v>2005</v>
          </cell>
          <cell r="BZ39">
            <v>1742</v>
          </cell>
          <cell r="CA39">
            <v>0</v>
          </cell>
          <cell r="CB39">
            <v>17500</v>
          </cell>
        </row>
        <row r="40">
          <cell r="A40" t="str">
            <v>US59PZA5013921200100</v>
          </cell>
          <cell r="B40" t="str">
            <v>Pekin</v>
          </cell>
          <cell r="C40" t="str">
            <v>Jan-Dec</v>
          </cell>
          <cell r="D40" t="str">
            <v>US59PZA501</v>
          </cell>
          <cell r="E40" t="str">
            <v>501</v>
          </cell>
          <cell r="F40" t="str">
            <v>Production Admin.</v>
          </cell>
          <cell r="G40" t="str">
            <v>ZA</v>
          </cell>
          <cell r="H40">
            <v>3921200100</v>
          </cell>
          <cell r="I40" t="str">
            <v>FIELD &amp; PRODUCTION SUPPLIES</v>
          </cell>
          <cell r="J40" t="str">
            <v>VALID</v>
          </cell>
          <cell r="K40">
            <v>0</v>
          </cell>
          <cell r="L40">
            <v>0</v>
          </cell>
          <cell r="M40">
            <v>276</v>
          </cell>
          <cell r="N40">
            <v>271</v>
          </cell>
          <cell r="O40">
            <v>461</v>
          </cell>
          <cell r="P40">
            <v>1119</v>
          </cell>
          <cell r="Q40">
            <v>257</v>
          </cell>
          <cell r="R40">
            <v>0</v>
          </cell>
          <cell r="S40">
            <v>970</v>
          </cell>
          <cell r="T40">
            <v>69</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BS40">
            <v>3423</v>
          </cell>
          <cell r="BT40">
            <v>0</v>
          </cell>
          <cell r="BU40">
            <v>0</v>
          </cell>
          <cell r="BV40">
            <v>0</v>
          </cell>
          <cell r="BW40">
            <v>0</v>
          </cell>
          <cell r="BX40">
            <v>3423</v>
          </cell>
          <cell r="BY40">
            <v>0</v>
          </cell>
          <cell r="BZ40">
            <v>0</v>
          </cell>
          <cell r="CA40">
            <v>0</v>
          </cell>
          <cell r="CB40">
            <v>0</v>
          </cell>
        </row>
        <row r="41">
          <cell r="A41" t="str">
            <v>US59PZA5013951100002</v>
          </cell>
          <cell r="B41" t="str">
            <v>Pekin</v>
          </cell>
          <cell r="C41" t="str">
            <v>Jan-Dec</v>
          </cell>
          <cell r="D41" t="str">
            <v>US59PZA501</v>
          </cell>
          <cell r="E41" t="str">
            <v>501</v>
          </cell>
          <cell r="F41" t="str">
            <v>Production Admin.</v>
          </cell>
          <cell r="G41" t="str">
            <v>ZA</v>
          </cell>
          <cell r="H41">
            <v>3951100002</v>
          </cell>
          <cell r="I41" t="str">
            <v>RENTALS - REAL ESTATE</v>
          </cell>
          <cell r="J41" t="str">
            <v>VALID</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BS41">
            <v>0</v>
          </cell>
          <cell r="BT41">
            <v>0</v>
          </cell>
          <cell r="BU41">
            <v>0</v>
          </cell>
          <cell r="BV41">
            <v>0</v>
          </cell>
          <cell r="BW41">
            <v>0</v>
          </cell>
          <cell r="BX41">
            <v>0</v>
          </cell>
          <cell r="BY41">
            <v>0</v>
          </cell>
          <cell r="BZ41">
            <v>0</v>
          </cell>
          <cell r="CA41">
            <v>0</v>
          </cell>
          <cell r="CB41">
            <v>0</v>
          </cell>
        </row>
        <row r="42">
          <cell r="A42" t="str">
            <v>US59PZA5013951100005</v>
          </cell>
          <cell r="B42" t="str">
            <v>Pekin</v>
          </cell>
          <cell r="C42" t="str">
            <v>Jan-Dec</v>
          </cell>
          <cell r="D42" t="str">
            <v>US59PZA501</v>
          </cell>
          <cell r="E42" t="str">
            <v>501</v>
          </cell>
          <cell r="F42" t="str">
            <v>Production Admin.</v>
          </cell>
          <cell r="G42" t="str">
            <v>ZA</v>
          </cell>
          <cell r="H42">
            <v>3951100005</v>
          </cell>
          <cell r="I42" t="str">
            <v>OTHER RENTALS</v>
          </cell>
          <cell r="J42" t="str">
            <v>VALID</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750</v>
          </cell>
          <cell r="BA42">
            <v>750</v>
          </cell>
          <cell r="BB42">
            <v>750</v>
          </cell>
          <cell r="BC42">
            <v>750</v>
          </cell>
          <cell r="BD42">
            <v>750</v>
          </cell>
          <cell r="BE42">
            <v>750</v>
          </cell>
          <cell r="BF42">
            <v>750</v>
          </cell>
          <cell r="BG42">
            <v>750</v>
          </cell>
          <cell r="BH42">
            <v>750</v>
          </cell>
          <cell r="BI42">
            <v>750</v>
          </cell>
          <cell r="BJ42">
            <v>750</v>
          </cell>
          <cell r="BK42">
            <v>750</v>
          </cell>
          <cell r="BL42">
            <v>750</v>
          </cell>
          <cell r="BM42">
            <v>750</v>
          </cell>
          <cell r="BN42">
            <v>750</v>
          </cell>
          <cell r="BO42">
            <v>750</v>
          </cell>
          <cell r="BP42">
            <v>750</v>
          </cell>
          <cell r="BQ42">
            <v>750</v>
          </cell>
          <cell r="BR42">
            <v>750</v>
          </cell>
          <cell r="BS42">
            <v>0</v>
          </cell>
          <cell r="BT42">
            <v>0</v>
          </cell>
          <cell r="BU42">
            <v>0</v>
          </cell>
          <cell r="BV42">
            <v>5250</v>
          </cell>
          <cell r="BW42">
            <v>9000</v>
          </cell>
          <cell r="BX42">
            <v>0</v>
          </cell>
          <cell r="BY42">
            <v>0</v>
          </cell>
          <cell r="BZ42">
            <v>0</v>
          </cell>
          <cell r="CA42">
            <v>0</v>
          </cell>
          <cell r="CB42">
            <v>5250</v>
          </cell>
        </row>
        <row r="43">
          <cell r="A43" t="str">
            <v>US59PZA5013951200002</v>
          </cell>
          <cell r="B43" t="str">
            <v>Pekin</v>
          </cell>
          <cell r="C43" t="str">
            <v>Jan-Dec</v>
          </cell>
          <cell r="D43" t="str">
            <v>US59PZA501</v>
          </cell>
          <cell r="E43" t="str">
            <v>501</v>
          </cell>
          <cell r="F43" t="str">
            <v>Production Admin.</v>
          </cell>
          <cell r="G43" t="str">
            <v>ZA</v>
          </cell>
          <cell r="H43">
            <v>3951200002</v>
          </cell>
          <cell r="I43" t="str">
            <v>OPERATING LEASES - VEHICLES (SHORT DURAT</v>
          </cell>
          <cell r="J43" t="str">
            <v>VALID</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BS43">
            <v>0</v>
          </cell>
          <cell r="BT43">
            <v>0</v>
          </cell>
          <cell r="BU43">
            <v>0</v>
          </cell>
          <cell r="BV43">
            <v>0</v>
          </cell>
          <cell r="BW43">
            <v>0</v>
          </cell>
          <cell r="BX43">
            <v>0</v>
          </cell>
          <cell r="BY43">
            <v>0</v>
          </cell>
          <cell r="BZ43">
            <v>0</v>
          </cell>
          <cell r="CA43">
            <v>0</v>
          </cell>
          <cell r="CB43">
            <v>0</v>
          </cell>
        </row>
        <row r="44">
          <cell r="A44" t="str">
            <v>US59PZA5013951200008</v>
          </cell>
          <cell r="B44" t="str">
            <v>Pekin</v>
          </cell>
          <cell r="C44" t="str">
            <v>Jan-Dec</v>
          </cell>
          <cell r="D44" t="str">
            <v>US59PZA501</v>
          </cell>
          <cell r="E44" t="str">
            <v>501</v>
          </cell>
          <cell r="F44" t="str">
            <v>Production Admin.</v>
          </cell>
          <cell r="G44" t="str">
            <v>ZA</v>
          </cell>
          <cell r="H44">
            <v>3951200008</v>
          </cell>
          <cell r="I44" t="str">
            <v>OPERATING LEASES - PERSONAL COMPUTER</v>
          </cell>
          <cell r="J44" t="str">
            <v>VALID</v>
          </cell>
          <cell r="K44">
            <v>0</v>
          </cell>
          <cell r="L44">
            <v>0</v>
          </cell>
          <cell r="M44">
            <v>141</v>
          </cell>
          <cell r="N44">
            <v>277</v>
          </cell>
          <cell r="O44">
            <v>138</v>
          </cell>
          <cell r="P44">
            <v>141</v>
          </cell>
          <cell r="Q44">
            <v>0</v>
          </cell>
          <cell r="R44">
            <v>0</v>
          </cell>
          <cell r="S44">
            <v>279</v>
          </cell>
          <cell r="T44">
            <v>147</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BS44">
            <v>1123</v>
          </cell>
          <cell r="BT44">
            <v>0</v>
          </cell>
          <cell r="BU44">
            <v>0</v>
          </cell>
          <cell r="BV44">
            <v>0</v>
          </cell>
          <cell r="BW44">
            <v>0</v>
          </cell>
          <cell r="BX44">
            <v>1123</v>
          </cell>
          <cell r="BY44">
            <v>0</v>
          </cell>
          <cell r="BZ44">
            <v>0</v>
          </cell>
          <cell r="CA44">
            <v>0</v>
          </cell>
          <cell r="CB44">
            <v>0</v>
          </cell>
        </row>
        <row r="45">
          <cell r="A45" t="str">
            <v>US59PZA5013961100000</v>
          </cell>
          <cell r="B45" t="str">
            <v>Pekin</v>
          </cell>
          <cell r="C45" t="str">
            <v>Jan-Dec</v>
          </cell>
          <cell r="D45" t="str">
            <v>US59PZA501</v>
          </cell>
          <cell r="E45" t="str">
            <v>501</v>
          </cell>
          <cell r="F45" t="str">
            <v>Production Admin.</v>
          </cell>
          <cell r="G45" t="str">
            <v>ZA</v>
          </cell>
          <cell r="H45">
            <v>3961100000</v>
          </cell>
          <cell r="I45" t="str">
            <v>COMPREHENSIVE INSURANCES</v>
          </cell>
          <cell r="J45" t="str">
            <v>VALID</v>
          </cell>
          <cell r="K45">
            <v>0</v>
          </cell>
          <cell r="L45">
            <v>0</v>
          </cell>
          <cell r="M45">
            <v>-2117</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BS45">
            <v>-2117</v>
          </cell>
          <cell r="BT45">
            <v>0</v>
          </cell>
          <cell r="BU45">
            <v>0</v>
          </cell>
          <cell r="BV45">
            <v>0</v>
          </cell>
          <cell r="BW45">
            <v>0</v>
          </cell>
          <cell r="BX45">
            <v>-2117</v>
          </cell>
          <cell r="BY45">
            <v>0</v>
          </cell>
          <cell r="BZ45">
            <v>0</v>
          </cell>
          <cell r="CA45">
            <v>0</v>
          </cell>
          <cell r="CB45">
            <v>0</v>
          </cell>
        </row>
        <row r="46">
          <cell r="A46" t="str">
            <v>US59PZA5013991200001</v>
          </cell>
          <cell r="B46" t="str">
            <v>Pekin</v>
          </cell>
          <cell r="C46" t="str">
            <v>Jan-Dec</v>
          </cell>
          <cell r="D46" t="str">
            <v>US59PZA501</v>
          </cell>
          <cell r="E46" t="str">
            <v>501</v>
          </cell>
          <cell r="F46" t="str">
            <v>Production Admin.</v>
          </cell>
          <cell r="G46" t="str">
            <v>ZA</v>
          </cell>
          <cell r="H46">
            <v>3991200001</v>
          </cell>
          <cell r="I46" t="str">
            <v>POSTAGE EXPENSES</v>
          </cell>
          <cell r="J46" t="str">
            <v>VALID</v>
          </cell>
          <cell r="K46">
            <v>0</v>
          </cell>
          <cell r="L46">
            <v>0</v>
          </cell>
          <cell r="M46">
            <v>938</v>
          </cell>
          <cell r="N46">
            <v>0</v>
          </cell>
          <cell r="O46">
            <v>0</v>
          </cell>
          <cell r="P46">
            <v>0</v>
          </cell>
          <cell r="Q46">
            <v>0</v>
          </cell>
          <cell r="R46">
            <v>35</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300</v>
          </cell>
          <cell r="BA46">
            <v>300</v>
          </cell>
          <cell r="BB46">
            <v>300</v>
          </cell>
          <cell r="BC46">
            <v>300</v>
          </cell>
          <cell r="BD46">
            <v>300</v>
          </cell>
          <cell r="BE46">
            <v>300</v>
          </cell>
          <cell r="BF46">
            <v>300</v>
          </cell>
          <cell r="BG46">
            <v>300</v>
          </cell>
          <cell r="BH46">
            <v>300</v>
          </cell>
          <cell r="BI46">
            <v>300</v>
          </cell>
          <cell r="BJ46">
            <v>300</v>
          </cell>
          <cell r="BK46">
            <v>300</v>
          </cell>
          <cell r="BL46">
            <v>300</v>
          </cell>
          <cell r="BM46">
            <v>300</v>
          </cell>
          <cell r="BN46">
            <v>300</v>
          </cell>
          <cell r="BO46">
            <v>300</v>
          </cell>
          <cell r="BP46">
            <v>300</v>
          </cell>
          <cell r="BQ46">
            <v>300</v>
          </cell>
          <cell r="BR46">
            <v>300</v>
          </cell>
          <cell r="BS46">
            <v>973</v>
          </cell>
          <cell r="BT46">
            <v>0</v>
          </cell>
          <cell r="BU46">
            <v>0</v>
          </cell>
          <cell r="BV46">
            <v>2100</v>
          </cell>
          <cell r="BW46">
            <v>3600</v>
          </cell>
          <cell r="BX46">
            <v>973</v>
          </cell>
          <cell r="BY46">
            <v>0</v>
          </cell>
          <cell r="BZ46">
            <v>0</v>
          </cell>
          <cell r="CA46">
            <v>0</v>
          </cell>
          <cell r="CB46">
            <v>2100</v>
          </cell>
        </row>
        <row r="47">
          <cell r="A47" t="str">
            <v>US59PZA5013991200012</v>
          </cell>
          <cell r="B47" t="str">
            <v>Pekin</v>
          </cell>
          <cell r="C47" t="str">
            <v>Jan-Dec</v>
          </cell>
          <cell r="D47" t="str">
            <v>US59PZA501</v>
          </cell>
          <cell r="E47" t="str">
            <v>501</v>
          </cell>
          <cell r="F47" t="str">
            <v>Production Admin.</v>
          </cell>
          <cell r="G47" t="str">
            <v>ZA</v>
          </cell>
          <cell r="H47">
            <v>3991200012</v>
          </cell>
          <cell r="I47" t="str">
            <v>DELIVERY SERVICES</v>
          </cell>
          <cell r="J47" t="str">
            <v>VALID</v>
          </cell>
          <cell r="K47">
            <v>0</v>
          </cell>
          <cell r="L47">
            <v>0</v>
          </cell>
          <cell r="M47">
            <v>53</v>
          </cell>
          <cell r="N47">
            <v>0</v>
          </cell>
          <cell r="O47">
            <v>0</v>
          </cell>
          <cell r="P47">
            <v>26</v>
          </cell>
          <cell r="Q47">
            <v>0</v>
          </cell>
          <cell r="R47">
            <v>0</v>
          </cell>
          <cell r="S47">
            <v>0</v>
          </cell>
          <cell r="T47">
            <v>1048</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6</v>
          </cell>
          <cell r="AN47">
            <v>0</v>
          </cell>
          <cell r="AO47">
            <v>0</v>
          </cell>
          <cell r="AP47">
            <v>0</v>
          </cell>
          <cell r="AQ47">
            <v>0</v>
          </cell>
          <cell r="AR47">
            <v>0</v>
          </cell>
          <cell r="AS47">
            <v>74</v>
          </cell>
          <cell r="AT47">
            <v>0</v>
          </cell>
          <cell r="AU47">
            <v>0</v>
          </cell>
          <cell r="AV47">
            <v>0</v>
          </cell>
          <cell r="AW47">
            <v>0</v>
          </cell>
          <cell r="AX47">
            <v>0</v>
          </cell>
          <cell r="AY47">
            <v>0</v>
          </cell>
          <cell r="AZ47">
            <v>500</v>
          </cell>
          <cell r="BA47">
            <v>500</v>
          </cell>
          <cell r="BB47">
            <v>500</v>
          </cell>
          <cell r="BC47">
            <v>500</v>
          </cell>
          <cell r="BD47">
            <v>500</v>
          </cell>
          <cell r="BE47">
            <v>500</v>
          </cell>
          <cell r="BF47">
            <v>500</v>
          </cell>
          <cell r="BG47">
            <v>500</v>
          </cell>
          <cell r="BH47">
            <v>500</v>
          </cell>
          <cell r="BI47">
            <v>500</v>
          </cell>
          <cell r="BJ47">
            <v>500</v>
          </cell>
          <cell r="BK47">
            <v>500</v>
          </cell>
          <cell r="BL47">
            <v>500</v>
          </cell>
          <cell r="BM47">
            <v>500</v>
          </cell>
          <cell r="BN47">
            <v>500</v>
          </cell>
          <cell r="BO47">
            <v>500</v>
          </cell>
          <cell r="BP47">
            <v>500</v>
          </cell>
          <cell r="BQ47">
            <v>500</v>
          </cell>
          <cell r="BR47">
            <v>500</v>
          </cell>
          <cell r="BS47">
            <v>1127</v>
          </cell>
          <cell r="BT47">
            <v>0</v>
          </cell>
          <cell r="BU47">
            <v>80</v>
          </cell>
          <cell r="BV47">
            <v>3500</v>
          </cell>
          <cell r="BW47">
            <v>6000</v>
          </cell>
          <cell r="BX47">
            <v>1127</v>
          </cell>
          <cell r="BY47">
            <v>0</v>
          </cell>
          <cell r="BZ47">
            <v>80</v>
          </cell>
          <cell r="CA47">
            <v>0</v>
          </cell>
          <cell r="CB47">
            <v>3500</v>
          </cell>
        </row>
        <row r="48">
          <cell r="A48" t="str">
            <v>US59PZA5013991200013</v>
          </cell>
          <cell r="B48" t="str">
            <v>Pekin</v>
          </cell>
          <cell r="C48" t="str">
            <v>Jan-Dec</v>
          </cell>
          <cell r="D48" t="str">
            <v>US59PZA501</v>
          </cell>
          <cell r="E48" t="str">
            <v>501</v>
          </cell>
          <cell r="F48" t="str">
            <v>Production Admin.</v>
          </cell>
          <cell r="G48" t="str">
            <v>ZA</v>
          </cell>
          <cell r="H48">
            <v>3991200013</v>
          </cell>
          <cell r="I48" t="str">
            <v>CONTRIBUTIONS</v>
          </cell>
          <cell r="J48" t="str">
            <v>VALID</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BG48">
            <v>1500</v>
          </cell>
          <cell r="BM48">
            <v>500</v>
          </cell>
          <cell r="BQ48">
            <v>500</v>
          </cell>
          <cell r="BS48">
            <v>0</v>
          </cell>
          <cell r="BT48">
            <v>0</v>
          </cell>
          <cell r="BU48">
            <v>0</v>
          </cell>
          <cell r="BV48">
            <v>0</v>
          </cell>
          <cell r="BW48">
            <v>2500</v>
          </cell>
          <cell r="BX48">
            <v>0</v>
          </cell>
          <cell r="BY48">
            <v>0</v>
          </cell>
          <cell r="BZ48">
            <v>0</v>
          </cell>
          <cell r="CA48">
            <v>0</v>
          </cell>
          <cell r="CB48">
            <v>0</v>
          </cell>
        </row>
        <row r="49">
          <cell r="A49" t="str">
            <v>US59PZA5013991200015</v>
          </cell>
          <cell r="B49" t="str">
            <v>Pekin</v>
          </cell>
          <cell r="C49" t="str">
            <v>Jan-Dec</v>
          </cell>
          <cell r="D49" t="str">
            <v>US59PZA501</v>
          </cell>
          <cell r="E49" t="str">
            <v>501</v>
          </cell>
          <cell r="F49" t="str">
            <v>Production Admin.</v>
          </cell>
          <cell r="G49" t="str">
            <v>ZA</v>
          </cell>
          <cell r="H49">
            <v>3991200015</v>
          </cell>
          <cell r="I49" t="str">
            <v>TELEPHONE</v>
          </cell>
          <cell r="J49" t="str">
            <v>VALID</v>
          </cell>
          <cell r="K49">
            <v>0</v>
          </cell>
          <cell r="L49">
            <v>303</v>
          </cell>
          <cell r="M49">
            <v>127</v>
          </cell>
          <cell r="N49">
            <v>633</v>
          </cell>
          <cell r="O49">
            <v>289</v>
          </cell>
          <cell r="P49">
            <v>305</v>
          </cell>
          <cell r="Q49">
            <v>1850</v>
          </cell>
          <cell r="R49">
            <v>464</v>
          </cell>
          <cell r="S49">
            <v>298</v>
          </cell>
          <cell r="T49">
            <v>367</v>
          </cell>
          <cell r="U49">
            <v>388</v>
          </cell>
          <cell r="V49">
            <v>82</v>
          </cell>
          <cell r="W49">
            <v>112</v>
          </cell>
          <cell r="X49">
            <v>0</v>
          </cell>
          <cell r="Y49">
            <v>0</v>
          </cell>
          <cell r="Z49">
            <v>0</v>
          </cell>
          <cell r="AA49">
            <v>22</v>
          </cell>
          <cell r="AB49">
            <v>17</v>
          </cell>
          <cell r="AC49">
            <v>14</v>
          </cell>
          <cell r="AD49">
            <v>0</v>
          </cell>
          <cell r="AE49">
            <v>0</v>
          </cell>
          <cell r="AF49">
            <v>0</v>
          </cell>
          <cell r="AG49">
            <v>1093</v>
          </cell>
          <cell r="AH49">
            <v>622</v>
          </cell>
          <cell r="AI49">
            <v>0</v>
          </cell>
          <cell r="AJ49">
            <v>963</v>
          </cell>
          <cell r="AK49">
            <v>1047</v>
          </cell>
          <cell r="AL49">
            <v>749</v>
          </cell>
          <cell r="AM49">
            <v>2006</v>
          </cell>
          <cell r="AN49">
            <v>1056</v>
          </cell>
          <cell r="AO49">
            <v>623</v>
          </cell>
          <cell r="AP49">
            <v>1013</v>
          </cell>
          <cell r="AQ49">
            <v>1186</v>
          </cell>
          <cell r="AR49">
            <v>2032</v>
          </cell>
          <cell r="AS49">
            <v>1891</v>
          </cell>
          <cell r="AT49">
            <v>220</v>
          </cell>
          <cell r="AU49">
            <v>2325</v>
          </cell>
          <cell r="AV49">
            <v>1269</v>
          </cell>
          <cell r="AW49">
            <v>2273</v>
          </cell>
          <cell r="AX49">
            <v>209</v>
          </cell>
          <cell r="AY49">
            <v>0</v>
          </cell>
          <cell r="AZ49">
            <v>2500</v>
          </cell>
          <cell r="BA49">
            <v>2500</v>
          </cell>
          <cell r="BB49">
            <v>2500</v>
          </cell>
          <cell r="BC49">
            <v>2500</v>
          </cell>
          <cell r="BD49">
            <v>2500</v>
          </cell>
          <cell r="BE49">
            <v>2500</v>
          </cell>
          <cell r="BF49">
            <v>2500</v>
          </cell>
          <cell r="BG49">
            <v>2500</v>
          </cell>
          <cell r="BH49">
            <v>2500</v>
          </cell>
          <cell r="BI49">
            <v>2500</v>
          </cell>
          <cell r="BJ49">
            <v>2500</v>
          </cell>
          <cell r="BK49">
            <v>2500</v>
          </cell>
          <cell r="BL49">
            <v>2500</v>
          </cell>
          <cell r="BM49">
            <v>2500</v>
          </cell>
          <cell r="BN49">
            <v>2500</v>
          </cell>
          <cell r="BO49">
            <v>2500</v>
          </cell>
          <cell r="BP49">
            <v>2500</v>
          </cell>
          <cell r="BQ49">
            <v>2500</v>
          </cell>
          <cell r="BR49">
            <v>2500</v>
          </cell>
          <cell r="BS49">
            <v>5106</v>
          </cell>
          <cell r="BT49">
            <v>1880</v>
          </cell>
          <cell r="BU49">
            <v>12786</v>
          </cell>
          <cell r="BV49">
            <v>23576</v>
          </cell>
          <cell r="BW49">
            <v>30000</v>
          </cell>
          <cell r="BX49">
            <v>5106</v>
          </cell>
          <cell r="BY49">
            <v>1880</v>
          </cell>
          <cell r="BZ49">
            <v>12786</v>
          </cell>
          <cell r="CA49">
            <v>6076</v>
          </cell>
          <cell r="CB49">
            <v>17500</v>
          </cell>
        </row>
        <row r="50">
          <cell r="A50" t="str">
            <v>US59PZA5013991200018</v>
          </cell>
          <cell r="B50" t="str">
            <v>Pekin</v>
          </cell>
          <cell r="C50" t="str">
            <v>Jan-Dec</v>
          </cell>
          <cell r="D50" t="str">
            <v>US59PZA501</v>
          </cell>
          <cell r="E50" t="str">
            <v>501</v>
          </cell>
          <cell r="F50" t="str">
            <v>Production Admin.</v>
          </cell>
          <cell r="G50" t="str">
            <v>ZA</v>
          </cell>
          <cell r="H50">
            <v>3991200018</v>
          </cell>
          <cell r="I50" t="str">
            <v>SUBSCRIPTIONS</v>
          </cell>
          <cell r="J50" t="str">
            <v>VALID</v>
          </cell>
          <cell r="K50">
            <v>0</v>
          </cell>
          <cell r="L50">
            <v>0</v>
          </cell>
          <cell r="M50">
            <v>0</v>
          </cell>
          <cell r="N50">
            <v>0</v>
          </cell>
          <cell r="O50">
            <v>40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100</v>
          </cell>
          <cell r="BB50">
            <v>100</v>
          </cell>
          <cell r="BD50">
            <v>100</v>
          </cell>
          <cell r="BF50">
            <v>100</v>
          </cell>
          <cell r="BI50">
            <v>100</v>
          </cell>
          <cell r="BJ50">
            <v>100</v>
          </cell>
          <cell r="BK50">
            <v>100</v>
          </cell>
          <cell r="BL50">
            <v>100</v>
          </cell>
          <cell r="BM50">
            <v>100</v>
          </cell>
          <cell r="BN50">
            <v>100</v>
          </cell>
          <cell r="BS50">
            <v>40</v>
          </cell>
          <cell r="BT50">
            <v>0</v>
          </cell>
          <cell r="BU50">
            <v>0</v>
          </cell>
          <cell r="BV50">
            <v>400</v>
          </cell>
          <cell r="BW50">
            <v>600</v>
          </cell>
          <cell r="BX50">
            <v>40</v>
          </cell>
          <cell r="BY50">
            <v>0</v>
          </cell>
          <cell r="BZ50">
            <v>0</v>
          </cell>
          <cell r="CA50">
            <v>0</v>
          </cell>
          <cell r="CB50">
            <v>400</v>
          </cell>
        </row>
        <row r="51">
          <cell r="A51" t="str">
            <v>US59PZA5013991200069</v>
          </cell>
          <cell r="B51" t="str">
            <v>Pekin</v>
          </cell>
          <cell r="C51" t="str">
            <v>Jan-Dec</v>
          </cell>
          <cell r="D51" t="str">
            <v>US59PZA501</v>
          </cell>
          <cell r="E51" t="str">
            <v>501</v>
          </cell>
          <cell r="F51" t="str">
            <v>Production Admin.</v>
          </cell>
          <cell r="G51" t="str">
            <v>ZA</v>
          </cell>
          <cell r="H51">
            <v>3991200069</v>
          </cell>
          <cell r="I51" t="str">
            <v>COMPANY MEMBERSHIP DUES</v>
          </cell>
          <cell r="J51" t="str">
            <v>VALID</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100</v>
          </cell>
          <cell r="BB51">
            <v>100</v>
          </cell>
          <cell r="BD51">
            <v>100</v>
          </cell>
          <cell r="BF51">
            <v>100</v>
          </cell>
          <cell r="BS51">
            <v>0</v>
          </cell>
          <cell r="BT51">
            <v>0</v>
          </cell>
          <cell r="BU51">
            <v>0</v>
          </cell>
          <cell r="BV51">
            <v>400</v>
          </cell>
          <cell r="BW51">
            <v>0</v>
          </cell>
          <cell r="BX51">
            <v>0</v>
          </cell>
          <cell r="BY51">
            <v>0</v>
          </cell>
          <cell r="BZ51">
            <v>0</v>
          </cell>
          <cell r="CA51">
            <v>0</v>
          </cell>
          <cell r="CB51">
            <v>400</v>
          </cell>
        </row>
        <row r="52">
          <cell r="A52" t="str">
            <v>US59PZA5013991200099</v>
          </cell>
          <cell r="B52" t="str">
            <v>Pekin</v>
          </cell>
          <cell r="C52" t="str">
            <v>Jan-Dec</v>
          </cell>
          <cell r="D52" t="str">
            <v>US59PZA501</v>
          </cell>
          <cell r="E52" t="str">
            <v>501</v>
          </cell>
          <cell r="F52" t="str">
            <v>Production Admin.</v>
          </cell>
          <cell r="G52" t="str">
            <v>ZA</v>
          </cell>
          <cell r="H52">
            <v>3991200099</v>
          </cell>
          <cell r="I52" t="str">
            <v>OTHER EXPENSES TO 3RD PARTIES - ADJUSTME</v>
          </cell>
          <cell r="J52" t="str">
            <v>VALID</v>
          </cell>
          <cell r="K52">
            <v>0</v>
          </cell>
          <cell r="L52">
            <v>0</v>
          </cell>
          <cell r="M52">
            <v>462</v>
          </cell>
          <cell r="N52">
            <v>0</v>
          </cell>
          <cell r="O52">
            <v>0</v>
          </cell>
          <cell r="P52">
            <v>0</v>
          </cell>
          <cell r="Q52">
            <v>0</v>
          </cell>
          <cell r="R52">
            <v>31</v>
          </cell>
          <cell r="S52">
            <v>0</v>
          </cell>
          <cell r="T52">
            <v>42</v>
          </cell>
          <cell r="U52">
            <v>0</v>
          </cell>
          <cell r="V52">
            <v>3830</v>
          </cell>
          <cell r="W52">
            <v>152</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BS52">
            <v>4365</v>
          </cell>
          <cell r="BT52">
            <v>152</v>
          </cell>
          <cell r="BU52">
            <v>0</v>
          </cell>
          <cell r="BV52">
            <v>0</v>
          </cell>
          <cell r="BW52">
            <v>0</v>
          </cell>
          <cell r="BX52">
            <v>4365</v>
          </cell>
          <cell r="BY52">
            <v>152</v>
          </cell>
          <cell r="BZ52">
            <v>0</v>
          </cell>
          <cell r="CA52">
            <v>0</v>
          </cell>
          <cell r="CB52">
            <v>0</v>
          </cell>
        </row>
        <row r="53">
          <cell r="A53" t="str">
            <v>US59PZA5013991200101</v>
          </cell>
          <cell r="B53" t="str">
            <v>Pekin</v>
          </cell>
          <cell r="C53" t="str">
            <v>Jan-Dec</v>
          </cell>
          <cell r="D53" t="str">
            <v>US59PZA501</v>
          </cell>
          <cell r="E53" t="str">
            <v>501</v>
          </cell>
          <cell r="F53" t="str">
            <v>Production Admin.</v>
          </cell>
          <cell r="G53" t="str">
            <v>ZA</v>
          </cell>
          <cell r="H53">
            <v>3991200101</v>
          </cell>
          <cell r="I53" t="str">
            <v>EXPENSE RECOVERY</v>
          </cell>
          <cell r="J53" t="str">
            <v>VALID</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BS53">
            <v>0</v>
          </cell>
          <cell r="BT53">
            <v>0</v>
          </cell>
          <cell r="BU53">
            <v>0</v>
          </cell>
          <cell r="BV53">
            <v>0</v>
          </cell>
          <cell r="BW53">
            <v>0</v>
          </cell>
          <cell r="BX53">
            <v>0</v>
          </cell>
          <cell r="BY53">
            <v>0</v>
          </cell>
          <cell r="BZ53">
            <v>0</v>
          </cell>
          <cell r="CA53">
            <v>0</v>
          </cell>
          <cell r="CB53">
            <v>0</v>
          </cell>
        </row>
        <row r="54">
          <cell r="A54" t="str">
            <v>US59PZA5013111100020</v>
          </cell>
          <cell r="B54" t="str">
            <v>Pekin</v>
          </cell>
          <cell r="C54" t="str">
            <v>Jan-Dec</v>
          </cell>
          <cell r="D54" t="str">
            <v>US59PZA501</v>
          </cell>
          <cell r="E54" t="str">
            <v>501</v>
          </cell>
          <cell r="F54" t="str">
            <v>Production Admin.</v>
          </cell>
          <cell r="G54" t="str">
            <v>ZA</v>
          </cell>
          <cell r="H54">
            <v>3111100020</v>
          </cell>
          <cell r="I54" t="str">
            <v>INCENTIVE PLAN (functions)</v>
          </cell>
          <cell r="J54" t="str">
            <v>INVALID</v>
          </cell>
          <cell r="K54">
            <v>0</v>
          </cell>
          <cell r="L54">
            <v>0</v>
          </cell>
          <cell r="M54">
            <v>0</v>
          </cell>
          <cell r="N54">
            <v>0</v>
          </cell>
          <cell r="O54">
            <v>39400</v>
          </cell>
          <cell r="P54">
            <v>0</v>
          </cell>
          <cell r="Q54">
            <v>0</v>
          </cell>
          <cell r="R54">
            <v>0</v>
          </cell>
          <cell r="S54">
            <v>0</v>
          </cell>
          <cell r="T54">
            <v>0</v>
          </cell>
          <cell r="U54">
            <v>0</v>
          </cell>
          <cell r="V54">
            <v>0</v>
          </cell>
          <cell r="W54">
            <v>1734</v>
          </cell>
          <cell r="X54">
            <v>-1734</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BS54">
            <v>39400</v>
          </cell>
          <cell r="BT54">
            <v>0</v>
          </cell>
          <cell r="BU54">
            <v>0</v>
          </cell>
          <cell r="BV54">
            <v>0</v>
          </cell>
          <cell r="BW54">
            <v>0</v>
          </cell>
          <cell r="BX54">
            <v>39400</v>
          </cell>
          <cell r="BY54">
            <v>0</v>
          </cell>
          <cell r="BZ54">
            <v>0</v>
          </cell>
          <cell r="CA54">
            <v>0</v>
          </cell>
          <cell r="CB54">
            <v>0</v>
          </cell>
        </row>
        <row r="55">
          <cell r="A55" t="str">
            <v>US59PZA5013131100005</v>
          </cell>
          <cell r="B55" t="str">
            <v>Pekin</v>
          </cell>
          <cell r="C55" t="str">
            <v>Jan-Dec</v>
          </cell>
          <cell r="D55" t="str">
            <v>US59PZA501</v>
          </cell>
          <cell r="E55" t="str">
            <v>501</v>
          </cell>
          <cell r="F55" t="str">
            <v>Production Admin.</v>
          </cell>
          <cell r="G55" t="str">
            <v>ZA</v>
          </cell>
          <cell r="H55">
            <v>3131100005</v>
          </cell>
          <cell r="I55" t="str">
            <v>MOVINGS</v>
          </cell>
          <cell r="J55" t="str">
            <v>INVALID</v>
          </cell>
          <cell r="K55">
            <v>0</v>
          </cell>
          <cell r="L55">
            <v>0</v>
          </cell>
          <cell r="M55">
            <v>6000</v>
          </cell>
          <cell r="N55">
            <v>1440</v>
          </cell>
          <cell r="O55">
            <v>7326</v>
          </cell>
          <cell r="P55">
            <v>9008</v>
          </cell>
          <cell r="Q55">
            <v>43756</v>
          </cell>
          <cell r="R55">
            <v>5919</v>
          </cell>
          <cell r="S55">
            <v>15039</v>
          </cell>
          <cell r="T55">
            <v>0</v>
          </cell>
          <cell r="U55">
            <v>0</v>
          </cell>
          <cell r="V55">
            <v>312</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BS55">
            <v>88800</v>
          </cell>
          <cell r="BT55">
            <v>0</v>
          </cell>
          <cell r="BU55">
            <v>0</v>
          </cell>
          <cell r="BV55">
            <v>0</v>
          </cell>
          <cell r="BW55">
            <v>0</v>
          </cell>
          <cell r="BX55">
            <v>88800</v>
          </cell>
          <cell r="BY55">
            <v>0</v>
          </cell>
          <cell r="BZ55">
            <v>0</v>
          </cell>
          <cell r="CA55">
            <v>0</v>
          </cell>
          <cell r="CB55">
            <v>0</v>
          </cell>
        </row>
        <row r="56">
          <cell r="A56" t="str">
            <v>US59PZA5013131100006</v>
          </cell>
          <cell r="B56" t="str">
            <v>Pekin</v>
          </cell>
          <cell r="C56" t="str">
            <v>Jan-Dec</v>
          </cell>
          <cell r="D56" t="str">
            <v>US59PZA501</v>
          </cell>
          <cell r="E56" t="str">
            <v>501</v>
          </cell>
          <cell r="F56" t="str">
            <v>Production Admin.</v>
          </cell>
          <cell r="G56" t="str">
            <v>ZA</v>
          </cell>
          <cell r="H56">
            <v>3131100006</v>
          </cell>
          <cell r="I56" t="str">
            <v>RECRUITMENT</v>
          </cell>
          <cell r="J56" t="str">
            <v>INVALID</v>
          </cell>
          <cell r="K56">
            <v>930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600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BS56">
            <v>930</v>
          </cell>
          <cell r="BT56">
            <v>0</v>
          </cell>
          <cell r="BU56">
            <v>600</v>
          </cell>
          <cell r="BV56">
            <v>0</v>
          </cell>
          <cell r="BW56">
            <v>0</v>
          </cell>
          <cell r="BX56">
            <v>930</v>
          </cell>
          <cell r="BY56">
            <v>0</v>
          </cell>
          <cell r="BZ56">
            <v>600</v>
          </cell>
          <cell r="CA56">
            <v>0</v>
          </cell>
          <cell r="CB56">
            <v>0</v>
          </cell>
        </row>
        <row r="57">
          <cell r="A57" t="str">
            <v>US59PZA5013201400006</v>
          </cell>
          <cell r="B57" t="str">
            <v>Pekin</v>
          </cell>
          <cell r="C57" t="str">
            <v>Jan-Dec</v>
          </cell>
          <cell r="D57" t="str">
            <v>US59PZA501</v>
          </cell>
          <cell r="E57" t="str">
            <v>501</v>
          </cell>
          <cell r="F57" t="str">
            <v>Production Admin.</v>
          </cell>
          <cell r="G57" t="str">
            <v>ZA</v>
          </cell>
          <cell r="H57">
            <v>3201400006</v>
          </cell>
          <cell r="I57" t="str">
            <v>MAINTENANCE OF GREEN AREAS</v>
          </cell>
          <cell r="J57" t="str">
            <v>INVALID</v>
          </cell>
          <cell r="K57">
            <v>0</v>
          </cell>
          <cell r="L57">
            <v>0</v>
          </cell>
          <cell r="M57">
            <v>0</v>
          </cell>
          <cell r="N57">
            <v>0</v>
          </cell>
          <cell r="O57">
            <v>0</v>
          </cell>
          <cell r="P57">
            <v>0</v>
          </cell>
          <cell r="Q57">
            <v>4900</v>
          </cell>
          <cell r="R57">
            <v>2850</v>
          </cell>
          <cell r="S57">
            <v>2000</v>
          </cell>
          <cell r="T57">
            <v>2000</v>
          </cell>
          <cell r="U57">
            <v>0</v>
          </cell>
          <cell r="V57">
            <v>2000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BS57">
            <v>13750</v>
          </cell>
          <cell r="BT57">
            <v>0</v>
          </cell>
          <cell r="BU57">
            <v>0</v>
          </cell>
          <cell r="BV57">
            <v>0</v>
          </cell>
          <cell r="BW57">
            <v>0</v>
          </cell>
          <cell r="BX57">
            <v>13750</v>
          </cell>
          <cell r="BY57">
            <v>0</v>
          </cell>
          <cell r="BZ57">
            <v>0</v>
          </cell>
          <cell r="CA57">
            <v>0</v>
          </cell>
          <cell r="CB57">
            <v>0</v>
          </cell>
        </row>
        <row r="58">
          <cell r="A58" t="str">
            <v>US59PZA5013201400054</v>
          </cell>
          <cell r="B58" t="str">
            <v>Pekin</v>
          </cell>
          <cell r="C58" t="str">
            <v>Jan-Dec</v>
          </cell>
          <cell r="D58" t="str">
            <v>US59PZA501</v>
          </cell>
          <cell r="E58" t="str">
            <v>501</v>
          </cell>
          <cell r="F58" t="str">
            <v>Production Admin.</v>
          </cell>
          <cell r="G58" t="str">
            <v>ZA</v>
          </cell>
          <cell r="H58">
            <v>3201400054</v>
          </cell>
          <cell r="I58" t="str">
            <v>TECHNICAL SERVICES</v>
          </cell>
          <cell r="J58" t="str">
            <v>INVALID</v>
          </cell>
          <cell r="K58">
            <v>0</v>
          </cell>
          <cell r="L58">
            <v>0</v>
          </cell>
          <cell r="M58">
            <v>0</v>
          </cell>
          <cell r="N58">
            <v>0</v>
          </cell>
          <cell r="O58">
            <v>0</v>
          </cell>
          <cell r="P58">
            <v>518</v>
          </cell>
          <cell r="Q58">
            <v>0</v>
          </cell>
          <cell r="R58">
            <v>508</v>
          </cell>
          <cell r="S58">
            <v>0</v>
          </cell>
          <cell r="T58">
            <v>0</v>
          </cell>
          <cell r="U58">
            <v>21</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BS58">
            <v>1047</v>
          </cell>
          <cell r="BT58">
            <v>0</v>
          </cell>
          <cell r="BU58">
            <v>0</v>
          </cell>
          <cell r="BV58">
            <v>0</v>
          </cell>
          <cell r="BW58">
            <v>0</v>
          </cell>
          <cell r="BX58">
            <v>1047</v>
          </cell>
          <cell r="BY58">
            <v>0</v>
          </cell>
          <cell r="BZ58">
            <v>0</v>
          </cell>
          <cell r="CA58">
            <v>0</v>
          </cell>
          <cell r="CB58">
            <v>0</v>
          </cell>
        </row>
        <row r="59">
          <cell r="A59" t="str">
            <v>US59PZA5013201400055</v>
          </cell>
          <cell r="B59" t="str">
            <v>Pekin</v>
          </cell>
          <cell r="C59" t="str">
            <v>Jan-Dec</v>
          </cell>
          <cell r="D59" t="str">
            <v>US59PZA501</v>
          </cell>
          <cell r="E59" t="str">
            <v>501</v>
          </cell>
          <cell r="F59" t="str">
            <v>Production Admin.</v>
          </cell>
          <cell r="G59" t="str">
            <v>ZA</v>
          </cell>
          <cell r="H59">
            <v>3201400055</v>
          </cell>
          <cell r="I59" t="str">
            <v>LABORATORY TESTING</v>
          </cell>
          <cell r="J59" t="str">
            <v>INVALID</v>
          </cell>
          <cell r="K59">
            <v>0</v>
          </cell>
          <cell r="L59">
            <v>32</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BS59">
            <v>32</v>
          </cell>
          <cell r="BT59">
            <v>0</v>
          </cell>
          <cell r="BU59">
            <v>0</v>
          </cell>
          <cell r="BV59">
            <v>0</v>
          </cell>
          <cell r="BW59">
            <v>0</v>
          </cell>
          <cell r="BX59">
            <v>32</v>
          </cell>
          <cell r="BY59">
            <v>0</v>
          </cell>
          <cell r="BZ59">
            <v>0</v>
          </cell>
          <cell r="CA59">
            <v>0</v>
          </cell>
          <cell r="CB59">
            <v>0</v>
          </cell>
        </row>
        <row r="60">
          <cell r="A60" t="str">
            <v>US59PZA5013201400056</v>
          </cell>
          <cell r="B60" t="str">
            <v>Pekin</v>
          </cell>
          <cell r="C60" t="str">
            <v>Jan-Dec</v>
          </cell>
          <cell r="D60" t="str">
            <v>US59PZA501</v>
          </cell>
          <cell r="E60" t="str">
            <v>501</v>
          </cell>
          <cell r="F60" t="str">
            <v>Production Admin.</v>
          </cell>
          <cell r="G60" t="str">
            <v>ZA</v>
          </cell>
          <cell r="H60">
            <v>3201400056</v>
          </cell>
          <cell r="I60" t="str">
            <v>FIELD AND PRODUCTION EXPENSES</v>
          </cell>
          <cell r="J60" t="str">
            <v>INVALID</v>
          </cell>
          <cell r="K60">
            <v>0</v>
          </cell>
          <cell r="L60">
            <v>0</v>
          </cell>
          <cell r="M60">
            <v>0</v>
          </cell>
          <cell r="N60">
            <v>0</v>
          </cell>
          <cell r="O60">
            <v>0</v>
          </cell>
          <cell r="P60">
            <v>100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BS60">
            <v>100</v>
          </cell>
          <cell r="BT60">
            <v>0</v>
          </cell>
          <cell r="BU60">
            <v>0</v>
          </cell>
          <cell r="BV60">
            <v>0</v>
          </cell>
          <cell r="BW60">
            <v>0</v>
          </cell>
          <cell r="BX60">
            <v>100</v>
          </cell>
          <cell r="BY60">
            <v>0</v>
          </cell>
          <cell r="BZ60">
            <v>0</v>
          </cell>
          <cell r="CA60">
            <v>0</v>
          </cell>
          <cell r="CB60">
            <v>0</v>
          </cell>
        </row>
        <row r="61">
          <cell r="A61" t="str">
            <v>US59PZA5013921200004</v>
          </cell>
          <cell r="B61" t="str">
            <v>Pekin</v>
          </cell>
          <cell r="C61" t="str">
            <v>Jan-Dec</v>
          </cell>
          <cell r="D61" t="str">
            <v>US59PZA501</v>
          </cell>
          <cell r="E61" t="str">
            <v>501</v>
          </cell>
          <cell r="F61" t="str">
            <v>Production Admin.</v>
          </cell>
          <cell r="G61" t="str">
            <v>ZA</v>
          </cell>
          <cell r="H61">
            <v>3921200004</v>
          </cell>
          <cell r="I61" t="str">
            <v>FACTORY SUPPLIES LABO SUPPLIES</v>
          </cell>
          <cell r="J61" t="str">
            <v>INVALID</v>
          </cell>
          <cell r="K61">
            <v>35</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BS61">
            <v>35</v>
          </cell>
          <cell r="BT61">
            <v>0</v>
          </cell>
          <cell r="BU61">
            <v>0</v>
          </cell>
          <cell r="BV61">
            <v>0</v>
          </cell>
          <cell r="BW61">
            <v>0</v>
          </cell>
          <cell r="BX61">
            <v>35</v>
          </cell>
          <cell r="BY61">
            <v>0</v>
          </cell>
          <cell r="BZ61">
            <v>0</v>
          </cell>
          <cell r="CA61">
            <v>0</v>
          </cell>
          <cell r="CB61">
            <v>0</v>
          </cell>
        </row>
        <row r="62">
          <cell r="A62" t="str">
            <v>US59PZA5013991200201</v>
          </cell>
          <cell r="B62" t="str">
            <v>Pekin</v>
          </cell>
          <cell r="C62" t="str">
            <v>Jan-Dec</v>
          </cell>
          <cell r="D62" t="str">
            <v>US59PZA501</v>
          </cell>
          <cell r="E62" t="str">
            <v>501</v>
          </cell>
          <cell r="F62" t="str">
            <v>Production Admin.</v>
          </cell>
          <cell r="G62" t="str">
            <v>ZA</v>
          </cell>
          <cell r="H62">
            <v>3991200201</v>
          </cell>
          <cell r="I62" t="str">
            <v>ALLOCATIONS OTHER IN/OUT LOAD AC</v>
          </cell>
          <cell r="J62" t="str">
            <v>INVALID</v>
          </cell>
          <cell r="K62">
            <v>0</v>
          </cell>
          <cell r="L62">
            <v>0</v>
          </cell>
          <cell r="M62">
            <v>0</v>
          </cell>
          <cell r="N62">
            <v>0</v>
          </cell>
          <cell r="O62">
            <v>0</v>
          </cell>
          <cell r="P62">
            <v>0</v>
          </cell>
          <cell r="Q62">
            <v>0</v>
          </cell>
          <cell r="R62">
            <v>0</v>
          </cell>
          <cell r="S62">
            <v>0</v>
          </cell>
          <cell r="T62">
            <v>0</v>
          </cell>
          <cell r="U62">
            <v>0</v>
          </cell>
          <cell r="V62">
            <v>0</v>
          </cell>
          <cell r="W62">
            <v>0</v>
          </cell>
          <cell r="X62">
            <v>-205</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BS62">
            <v>0</v>
          </cell>
          <cell r="BT62">
            <v>-205</v>
          </cell>
          <cell r="BU62">
            <v>0</v>
          </cell>
          <cell r="BV62">
            <v>0</v>
          </cell>
          <cell r="BW62">
            <v>0</v>
          </cell>
          <cell r="BX62">
            <v>0</v>
          </cell>
          <cell r="BY62">
            <v>-205</v>
          </cell>
          <cell r="BZ62">
            <v>0</v>
          </cell>
          <cell r="CA62">
            <v>0</v>
          </cell>
          <cell r="CB62">
            <v>0</v>
          </cell>
        </row>
        <row r="63">
          <cell r="A63" t="str">
            <v>US59PZA5019420000025</v>
          </cell>
          <cell r="B63" t="str">
            <v>Pekin</v>
          </cell>
          <cell r="C63" t="str">
            <v>Jan-Dec</v>
          </cell>
          <cell r="D63" t="str">
            <v>US59PZA501</v>
          </cell>
          <cell r="E63" t="str">
            <v>501</v>
          </cell>
          <cell r="F63" t="str">
            <v>Production Admin.</v>
          </cell>
          <cell r="G63" t="str">
            <v>ZA</v>
          </cell>
          <cell r="H63">
            <v>9420000025</v>
          </cell>
          <cell r="I63" t="str">
            <v>EMPLOYEE BENEFIT ALLOCATION</v>
          </cell>
          <cell r="J63" t="str">
            <v>VALID - NON BUDGET</v>
          </cell>
          <cell r="K63">
            <v>2037</v>
          </cell>
          <cell r="L63">
            <v>3230</v>
          </cell>
          <cell r="M63">
            <v>5291</v>
          </cell>
          <cell r="N63">
            <v>4768</v>
          </cell>
          <cell r="O63">
            <v>19602</v>
          </cell>
          <cell r="P63">
            <v>4198</v>
          </cell>
          <cell r="Q63">
            <v>5638</v>
          </cell>
          <cell r="R63">
            <v>3980</v>
          </cell>
          <cell r="S63">
            <v>4540</v>
          </cell>
          <cell r="T63">
            <v>3665</v>
          </cell>
          <cell r="U63">
            <v>4453</v>
          </cell>
          <cell r="V63">
            <v>4224</v>
          </cell>
          <cell r="W63">
            <v>5018</v>
          </cell>
          <cell r="X63">
            <v>4053</v>
          </cell>
          <cell r="Y63">
            <v>4428</v>
          </cell>
          <cell r="Z63">
            <v>4031</v>
          </cell>
          <cell r="AA63">
            <v>5175</v>
          </cell>
          <cell r="AB63">
            <v>5021</v>
          </cell>
          <cell r="AC63">
            <v>4954</v>
          </cell>
          <cell r="AD63">
            <v>4570</v>
          </cell>
          <cell r="AE63">
            <v>3957</v>
          </cell>
          <cell r="AF63">
            <v>4779</v>
          </cell>
          <cell r="AG63">
            <v>3584</v>
          </cell>
          <cell r="AH63">
            <v>3573</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BS63">
            <v>65626</v>
          </cell>
          <cell r="BT63">
            <v>53143</v>
          </cell>
          <cell r="BU63">
            <v>0</v>
          </cell>
          <cell r="BV63">
            <v>0</v>
          </cell>
          <cell r="BW63">
            <v>0</v>
          </cell>
          <cell r="BX63">
            <v>65626</v>
          </cell>
          <cell r="BY63">
            <v>53143</v>
          </cell>
          <cell r="BZ63">
            <v>0</v>
          </cell>
          <cell r="CA63">
            <v>0</v>
          </cell>
          <cell r="CB63">
            <v>0</v>
          </cell>
        </row>
      </sheetData>
      <sheetData sheetId="19" refreshError="1"/>
      <sheetData sheetId="20">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US59P015853111100000</v>
          </cell>
          <cell r="B4" t="str">
            <v>Pekin</v>
          </cell>
          <cell r="C4" t="str">
            <v>Jan-Dec</v>
          </cell>
          <cell r="D4" t="str">
            <v>US59P01585</v>
          </cell>
          <cell r="E4" t="str">
            <v>585</v>
          </cell>
          <cell r="F4" t="str">
            <v>R&amp;M</v>
          </cell>
          <cell r="G4" t="str">
            <v>01</v>
          </cell>
          <cell r="H4">
            <v>3111100000</v>
          </cell>
          <cell r="I4" t="str">
            <v>WAGES,SALARIES,ALLOWANCES AND COMMI/PERM</v>
          </cell>
          <cell r="J4" t="str">
            <v>VALID</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BC4">
            <v>2600</v>
          </cell>
          <cell r="BD4">
            <v>2600</v>
          </cell>
          <cell r="BE4">
            <v>2600</v>
          </cell>
          <cell r="BF4">
            <v>2600</v>
          </cell>
          <cell r="BG4">
            <v>2600</v>
          </cell>
          <cell r="BH4">
            <v>2600</v>
          </cell>
          <cell r="BI4">
            <v>2600</v>
          </cell>
          <cell r="BJ4">
            <v>2600</v>
          </cell>
          <cell r="BK4">
            <v>8360</v>
          </cell>
          <cell r="BL4">
            <v>8360</v>
          </cell>
          <cell r="BM4">
            <v>8360</v>
          </cell>
          <cell r="BN4">
            <v>8360</v>
          </cell>
          <cell r="BO4">
            <v>2600</v>
          </cell>
          <cell r="BP4">
            <v>2600</v>
          </cell>
          <cell r="BQ4">
            <v>2600</v>
          </cell>
          <cell r="BR4">
            <v>2600</v>
          </cell>
          <cell r="BS4">
            <v>0</v>
          </cell>
          <cell r="BT4">
            <v>0</v>
          </cell>
          <cell r="BU4">
            <v>0</v>
          </cell>
          <cell r="BV4">
            <v>10400</v>
          </cell>
          <cell r="BW4">
            <v>54240</v>
          </cell>
          <cell r="BX4">
            <v>0</v>
          </cell>
          <cell r="BY4">
            <v>0</v>
          </cell>
          <cell r="BZ4">
            <v>0</v>
          </cell>
          <cell r="CA4">
            <v>0</v>
          </cell>
          <cell r="CB4">
            <v>10400</v>
          </cell>
        </row>
        <row r="5">
          <cell r="A5" t="str">
            <v>US59P015853111100012</v>
          </cell>
          <cell r="B5" t="str">
            <v>Pekin</v>
          </cell>
          <cell r="C5" t="str">
            <v>Jan-Dec</v>
          </cell>
          <cell r="D5" t="str">
            <v>US59P01585</v>
          </cell>
          <cell r="E5" t="str">
            <v>585</v>
          </cell>
          <cell r="F5" t="str">
            <v>R&amp;M</v>
          </cell>
          <cell r="G5" t="str">
            <v>01</v>
          </cell>
          <cell r="H5">
            <v>3111100012</v>
          </cell>
          <cell r="I5" t="str">
            <v>OVERTIME HOURS /PERMANENTS</v>
          </cell>
          <cell r="J5" t="str">
            <v>VALID</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BC5">
            <v>500</v>
          </cell>
          <cell r="BD5">
            <v>500</v>
          </cell>
          <cell r="BE5">
            <v>250</v>
          </cell>
          <cell r="BF5">
            <v>100</v>
          </cell>
          <cell r="BG5">
            <v>100</v>
          </cell>
          <cell r="BH5">
            <v>100</v>
          </cell>
          <cell r="BI5">
            <v>100</v>
          </cell>
          <cell r="BJ5">
            <v>100</v>
          </cell>
          <cell r="BK5">
            <v>100</v>
          </cell>
          <cell r="BL5">
            <v>100</v>
          </cell>
          <cell r="BM5">
            <v>250</v>
          </cell>
          <cell r="BN5">
            <v>250</v>
          </cell>
          <cell r="BO5">
            <v>500</v>
          </cell>
          <cell r="BP5">
            <v>500</v>
          </cell>
          <cell r="BQ5">
            <v>250</v>
          </cell>
          <cell r="BR5">
            <v>250</v>
          </cell>
          <cell r="BS5">
            <v>0</v>
          </cell>
          <cell r="BT5">
            <v>0</v>
          </cell>
          <cell r="BU5">
            <v>0</v>
          </cell>
          <cell r="BV5">
            <v>1350</v>
          </cell>
          <cell r="BW5">
            <v>2600</v>
          </cell>
          <cell r="BX5">
            <v>0</v>
          </cell>
          <cell r="BY5">
            <v>0</v>
          </cell>
          <cell r="BZ5">
            <v>0</v>
          </cell>
          <cell r="CA5">
            <v>0</v>
          </cell>
          <cell r="CB5">
            <v>1350</v>
          </cell>
        </row>
        <row r="6">
          <cell r="A6" t="str">
            <v>US59P015853111100900</v>
          </cell>
          <cell r="B6" t="str">
            <v>Pekin</v>
          </cell>
          <cell r="C6" t="str">
            <v>Jan-Dec</v>
          </cell>
          <cell r="D6" t="str">
            <v>US59P01585</v>
          </cell>
          <cell r="E6" t="str">
            <v>585</v>
          </cell>
          <cell r="F6" t="str">
            <v>R&amp;M</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BS6">
            <v>0</v>
          </cell>
          <cell r="BT6">
            <v>0</v>
          </cell>
          <cell r="BU6">
            <v>0</v>
          </cell>
          <cell r="BV6">
            <v>0</v>
          </cell>
          <cell r="BW6">
            <v>0</v>
          </cell>
          <cell r="BX6">
            <v>0</v>
          </cell>
          <cell r="BY6">
            <v>0</v>
          </cell>
          <cell r="BZ6">
            <v>0</v>
          </cell>
          <cell r="CA6">
            <v>0</v>
          </cell>
          <cell r="CB6">
            <v>0</v>
          </cell>
        </row>
        <row r="7">
          <cell r="A7" t="str">
            <v>US59P015853121300013</v>
          </cell>
          <cell r="B7" t="str">
            <v>Pekin</v>
          </cell>
          <cell r="C7" t="str">
            <v>Jan-Dec</v>
          </cell>
          <cell r="D7" t="str">
            <v>US59P01585</v>
          </cell>
          <cell r="E7" t="str">
            <v>585</v>
          </cell>
          <cell r="F7" t="str">
            <v>R&amp;M</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1134.5999999999999</v>
          </cell>
          <cell r="BD7">
            <v>1134.5999999999999</v>
          </cell>
          <cell r="BE7">
            <v>1043.0999999999999</v>
          </cell>
          <cell r="BF7">
            <v>988.19999999999993</v>
          </cell>
          <cell r="BG7">
            <v>988.19999999999993</v>
          </cell>
          <cell r="BH7">
            <v>988.19999999999993</v>
          </cell>
          <cell r="BI7">
            <v>988.19999999999993</v>
          </cell>
          <cell r="BJ7">
            <v>988.19999999999993</v>
          </cell>
          <cell r="BK7">
            <v>3096.36</v>
          </cell>
          <cell r="BL7">
            <v>3096.36</v>
          </cell>
          <cell r="BM7">
            <v>3151.2599999999998</v>
          </cell>
          <cell r="BN7">
            <v>3151.2599999999998</v>
          </cell>
          <cell r="BO7">
            <v>1134.5999999999999</v>
          </cell>
          <cell r="BP7">
            <v>1134.5999999999999</v>
          </cell>
          <cell r="BQ7">
            <v>1043.0999999999999</v>
          </cell>
          <cell r="BR7">
            <v>1043.0999999999999</v>
          </cell>
          <cell r="BS7">
            <v>0</v>
          </cell>
          <cell r="BT7">
            <v>0</v>
          </cell>
          <cell r="BU7">
            <v>0</v>
          </cell>
          <cell r="BV7">
            <v>4300.5</v>
          </cell>
          <cell r="BW7">
            <v>20803.439999999995</v>
          </cell>
          <cell r="BX7">
            <v>0</v>
          </cell>
          <cell r="BY7">
            <v>0</v>
          </cell>
          <cell r="BZ7">
            <v>0</v>
          </cell>
          <cell r="CA7">
            <v>0</v>
          </cell>
          <cell r="CB7">
            <v>4300.5</v>
          </cell>
        </row>
        <row r="8">
          <cell r="A8" t="str">
            <v>US59P015853201300001</v>
          </cell>
          <cell r="B8" t="str">
            <v>Pekin</v>
          </cell>
          <cell r="C8" t="str">
            <v>Jan-Dec</v>
          </cell>
          <cell r="D8" t="str">
            <v>US59P01585</v>
          </cell>
          <cell r="E8" t="str">
            <v>585</v>
          </cell>
          <cell r="F8" t="str">
            <v>R&amp;M</v>
          </cell>
          <cell r="G8" t="str">
            <v>01</v>
          </cell>
          <cell r="H8">
            <v>3201300001</v>
          </cell>
          <cell r="I8" t="str">
            <v>HIRED PERSONNEL FROM 3RD PARTIES</v>
          </cell>
          <cell r="J8" t="str">
            <v>VALID</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BC8">
            <v>2880</v>
          </cell>
          <cell r="BD8">
            <v>2880</v>
          </cell>
          <cell r="BE8">
            <v>2880</v>
          </cell>
          <cell r="BF8">
            <v>2880</v>
          </cell>
          <cell r="BG8">
            <v>2880</v>
          </cell>
          <cell r="BH8">
            <v>2880</v>
          </cell>
          <cell r="BI8">
            <v>2880</v>
          </cell>
          <cell r="BJ8">
            <v>2880</v>
          </cell>
          <cell r="BK8">
            <v>8640</v>
          </cell>
          <cell r="BL8">
            <v>8640</v>
          </cell>
          <cell r="BM8">
            <v>8640</v>
          </cell>
          <cell r="BN8">
            <v>8640</v>
          </cell>
          <cell r="BO8">
            <v>2880</v>
          </cell>
          <cell r="BP8">
            <v>2880</v>
          </cell>
          <cell r="BQ8">
            <v>2880</v>
          </cell>
          <cell r="BR8">
            <v>2880</v>
          </cell>
          <cell r="BS8">
            <v>0</v>
          </cell>
          <cell r="BT8">
            <v>0</v>
          </cell>
          <cell r="BU8">
            <v>0</v>
          </cell>
          <cell r="BV8">
            <v>11520</v>
          </cell>
          <cell r="BW8">
            <v>57600</v>
          </cell>
          <cell r="BX8">
            <v>0</v>
          </cell>
          <cell r="BY8">
            <v>0</v>
          </cell>
          <cell r="BZ8">
            <v>0</v>
          </cell>
          <cell r="CA8">
            <v>0</v>
          </cell>
          <cell r="CB8">
            <v>11520</v>
          </cell>
        </row>
      </sheetData>
      <sheetData sheetId="21" refreshError="1"/>
      <sheetData sheetId="22">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US59P015753111100000</v>
          </cell>
          <cell r="B4" t="str">
            <v>Pekin</v>
          </cell>
          <cell r="C4" t="str">
            <v>June-May</v>
          </cell>
          <cell r="D4" t="str">
            <v>US59P01575</v>
          </cell>
          <cell r="E4" t="str">
            <v>575</v>
          </cell>
          <cell r="F4" t="str">
            <v>Rework</v>
          </cell>
          <cell r="G4" t="str">
            <v>01</v>
          </cell>
          <cell r="H4">
            <v>3111100000</v>
          </cell>
          <cell r="I4" t="str">
            <v>WAGES,SALARIES,ALLOWANCES AND COMMI/PERM</v>
          </cell>
          <cell r="J4" t="str">
            <v>VALID</v>
          </cell>
          <cell r="K4">
            <v>0</v>
          </cell>
          <cell r="L4">
            <v>0</v>
          </cell>
          <cell r="M4">
            <v>0</v>
          </cell>
          <cell r="N4">
            <v>0</v>
          </cell>
          <cell r="O4">
            <v>0</v>
          </cell>
          <cell r="P4">
            <v>0</v>
          </cell>
          <cell r="Q4">
            <v>0</v>
          </cell>
          <cell r="R4">
            <v>0</v>
          </cell>
          <cell r="S4">
            <v>5953</v>
          </cell>
          <cell r="T4">
            <v>-1122</v>
          </cell>
          <cell r="U4">
            <v>0</v>
          </cell>
          <cell r="V4">
            <v>0</v>
          </cell>
          <cell r="W4">
            <v>4589</v>
          </cell>
          <cell r="X4">
            <v>2198</v>
          </cell>
          <cell r="Y4">
            <v>6052</v>
          </cell>
          <cell r="Z4">
            <v>5426</v>
          </cell>
          <cell r="AA4">
            <v>5987</v>
          </cell>
          <cell r="AB4">
            <v>5386</v>
          </cell>
          <cell r="AC4">
            <v>2443</v>
          </cell>
          <cell r="AD4">
            <v>0</v>
          </cell>
          <cell r="AE4">
            <v>0</v>
          </cell>
          <cell r="AF4">
            <v>0</v>
          </cell>
          <cell r="AG4">
            <v>0</v>
          </cell>
          <cell r="AH4">
            <v>0</v>
          </cell>
          <cell r="AI4">
            <v>-735</v>
          </cell>
          <cell r="AJ4">
            <v>-829</v>
          </cell>
          <cell r="AK4">
            <v>2555</v>
          </cell>
          <cell r="AL4">
            <v>5002</v>
          </cell>
          <cell r="AM4">
            <v>1501</v>
          </cell>
          <cell r="AN4">
            <v>1714</v>
          </cell>
          <cell r="AO4">
            <v>1123</v>
          </cell>
          <cell r="AP4">
            <v>1051</v>
          </cell>
          <cell r="AQ4">
            <v>377</v>
          </cell>
          <cell r="AR4">
            <v>-783</v>
          </cell>
          <cell r="AS4">
            <v>241</v>
          </cell>
          <cell r="AT4">
            <v>132</v>
          </cell>
          <cell r="AU4">
            <v>156</v>
          </cell>
          <cell r="AV4">
            <v>184</v>
          </cell>
          <cell r="AW4">
            <v>0</v>
          </cell>
          <cell r="AX4">
            <v>0</v>
          </cell>
          <cell r="AY4">
            <v>0</v>
          </cell>
          <cell r="BC4">
            <v>1500</v>
          </cell>
          <cell r="BE4">
            <v>2500</v>
          </cell>
          <cell r="BS4">
            <v>29083</v>
          </cell>
          <cell r="BT4">
            <v>15323</v>
          </cell>
          <cell r="BU4">
            <v>4195</v>
          </cell>
          <cell r="BV4">
            <v>4000</v>
          </cell>
          <cell r="BW4">
            <v>0</v>
          </cell>
          <cell r="BX4">
            <v>4831</v>
          </cell>
          <cell r="BY4">
            <v>32081</v>
          </cell>
          <cell r="BZ4">
            <v>11349</v>
          </cell>
          <cell r="CA4">
            <v>340</v>
          </cell>
          <cell r="CB4">
            <v>4000</v>
          </cell>
        </row>
        <row r="5">
          <cell r="A5" t="str">
            <v>US59P015753111100012</v>
          </cell>
          <cell r="B5" t="str">
            <v>Pekin</v>
          </cell>
          <cell r="C5" t="str">
            <v>June-May</v>
          </cell>
          <cell r="D5" t="str">
            <v>US59P01575</v>
          </cell>
          <cell r="E5" t="str">
            <v>575</v>
          </cell>
          <cell r="F5" t="str">
            <v>Rework</v>
          </cell>
          <cell r="G5" t="str">
            <v>01</v>
          </cell>
          <cell r="H5">
            <v>3111100012</v>
          </cell>
          <cell r="I5" t="str">
            <v>OVERTIME HOURS /PERMANENTS</v>
          </cell>
          <cell r="J5" t="str">
            <v>VALID</v>
          </cell>
          <cell r="K5">
            <v>0</v>
          </cell>
          <cell r="L5">
            <v>0</v>
          </cell>
          <cell r="M5">
            <v>0</v>
          </cell>
          <cell r="N5">
            <v>0</v>
          </cell>
          <cell r="O5">
            <v>0</v>
          </cell>
          <cell r="P5">
            <v>0</v>
          </cell>
          <cell r="Q5">
            <v>0</v>
          </cell>
          <cell r="R5">
            <v>0</v>
          </cell>
          <cell r="S5">
            <v>532</v>
          </cell>
          <cell r="T5">
            <v>-150</v>
          </cell>
          <cell r="U5">
            <v>0</v>
          </cell>
          <cell r="V5">
            <v>0</v>
          </cell>
          <cell r="W5">
            <v>82</v>
          </cell>
          <cell r="X5">
            <v>758</v>
          </cell>
          <cell r="Y5">
            <v>609</v>
          </cell>
          <cell r="Z5">
            <v>564</v>
          </cell>
          <cell r="AA5">
            <v>-23</v>
          </cell>
          <cell r="AB5">
            <v>40</v>
          </cell>
          <cell r="AC5">
            <v>53</v>
          </cell>
          <cell r="AD5">
            <v>0</v>
          </cell>
          <cell r="AE5">
            <v>0</v>
          </cell>
          <cell r="AF5">
            <v>0</v>
          </cell>
          <cell r="AG5">
            <v>0</v>
          </cell>
          <cell r="AH5">
            <v>0</v>
          </cell>
          <cell r="AI5">
            <v>0</v>
          </cell>
          <cell r="AJ5">
            <v>0</v>
          </cell>
          <cell r="AK5">
            <v>102</v>
          </cell>
          <cell r="AL5">
            <v>74</v>
          </cell>
          <cell r="AM5">
            <v>292</v>
          </cell>
          <cell r="AN5">
            <v>0</v>
          </cell>
          <cell r="AO5">
            <v>0</v>
          </cell>
          <cell r="AP5">
            <v>88</v>
          </cell>
          <cell r="AQ5">
            <v>0</v>
          </cell>
          <cell r="AR5">
            <v>0</v>
          </cell>
          <cell r="AS5">
            <v>0</v>
          </cell>
          <cell r="AT5">
            <v>0</v>
          </cell>
          <cell r="AU5">
            <v>0</v>
          </cell>
          <cell r="AV5">
            <v>0</v>
          </cell>
          <cell r="AW5">
            <v>0</v>
          </cell>
          <cell r="AX5">
            <v>0</v>
          </cell>
          <cell r="AY5">
            <v>0</v>
          </cell>
          <cell r="BS5">
            <v>2372</v>
          </cell>
          <cell r="BT5">
            <v>561</v>
          </cell>
          <cell r="BU5">
            <v>88</v>
          </cell>
          <cell r="BV5">
            <v>0</v>
          </cell>
          <cell r="BW5">
            <v>0</v>
          </cell>
          <cell r="BX5">
            <v>382</v>
          </cell>
          <cell r="BY5">
            <v>2083</v>
          </cell>
          <cell r="BZ5">
            <v>556</v>
          </cell>
          <cell r="CA5">
            <v>0</v>
          </cell>
          <cell r="CB5">
            <v>0</v>
          </cell>
        </row>
        <row r="6">
          <cell r="A6" t="str">
            <v>US59P015753111100900</v>
          </cell>
          <cell r="B6" t="str">
            <v>Pekin</v>
          </cell>
          <cell r="C6" t="str">
            <v>June-May</v>
          </cell>
          <cell r="D6" t="str">
            <v>US59P01575</v>
          </cell>
          <cell r="E6" t="str">
            <v>575</v>
          </cell>
          <cell r="F6" t="str">
            <v>Rework</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BC6">
            <v>500</v>
          </cell>
          <cell r="BE6">
            <v>1500</v>
          </cell>
          <cell r="BS6">
            <v>0</v>
          </cell>
          <cell r="BT6">
            <v>0</v>
          </cell>
          <cell r="BU6">
            <v>0</v>
          </cell>
          <cell r="BV6">
            <v>2000</v>
          </cell>
          <cell r="BW6">
            <v>0</v>
          </cell>
          <cell r="BX6">
            <v>0</v>
          </cell>
          <cell r="BY6">
            <v>0</v>
          </cell>
          <cell r="BZ6">
            <v>0</v>
          </cell>
          <cell r="CA6">
            <v>0</v>
          </cell>
          <cell r="CB6">
            <v>2000</v>
          </cell>
        </row>
        <row r="7">
          <cell r="A7" t="str">
            <v>US59P015753121300013</v>
          </cell>
          <cell r="B7" t="str">
            <v>Pekin</v>
          </cell>
          <cell r="C7" t="str">
            <v>June-May</v>
          </cell>
          <cell r="D7" t="str">
            <v>US59P01575</v>
          </cell>
          <cell r="E7" t="str">
            <v>575</v>
          </cell>
          <cell r="F7" t="str">
            <v>Rework</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-273</v>
          </cell>
          <cell r="AJ7">
            <v>-308</v>
          </cell>
          <cell r="AK7">
            <v>989</v>
          </cell>
          <cell r="AL7">
            <v>1888</v>
          </cell>
          <cell r="AM7">
            <v>667</v>
          </cell>
          <cell r="AN7">
            <v>144</v>
          </cell>
          <cell r="AO7">
            <v>911</v>
          </cell>
          <cell r="AP7">
            <v>424</v>
          </cell>
          <cell r="AQ7">
            <v>140</v>
          </cell>
          <cell r="AR7">
            <v>-291</v>
          </cell>
          <cell r="AS7">
            <v>90</v>
          </cell>
          <cell r="AT7">
            <v>49</v>
          </cell>
          <cell r="AU7">
            <v>57</v>
          </cell>
          <cell r="AV7">
            <v>67</v>
          </cell>
          <cell r="AW7">
            <v>0</v>
          </cell>
          <cell r="AX7">
            <v>0</v>
          </cell>
          <cell r="AY7">
            <v>0</v>
          </cell>
          <cell r="AZ7">
            <v>0</v>
          </cell>
          <cell r="BA7">
            <v>0</v>
          </cell>
          <cell r="BB7">
            <v>0</v>
          </cell>
          <cell r="BC7">
            <v>549</v>
          </cell>
          <cell r="BD7">
            <v>0</v>
          </cell>
          <cell r="BE7">
            <v>915</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2963</v>
          </cell>
          <cell r="BU7">
            <v>1591</v>
          </cell>
          <cell r="BV7">
            <v>1464</v>
          </cell>
          <cell r="BW7">
            <v>0</v>
          </cell>
          <cell r="BX7">
            <v>0</v>
          </cell>
          <cell r="BY7">
            <v>0</v>
          </cell>
          <cell r="BZ7">
            <v>4430</v>
          </cell>
          <cell r="CA7">
            <v>124</v>
          </cell>
          <cell r="CB7">
            <v>1464</v>
          </cell>
        </row>
        <row r="8">
          <cell r="A8" t="str">
            <v>US59P015753201300001</v>
          </cell>
          <cell r="B8" t="str">
            <v>Pekin</v>
          </cell>
          <cell r="C8" t="str">
            <v>June-May</v>
          </cell>
          <cell r="D8" t="str">
            <v>US59P01575</v>
          </cell>
          <cell r="E8" t="str">
            <v>575</v>
          </cell>
          <cell r="F8" t="str">
            <v>Rework</v>
          </cell>
          <cell r="G8" t="str">
            <v>01</v>
          </cell>
          <cell r="H8">
            <v>3201300001</v>
          </cell>
          <cell r="I8" t="str">
            <v>HIRED PERSONNEL FROM 3RD PARTIES</v>
          </cell>
          <cell r="J8" t="str">
            <v>VALID</v>
          </cell>
          <cell r="K8">
            <v>0</v>
          </cell>
          <cell r="L8">
            <v>0</v>
          </cell>
          <cell r="M8">
            <v>0</v>
          </cell>
          <cell r="N8">
            <v>0</v>
          </cell>
          <cell r="O8">
            <v>0</v>
          </cell>
          <cell r="P8">
            <v>0</v>
          </cell>
          <cell r="Q8">
            <v>2896</v>
          </cell>
          <cell r="R8">
            <v>7936</v>
          </cell>
          <cell r="S8">
            <v>0</v>
          </cell>
          <cell r="T8">
            <v>0</v>
          </cell>
          <cell r="U8">
            <v>0</v>
          </cell>
          <cell r="V8">
            <v>0</v>
          </cell>
          <cell r="W8">
            <v>2147</v>
          </cell>
          <cell r="X8">
            <v>11158</v>
          </cell>
          <cell r="Y8">
            <v>8861</v>
          </cell>
          <cell r="Z8">
            <v>5593</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964</v>
          </cell>
          <cell r="AP8">
            <v>0</v>
          </cell>
          <cell r="AQ8">
            <v>0</v>
          </cell>
          <cell r="AR8">
            <v>6756</v>
          </cell>
          <cell r="AS8">
            <v>0</v>
          </cell>
          <cell r="AT8">
            <v>0</v>
          </cell>
          <cell r="AU8">
            <v>0</v>
          </cell>
          <cell r="AV8">
            <v>0</v>
          </cell>
          <cell r="AW8">
            <v>0</v>
          </cell>
          <cell r="AX8">
            <v>0</v>
          </cell>
          <cell r="AY8">
            <v>0</v>
          </cell>
          <cell r="BS8">
            <v>38591</v>
          </cell>
          <cell r="BT8">
            <v>0</v>
          </cell>
          <cell r="BU8">
            <v>7720</v>
          </cell>
          <cell r="BV8">
            <v>0</v>
          </cell>
          <cell r="BW8">
            <v>0</v>
          </cell>
          <cell r="BX8">
            <v>10832</v>
          </cell>
          <cell r="BY8">
            <v>27759</v>
          </cell>
          <cell r="BZ8">
            <v>7720</v>
          </cell>
          <cell r="CA8">
            <v>0</v>
          </cell>
          <cell r="CB8">
            <v>0</v>
          </cell>
        </row>
        <row r="9">
          <cell r="A9" t="str">
            <v>US59P015753201400029</v>
          </cell>
          <cell r="B9" t="str">
            <v>Pekin</v>
          </cell>
          <cell r="C9" t="str">
            <v>June-May</v>
          </cell>
          <cell r="D9" t="str">
            <v>US59P01575</v>
          </cell>
          <cell r="E9" t="str">
            <v>575</v>
          </cell>
          <cell r="F9" t="str">
            <v>Rework</v>
          </cell>
          <cell r="G9" t="str">
            <v>01</v>
          </cell>
          <cell r="H9">
            <v>3201400029</v>
          </cell>
          <cell r="I9" t="str">
            <v>OTH OUTSIDE SERVICES OTHER</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219</v>
          </cell>
          <cell r="AT9">
            <v>0</v>
          </cell>
          <cell r="AU9">
            <v>0</v>
          </cell>
          <cell r="AV9">
            <v>0</v>
          </cell>
          <cell r="AW9">
            <v>0</v>
          </cell>
          <cell r="AX9">
            <v>0</v>
          </cell>
          <cell r="AY9">
            <v>0</v>
          </cell>
          <cell r="BS9">
            <v>0</v>
          </cell>
          <cell r="BT9">
            <v>0</v>
          </cell>
          <cell r="BU9">
            <v>219</v>
          </cell>
          <cell r="BV9">
            <v>0</v>
          </cell>
          <cell r="BW9">
            <v>0</v>
          </cell>
          <cell r="BX9">
            <v>0</v>
          </cell>
          <cell r="BY9">
            <v>0</v>
          </cell>
          <cell r="BZ9">
            <v>219</v>
          </cell>
          <cell r="CA9">
            <v>0</v>
          </cell>
          <cell r="CB9">
            <v>0</v>
          </cell>
        </row>
        <row r="10">
          <cell r="A10" t="str">
            <v>US59P015753201400051</v>
          </cell>
          <cell r="B10" t="str">
            <v>Pekin</v>
          </cell>
          <cell r="C10" t="str">
            <v>June-May</v>
          </cell>
          <cell r="D10" t="str">
            <v>US59P01575</v>
          </cell>
          <cell r="E10" t="str">
            <v>575</v>
          </cell>
          <cell r="F10" t="str">
            <v>Rework</v>
          </cell>
          <cell r="G10" t="str">
            <v>01</v>
          </cell>
          <cell r="H10">
            <v>3201400051</v>
          </cell>
          <cell r="I10" t="str">
            <v>MAINTENANCE EQUIPMENT</v>
          </cell>
          <cell r="J10" t="str">
            <v>VALID</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247</v>
          </cell>
          <cell r="AA10">
            <v>0</v>
          </cell>
          <cell r="AB10">
            <v>0</v>
          </cell>
          <cell r="AC10">
            <v>0</v>
          </cell>
          <cell r="AD10">
            <v>0</v>
          </cell>
          <cell r="AE10">
            <v>0</v>
          </cell>
          <cell r="AF10">
            <v>0</v>
          </cell>
          <cell r="AG10">
            <v>586</v>
          </cell>
          <cell r="AH10">
            <v>0</v>
          </cell>
          <cell r="AI10">
            <v>0</v>
          </cell>
          <cell r="AJ10">
            <v>0</v>
          </cell>
          <cell r="AK10">
            <v>0</v>
          </cell>
          <cell r="AL10">
            <v>0</v>
          </cell>
          <cell r="AM10">
            <v>0</v>
          </cell>
          <cell r="AN10">
            <v>0</v>
          </cell>
          <cell r="AO10">
            <v>0</v>
          </cell>
          <cell r="AP10">
            <v>0</v>
          </cell>
          <cell r="AQ10">
            <v>565</v>
          </cell>
          <cell r="AR10">
            <v>0</v>
          </cell>
          <cell r="AS10">
            <v>0</v>
          </cell>
          <cell r="AT10">
            <v>0</v>
          </cell>
          <cell r="AU10">
            <v>0</v>
          </cell>
          <cell r="AV10">
            <v>0</v>
          </cell>
          <cell r="AW10">
            <v>567</v>
          </cell>
          <cell r="AX10">
            <v>0</v>
          </cell>
          <cell r="AY10">
            <v>0</v>
          </cell>
          <cell r="BC10">
            <v>500</v>
          </cell>
          <cell r="BS10">
            <v>247</v>
          </cell>
          <cell r="BT10">
            <v>586</v>
          </cell>
          <cell r="BU10">
            <v>1132</v>
          </cell>
          <cell r="BV10">
            <v>500</v>
          </cell>
          <cell r="BW10">
            <v>0</v>
          </cell>
          <cell r="BX10">
            <v>0</v>
          </cell>
          <cell r="BY10">
            <v>833</v>
          </cell>
          <cell r="BZ10">
            <v>565</v>
          </cell>
          <cell r="CA10">
            <v>567</v>
          </cell>
          <cell r="CB10">
            <v>500</v>
          </cell>
        </row>
        <row r="11">
          <cell r="A11" t="str">
            <v>US59P015753311400099</v>
          </cell>
          <cell r="B11" t="str">
            <v>Pekin</v>
          </cell>
          <cell r="C11" t="str">
            <v>June-May</v>
          </cell>
          <cell r="D11" t="str">
            <v>US59P01575</v>
          </cell>
          <cell r="E11" t="str">
            <v>575</v>
          </cell>
          <cell r="F11" t="str">
            <v>Rework</v>
          </cell>
          <cell r="G11" t="str">
            <v>01</v>
          </cell>
          <cell r="H11">
            <v>3311400099</v>
          </cell>
          <cell r="I11" t="str">
            <v>CO DEPRECIATION</v>
          </cell>
          <cell r="J11" t="str">
            <v>VALID</v>
          </cell>
          <cell r="K11">
            <v>0</v>
          </cell>
          <cell r="L11">
            <v>0</v>
          </cell>
          <cell r="M11">
            <v>0</v>
          </cell>
          <cell r="N11">
            <v>0</v>
          </cell>
          <cell r="O11">
            <v>0</v>
          </cell>
          <cell r="P11">
            <v>0</v>
          </cell>
          <cell r="Q11">
            <v>0</v>
          </cell>
          <cell r="R11">
            <v>0</v>
          </cell>
          <cell r="S11">
            <v>0</v>
          </cell>
          <cell r="T11">
            <v>275</v>
          </cell>
          <cell r="U11">
            <v>92</v>
          </cell>
          <cell r="V11">
            <v>0</v>
          </cell>
          <cell r="W11">
            <v>0</v>
          </cell>
          <cell r="X11">
            <v>0</v>
          </cell>
          <cell r="Y11">
            <v>0</v>
          </cell>
          <cell r="Z11">
            <v>0</v>
          </cell>
          <cell r="AA11">
            <v>45</v>
          </cell>
          <cell r="AB11">
            <v>45</v>
          </cell>
          <cell r="AC11">
            <v>45</v>
          </cell>
          <cell r="AD11">
            <v>45</v>
          </cell>
          <cell r="AE11">
            <v>45</v>
          </cell>
          <cell r="AF11">
            <v>45</v>
          </cell>
          <cell r="AG11">
            <v>45</v>
          </cell>
          <cell r="AH11">
            <v>45</v>
          </cell>
          <cell r="AI11">
            <v>45</v>
          </cell>
          <cell r="AJ11">
            <v>45</v>
          </cell>
          <cell r="AK11">
            <v>45</v>
          </cell>
          <cell r="AL11">
            <v>45</v>
          </cell>
          <cell r="AM11">
            <v>45</v>
          </cell>
          <cell r="AN11">
            <v>45</v>
          </cell>
          <cell r="AO11">
            <v>45</v>
          </cell>
          <cell r="AP11">
            <v>45</v>
          </cell>
          <cell r="AQ11">
            <v>45</v>
          </cell>
          <cell r="AR11">
            <v>45</v>
          </cell>
          <cell r="AS11">
            <v>45</v>
          </cell>
          <cell r="AT11">
            <v>45</v>
          </cell>
          <cell r="AU11">
            <v>45</v>
          </cell>
          <cell r="AV11">
            <v>45</v>
          </cell>
          <cell r="AW11">
            <v>45</v>
          </cell>
          <cell r="AX11">
            <v>45</v>
          </cell>
          <cell r="AY11">
            <v>45</v>
          </cell>
          <cell r="AZ11">
            <v>45</v>
          </cell>
          <cell r="BA11">
            <v>45</v>
          </cell>
          <cell r="BB11">
            <v>45</v>
          </cell>
          <cell r="BC11">
            <v>45</v>
          </cell>
          <cell r="BD11">
            <v>45</v>
          </cell>
          <cell r="BE11">
            <v>45</v>
          </cell>
          <cell r="BF11">
            <v>45</v>
          </cell>
          <cell r="BG11">
            <v>45</v>
          </cell>
          <cell r="BH11">
            <v>45</v>
          </cell>
          <cell r="BI11">
            <v>45</v>
          </cell>
          <cell r="BJ11">
            <v>45</v>
          </cell>
          <cell r="BK11">
            <v>45</v>
          </cell>
          <cell r="BL11">
            <v>45</v>
          </cell>
          <cell r="BM11">
            <v>45</v>
          </cell>
          <cell r="BN11">
            <v>45</v>
          </cell>
          <cell r="BO11">
            <v>45</v>
          </cell>
          <cell r="BP11">
            <v>45</v>
          </cell>
          <cell r="BQ11">
            <v>45</v>
          </cell>
          <cell r="BR11">
            <v>45</v>
          </cell>
          <cell r="BS11">
            <v>412</v>
          </cell>
          <cell r="BT11">
            <v>540</v>
          </cell>
          <cell r="BU11">
            <v>540</v>
          </cell>
          <cell r="BV11">
            <v>540</v>
          </cell>
          <cell r="BW11">
            <v>540</v>
          </cell>
          <cell r="BX11">
            <v>367</v>
          </cell>
          <cell r="BY11">
            <v>360</v>
          </cell>
          <cell r="BZ11">
            <v>540</v>
          </cell>
          <cell r="CA11">
            <v>180</v>
          </cell>
          <cell r="CB11">
            <v>360</v>
          </cell>
        </row>
        <row r="12">
          <cell r="A12" t="str">
            <v>US59P015753921200006</v>
          </cell>
          <cell r="B12" t="str">
            <v>Pekin</v>
          </cell>
          <cell r="C12" t="str">
            <v>June-May</v>
          </cell>
          <cell r="D12" t="str">
            <v>US59P01575</v>
          </cell>
          <cell r="E12" t="str">
            <v>575</v>
          </cell>
          <cell r="F12" t="str">
            <v>Rework</v>
          </cell>
          <cell r="G12" t="str">
            <v>01</v>
          </cell>
          <cell r="H12">
            <v>3921200006</v>
          </cell>
          <cell r="I12" t="str">
            <v>FACTORY SUPPLIES MAINTENANCE SUPPLIES</v>
          </cell>
          <cell r="J12" t="str">
            <v>VALID</v>
          </cell>
          <cell r="K12">
            <v>0</v>
          </cell>
          <cell r="L12">
            <v>0</v>
          </cell>
          <cell r="M12">
            <v>0</v>
          </cell>
          <cell r="N12">
            <v>0</v>
          </cell>
          <cell r="O12">
            <v>0</v>
          </cell>
          <cell r="P12">
            <v>0</v>
          </cell>
          <cell r="Q12">
            <v>0</v>
          </cell>
          <cell r="R12">
            <v>0</v>
          </cell>
          <cell r="S12">
            <v>0</v>
          </cell>
          <cell r="T12">
            <v>0</v>
          </cell>
          <cell r="U12">
            <v>0</v>
          </cell>
          <cell r="V12">
            <v>0</v>
          </cell>
          <cell r="W12">
            <v>0</v>
          </cell>
          <cell r="X12">
            <v>51</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169</v>
          </cell>
          <cell r="AS12">
            <v>192</v>
          </cell>
          <cell r="AT12">
            <v>0</v>
          </cell>
          <cell r="AU12">
            <v>0</v>
          </cell>
          <cell r="AV12">
            <v>0</v>
          </cell>
          <cell r="AW12">
            <v>0</v>
          </cell>
          <cell r="AX12">
            <v>0</v>
          </cell>
          <cell r="AY12">
            <v>0</v>
          </cell>
          <cell r="BC12">
            <v>100</v>
          </cell>
          <cell r="BD12">
            <v>100</v>
          </cell>
          <cell r="BE12">
            <v>100</v>
          </cell>
          <cell r="BF12">
            <v>100</v>
          </cell>
          <cell r="BG12">
            <v>100</v>
          </cell>
          <cell r="BH12">
            <v>100</v>
          </cell>
          <cell r="BI12">
            <v>0</v>
          </cell>
          <cell r="BJ12">
            <v>0</v>
          </cell>
          <cell r="BK12">
            <v>0</v>
          </cell>
          <cell r="BS12">
            <v>51</v>
          </cell>
          <cell r="BT12">
            <v>0</v>
          </cell>
          <cell r="BU12">
            <v>361</v>
          </cell>
          <cell r="BV12">
            <v>600</v>
          </cell>
          <cell r="BW12">
            <v>200</v>
          </cell>
          <cell r="BX12">
            <v>0</v>
          </cell>
          <cell r="BY12">
            <v>51</v>
          </cell>
          <cell r="BZ12">
            <v>361</v>
          </cell>
          <cell r="CA12">
            <v>0</v>
          </cell>
          <cell r="CB12">
            <v>400</v>
          </cell>
        </row>
        <row r="13">
          <cell r="A13" t="str">
            <v>US59P015753921200037</v>
          </cell>
          <cell r="B13" t="str">
            <v>Pekin</v>
          </cell>
          <cell r="C13" t="str">
            <v>June-May</v>
          </cell>
          <cell r="D13" t="str">
            <v>US59P01575</v>
          </cell>
          <cell r="E13" t="str">
            <v>575</v>
          </cell>
          <cell r="F13" t="str">
            <v>Rework</v>
          </cell>
          <cell r="G13" t="str">
            <v>01</v>
          </cell>
          <cell r="H13">
            <v>3921200037</v>
          </cell>
          <cell r="I13" t="str">
            <v>EXHAUSTIVE EQUIPMENT</v>
          </cell>
          <cell r="J13" t="str">
            <v>VALID</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BS13">
            <v>0</v>
          </cell>
          <cell r="BT13">
            <v>0</v>
          </cell>
          <cell r="BU13">
            <v>0</v>
          </cell>
          <cell r="BV13">
            <v>0</v>
          </cell>
          <cell r="BW13">
            <v>0</v>
          </cell>
          <cell r="BX13">
            <v>0</v>
          </cell>
          <cell r="BY13">
            <v>0</v>
          </cell>
          <cell r="BZ13">
            <v>0</v>
          </cell>
          <cell r="CA13">
            <v>0</v>
          </cell>
          <cell r="CB13">
            <v>0</v>
          </cell>
        </row>
        <row r="14">
          <cell r="A14" t="str">
            <v>US59P015753921200100</v>
          </cell>
          <cell r="B14" t="str">
            <v>Pekin</v>
          </cell>
          <cell r="C14" t="str">
            <v>June-May</v>
          </cell>
          <cell r="D14" t="str">
            <v>US59P01575</v>
          </cell>
          <cell r="E14" t="str">
            <v>575</v>
          </cell>
          <cell r="F14" t="str">
            <v>Rework</v>
          </cell>
          <cell r="G14" t="str">
            <v>01</v>
          </cell>
          <cell r="H14">
            <v>3921200100</v>
          </cell>
          <cell r="I14" t="str">
            <v>FIELD &amp; PRODUCTION SUPPLIES</v>
          </cell>
          <cell r="J14" t="str">
            <v>VALID</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BS14">
            <v>0</v>
          </cell>
          <cell r="BT14">
            <v>0</v>
          </cell>
          <cell r="BU14">
            <v>0</v>
          </cell>
          <cell r="BV14">
            <v>0</v>
          </cell>
          <cell r="BW14">
            <v>0</v>
          </cell>
          <cell r="BX14">
            <v>0</v>
          </cell>
          <cell r="BY14">
            <v>0</v>
          </cell>
          <cell r="BZ14">
            <v>0</v>
          </cell>
          <cell r="CA14">
            <v>0</v>
          </cell>
          <cell r="CB14">
            <v>0</v>
          </cell>
        </row>
        <row r="15">
          <cell r="A15" t="str">
            <v>US59P015753111100020</v>
          </cell>
          <cell r="B15" t="str">
            <v>Pekin</v>
          </cell>
          <cell r="C15" t="str">
            <v>June-May</v>
          </cell>
          <cell r="D15" t="str">
            <v>US59P01575</v>
          </cell>
          <cell r="E15" t="str">
            <v>575</v>
          </cell>
          <cell r="F15" t="str">
            <v>Rework</v>
          </cell>
          <cell r="G15" t="str">
            <v>01</v>
          </cell>
          <cell r="H15">
            <v>3111100020</v>
          </cell>
          <cell r="I15" t="str">
            <v>INCENTIVE PLAN (functions)</v>
          </cell>
          <cell r="J15" t="str">
            <v>INVALID</v>
          </cell>
          <cell r="K15">
            <v>0</v>
          </cell>
          <cell r="L15">
            <v>0</v>
          </cell>
          <cell r="M15">
            <v>0</v>
          </cell>
          <cell r="N15">
            <v>0</v>
          </cell>
          <cell r="O15">
            <v>0</v>
          </cell>
          <cell r="P15">
            <v>0</v>
          </cell>
          <cell r="Q15">
            <v>0</v>
          </cell>
          <cell r="R15">
            <v>0</v>
          </cell>
          <cell r="S15">
            <v>0</v>
          </cell>
          <cell r="T15">
            <v>0</v>
          </cell>
          <cell r="U15">
            <v>0</v>
          </cell>
          <cell r="V15">
            <v>0</v>
          </cell>
          <cell r="W15">
            <v>231</v>
          </cell>
          <cell r="X15">
            <v>-231</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BS15">
            <v>0</v>
          </cell>
          <cell r="BT15">
            <v>0</v>
          </cell>
          <cell r="BU15">
            <v>0</v>
          </cell>
          <cell r="BV15">
            <v>0</v>
          </cell>
          <cell r="BW15">
            <v>0</v>
          </cell>
          <cell r="BX15">
            <v>0</v>
          </cell>
          <cell r="BY15">
            <v>0</v>
          </cell>
          <cell r="BZ15">
            <v>0</v>
          </cell>
          <cell r="CA15">
            <v>0</v>
          </cell>
          <cell r="CB15">
            <v>0</v>
          </cell>
        </row>
        <row r="16">
          <cell r="A16" t="str">
            <v>US59P015753141100000</v>
          </cell>
          <cell r="B16" t="str">
            <v>Pekin</v>
          </cell>
          <cell r="C16" t="str">
            <v>June-May</v>
          </cell>
          <cell r="D16" t="str">
            <v>US59P01575</v>
          </cell>
          <cell r="E16" t="str">
            <v>575</v>
          </cell>
          <cell r="F16" t="str">
            <v>Rework</v>
          </cell>
          <cell r="G16" t="str">
            <v>01</v>
          </cell>
          <cell r="H16">
            <v>3141100000</v>
          </cell>
          <cell r="I16" t="str">
            <v>SEVERANCE PAYMENTS</v>
          </cell>
          <cell r="J16" t="str">
            <v>INVALID</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7079</v>
          </cell>
          <cell r="AU16">
            <v>0</v>
          </cell>
          <cell r="AV16">
            <v>0</v>
          </cell>
          <cell r="AW16">
            <v>0</v>
          </cell>
          <cell r="AX16">
            <v>0</v>
          </cell>
          <cell r="AY16">
            <v>0</v>
          </cell>
          <cell r="BS16">
            <v>0</v>
          </cell>
          <cell r="BT16">
            <v>0</v>
          </cell>
          <cell r="BU16">
            <v>7079</v>
          </cell>
          <cell r="BV16">
            <v>0</v>
          </cell>
          <cell r="BW16">
            <v>0</v>
          </cell>
          <cell r="BX16">
            <v>0</v>
          </cell>
          <cell r="BY16">
            <v>0</v>
          </cell>
          <cell r="BZ16">
            <v>7079</v>
          </cell>
          <cell r="CA16">
            <v>0</v>
          </cell>
          <cell r="CB16">
            <v>0</v>
          </cell>
        </row>
        <row r="17">
          <cell r="A17" t="str">
            <v>US59P015753201300002</v>
          </cell>
          <cell r="B17" t="str">
            <v>Pekin</v>
          </cell>
          <cell r="C17" t="str">
            <v>June-May</v>
          </cell>
          <cell r="D17" t="str">
            <v>US59P01575</v>
          </cell>
          <cell r="E17" t="str">
            <v>575</v>
          </cell>
          <cell r="F17" t="str">
            <v>Rework</v>
          </cell>
          <cell r="G17" t="str">
            <v>01</v>
          </cell>
          <cell r="H17">
            <v>3201300002</v>
          </cell>
          <cell r="I17" t="str">
            <v>O/S SERVICES</v>
          </cell>
          <cell r="J17" t="str">
            <v>INVALID</v>
          </cell>
          <cell r="K17">
            <v>219</v>
          </cell>
          <cell r="L17">
            <v>0</v>
          </cell>
          <cell r="M17">
            <v>0</v>
          </cell>
          <cell r="N17">
            <v>0</v>
          </cell>
          <cell r="O17">
            <v>0</v>
          </cell>
          <cell r="P17">
            <v>0</v>
          </cell>
          <cell r="Q17">
            <v>0</v>
          </cell>
          <cell r="R17">
            <v>0</v>
          </cell>
          <cell r="S17">
            <v>0</v>
          </cell>
          <cell r="T17">
            <v>0</v>
          </cell>
          <cell r="U17">
            <v>0</v>
          </cell>
          <cell r="V17">
            <v>0</v>
          </cell>
          <cell r="W17">
            <v>0</v>
          </cell>
          <cell r="X17">
            <v>779</v>
          </cell>
          <cell r="Y17">
            <v>461</v>
          </cell>
          <cell r="Z17">
            <v>219</v>
          </cell>
          <cell r="AA17">
            <v>219</v>
          </cell>
          <cell r="AB17">
            <v>219</v>
          </cell>
          <cell r="AC17">
            <v>219</v>
          </cell>
          <cell r="AD17">
            <v>219</v>
          </cell>
          <cell r="AE17">
            <v>329</v>
          </cell>
          <cell r="AF17">
            <v>219</v>
          </cell>
          <cell r="AG17">
            <v>219</v>
          </cell>
          <cell r="AH17">
            <v>0</v>
          </cell>
          <cell r="AI17">
            <v>219</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BS17">
            <v>1678</v>
          </cell>
          <cell r="BT17">
            <v>1643</v>
          </cell>
          <cell r="BU17">
            <v>0</v>
          </cell>
          <cell r="BV17">
            <v>0</v>
          </cell>
          <cell r="BW17">
            <v>0</v>
          </cell>
          <cell r="BX17">
            <v>219</v>
          </cell>
          <cell r="BY17">
            <v>3102</v>
          </cell>
          <cell r="BZ17">
            <v>219</v>
          </cell>
          <cell r="CA17">
            <v>0</v>
          </cell>
          <cell r="CB17">
            <v>0</v>
          </cell>
        </row>
        <row r="18">
          <cell r="A18" t="str">
            <v>US59P015753201400002</v>
          </cell>
          <cell r="B18" t="str">
            <v>Pekin</v>
          </cell>
          <cell r="C18" t="str">
            <v>June-May</v>
          </cell>
          <cell r="D18" t="str">
            <v>US59P01575</v>
          </cell>
          <cell r="E18" t="str">
            <v>575</v>
          </cell>
          <cell r="F18" t="str">
            <v>Rework</v>
          </cell>
          <cell r="G18" t="str">
            <v>01</v>
          </cell>
          <cell r="H18">
            <v>3201400002</v>
          </cell>
          <cell r="I18" t="str">
            <v>MAINTENANCE OF VEHICLES</v>
          </cell>
          <cell r="J18" t="str">
            <v>INVALID</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54</v>
          </cell>
          <cell r="AS18">
            <v>-54</v>
          </cell>
          <cell r="AT18">
            <v>0</v>
          </cell>
          <cell r="AU18">
            <v>0</v>
          </cell>
          <cell r="AV18">
            <v>0</v>
          </cell>
          <cell r="AW18">
            <v>0</v>
          </cell>
          <cell r="AX18">
            <v>0</v>
          </cell>
          <cell r="AY18">
            <v>0</v>
          </cell>
          <cell r="BS18">
            <v>0</v>
          </cell>
          <cell r="BT18">
            <v>0</v>
          </cell>
          <cell r="BU18">
            <v>0</v>
          </cell>
          <cell r="BV18">
            <v>0</v>
          </cell>
          <cell r="BW18">
            <v>0</v>
          </cell>
          <cell r="BX18">
            <v>0</v>
          </cell>
          <cell r="BY18">
            <v>0</v>
          </cell>
          <cell r="BZ18">
            <v>0</v>
          </cell>
          <cell r="CA18">
            <v>0</v>
          </cell>
          <cell r="CB18">
            <v>0</v>
          </cell>
        </row>
        <row r="19">
          <cell r="A19" t="str">
            <v>US59P015753991200099</v>
          </cell>
          <cell r="B19" t="str">
            <v>Pekin</v>
          </cell>
          <cell r="C19" t="str">
            <v>June-May</v>
          </cell>
          <cell r="D19" t="str">
            <v>US59P01575</v>
          </cell>
          <cell r="E19" t="str">
            <v>575</v>
          </cell>
          <cell r="F19" t="str">
            <v>Rework</v>
          </cell>
          <cell r="G19" t="str">
            <v>01</v>
          </cell>
          <cell r="H19">
            <v>3991200099</v>
          </cell>
          <cell r="I19" t="str">
            <v>OTHER EXPENSES TO 3RD PARTIES - ADJUSTME</v>
          </cell>
          <cell r="J19" t="str">
            <v>INVALID</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138</v>
          </cell>
          <cell r="AS19">
            <v>-138</v>
          </cell>
          <cell r="AT19">
            <v>0</v>
          </cell>
          <cell r="AU19">
            <v>0</v>
          </cell>
          <cell r="AV19">
            <v>0</v>
          </cell>
          <cell r="AW19">
            <v>0</v>
          </cell>
          <cell r="AX19">
            <v>0</v>
          </cell>
          <cell r="AY19">
            <v>0</v>
          </cell>
          <cell r="BS19">
            <v>0</v>
          </cell>
          <cell r="BT19">
            <v>0</v>
          </cell>
          <cell r="BU19">
            <v>0</v>
          </cell>
          <cell r="BV19">
            <v>0</v>
          </cell>
          <cell r="BW19">
            <v>0</v>
          </cell>
          <cell r="BX19">
            <v>0</v>
          </cell>
          <cell r="BY19">
            <v>0</v>
          </cell>
          <cell r="BZ19">
            <v>0</v>
          </cell>
          <cell r="CA19">
            <v>0</v>
          </cell>
          <cell r="CB19">
            <v>0</v>
          </cell>
        </row>
        <row r="20">
          <cell r="A20" t="str">
            <v>US59P015753991200201</v>
          </cell>
          <cell r="B20" t="str">
            <v>Pekin</v>
          </cell>
          <cell r="C20" t="str">
            <v>June-May</v>
          </cell>
          <cell r="D20" t="str">
            <v>US59P01575</v>
          </cell>
          <cell r="E20" t="str">
            <v>575</v>
          </cell>
          <cell r="F20" t="str">
            <v>Rework</v>
          </cell>
          <cell r="G20" t="str">
            <v>01</v>
          </cell>
          <cell r="H20">
            <v>3991200201</v>
          </cell>
          <cell r="I20" t="str">
            <v>ALLOCATIONS OTHER IN/OUT LOAD AC</v>
          </cell>
          <cell r="J20" t="str">
            <v>INVALID</v>
          </cell>
          <cell r="K20">
            <v>0</v>
          </cell>
          <cell r="L20">
            <v>0</v>
          </cell>
          <cell r="M20">
            <v>0</v>
          </cell>
          <cell r="N20">
            <v>0</v>
          </cell>
          <cell r="O20">
            <v>0</v>
          </cell>
          <cell r="P20">
            <v>0</v>
          </cell>
          <cell r="Q20">
            <v>0</v>
          </cell>
          <cell r="R20">
            <v>0</v>
          </cell>
          <cell r="S20">
            <v>0</v>
          </cell>
          <cell r="T20">
            <v>0</v>
          </cell>
          <cell r="U20">
            <v>0</v>
          </cell>
          <cell r="V20">
            <v>0</v>
          </cell>
          <cell r="W20">
            <v>0</v>
          </cell>
          <cell r="X20">
            <v>-78</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BS20">
            <v>-78</v>
          </cell>
          <cell r="BT20">
            <v>0</v>
          </cell>
          <cell r="BU20">
            <v>0</v>
          </cell>
          <cell r="BV20">
            <v>0</v>
          </cell>
          <cell r="BW20">
            <v>0</v>
          </cell>
          <cell r="BX20">
            <v>0</v>
          </cell>
          <cell r="BY20">
            <v>-78</v>
          </cell>
          <cell r="BZ20">
            <v>0</v>
          </cell>
          <cell r="CA20">
            <v>0</v>
          </cell>
          <cell r="CB20">
            <v>0</v>
          </cell>
        </row>
        <row r="21">
          <cell r="A21" t="str">
            <v>US59P015759420000025</v>
          </cell>
          <cell r="B21" t="str">
            <v>Pekin</v>
          </cell>
          <cell r="C21" t="str">
            <v>June-May</v>
          </cell>
          <cell r="D21" t="str">
            <v>US59P01575</v>
          </cell>
          <cell r="E21" t="str">
            <v>575</v>
          </cell>
          <cell r="F21" t="str">
            <v>Rework</v>
          </cell>
          <cell r="G21" t="str">
            <v>01</v>
          </cell>
          <cell r="H21">
            <v>9420000025</v>
          </cell>
          <cell r="I21" t="str">
            <v>EMPLOYEE BENEFIT ALLOCATION</v>
          </cell>
          <cell r="J21" t="str">
            <v>VALID - NON BUDGET</v>
          </cell>
          <cell r="K21">
            <v>0</v>
          </cell>
          <cell r="L21">
            <v>0</v>
          </cell>
          <cell r="M21">
            <v>0</v>
          </cell>
          <cell r="N21">
            <v>0</v>
          </cell>
          <cell r="O21">
            <v>0</v>
          </cell>
          <cell r="P21">
            <v>0</v>
          </cell>
          <cell r="Q21">
            <v>0</v>
          </cell>
          <cell r="R21">
            <v>0</v>
          </cell>
          <cell r="S21">
            <v>2680</v>
          </cell>
          <cell r="T21">
            <v>-394</v>
          </cell>
          <cell r="U21">
            <v>0</v>
          </cell>
          <cell r="V21">
            <v>0</v>
          </cell>
          <cell r="W21">
            <v>1946</v>
          </cell>
          <cell r="X21">
            <v>1143</v>
          </cell>
          <cell r="Y21">
            <v>2564</v>
          </cell>
          <cell r="Z21">
            <v>2080</v>
          </cell>
          <cell r="AA21">
            <v>2453</v>
          </cell>
          <cell r="AB21">
            <v>2211</v>
          </cell>
          <cell r="AC21">
            <v>954</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BS21">
            <v>12472</v>
          </cell>
          <cell r="BT21">
            <v>3165</v>
          </cell>
          <cell r="BU21">
            <v>0</v>
          </cell>
          <cell r="BV21">
            <v>0</v>
          </cell>
          <cell r="BW21">
            <v>0</v>
          </cell>
          <cell r="BX21">
            <v>2286</v>
          </cell>
          <cell r="BY21">
            <v>13351</v>
          </cell>
          <cell r="BZ21">
            <v>0</v>
          </cell>
          <cell r="CA21">
            <v>0</v>
          </cell>
          <cell r="CB21">
            <v>0</v>
          </cell>
        </row>
      </sheetData>
      <sheetData sheetId="23" refreshError="1"/>
      <sheetData sheetId="24">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US59P015903111100000</v>
          </cell>
          <cell r="B4" t="str">
            <v>Pekin</v>
          </cell>
          <cell r="C4" t="str">
            <v>Aug-July</v>
          </cell>
          <cell r="D4" t="str">
            <v>US59P01590</v>
          </cell>
          <cell r="E4" t="str">
            <v>590</v>
          </cell>
          <cell r="F4" t="str">
            <v>Plant Seed Quality</v>
          </cell>
          <cell r="G4" t="str">
            <v>01</v>
          </cell>
          <cell r="H4">
            <v>3111100000</v>
          </cell>
          <cell r="I4" t="str">
            <v>WAGES,SALARIES,ALLOWANCES AND COMMI/PERM</v>
          </cell>
          <cell r="J4" t="str">
            <v>VALID</v>
          </cell>
          <cell r="K4">
            <v>2814</v>
          </cell>
          <cell r="L4">
            <v>2314</v>
          </cell>
          <cell r="M4">
            <v>2945</v>
          </cell>
          <cell r="N4">
            <v>3322</v>
          </cell>
          <cell r="O4">
            <v>-873</v>
          </cell>
          <cell r="P4">
            <v>0</v>
          </cell>
          <cell r="Q4">
            <v>0</v>
          </cell>
          <cell r="R4">
            <v>808</v>
          </cell>
          <cell r="S4">
            <v>6170</v>
          </cell>
          <cell r="T4">
            <v>5676</v>
          </cell>
          <cell r="U4">
            <v>5597</v>
          </cell>
          <cell r="V4">
            <v>5389</v>
          </cell>
          <cell r="W4">
            <v>5961</v>
          </cell>
          <cell r="X4">
            <v>5063</v>
          </cell>
          <cell r="Y4">
            <v>5515</v>
          </cell>
          <cell r="Z4">
            <v>5383</v>
          </cell>
          <cell r="AA4">
            <v>1835</v>
          </cell>
          <cell r="AB4">
            <v>2421</v>
          </cell>
          <cell r="AC4">
            <v>2586</v>
          </cell>
          <cell r="AD4">
            <v>2682</v>
          </cell>
          <cell r="AE4">
            <v>2426</v>
          </cell>
          <cell r="AF4">
            <v>2685</v>
          </cell>
          <cell r="AG4">
            <v>6764</v>
          </cell>
          <cell r="AH4">
            <v>5444</v>
          </cell>
          <cell r="AI4">
            <v>5554</v>
          </cell>
          <cell r="AJ4">
            <v>5557</v>
          </cell>
          <cell r="AK4">
            <v>5557</v>
          </cell>
          <cell r="AL4">
            <v>5825</v>
          </cell>
          <cell r="AM4">
            <v>5829</v>
          </cell>
          <cell r="AN4">
            <v>7684</v>
          </cell>
          <cell r="AO4">
            <v>-1268</v>
          </cell>
          <cell r="AP4">
            <v>-1305</v>
          </cell>
          <cell r="AQ4">
            <v>448</v>
          </cell>
          <cell r="AR4">
            <v>-1041</v>
          </cell>
          <cell r="AS4">
            <v>439</v>
          </cell>
          <cell r="AT4">
            <v>444</v>
          </cell>
          <cell r="AU4">
            <v>448</v>
          </cell>
          <cell r="AV4">
            <v>448</v>
          </cell>
          <cell r="AW4">
            <v>0</v>
          </cell>
          <cell r="AX4">
            <v>0</v>
          </cell>
          <cell r="AY4">
            <v>0</v>
          </cell>
          <cell r="AZ4">
            <v>0</v>
          </cell>
          <cell r="BA4">
            <v>0</v>
          </cell>
          <cell r="BS4">
            <v>52404</v>
          </cell>
          <cell r="BT4">
            <v>54739</v>
          </cell>
          <cell r="BU4">
            <v>-119</v>
          </cell>
          <cell r="BV4">
            <v>0</v>
          </cell>
          <cell r="BW4">
            <v>0</v>
          </cell>
          <cell r="BX4">
            <v>34162</v>
          </cell>
          <cell r="BY4">
            <v>48765</v>
          </cell>
          <cell r="BZ4">
            <v>33723</v>
          </cell>
          <cell r="CA4">
            <v>896</v>
          </cell>
          <cell r="CB4">
            <v>0</v>
          </cell>
        </row>
        <row r="5">
          <cell r="A5" t="str">
            <v>US59P015903111100012</v>
          </cell>
          <cell r="B5" t="str">
            <v>Pekin</v>
          </cell>
          <cell r="C5" t="str">
            <v>Aug-July</v>
          </cell>
          <cell r="D5" t="str">
            <v>US59P01590</v>
          </cell>
          <cell r="E5" t="str">
            <v>590</v>
          </cell>
          <cell r="F5" t="str">
            <v>Plant Seed Quality</v>
          </cell>
          <cell r="G5" t="str">
            <v>01</v>
          </cell>
          <cell r="H5">
            <v>3111100012</v>
          </cell>
          <cell r="I5" t="str">
            <v>OVERTIME HOURS /PERMANENTS</v>
          </cell>
          <cell r="J5" t="str">
            <v>VALID</v>
          </cell>
          <cell r="K5">
            <v>187</v>
          </cell>
          <cell r="L5">
            <v>405</v>
          </cell>
          <cell r="M5">
            <v>559</v>
          </cell>
          <cell r="N5">
            <v>-46</v>
          </cell>
          <cell r="O5">
            <v>-6</v>
          </cell>
          <cell r="P5">
            <v>0</v>
          </cell>
          <cell r="Q5">
            <v>0</v>
          </cell>
          <cell r="R5">
            <v>0</v>
          </cell>
          <cell r="S5">
            <v>264</v>
          </cell>
          <cell r="T5">
            <v>1433</v>
          </cell>
          <cell r="U5">
            <v>1190</v>
          </cell>
          <cell r="V5">
            <v>652</v>
          </cell>
          <cell r="W5">
            <v>409</v>
          </cell>
          <cell r="X5">
            <v>-41</v>
          </cell>
          <cell r="Y5">
            <v>63</v>
          </cell>
          <cell r="Z5">
            <v>69</v>
          </cell>
          <cell r="AA5">
            <v>53</v>
          </cell>
          <cell r="AB5">
            <v>0</v>
          </cell>
          <cell r="AC5">
            <v>0</v>
          </cell>
          <cell r="AD5">
            <v>0</v>
          </cell>
          <cell r="AE5">
            <v>761</v>
          </cell>
          <cell r="AF5">
            <v>1413</v>
          </cell>
          <cell r="AG5">
            <v>2036</v>
          </cell>
          <cell r="AH5">
            <v>246</v>
          </cell>
          <cell r="AI5">
            <v>28</v>
          </cell>
          <cell r="AJ5">
            <v>388</v>
          </cell>
          <cell r="AK5">
            <v>26</v>
          </cell>
          <cell r="AL5">
            <v>272</v>
          </cell>
          <cell r="AM5">
            <v>326</v>
          </cell>
          <cell r="AN5">
            <v>62</v>
          </cell>
          <cell r="AO5">
            <v>0</v>
          </cell>
          <cell r="AP5">
            <v>0</v>
          </cell>
          <cell r="AQ5">
            <v>0</v>
          </cell>
          <cell r="AR5">
            <v>0</v>
          </cell>
          <cell r="AS5">
            <v>0</v>
          </cell>
          <cell r="AT5">
            <v>0</v>
          </cell>
          <cell r="AU5">
            <v>0</v>
          </cell>
          <cell r="AV5">
            <v>0</v>
          </cell>
          <cell r="AW5">
            <v>0</v>
          </cell>
          <cell r="AX5">
            <v>0</v>
          </cell>
          <cell r="AY5">
            <v>0</v>
          </cell>
          <cell r="AZ5">
            <v>0</v>
          </cell>
          <cell r="BA5">
            <v>0</v>
          </cell>
          <cell r="BS5">
            <v>4092</v>
          </cell>
          <cell r="BT5">
            <v>5558</v>
          </cell>
          <cell r="BU5">
            <v>0</v>
          </cell>
          <cell r="BV5">
            <v>0</v>
          </cell>
          <cell r="BW5">
            <v>0</v>
          </cell>
          <cell r="BX5">
            <v>4638</v>
          </cell>
          <cell r="BY5">
            <v>5009</v>
          </cell>
          <cell r="BZ5">
            <v>1102</v>
          </cell>
          <cell r="CA5">
            <v>0</v>
          </cell>
          <cell r="CB5">
            <v>0</v>
          </cell>
        </row>
        <row r="6">
          <cell r="A6" t="str">
            <v>US59P015903111100900</v>
          </cell>
          <cell r="B6" t="str">
            <v>Pekin</v>
          </cell>
          <cell r="C6" t="str">
            <v>Aug-July</v>
          </cell>
          <cell r="D6" t="str">
            <v>US59P01590</v>
          </cell>
          <cell r="E6" t="str">
            <v>590</v>
          </cell>
          <cell r="F6" t="str">
            <v>Plant Seed Quality</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S6">
            <v>0</v>
          </cell>
          <cell r="BT6">
            <v>0</v>
          </cell>
          <cell r="BU6">
            <v>0</v>
          </cell>
          <cell r="BV6">
            <v>0</v>
          </cell>
          <cell r="BW6">
            <v>0</v>
          </cell>
          <cell r="BX6">
            <v>0</v>
          </cell>
          <cell r="BY6">
            <v>0</v>
          </cell>
          <cell r="BZ6">
            <v>0</v>
          </cell>
          <cell r="CA6">
            <v>0</v>
          </cell>
          <cell r="CB6">
            <v>0</v>
          </cell>
        </row>
        <row r="7">
          <cell r="A7" t="str">
            <v>US59P015903121300013</v>
          </cell>
          <cell r="B7" t="str">
            <v>Pekin</v>
          </cell>
          <cell r="C7" t="str">
            <v>Aug-July</v>
          </cell>
          <cell r="D7" t="str">
            <v>US59P01590</v>
          </cell>
          <cell r="E7" t="str">
            <v>590</v>
          </cell>
          <cell r="F7" t="str">
            <v>Plant Seed Quality</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2077</v>
          </cell>
          <cell r="AJ7">
            <v>2212</v>
          </cell>
          <cell r="AK7">
            <v>2077</v>
          </cell>
          <cell r="AL7">
            <v>2268</v>
          </cell>
          <cell r="AM7">
            <v>2290</v>
          </cell>
          <cell r="AN7">
            <v>2243</v>
          </cell>
          <cell r="AO7">
            <v>167</v>
          </cell>
          <cell r="AP7">
            <v>-486</v>
          </cell>
          <cell r="AQ7">
            <v>167</v>
          </cell>
          <cell r="AR7">
            <v>-387</v>
          </cell>
          <cell r="AS7">
            <v>163</v>
          </cell>
          <cell r="AT7">
            <v>165</v>
          </cell>
          <cell r="AU7">
            <v>164</v>
          </cell>
          <cell r="AV7">
            <v>164</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13334</v>
          </cell>
          <cell r="BU7">
            <v>-50</v>
          </cell>
          <cell r="BV7">
            <v>0</v>
          </cell>
          <cell r="BW7">
            <v>0</v>
          </cell>
          <cell r="BX7">
            <v>0</v>
          </cell>
          <cell r="BY7">
            <v>0</v>
          </cell>
          <cell r="BZ7">
            <v>12956</v>
          </cell>
          <cell r="CA7">
            <v>328</v>
          </cell>
          <cell r="CB7">
            <v>0</v>
          </cell>
        </row>
        <row r="8">
          <cell r="A8" t="str">
            <v>US59P015903201300001</v>
          </cell>
          <cell r="B8" t="str">
            <v>Pekin</v>
          </cell>
          <cell r="C8" t="str">
            <v>Aug-July</v>
          </cell>
          <cell r="D8" t="str">
            <v>US59P01590</v>
          </cell>
          <cell r="E8" t="str">
            <v>590</v>
          </cell>
          <cell r="F8" t="str">
            <v>Plant Seed Quality</v>
          </cell>
          <cell r="G8" t="str">
            <v>01</v>
          </cell>
          <cell r="H8">
            <v>3201300001</v>
          </cell>
          <cell r="I8" t="str">
            <v>HIRED PERSONNEL FROM 3RD PARTIES</v>
          </cell>
          <cell r="J8" t="str">
            <v>VALID</v>
          </cell>
          <cell r="K8">
            <v>0</v>
          </cell>
          <cell r="L8">
            <v>1181</v>
          </cell>
          <cell r="M8">
            <v>0</v>
          </cell>
          <cell r="N8">
            <v>0</v>
          </cell>
          <cell r="O8">
            <v>0</v>
          </cell>
          <cell r="P8">
            <v>0</v>
          </cell>
          <cell r="Q8">
            <v>0</v>
          </cell>
          <cell r="R8">
            <v>0</v>
          </cell>
          <cell r="S8">
            <v>831</v>
          </cell>
          <cell r="T8">
            <v>2343</v>
          </cell>
          <cell r="U8">
            <v>0</v>
          </cell>
          <cell r="V8">
            <v>0</v>
          </cell>
          <cell r="W8">
            <v>254</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S8">
            <v>3428</v>
          </cell>
          <cell r="BT8">
            <v>0</v>
          </cell>
          <cell r="BU8">
            <v>0</v>
          </cell>
          <cell r="BV8">
            <v>0</v>
          </cell>
          <cell r="BW8">
            <v>0</v>
          </cell>
          <cell r="BX8">
            <v>4355</v>
          </cell>
          <cell r="BY8">
            <v>254</v>
          </cell>
          <cell r="BZ8">
            <v>0</v>
          </cell>
          <cell r="CA8">
            <v>0</v>
          </cell>
          <cell r="CB8">
            <v>0</v>
          </cell>
        </row>
        <row r="9">
          <cell r="A9" t="str">
            <v>US59P015903201400055</v>
          </cell>
          <cell r="B9" t="str">
            <v>Pekin</v>
          </cell>
          <cell r="C9" t="str">
            <v>Aug-July</v>
          </cell>
          <cell r="D9" t="str">
            <v>US59P01590</v>
          </cell>
          <cell r="E9" t="str">
            <v>590</v>
          </cell>
          <cell r="F9" t="str">
            <v>Plant Seed Quality</v>
          </cell>
          <cell r="G9" t="str">
            <v>01</v>
          </cell>
          <cell r="H9">
            <v>3201400055</v>
          </cell>
          <cell r="I9" t="str">
            <v>LABORATORY TESTING</v>
          </cell>
          <cell r="J9" t="str">
            <v>VALID</v>
          </cell>
          <cell r="K9">
            <v>195</v>
          </cell>
          <cell r="L9">
            <v>175</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S9">
            <v>0</v>
          </cell>
          <cell r="BT9">
            <v>0</v>
          </cell>
          <cell r="BU9">
            <v>0</v>
          </cell>
          <cell r="BV9">
            <v>0</v>
          </cell>
          <cell r="BW9">
            <v>0</v>
          </cell>
          <cell r="BX9">
            <v>370</v>
          </cell>
          <cell r="BY9">
            <v>0</v>
          </cell>
          <cell r="BZ9">
            <v>0</v>
          </cell>
          <cell r="CA9">
            <v>0</v>
          </cell>
          <cell r="CB9">
            <v>0</v>
          </cell>
        </row>
        <row r="10">
          <cell r="A10" t="str">
            <v>US59P015903921200004</v>
          </cell>
          <cell r="B10" t="str">
            <v>Pekin</v>
          </cell>
          <cell r="C10" t="str">
            <v>Aug-July</v>
          </cell>
          <cell r="D10" t="str">
            <v>US59P01590</v>
          </cell>
          <cell r="E10" t="str">
            <v>590</v>
          </cell>
          <cell r="F10" t="str">
            <v>Plant Seed Quality</v>
          </cell>
          <cell r="G10" t="str">
            <v>01</v>
          </cell>
          <cell r="H10">
            <v>3921200004</v>
          </cell>
          <cell r="I10" t="str">
            <v>FACTORY SUPPLIES LABO SUPPLIES</v>
          </cell>
          <cell r="J10" t="str">
            <v>VALID</v>
          </cell>
          <cell r="K10">
            <v>0</v>
          </cell>
          <cell r="L10">
            <v>0</v>
          </cell>
          <cell r="M10">
            <v>0</v>
          </cell>
          <cell r="N10">
            <v>0</v>
          </cell>
          <cell r="O10">
            <v>0</v>
          </cell>
          <cell r="P10">
            <v>-2160</v>
          </cell>
          <cell r="Q10">
            <v>0</v>
          </cell>
          <cell r="R10">
            <v>0</v>
          </cell>
          <cell r="S10">
            <v>119</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S10">
            <v>119</v>
          </cell>
          <cell r="BT10">
            <v>0</v>
          </cell>
          <cell r="BU10">
            <v>0</v>
          </cell>
          <cell r="BV10">
            <v>0</v>
          </cell>
          <cell r="BW10">
            <v>0</v>
          </cell>
          <cell r="BX10">
            <v>-2041</v>
          </cell>
          <cell r="BY10">
            <v>0</v>
          </cell>
          <cell r="BZ10">
            <v>0</v>
          </cell>
          <cell r="CA10">
            <v>0</v>
          </cell>
          <cell r="CB10">
            <v>0</v>
          </cell>
        </row>
        <row r="11">
          <cell r="A11" t="str">
            <v>US59P015903921200006</v>
          </cell>
          <cell r="B11" t="str">
            <v>Pekin</v>
          </cell>
          <cell r="C11" t="str">
            <v>Aug-July</v>
          </cell>
          <cell r="D11" t="str">
            <v>US59P01590</v>
          </cell>
          <cell r="E11" t="str">
            <v>590</v>
          </cell>
          <cell r="F11" t="str">
            <v>Plant Seed Quality</v>
          </cell>
          <cell r="G11" t="str">
            <v>01</v>
          </cell>
          <cell r="H11">
            <v>3921200006</v>
          </cell>
          <cell r="I11" t="str">
            <v>FACTORY SUPPLIES MAINTENANCE SUPPLIES</v>
          </cell>
          <cell r="J11" t="str">
            <v>VALID</v>
          </cell>
          <cell r="K11">
            <v>0</v>
          </cell>
          <cell r="L11">
            <v>0</v>
          </cell>
          <cell r="M11">
            <v>0</v>
          </cell>
          <cell r="N11">
            <v>0</v>
          </cell>
          <cell r="O11">
            <v>0</v>
          </cell>
          <cell r="P11">
            <v>0</v>
          </cell>
          <cell r="Q11">
            <v>0</v>
          </cell>
          <cell r="R11">
            <v>0</v>
          </cell>
          <cell r="S11">
            <v>0</v>
          </cell>
          <cell r="T11">
            <v>209</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S11">
            <v>209</v>
          </cell>
          <cell r="BT11">
            <v>0</v>
          </cell>
          <cell r="BU11">
            <v>0</v>
          </cell>
          <cell r="BV11">
            <v>0</v>
          </cell>
          <cell r="BW11">
            <v>0</v>
          </cell>
          <cell r="BX11">
            <v>209</v>
          </cell>
          <cell r="BY11">
            <v>0</v>
          </cell>
          <cell r="BZ11">
            <v>0</v>
          </cell>
          <cell r="CA11">
            <v>0</v>
          </cell>
          <cell r="CB11">
            <v>0</v>
          </cell>
        </row>
        <row r="12">
          <cell r="A12" t="str">
            <v>US59P015903111100020</v>
          </cell>
          <cell r="B12" t="str">
            <v>Pekin</v>
          </cell>
          <cell r="C12" t="str">
            <v>Aug-July</v>
          </cell>
          <cell r="D12" t="str">
            <v>US59P01590</v>
          </cell>
          <cell r="E12" t="str">
            <v>590</v>
          </cell>
          <cell r="F12" t="str">
            <v>Plant Seed Quality</v>
          </cell>
          <cell r="G12" t="str">
            <v>01</v>
          </cell>
          <cell r="H12">
            <v>3111100020</v>
          </cell>
          <cell r="I12" t="str">
            <v>INCENTIVE PLAN (functions)</v>
          </cell>
          <cell r="J12" t="str">
            <v>INVALID</v>
          </cell>
          <cell r="K12">
            <v>0</v>
          </cell>
          <cell r="L12">
            <v>0</v>
          </cell>
          <cell r="M12">
            <v>0</v>
          </cell>
          <cell r="N12">
            <v>0</v>
          </cell>
          <cell r="O12">
            <v>0</v>
          </cell>
          <cell r="P12">
            <v>0</v>
          </cell>
          <cell r="Q12">
            <v>0</v>
          </cell>
          <cell r="R12">
            <v>0</v>
          </cell>
          <cell r="S12">
            <v>0</v>
          </cell>
          <cell r="T12">
            <v>0</v>
          </cell>
          <cell r="U12">
            <v>0</v>
          </cell>
          <cell r="V12">
            <v>0</v>
          </cell>
          <cell r="W12">
            <v>272</v>
          </cell>
          <cell r="X12">
            <v>-272</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S12">
            <v>0</v>
          </cell>
          <cell r="BT12">
            <v>0</v>
          </cell>
          <cell r="BU12">
            <v>0</v>
          </cell>
          <cell r="BV12">
            <v>0</v>
          </cell>
          <cell r="BW12">
            <v>0</v>
          </cell>
          <cell r="BX12">
            <v>0</v>
          </cell>
          <cell r="BY12">
            <v>0</v>
          </cell>
          <cell r="BZ12">
            <v>0</v>
          </cell>
          <cell r="CA12">
            <v>0</v>
          </cell>
          <cell r="CB12">
            <v>0</v>
          </cell>
        </row>
        <row r="13">
          <cell r="A13" t="str">
            <v>US59P015903201300002</v>
          </cell>
          <cell r="B13" t="str">
            <v>Pekin</v>
          </cell>
          <cell r="C13" t="str">
            <v>Aug-July</v>
          </cell>
          <cell r="D13" t="str">
            <v>US59P01590</v>
          </cell>
          <cell r="E13" t="str">
            <v>590</v>
          </cell>
          <cell r="F13" t="str">
            <v>Plant Seed Quality</v>
          </cell>
          <cell r="G13" t="str">
            <v>01</v>
          </cell>
          <cell r="H13">
            <v>3201300002</v>
          </cell>
          <cell r="I13" t="str">
            <v>O/S SERVICES</v>
          </cell>
          <cell r="J13" t="str">
            <v>INVALID</v>
          </cell>
          <cell r="K13">
            <v>0</v>
          </cell>
          <cell r="L13">
            <v>0</v>
          </cell>
          <cell r="M13">
            <v>0</v>
          </cell>
          <cell r="N13">
            <v>0</v>
          </cell>
          <cell r="O13">
            <v>0</v>
          </cell>
          <cell r="P13">
            <v>0</v>
          </cell>
          <cell r="Q13">
            <v>0</v>
          </cell>
          <cell r="R13">
            <v>0</v>
          </cell>
          <cell r="S13">
            <v>0</v>
          </cell>
          <cell r="T13">
            <v>62</v>
          </cell>
          <cell r="U13">
            <v>381</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S13">
            <v>443</v>
          </cell>
          <cell r="BT13">
            <v>0</v>
          </cell>
          <cell r="BU13">
            <v>0</v>
          </cell>
          <cell r="BV13">
            <v>0</v>
          </cell>
          <cell r="BW13">
            <v>0</v>
          </cell>
          <cell r="BX13">
            <v>443</v>
          </cell>
          <cell r="BY13">
            <v>0</v>
          </cell>
          <cell r="BZ13">
            <v>0</v>
          </cell>
          <cell r="CA13">
            <v>0</v>
          </cell>
          <cell r="CB13">
            <v>0</v>
          </cell>
        </row>
        <row r="14">
          <cell r="A14" t="str">
            <v>US59P015903911100010</v>
          </cell>
          <cell r="B14" t="str">
            <v>Pekin</v>
          </cell>
          <cell r="C14" t="str">
            <v>Aug-July</v>
          </cell>
          <cell r="D14" t="str">
            <v>US59P01590</v>
          </cell>
          <cell r="E14" t="str">
            <v>590</v>
          </cell>
          <cell r="F14" t="str">
            <v>Plant Seed Quality</v>
          </cell>
          <cell r="G14" t="str">
            <v>01</v>
          </cell>
          <cell r="H14">
            <v>3911100010</v>
          </cell>
          <cell r="I14" t="str">
            <v>TRAVEL EXPENSES PERMANENTS / MEALS</v>
          </cell>
          <cell r="J14" t="str">
            <v>INVALID</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31</v>
          </cell>
          <cell r="AQ14">
            <v>0</v>
          </cell>
          <cell r="AR14">
            <v>0</v>
          </cell>
          <cell r="AS14">
            <v>0</v>
          </cell>
          <cell r="AT14">
            <v>0</v>
          </cell>
          <cell r="AU14">
            <v>0</v>
          </cell>
          <cell r="AV14">
            <v>0</v>
          </cell>
          <cell r="AW14">
            <v>0</v>
          </cell>
          <cell r="AX14">
            <v>0</v>
          </cell>
          <cell r="AY14">
            <v>0</v>
          </cell>
          <cell r="AZ14">
            <v>0</v>
          </cell>
          <cell r="BA14">
            <v>0</v>
          </cell>
          <cell r="BS14">
            <v>0</v>
          </cell>
          <cell r="BT14">
            <v>0</v>
          </cell>
          <cell r="BU14">
            <v>31</v>
          </cell>
          <cell r="BV14">
            <v>0</v>
          </cell>
          <cell r="BW14">
            <v>0</v>
          </cell>
          <cell r="BX14">
            <v>0</v>
          </cell>
          <cell r="BY14">
            <v>0</v>
          </cell>
          <cell r="BZ14">
            <v>31</v>
          </cell>
          <cell r="CA14">
            <v>0</v>
          </cell>
          <cell r="CB14">
            <v>0</v>
          </cell>
        </row>
        <row r="15">
          <cell r="A15" t="str">
            <v>US59P015903951200008</v>
          </cell>
          <cell r="B15" t="str">
            <v>Pekin</v>
          </cell>
          <cell r="C15" t="str">
            <v>Aug-July</v>
          </cell>
          <cell r="D15" t="str">
            <v>US59P01590</v>
          </cell>
          <cell r="E15" t="str">
            <v>590</v>
          </cell>
          <cell r="F15" t="str">
            <v>Plant Seed Quality</v>
          </cell>
          <cell r="G15" t="str">
            <v>01</v>
          </cell>
          <cell r="H15">
            <v>3951200008</v>
          </cell>
          <cell r="I15" t="str">
            <v>OPERATING LEASES - PERSONAL COMPUTER</v>
          </cell>
          <cell r="J15" t="str">
            <v>INVALID</v>
          </cell>
          <cell r="K15">
            <v>0</v>
          </cell>
          <cell r="L15">
            <v>0</v>
          </cell>
          <cell r="M15">
            <v>143</v>
          </cell>
          <cell r="N15">
            <v>0</v>
          </cell>
          <cell r="O15">
            <v>0</v>
          </cell>
          <cell r="P15">
            <v>143</v>
          </cell>
          <cell r="Q15">
            <v>0</v>
          </cell>
          <cell r="R15">
            <v>0</v>
          </cell>
          <cell r="S15">
            <v>143</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S15">
            <v>143</v>
          </cell>
          <cell r="BT15">
            <v>0</v>
          </cell>
          <cell r="BU15">
            <v>0</v>
          </cell>
          <cell r="BV15">
            <v>0</v>
          </cell>
          <cell r="BW15">
            <v>0</v>
          </cell>
          <cell r="BX15">
            <v>429</v>
          </cell>
          <cell r="BY15">
            <v>0</v>
          </cell>
          <cell r="BZ15">
            <v>0</v>
          </cell>
          <cell r="CA15">
            <v>0</v>
          </cell>
          <cell r="CB15">
            <v>0</v>
          </cell>
        </row>
        <row r="16">
          <cell r="A16" t="str">
            <v>US59P015903991200201</v>
          </cell>
          <cell r="B16" t="str">
            <v>Pekin</v>
          </cell>
          <cell r="C16" t="str">
            <v>Aug-July</v>
          </cell>
          <cell r="D16" t="str">
            <v>US59P01590</v>
          </cell>
          <cell r="E16" t="str">
            <v>590</v>
          </cell>
          <cell r="F16" t="str">
            <v>Plant Seed Quality</v>
          </cell>
          <cell r="G16" t="str">
            <v>01</v>
          </cell>
          <cell r="H16">
            <v>3991200201</v>
          </cell>
          <cell r="I16" t="str">
            <v>ALLOCATIONS OTHER IN/OUT LOAD AC</v>
          </cell>
          <cell r="J16" t="str">
            <v>INVALID</v>
          </cell>
          <cell r="K16">
            <v>0</v>
          </cell>
          <cell r="L16">
            <v>0</v>
          </cell>
          <cell r="M16">
            <v>0</v>
          </cell>
          <cell r="N16">
            <v>0</v>
          </cell>
          <cell r="O16">
            <v>0</v>
          </cell>
          <cell r="P16">
            <v>0</v>
          </cell>
          <cell r="Q16">
            <v>0</v>
          </cell>
          <cell r="R16">
            <v>0</v>
          </cell>
          <cell r="S16">
            <v>0</v>
          </cell>
          <cell r="T16">
            <v>0</v>
          </cell>
          <cell r="U16">
            <v>0</v>
          </cell>
          <cell r="V16">
            <v>0</v>
          </cell>
          <cell r="W16">
            <v>0</v>
          </cell>
          <cell r="X16">
            <v>-101</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S16">
            <v>-101</v>
          </cell>
          <cell r="BT16">
            <v>0</v>
          </cell>
          <cell r="BU16">
            <v>0</v>
          </cell>
          <cell r="BV16">
            <v>0</v>
          </cell>
          <cell r="BW16">
            <v>0</v>
          </cell>
          <cell r="BX16">
            <v>0</v>
          </cell>
          <cell r="BY16">
            <v>-101</v>
          </cell>
          <cell r="BZ16">
            <v>0</v>
          </cell>
          <cell r="CA16">
            <v>0</v>
          </cell>
          <cell r="CB16">
            <v>0</v>
          </cell>
        </row>
        <row r="17">
          <cell r="A17" t="str">
            <v>US59P015909420000025</v>
          </cell>
          <cell r="B17" t="str">
            <v>Pekin</v>
          </cell>
          <cell r="C17" t="str">
            <v>Aug-July</v>
          </cell>
          <cell r="D17" t="str">
            <v>US59P01590</v>
          </cell>
          <cell r="E17" t="str">
            <v>590</v>
          </cell>
          <cell r="F17" t="str">
            <v>Plant Seed Quality</v>
          </cell>
          <cell r="G17" t="str">
            <v>01</v>
          </cell>
          <cell r="H17">
            <v>9420000025</v>
          </cell>
          <cell r="I17" t="str">
            <v>EMPLOYEE BENEFIT ALLOCATION</v>
          </cell>
          <cell r="J17" t="str">
            <v>VALID - NON BUDGET</v>
          </cell>
          <cell r="K17">
            <v>1030</v>
          </cell>
          <cell r="L17">
            <v>894</v>
          </cell>
          <cell r="M17">
            <v>1100</v>
          </cell>
          <cell r="N17">
            <v>1009</v>
          </cell>
          <cell r="O17">
            <v>-309</v>
          </cell>
          <cell r="P17">
            <v>0</v>
          </cell>
          <cell r="Q17">
            <v>0</v>
          </cell>
          <cell r="R17">
            <v>249</v>
          </cell>
          <cell r="S17">
            <v>2658</v>
          </cell>
          <cell r="T17">
            <v>2259</v>
          </cell>
          <cell r="U17">
            <v>2623</v>
          </cell>
          <cell r="V17">
            <v>2319</v>
          </cell>
          <cell r="W17">
            <v>2653</v>
          </cell>
          <cell r="X17">
            <v>1944</v>
          </cell>
          <cell r="Y17">
            <v>2144</v>
          </cell>
          <cell r="Z17">
            <v>1893</v>
          </cell>
          <cell r="AA17">
            <v>772</v>
          </cell>
          <cell r="AB17">
            <v>987</v>
          </cell>
          <cell r="AC17">
            <v>988</v>
          </cell>
          <cell r="AD17">
            <v>905</v>
          </cell>
          <cell r="AE17">
            <v>1070</v>
          </cell>
          <cell r="AF17">
            <v>1446</v>
          </cell>
          <cell r="AG17">
            <v>2439</v>
          </cell>
          <cell r="AH17">
            <v>1644</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S17">
            <v>21489</v>
          </cell>
          <cell r="BT17">
            <v>7504</v>
          </cell>
          <cell r="BU17">
            <v>0</v>
          </cell>
          <cell r="BV17">
            <v>0</v>
          </cell>
          <cell r="BW17">
            <v>0</v>
          </cell>
          <cell r="BX17">
            <v>13832</v>
          </cell>
          <cell r="BY17">
            <v>18885</v>
          </cell>
          <cell r="BZ17">
            <v>0</v>
          </cell>
          <cell r="CA17">
            <v>0</v>
          </cell>
          <cell r="CB17">
            <v>0</v>
          </cell>
        </row>
      </sheetData>
      <sheetData sheetId="25" refreshError="1"/>
      <sheetData sheetId="26">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US59P015923111100000</v>
          </cell>
          <cell r="B4" t="str">
            <v>Pekin</v>
          </cell>
          <cell r="C4" t="str">
            <v>Aug-July</v>
          </cell>
          <cell r="D4" t="str">
            <v>US59P01592</v>
          </cell>
          <cell r="E4" t="str">
            <v>592</v>
          </cell>
          <cell r="F4" t="str">
            <v xml:space="preserve">PCL </v>
          </cell>
          <cell r="G4" t="str">
            <v>01</v>
          </cell>
          <cell r="H4">
            <v>3111100000</v>
          </cell>
          <cell r="I4" t="str">
            <v>WAGES,SALARIES,ALLOWANCES AND COMMI/PERM</v>
          </cell>
          <cell r="J4" t="str">
            <v>VALID</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S4">
            <v>0</v>
          </cell>
          <cell r="BT4">
            <v>0</v>
          </cell>
          <cell r="BU4">
            <v>0</v>
          </cell>
          <cell r="BV4">
            <v>0</v>
          </cell>
          <cell r="BW4">
            <v>0</v>
          </cell>
          <cell r="BX4">
            <v>0</v>
          </cell>
          <cell r="BY4">
            <v>0</v>
          </cell>
          <cell r="BZ4">
            <v>0</v>
          </cell>
          <cell r="CA4">
            <v>0</v>
          </cell>
          <cell r="CB4">
            <v>0</v>
          </cell>
        </row>
        <row r="5">
          <cell r="A5" t="str">
            <v>US59P015923111100012</v>
          </cell>
          <cell r="B5" t="str">
            <v>Pekin</v>
          </cell>
          <cell r="C5" t="str">
            <v>Aug-July</v>
          </cell>
          <cell r="D5" t="str">
            <v>US59P01592</v>
          </cell>
          <cell r="E5" t="str">
            <v>592</v>
          </cell>
          <cell r="F5" t="str">
            <v xml:space="preserve">PCL </v>
          </cell>
          <cell r="G5" t="str">
            <v>01</v>
          </cell>
          <cell r="H5">
            <v>3111100012</v>
          </cell>
          <cell r="I5" t="str">
            <v>OVERTIME HOURS /PERMANENTS</v>
          </cell>
          <cell r="J5" t="str">
            <v>VALID</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S5">
            <v>0</v>
          </cell>
          <cell r="BT5">
            <v>0</v>
          </cell>
          <cell r="BU5">
            <v>0</v>
          </cell>
          <cell r="BV5">
            <v>0</v>
          </cell>
          <cell r="BW5">
            <v>0</v>
          </cell>
          <cell r="BX5">
            <v>0</v>
          </cell>
          <cell r="BY5">
            <v>0</v>
          </cell>
          <cell r="BZ5">
            <v>0</v>
          </cell>
          <cell r="CA5">
            <v>0</v>
          </cell>
          <cell r="CB5">
            <v>0</v>
          </cell>
        </row>
        <row r="6">
          <cell r="A6" t="str">
            <v>US59P015923111100900</v>
          </cell>
          <cell r="B6" t="str">
            <v>Pekin</v>
          </cell>
          <cell r="C6" t="str">
            <v>Aug-July</v>
          </cell>
          <cell r="D6" t="str">
            <v>US59P01592</v>
          </cell>
          <cell r="E6" t="str">
            <v>592</v>
          </cell>
          <cell r="F6" t="str">
            <v xml:space="preserve">PCL </v>
          </cell>
          <cell r="G6" t="str">
            <v>01</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S6">
            <v>0</v>
          </cell>
          <cell r="BT6">
            <v>0</v>
          </cell>
          <cell r="BU6">
            <v>0</v>
          </cell>
          <cell r="BV6">
            <v>0</v>
          </cell>
          <cell r="BW6">
            <v>0</v>
          </cell>
          <cell r="BX6">
            <v>0</v>
          </cell>
          <cell r="BY6">
            <v>0</v>
          </cell>
          <cell r="BZ6">
            <v>0</v>
          </cell>
          <cell r="CA6">
            <v>0</v>
          </cell>
          <cell r="CB6">
            <v>0</v>
          </cell>
        </row>
        <row r="7">
          <cell r="A7" t="str">
            <v>US59P015923121300013</v>
          </cell>
          <cell r="B7" t="str">
            <v>Pekin</v>
          </cell>
          <cell r="C7" t="str">
            <v>Aug-July</v>
          </cell>
          <cell r="D7" t="str">
            <v>US59P01592</v>
          </cell>
          <cell r="E7" t="str">
            <v>592</v>
          </cell>
          <cell r="F7" t="str">
            <v xml:space="preserve">PCL </v>
          </cell>
          <cell r="G7" t="str">
            <v>01</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row>
        <row r="8">
          <cell r="A8" t="str">
            <v>US59P015923201300001</v>
          </cell>
          <cell r="B8" t="str">
            <v>Pekin</v>
          </cell>
          <cell r="C8" t="str">
            <v>Aug-July</v>
          </cell>
          <cell r="D8" t="str">
            <v>US59P01592</v>
          </cell>
          <cell r="E8" t="str">
            <v>592</v>
          </cell>
          <cell r="F8" t="str">
            <v xml:space="preserve">PCL </v>
          </cell>
          <cell r="G8" t="str">
            <v>01</v>
          </cell>
          <cell r="H8">
            <v>3201300001</v>
          </cell>
          <cell r="I8" t="str">
            <v>HIRED PERSONNEL FROM 3RD PARTIES</v>
          </cell>
          <cell r="J8" t="str">
            <v>VALID</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S8">
            <v>0</v>
          </cell>
          <cell r="BT8">
            <v>0</v>
          </cell>
          <cell r="BU8">
            <v>0</v>
          </cell>
          <cell r="BV8">
            <v>0</v>
          </cell>
          <cell r="BW8">
            <v>0</v>
          </cell>
          <cell r="BX8">
            <v>0</v>
          </cell>
          <cell r="BY8">
            <v>0</v>
          </cell>
          <cell r="BZ8">
            <v>0</v>
          </cell>
          <cell r="CA8">
            <v>0</v>
          </cell>
          <cell r="CB8">
            <v>0</v>
          </cell>
        </row>
        <row r="9">
          <cell r="A9" t="str">
            <v>US59P015923201400051</v>
          </cell>
          <cell r="B9" t="str">
            <v>Pekin</v>
          </cell>
          <cell r="C9" t="str">
            <v>Aug-July</v>
          </cell>
          <cell r="D9" t="str">
            <v>US59P01592</v>
          </cell>
          <cell r="E9" t="str">
            <v>592</v>
          </cell>
          <cell r="F9" t="str">
            <v xml:space="preserve">PCL </v>
          </cell>
          <cell r="G9" t="str">
            <v>01</v>
          </cell>
          <cell r="H9">
            <v>3201400051</v>
          </cell>
          <cell r="I9" t="str">
            <v>MAINTENANCE EQUIPMENT</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S9">
            <v>0</v>
          </cell>
          <cell r="BT9">
            <v>0</v>
          </cell>
          <cell r="BU9">
            <v>0</v>
          </cell>
          <cell r="BV9">
            <v>0</v>
          </cell>
          <cell r="BW9">
            <v>0</v>
          </cell>
          <cell r="BX9">
            <v>0</v>
          </cell>
          <cell r="BY9">
            <v>0</v>
          </cell>
          <cell r="BZ9">
            <v>0</v>
          </cell>
          <cell r="CA9">
            <v>0</v>
          </cell>
          <cell r="CB9">
            <v>0</v>
          </cell>
        </row>
        <row r="10">
          <cell r="A10" t="str">
            <v>US59P015923311400099</v>
          </cell>
          <cell r="B10" t="str">
            <v>Pekin</v>
          </cell>
          <cell r="C10" t="str">
            <v>Aug-July</v>
          </cell>
          <cell r="D10" t="str">
            <v>US59P01592</v>
          </cell>
          <cell r="E10" t="str">
            <v>592</v>
          </cell>
          <cell r="F10" t="str">
            <v xml:space="preserve">PCL </v>
          </cell>
          <cell r="G10" t="str">
            <v>01</v>
          </cell>
          <cell r="H10">
            <v>3311400099</v>
          </cell>
          <cell r="I10" t="str">
            <v>CO DEPRECIATION</v>
          </cell>
          <cell r="J10" t="str">
            <v>VALID</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S10">
            <v>0</v>
          </cell>
          <cell r="BT10">
            <v>0</v>
          </cell>
          <cell r="BU10">
            <v>0</v>
          </cell>
          <cell r="BV10">
            <v>0</v>
          </cell>
          <cell r="BW10">
            <v>0</v>
          </cell>
          <cell r="BX10">
            <v>0</v>
          </cell>
          <cell r="BY10">
            <v>0</v>
          </cell>
          <cell r="BZ10">
            <v>0</v>
          </cell>
          <cell r="CA10">
            <v>0</v>
          </cell>
          <cell r="CB10">
            <v>0</v>
          </cell>
        </row>
        <row r="11">
          <cell r="A11" t="str">
            <v>US59P015923991200012</v>
          </cell>
          <cell r="B11" t="str">
            <v>Pekin</v>
          </cell>
          <cell r="C11" t="str">
            <v>Aug-July</v>
          </cell>
          <cell r="D11" t="str">
            <v>US59P01592</v>
          </cell>
          <cell r="E11" t="str">
            <v>592</v>
          </cell>
          <cell r="F11" t="str">
            <v xml:space="preserve">PCL </v>
          </cell>
          <cell r="G11" t="str">
            <v>01</v>
          </cell>
          <cell r="H11">
            <v>3991200012</v>
          </cell>
          <cell r="I11" t="str">
            <v>DELIVERY SERVICES</v>
          </cell>
          <cell r="J11" t="str">
            <v>VALID</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S11">
            <v>0</v>
          </cell>
          <cell r="BT11">
            <v>0</v>
          </cell>
          <cell r="BU11">
            <v>0</v>
          </cell>
          <cell r="BV11">
            <v>0</v>
          </cell>
          <cell r="BW11">
            <v>0</v>
          </cell>
          <cell r="BX11">
            <v>0</v>
          </cell>
          <cell r="BY11">
            <v>0</v>
          </cell>
          <cell r="BZ11">
            <v>0</v>
          </cell>
          <cell r="CA11">
            <v>0</v>
          </cell>
          <cell r="CB11">
            <v>0</v>
          </cell>
        </row>
        <row r="12">
          <cell r="A12" t="str">
            <v>US59P015923921200037</v>
          </cell>
          <cell r="B12" t="str">
            <v>Pekin</v>
          </cell>
          <cell r="C12" t="str">
            <v>Aug-July</v>
          </cell>
          <cell r="D12" t="str">
            <v>US59P01592</v>
          </cell>
          <cell r="E12" t="str">
            <v>592</v>
          </cell>
          <cell r="F12" t="str">
            <v xml:space="preserve">PCL </v>
          </cell>
          <cell r="G12" t="str">
            <v>01</v>
          </cell>
          <cell r="H12">
            <v>3921200037</v>
          </cell>
          <cell r="I12" t="str">
            <v>EXHAUSTIVE EQUIPMENT</v>
          </cell>
          <cell r="J12" t="str">
            <v>VALID</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S12">
            <v>0</v>
          </cell>
          <cell r="BT12">
            <v>0</v>
          </cell>
          <cell r="BU12">
            <v>0</v>
          </cell>
          <cell r="BV12">
            <v>0</v>
          </cell>
          <cell r="BW12">
            <v>0</v>
          </cell>
          <cell r="BX12">
            <v>0</v>
          </cell>
          <cell r="BY12">
            <v>0</v>
          </cell>
          <cell r="BZ12">
            <v>0</v>
          </cell>
          <cell r="CA12">
            <v>0</v>
          </cell>
          <cell r="CB12">
            <v>0</v>
          </cell>
        </row>
      </sheetData>
      <sheetData sheetId="27" refreshError="1"/>
      <sheetData sheetId="28">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US59MZA1503111100000</v>
          </cell>
          <cell r="B4" t="str">
            <v>Pekin</v>
          </cell>
          <cell r="C4" t="str">
            <v>June-May</v>
          </cell>
          <cell r="D4" t="str">
            <v>US59MZA150</v>
          </cell>
          <cell r="E4" t="str">
            <v>150</v>
          </cell>
          <cell r="F4" t="str">
            <v>Distribution</v>
          </cell>
          <cell r="G4" t="str">
            <v>ZA</v>
          </cell>
          <cell r="H4">
            <v>3111100000</v>
          </cell>
          <cell r="I4" t="str">
            <v>WAGES,SALARIES,ALLOWANCES AND COMMI/PERM</v>
          </cell>
          <cell r="J4" t="str">
            <v>VALID</v>
          </cell>
          <cell r="K4">
            <v>25786</v>
          </cell>
          <cell r="L4">
            <v>11152</v>
          </cell>
          <cell r="M4">
            <v>14560</v>
          </cell>
          <cell r="N4">
            <v>13125</v>
          </cell>
          <cell r="O4">
            <v>14987</v>
          </cell>
          <cell r="P4">
            <v>14905</v>
          </cell>
          <cell r="Q4">
            <v>13798</v>
          </cell>
          <cell r="R4">
            <v>15351</v>
          </cell>
          <cell r="S4">
            <v>10567</v>
          </cell>
          <cell r="T4">
            <v>6118</v>
          </cell>
          <cell r="U4">
            <v>7285</v>
          </cell>
          <cell r="V4">
            <v>6864</v>
          </cell>
          <cell r="W4">
            <v>16219</v>
          </cell>
          <cell r="X4">
            <v>16237</v>
          </cell>
          <cell r="Y4">
            <v>17914</v>
          </cell>
          <cell r="Z4">
            <v>18843</v>
          </cell>
          <cell r="AA4">
            <v>19928</v>
          </cell>
          <cell r="AB4">
            <v>17458</v>
          </cell>
          <cell r="AC4">
            <v>12362</v>
          </cell>
          <cell r="AD4">
            <v>7498</v>
          </cell>
          <cell r="AE4">
            <v>6518</v>
          </cell>
          <cell r="AF4">
            <v>7785</v>
          </cell>
          <cell r="AG4">
            <v>12822</v>
          </cell>
          <cell r="AH4">
            <v>9998</v>
          </cell>
          <cell r="AI4">
            <v>10259</v>
          </cell>
          <cell r="AJ4">
            <v>11396</v>
          </cell>
          <cell r="AK4">
            <v>11572</v>
          </cell>
          <cell r="AL4">
            <v>13872</v>
          </cell>
          <cell r="AM4">
            <v>14522</v>
          </cell>
          <cell r="AN4">
            <v>17449</v>
          </cell>
          <cell r="AO4">
            <v>11709</v>
          </cell>
          <cell r="AP4">
            <v>19472</v>
          </cell>
          <cell r="AQ4">
            <v>14525</v>
          </cell>
          <cell r="AR4">
            <v>11193</v>
          </cell>
          <cell r="AS4">
            <v>16174</v>
          </cell>
          <cell r="AT4">
            <v>17829</v>
          </cell>
          <cell r="AU4">
            <v>18491</v>
          </cell>
          <cell r="AV4">
            <v>20853</v>
          </cell>
          <cell r="AW4">
            <v>34662</v>
          </cell>
          <cell r="AX4">
            <v>25708</v>
          </cell>
          <cell r="AY4">
            <v>19336</v>
          </cell>
          <cell r="AZ4">
            <v>20000</v>
          </cell>
          <cell r="BA4">
            <v>20000</v>
          </cell>
          <cell r="BB4">
            <v>20000</v>
          </cell>
          <cell r="BC4">
            <v>20000</v>
          </cell>
          <cell r="BD4">
            <v>20000</v>
          </cell>
          <cell r="BE4">
            <v>20000</v>
          </cell>
          <cell r="BF4">
            <v>20000</v>
          </cell>
          <cell r="BG4">
            <v>20000</v>
          </cell>
          <cell r="BH4">
            <v>20000</v>
          </cell>
          <cell r="BI4">
            <v>25000</v>
          </cell>
          <cell r="BJ4">
            <v>25000</v>
          </cell>
          <cell r="BK4">
            <v>20000</v>
          </cell>
          <cell r="BL4">
            <v>20000</v>
          </cell>
          <cell r="BM4">
            <v>20000</v>
          </cell>
          <cell r="BN4">
            <v>20000</v>
          </cell>
          <cell r="BO4">
            <v>20000</v>
          </cell>
          <cell r="BP4">
            <v>20000</v>
          </cell>
          <cell r="BQ4">
            <v>20000</v>
          </cell>
          <cell r="BR4">
            <v>20000</v>
          </cell>
          <cell r="BS4">
            <v>164029</v>
          </cell>
          <cell r="BT4">
            <v>136062</v>
          </cell>
          <cell r="BU4">
            <v>227401</v>
          </cell>
          <cell r="BV4">
            <v>250000</v>
          </cell>
          <cell r="BW4">
            <v>250000</v>
          </cell>
          <cell r="BX4">
            <v>154498</v>
          </cell>
          <cell r="BY4">
            <v>163582</v>
          </cell>
          <cell r="BZ4">
            <v>169972</v>
          </cell>
          <cell r="CA4">
            <v>99714</v>
          </cell>
          <cell r="CB4">
            <v>159336</v>
          </cell>
        </row>
        <row r="5">
          <cell r="A5" t="str">
            <v>US59MZA1503111100012</v>
          </cell>
          <cell r="B5" t="str">
            <v>Pekin</v>
          </cell>
          <cell r="C5" t="str">
            <v>June-May</v>
          </cell>
          <cell r="D5" t="str">
            <v>US59MZA150</v>
          </cell>
          <cell r="E5" t="str">
            <v>150</v>
          </cell>
          <cell r="F5" t="str">
            <v>Distribution</v>
          </cell>
          <cell r="G5" t="str">
            <v>ZA</v>
          </cell>
          <cell r="H5">
            <v>3111100012</v>
          </cell>
          <cell r="I5" t="str">
            <v>OVERTIME HOURS /PERMANENTS</v>
          </cell>
          <cell r="J5" t="str">
            <v>VALID</v>
          </cell>
          <cell r="K5">
            <v>4571</v>
          </cell>
          <cell r="L5">
            <v>9418</v>
          </cell>
          <cell r="M5">
            <v>14490</v>
          </cell>
          <cell r="N5">
            <v>17271</v>
          </cell>
          <cell r="O5">
            <v>11956</v>
          </cell>
          <cell r="P5">
            <v>-1155</v>
          </cell>
          <cell r="Q5">
            <v>1510</v>
          </cell>
          <cell r="R5">
            <v>3406</v>
          </cell>
          <cell r="S5">
            <v>3196</v>
          </cell>
          <cell r="T5">
            <v>1688</v>
          </cell>
          <cell r="U5">
            <v>853</v>
          </cell>
          <cell r="V5">
            <v>855</v>
          </cell>
          <cell r="W5">
            <v>2309</v>
          </cell>
          <cell r="X5">
            <v>4699</v>
          </cell>
          <cell r="Y5">
            <v>6627</v>
          </cell>
          <cell r="Z5">
            <v>6559</v>
          </cell>
          <cell r="AA5">
            <v>3485</v>
          </cell>
          <cell r="AB5">
            <v>295</v>
          </cell>
          <cell r="AC5">
            <v>1034</v>
          </cell>
          <cell r="AD5">
            <v>1591</v>
          </cell>
          <cell r="AE5">
            <v>393</v>
          </cell>
          <cell r="AF5">
            <v>2957</v>
          </cell>
          <cell r="AG5">
            <v>2974</v>
          </cell>
          <cell r="AH5">
            <v>1363</v>
          </cell>
          <cell r="AI5">
            <v>2080</v>
          </cell>
          <cell r="AJ5">
            <v>3905</v>
          </cell>
          <cell r="AK5">
            <v>2991</v>
          </cell>
          <cell r="AL5">
            <v>3065</v>
          </cell>
          <cell r="AM5">
            <v>4001</v>
          </cell>
          <cell r="AN5">
            <v>1529</v>
          </cell>
          <cell r="AO5">
            <v>2021</v>
          </cell>
          <cell r="AP5">
            <v>3072</v>
          </cell>
          <cell r="AQ5">
            <v>108</v>
          </cell>
          <cell r="AR5">
            <v>1831</v>
          </cell>
          <cell r="AS5">
            <v>1098</v>
          </cell>
          <cell r="AT5">
            <v>1695</v>
          </cell>
          <cell r="AU5">
            <v>3555</v>
          </cell>
          <cell r="AV5">
            <v>6734</v>
          </cell>
          <cell r="AW5">
            <v>8148</v>
          </cell>
          <cell r="AX5">
            <v>8011</v>
          </cell>
          <cell r="AY5">
            <v>4350</v>
          </cell>
          <cell r="AZ5">
            <v>2500</v>
          </cell>
          <cell r="BA5">
            <v>2000</v>
          </cell>
          <cell r="BB5">
            <v>500</v>
          </cell>
          <cell r="BC5">
            <v>500</v>
          </cell>
          <cell r="BD5">
            <v>1000</v>
          </cell>
          <cell r="BE5">
            <v>1000</v>
          </cell>
          <cell r="BF5">
            <v>2000</v>
          </cell>
          <cell r="BG5">
            <v>3000</v>
          </cell>
          <cell r="BH5">
            <v>5000</v>
          </cell>
          <cell r="BI5">
            <v>5000</v>
          </cell>
          <cell r="BJ5">
            <v>5000</v>
          </cell>
          <cell r="BK5">
            <v>3500</v>
          </cell>
          <cell r="BL5">
            <v>2500</v>
          </cell>
          <cell r="BM5">
            <v>2000</v>
          </cell>
          <cell r="BN5">
            <v>500</v>
          </cell>
          <cell r="BO5">
            <v>500</v>
          </cell>
          <cell r="BP5">
            <v>1000</v>
          </cell>
          <cell r="BQ5">
            <v>1000</v>
          </cell>
          <cell r="BR5">
            <v>2000</v>
          </cell>
          <cell r="BS5">
            <v>34032</v>
          </cell>
          <cell r="BT5">
            <v>26649</v>
          </cell>
          <cell r="BU5">
            <v>42152</v>
          </cell>
          <cell r="BV5">
            <v>31000</v>
          </cell>
          <cell r="BW5">
            <v>31000</v>
          </cell>
          <cell r="BX5">
            <v>68059</v>
          </cell>
          <cell r="BY5">
            <v>34286</v>
          </cell>
          <cell r="BZ5">
            <v>27396</v>
          </cell>
          <cell r="CA5">
            <v>26448</v>
          </cell>
          <cell r="CB5">
            <v>13850</v>
          </cell>
        </row>
        <row r="6">
          <cell r="A6" t="str">
            <v>US59MZA1503111100900</v>
          </cell>
          <cell r="B6" t="str">
            <v>Pekin</v>
          </cell>
          <cell r="C6" t="str">
            <v>June-May</v>
          </cell>
          <cell r="D6" t="str">
            <v>US59MZA150</v>
          </cell>
          <cell r="E6" t="str">
            <v>150</v>
          </cell>
          <cell r="F6" t="str">
            <v>Distribution</v>
          </cell>
          <cell r="G6" t="str">
            <v>ZA</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row>
        <row r="7">
          <cell r="A7" t="str">
            <v>US59MZA1503121300013</v>
          </cell>
          <cell r="B7" t="str">
            <v>Pekin</v>
          </cell>
          <cell r="C7" t="str">
            <v>June-May</v>
          </cell>
          <cell r="D7" t="str">
            <v>US59MZA150</v>
          </cell>
          <cell r="E7" t="str">
            <v>150</v>
          </cell>
          <cell r="F7" t="str">
            <v>Distribution</v>
          </cell>
          <cell r="G7" t="str">
            <v>ZA</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4590</v>
          </cell>
          <cell r="AJ7">
            <v>5692</v>
          </cell>
          <cell r="AK7">
            <v>5418</v>
          </cell>
          <cell r="AL7">
            <v>6301</v>
          </cell>
          <cell r="AM7">
            <v>6891</v>
          </cell>
          <cell r="AN7">
            <v>5507</v>
          </cell>
          <cell r="AO7">
            <v>6660</v>
          </cell>
          <cell r="AP7">
            <v>8387</v>
          </cell>
          <cell r="AQ7">
            <v>5443</v>
          </cell>
          <cell r="AR7">
            <v>4845</v>
          </cell>
          <cell r="AS7">
            <v>6425</v>
          </cell>
          <cell r="AT7">
            <v>7263</v>
          </cell>
          <cell r="AU7">
            <v>8069</v>
          </cell>
          <cell r="AV7">
            <v>10097</v>
          </cell>
          <cell r="AW7">
            <v>15668</v>
          </cell>
          <cell r="AX7">
            <v>12341</v>
          </cell>
          <cell r="AY7">
            <v>8764</v>
          </cell>
          <cell r="AZ7">
            <v>8235</v>
          </cell>
          <cell r="BA7">
            <v>8052</v>
          </cell>
          <cell r="BB7">
            <v>7503</v>
          </cell>
          <cell r="BC7">
            <v>7503</v>
          </cell>
          <cell r="BD7">
            <v>7686</v>
          </cell>
          <cell r="BE7">
            <v>7686</v>
          </cell>
          <cell r="BF7">
            <v>8052</v>
          </cell>
          <cell r="BG7">
            <v>8418</v>
          </cell>
          <cell r="BH7">
            <v>9150</v>
          </cell>
          <cell r="BI7">
            <v>10980</v>
          </cell>
          <cell r="BJ7">
            <v>10980</v>
          </cell>
          <cell r="BK7">
            <v>8601</v>
          </cell>
          <cell r="BL7">
            <v>8235</v>
          </cell>
          <cell r="BM7">
            <v>8052</v>
          </cell>
          <cell r="BN7">
            <v>7503</v>
          </cell>
          <cell r="BO7">
            <v>7503</v>
          </cell>
          <cell r="BP7">
            <v>7686</v>
          </cell>
          <cell r="BQ7">
            <v>7686</v>
          </cell>
          <cell r="BR7">
            <v>8052</v>
          </cell>
          <cell r="BS7">
            <v>0</v>
          </cell>
          <cell r="BT7">
            <v>28892</v>
          </cell>
          <cell r="BU7">
            <v>99469</v>
          </cell>
          <cell r="BV7">
            <v>102846</v>
          </cell>
          <cell r="BW7">
            <v>102846</v>
          </cell>
          <cell r="BX7">
            <v>0</v>
          </cell>
          <cell r="BY7">
            <v>0</v>
          </cell>
          <cell r="BZ7">
            <v>73422</v>
          </cell>
          <cell r="CA7">
            <v>46175</v>
          </cell>
          <cell r="CB7">
            <v>8764</v>
          </cell>
        </row>
        <row r="8">
          <cell r="A8" t="str">
            <v>US59MZA1503201300001</v>
          </cell>
          <cell r="B8" t="str">
            <v>Pekin</v>
          </cell>
          <cell r="C8" t="str">
            <v>June-May</v>
          </cell>
          <cell r="D8" t="str">
            <v>US59MZA150</v>
          </cell>
          <cell r="E8" t="str">
            <v>150</v>
          </cell>
          <cell r="F8" t="str">
            <v>Distribution</v>
          </cell>
          <cell r="G8" t="str">
            <v>ZA</v>
          </cell>
          <cell r="H8">
            <v>3201300001</v>
          </cell>
          <cell r="I8" t="str">
            <v>HIRED PERSONNEL FROM 3RD PARTIES</v>
          </cell>
          <cell r="J8" t="str">
            <v>VALID</v>
          </cell>
          <cell r="K8">
            <v>10834</v>
          </cell>
          <cell r="L8">
            <v>17761</v>
          </cell>
          <cell r="M8">
            <v>27366</v>
          </cell>
          <cell r="N8">
            <v>17678</v>
          </cell>
          <cell r="O8">
            <v>25163</v>
          </cell>
          <cell r="P8">
            <v>11339</v>
          </cell>
          <cell r="Q8">
            <v>4293</v>
          </cell>
          <cell r="R8">
            <v>4513</v>
          </cell>
          <cell r="S8">
            <v>513</v>
          </cell>
          <cell r="T8">
            <v>228</v>
          </cell>
          <cell r="U8">
            <v>839</v>
          </cell>
          <cell r="V8">
            <v>0</v>
          </cell>
          <cell r="W8">
            <v>6429</v>
          </cell>
          <cell r="X8">
            <v>5760</v>
          </cell>
          <cell r="Y8">
            <v>5805</v>
          </cell>
          <cell r="Z8">
            <v>8377</v>
          </cell>
          <cell r="AA8">
            <v>4114</v>
          </cell>
          <cell r="AB8">
            <v>1869</v>
          </cell>
          <cell r="AC8">
            <v>2933</v>
          </cell>
          <cell r="AD8">
            <v>4983</v>
          </cell>
          <cell r="AE8">
            <v>2912</v>
          </cell>
          <cell r="AF8">
            <v>4728</v>
          </cell>
          <cell r="AG8">
            <v>2140</v>
          </cell>
          <cell r="AH8">
            <v>2528</v>
          </cell>
          <cell r="AI8">
            <v>6217</v>
          </cell>
          <cell r="AJ8">
            <v>2265</v>
          </cell>
          <cell r="AK8">
            <v>3293</v>
          </cell>
          <cell r="AL8">
            <v>1917</v>
          </cell>
          <cell r="AM8">
            <v>0</v>
          </cell>
          <cell r="AN8">
            <v>1387</v>
          </cell>
          <cell r="AO8">
            <v>0</v>
          </cell>
          <cell r="AP8">
            <v>2971</v>
          </cell>
          <cell r="AQ8">
            <v>1309</v>
          </cell>
          <cell r="AR8">
            <v>4246</v>
          </cell>
          <cell r="AS8">
            <v>3299</v>
          </cell>
          <cell r="AT8">
            <v>6679</v>
          </cell>
          <cell r="AU8">
            <v>9786</v>
          </cell>
          <cell r="AV8">
            <v>7719</v>
          </cell>
          <cell r="AW8">
            <v>9910</v>
          </cell>
          <cell r="AX8">
            <v>13884</v>
          </cell>
          <cell r="AY8">
            <v>3119</v>
          </cell>
          <cell r="AZ8">
            <v>6000</v>
          </cell>
          <cell r="BA8">
            <v>3000</v>
          </cell>
          <cell r="BB8">
            <v>3000</v>
          </cell>
          <cell r="BC8">
            <v>3000</v>
          </cell>
          <cell r="BD8">
            <v>5000</v>
          </cell>
          <cell r="BE8">
            <v>6000</v>
          </cell>
          <cell r="BF8">
            <v>7000</v>
          </cell>
          <cell r="BG8">
            <v>8000</v>
          </cell>
          <cell r="BH8">
            <v>8000</v>
          </cell>
          <cell r="BI8">
            <v>10000</v>
          </cell>
          <cell r="BJ8">
            <v>14000</v>
          </cell>
          <cell r="BK8">
            <v>7500</v>
          </cell>
          <cell r="BL8">
            <v>6000</v>
          </cell>
          <cell r="BM8">
            <v>3000</v>
          </cell>
          <cell r="BN8">
            <v>3000</v>
          </cell>
          <cell r="BO8">
            <v>3000</v>
          </cell>
          <cell r="BP8">
            <v>5000</v>
          </cell>
          <cell r="BQ8">
            <v>6000</v>
          </cell>
          <cell r="BR8">
            <v>7000</v>
          </cell>
          <cell r="BS8">
            <v>52210</v>
          </cell>
          <cell r="BT8">
            <v>35785</v>
          </cell>
          <cell r="BU8">
            <v>64309</v>
          </cell>
          <cell r="BV8">
            <v>80500</v>
          </cell>
          <cell r="BW8">
            <v>80500</v>
          </cell>
          <cell r="BX8">
            <v>120527</v>
          </cell>
          <cell r="BY8">
            <v>52578</v>
          </cell>
          <cell r="BZ8">
            <v>33583</v>
          </cell>
          <cell r="CA8">
            <v>41299</v>
          </cell>
          <cell r="CB8">
            <v>36119</v>
          </cell>
        </row>
        <row r="9">
          <cell r="A9" t="str">
            <v>US59MZA1503201400002</v>
          </cell>
          <cell r="B9" t="str">
            <v>Pekin</v>
          </cell>
          <cell r="C9" t="str">
            <v>June-May</v>
          </cell>
          <cell r="D9" t="str">
            <v>US59MZA150</v>
          </cell>
          <cell r="E9" t="str">
            <v>150</v>
          </cell>
          <cell r="F9" t="str">
            <v>Distribution</v>
          </cell>
          <cell r="G9" t="str">
            <v>ZA</v>
          </cell>
          <cell r="H9">
            <v>3201400002</v>
          </cell>
          <cell r="I9" t="str">
            <v>MAINTENANCE OF VEHICLES</v>
          </cell>
          <cell r="J9" t="str">
            <v>VALID</v>
          </cell>
          <cell r="K9">
            <v>0</v>
          </cell>
          <cell r="L9">
            <v>0</v>
          </cell>
          <cell r="M9">
            <v>471</v>
          </cell>
          <cell r="N9">
            <v>0</v>
          </cell>
          <cell r="O9">
            <v>4352</v>
          </cell>
          <cell r="P9">
            <v>2320</v>
          </cell>
          <cell r="Q9">
            <v>0</v>
          </cell>
          <cell r="R9">
            <v>946</v>
          </cell>
          <cell r="S9">
            <v>1832</v>
          </cell>
          <cell r="T9">
            <v>465</v>
          </cell>
          <cell r="U9">
            <v>1778</v>
          </cell>
          <cell r="V9">
            <v>210</v>
          </cell>
          <cell r="W9">
            <v>149</v>
          </cell>
          <cell r="X9">
            <v>2660</v>
          </cell>
          <cell r="Y9">
            <v>643</v>
          </cell>
          <cell r="Z9">
            <v>1776</v>
          </cell>
          <cell r="AA9">
            <v>1020</v>
          </cell>
          <cell r="AB9">
            <v>17143</v>
          </cell>
          <cell r="AC9">
            <v>1991</v>
          </cell>
          <cell r="AD9">
            <v>5504</v>
          </cell>
          <cell r="AE9">
            <v>1429</v>
          </cell>
          <cell r="AF9">
            <v>163</v>
          </cell>
          <cell r="AG9">
            <v>8833</v>
          </cell>
          <cell r="AH9">
            <v>2114</v>
          </cell>
          <cell r="AI9">
            <v>1313</v>
          </cell>
          <cell r="AJ9">
            <v>411</v>
          </cell>
          <cell r="AK9">
            <v>1314</v>
          </cell>
          <cell r="AL9">
            <v>2527</v>
          </cell>
          <cell r="AM9">
            <v>251</v>
          </cell>
          <cell r="AN9">
            <v>10014</v>
          </cell>
          <cell r="AO9">
            <v>35</v>
          </cell>
          <cell r="AP9">
            <v>4698</v>
          </cell>
          <cell r="AQ9">
            <v>6429</v>
          </cell>
          <cell r="AR9">
            <v>162</v>
          </cell>
          <cell r="AS9">
            <v>5515</v>
          </cell>
          <cell r="AT9">
            <v>1845</v>
          </cell>
          <cell r="AU9">
            <v>545</v>
          </cell>
          <cell r="AV9">
            <v>318</v>
          </cell>
          <cell r="AW9">
            <v>3168</v>
          </cell>
          <cell r="AX9">
            <v>3052</v>
          </cell>
          <cell r="AY9">
            <v>4000</v>
          </cell>
          <cell r="AZ9">
            <v>4000</v>
          </cell>
          <cell r="BA9">
            <v>4000</v>
          </cell>
          <cell r="BB9">
            <v>4000</v>
          </cell>
          <cell r="BC9">
            <v>4000</v>
          </cell>
          <cell r="BD9">
            <v>4000</v>
          </cell>
          <cell r="BE9">
            <v>4000</v>
          </cell>
          <cell r="BF9">
            <v>3000</v>
          </cell>
          <cell r="BG9">
            <v>3000</v>
          </cell>
          <cell r="BH9">
            <v>3000</v>
          </cell>
          <cell r="BI9">
            <v>3000</v>
          </cell>
          <cell r="BJ9">
            <v>3000</v>
          </cell>
          <cell r="BK9">
            <v>3000</v>
          </cell>
          <cell r="BL9">
            <v>4000</v>
          </cell>
          <cell r="BM9">
            <v>4000</v>
          </cell>
          <cell r="BN9">
            <v>4000</v>
          </cell>
          <cell r="BO9">
            <v>4000</v>
          </cell>
          <cell r="BP9">
            <v>4000</v>
          </cell>
          <cell r="BQ9">
            <v>4000</v>
          </cell>
          <cell r="BR9">
            <v>3000</v>
          </cell>
          <cell r="BS9">
            <v>13799</v>
          </cell>
          <cell r="BT9">
            <v>42993</v>
          </cell>
          <cell r="BU9">
            <v>39781</v>
          </cell>
          <cell r="BV9">
            <v>42000</v>
          </cell>
          <cell r="BW9">
            <v>42000</v>
          </cell>
          <cell r="BX9">
            <v>12374</v>
          </cell>
          <cell r="BY9">
            <v>43425</v>
          </cell>
          <cell r="BZ9">
            <v>34514</v>
          </cell>
          <cell r="CA9">
            <v>7083</v>
          </cell>
          <cell r="CB9">
            <v>31000</v>
          </cell>
        </row>
        <row r="10">
          <cell r="A10" t="str">
            <v>US59MZA1503201400029</v>
          </cell>
          <cell r="B10" t="str">
            <v>Pekin</v>
          </cell>
          <cell r="C10" t="str">
            <v>June-May</v>
          </cell>
          <cell r="D10" t="str">
            <v>US59MZA150</v>
          </cell>
          <cell r="E10" t="str">
            <v>150</v>
          </cell>
          <cell r="F10" t="str">
            <v>Distribution</v>
          </cell>
          <cell r="G10" t="str">
            <v>ZA</v>
          </cell>
          <cell r="H10">
            <v>3201400029</v>
          </cell>
          <cell r="I10" t="str">
            <v>OTH OUTSIDE SERVICES OTHER</v>
          </cell>
          <cell r="J10" t="str">
            <v>VALID</v>
          </cell>
          <cell r="K10">
            <v>420</v>
          </cell>
          <cell r="L10">
            <v>613</v>
          </cell>
          <cell r="M10">
            <v>6620</v>
          </cell>
          <cell r="N10">
            <v>290</v>
          </cell>
          <cell r="O10">
            <v>0</v>
          </cell>
          <cell r="P10">
            <v>0</v>
          </cell>
          <cell r="Q10">
            <v>-7028</v>
          </cell>
          <cell r="R10">
            <v>0</v>
          </cell>
          <cell r="S10">
            <v>0</v>
          </cell>
          <cell r="T10">
            <v>0</v>
          </cell>
          <cell r="U10">
            <v>0</v>
          </cell>
          <cell r="V10">
            <v>0</v>
          </cell>
          <cell r="W10">
            <v>0</v>
          </cell>
          <cell r="X10">
            <v>0</v>
          </cell>
          <cell r="Y10">
            <v>0</v>
          </cell>
          <cell r="Z10">
            <v>0</v>
          </cell>
          <cell r="AA10">
            <v>0</v>
          </cell>
          <cell r="AB10">
            <v>0</v>
          </cell>
          <cell r="AC10">
            <v>0</v>
          </cell>
          <cell r="AD10">
            <v>0</v>
          </cell>
          <cell r="AE10">
            <v>635</v>
          </cell>
          <cell r="AF10">
            <v>1492</v>
          </cell>
          <cell r="AG10">
            <v>2443</v>
          </cell>
          <cell r="AH10">
            <v>0</v>
          </cell>
          <cell r="AI10">
            <v>197</v>
          </cell>
          <cell r="AJ10">
            <v>245</v>
          </cell>
          <cell r="AK10">
            <v>476</v>
          </cell>
          <cell r="AL10">
            <v>427</v>
          </cell>
          <cell r="AM10">
            <v>0</v>
          </cell>
          <cell r="AN10">
            <v>3019</v>
          </cell>
          <cell r="AO10">
            <v>73</v>
          </cell>
          <cell r="AP10">
            <v>0</v>
          </cell>
          <cell r="AQ10">
            <v>657</v>
          </cell>
          <cell r="AR10">
            <v>466</v>
          </cell>
          <cell r="AS10">
            <v>1561</v>
          </cell>
          <cell r="AT10">
            <v>703</v>
          </cell>
          <cell r="AU10">
            <v>0</v>
          </cell>
          <cell r="AV10">
            <v>0</v>
          </cell>
          <cell r="AW10">
            <v>1363</v>
          </cell>
          <cell r="AX10">
            <v>1966</v>
          </cell>
          <cell r="AY10">
            <v>5000</v>
          </cell>
          <cell r="AZ10">
            <v>1200</v>
          </cell>
          <cell r="BA10">
            <v>1200</v>
          </cell>
          <cell r="BB10">
            <v>1200</v>
          </cell>
          <cell r="BC10">
            <v>1200</v>
          </cell>
          <cell r="BD10">
            <v>1200</v>
          </cell>
          <cell r="BE10">
            <v>1200</v>
          </cell>
          <cell r="BF10">
            <v>1200</v>
          </cell>
          <cell r="BG10">
            <v>1200</v>
          </cell>
          <cell r="BH10">
            <v>1200</v>
          </cell>
          <cell r="BI10">
            <v>1200</v>
          </cell>
          <cell r="BJ10">
            <v>1200</v>
          </cell>
          <cell r="BK10">
            <v>1200</v>
          </cell>
          <cell r="BL10">
            <v>1200</v>
          </cell>
          <cell r="BM10">
            <v>1200</v>
          </cell>
          <cell r="BN10">
            <v>1200</v>
          </cell>
          <cell r="BO10">
            <v>1200</v>
          </cell>
          <cell r="BP10">
            <v>1200</v>
          </cell>
          <cell r="BQ10">
            <v>1200</v>
          </cell>
          <cell r="BR10">
            <v>1200</v>
          </cell>
          <cell r="BS10">
            <v>-7028</v>
          </cell>
          <cell r="BT10">
            <v>5915</v>
          </cell>
          <cell r="BU10">
            <v>14808</v>
          </cell>
          <cell r="BV10">
            <v>14400</v>
          </cell>
          <cell r="BW10">
            <v>14400</v>
          </cell>
          <cell r="BX10">
            <v>915</v>
          </cell>
          <cell r="BY10">
            <v>4570</v>
          </cell>
          <cell r="BZ10">
            <v>7824</v>
          </cell>
          <cell r="CA10">
            <v>3329</v>
          </cell>
          <cell r="CB10">
            <v>13400</v>
          </cell>
        </row>
        <row r="11">
          <cell r="A11" t="str">
            <v>US59MZA1503201400036</v>
          </cell>
          <cell r="B11" t="str">
            <v>Pekin</v>
          </cell>
          <cell r="C11" t="str">
            <v>June-May</v>
          </cell>
          <cell r="D11" t="str">
            <v>US59MZA150</v>
          </cell>
          <cell r="E11" t="str">
            <v>150</v>
          </cell>
          <cell r="F11" t="str">
            <v>Distribution</v>
          </cell>
          <cell r="G11" t="str">
            <v>ZA</v>
          </cell>
          <cell r="H11">
            <v>3201400036</v>
          </cell>
          <cell r="I11" t="str">
            <v>OTHER MAINTENANCE BUILDINGS</v>
          </cell>
          <cell r="J11" t="str">
            <v>VALID</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325</v>
          </cell>
          <cell r="AI11">
            <v>0</v>
          </cell>
          <cell r="AJ11">
            <v>1744</v>
          </cell>
          <cell r="AK11">
            <v>0</v>
          </cell>
          <cell r="AL11">
            <v>0</v>
          </cell>
          <cell r="AM11">
            <v>0</v>
          </cell>
          <cell r="AN11">
            <v>182</v>
          </cell>
          <cell r="AO11">
            <v>182</v>
          </cell>
          <cell r="AP11">
            <v>364</v>
          </cell>
          <cell r="AQ11">
            <v>0</v>
          </cell>
          <cell r="AR11">
            <v>0</v>
          </cell>
          <cell r="AS11">
            <v>0</v>
          </cell>
          <cell r="AT11">
            <v>1517</v>
          </cell>
          <cell r="AU11">
            <v>70</v>
          </cell>
          <cell r="AV11">
            <v>1075</v>
          </cell>
          <cell r="AW11">
            <v>2379</v>
          </cell>
          <cell r="AX11">
            <v>0</v>
          </cell>
          <cell r="AY11">
            <v>250</v>
          </cell>
          <cell r="AZ11">
            <v>500</v>
          </cell>
          <cell r="BA11">
            <v>500</v>
          </cell>
          <cell r="BB11">
            <v>500</v>
          </cell>
          <cell r="BC11">
            <v>500</v>
          </cell>
          <cell r="BD11">
            <v>3500</v>
          </cell>
          <cell r="BE11">
            <v>500</v>
          </cell>
          <cell r="BF11">
            <v>500</v>
          </cell>
          <cell r="BG11">
            <v>500</v>
          </cell>
          <cell r="BH11">
            <v>500</v>
          </cell>
          <cell r="BI11">
            <v>500</v>
          </cell>
          <cell r="BJ11">
            <v>500</v>
          </cell>
          <cell r="BK11">
            <v>500</v>
          </cell>
          <cell r="BL11">
            <v>500</v>
          </cell>
          <cell r="BM11">
            <v>500</v>
          </cell>
          <cell r="BN11">
            <v>500</v>
          </cell>
          <cell r="BO11">
            <v>500</v>
          </cell>
          <cell r="BP11">
            <v>3500</v>
          </cell>
          <cell r="BQ11">
            <v>500</v>
          </cell>
          <cell r="BR11">
            <v>500</v>
          </cell>
          <cell r="BS11">
            <v>0</v>
          </cell>
          <cell r="BT11">
            <v>2069</v>
          </cell>
          <cell r="BU11">
            <v>6019</v>
          </cell>
          <cell r="BV11">
            <v>9000</v>
          </cell>
          <cell r="BW11">
            <v>9000</v>
          </cell>
          <cell r="BX11">
            <v>0</v>
          </cell>
          <cell r="BY11">
            <v>325</v>
          </cell>
          <cell r="BZ11">
            <v>3989</v>
          </cell>
          <cell r="CA11">
            <v>3524</v>
          </cell>
          <cell r="CB11">
            <v>6750</v>
          </cell>
        </row>
        <row r="12">
          <cell r="A12" t="str">
            <v>US59MZA1503201400050</v>
          </cell>
          <cell r="B12" t="str">
            <v>Pekin</v>
          </cell>
          <cell r="C12" t="str">
            <v>June-May</v>
          </cell>
          <cell r="D12" t="str">
            <v>US59MZA150</v>
          </cell>
          <cell r="E12" t="str">
            <v>150</v>
          </cell>
          <cell r="F12" t="str">
            <v>Distribution</v>
          </cell>
          <cell r="G12" t="str">
            <v>ZA</v>
          </cell>
          <cell r="H12">
            <v>3201400050</v>
          </cell>
          <cell r="I12" t="str">
            <v>MAINTENANCE FORKLIFTS</v>
          </cell>
          <cell r="J12" t="str">
            <v>VALID</v>
          </cell>
          <cell r="K12">
            <v>1047</v>
          </cell>
          <cell r="L12">
            <v>31</v>
          </cell>
          <cell r="M12">
            <v>0</v>
          </cell>
          <cell r="N12">
            <v>0</v>
          </cell>
          <cell r="O12">
            <v>0</v>
          </cell>
          <cell r="P12">
            <v>0</v>
          </cell>
          <cell r="Q12">
            <v>0</v>
          </cell>
          <cell r="R12">
            <v>1305</v>
          </cell>
          <cell r="S12">
            <v>0</v>
          </cell>
          <cell r="T12">
            <v>0</v>
          </cell>
          <cell r="U12">
            <v>0</v>
          </cell>
          <cell r="V12">
            <v>0</v>
          </cell>
          <cell r="W12">
            <v>1295</v>
          </cell>
          <cell r="X12">
            <v>0</v>
          </cell>
          <cell r="Y12">
            <v>117</v>
          </cell>
          <cell r="Z12">
            <v>0</v>
          </cell>
          <cell r="AA12">
            <v>0</v>
          </cell>
          <cell r="AB12">
            <v>0</v>
          </cell>
          <cell r="AC12">
            <v>0</v>
          </cell>
          <cell r="AD12">
            <v>0</v>
          </cell>
          <cell r="AE12">
            <v>0</v>
          </cell>
          <cell r="AF12">
            <v>0</v>
          </cell>
          <cell r="AG12">
            <v>61</v>
          </cell>
          <cell r="AH12">
            <v>0</v>
          </cell>
          <cell r="AI12">
            <v>0</v>
          </cell>
          <cell r="AJ12">
            <v>0</v>
          </cell>
          <cell r="AK12">
            <v>0</v>
          </cell>
          <cell r="AL12">
            <v>0</v>
          </cell>
          <cell r="AM12">
            <v>0</v>
          </cell>
          <cell r="AN12">
            <v>4446</v>
          </cell>
          <cell r="AO12">
            <v>8098</v>
          </cell>
          <cell r="AP12">
            <v>3987</v>
          </cell>
          <cell r="AQ12">
            <v>140</v>
          </cell>
          <cell r="AR12">
            <v>0</v>
          </cell>
          <cell r="AS12">
            <v>0</v>
          </cell>
          <cell r="AT12">
            <v>1470</v>
          </cell>
          <cell r="AU12">
            <v>0</v>
          </cell>
          <cell r="AV12">
            <v>529</v>
          </cell>
          <cell r="AW12">
            <v>0</v>
          </cell>
          <cell r="AX12">
            <v>125</v>
          </cell>
          <cell r="AY12">
            <v>500</v>
          </cell>
          <cell r="AZ12">
            <v>1750</v>
          </cell>
          <cell r="BA12">
            <v>1750</v>
          </cell>
          <cell r="BB12">
            <v>1750</v>
          </cell>
          <cell r="BC12">
            <v>1750</v>
          </cell>
          <cell r="BD12">
            <v>1750</v>
          </cell>
          <cell r="BE12">
            <v>1750</v>
          </cell>
          <cell r="BF12">
            <v>1750</v>
          </cell>
          <cell r="BG12">
            <v>1750</v>
          </cell>
          <cell r="BH12">
            <v>1750</v>
          </cell>
          <cell r="BI12">
            <v>1750</v>
          </cell>
          <cell r="BJ12">
            <v>1750</v>
          </cell>
          <cell r="BK12">
            <v>1750</v>
          </cell>
          <cell r="BL12">
            <v>1750</v>
          </cell>
          <cell r="BM12">
            <v>1750</v>
          </cell>
          <cell r="BN12">
            <v>1750</v>
          </cell>
          <cell r="BO12">
            <v>1750</v>
          </cell>
          <cell r="BP12">
            <v>1750</v>
          </cell>
          <cell r="BQ12">
            <v>1750</v>
          </cell>
          <cell r="BR12">
            <v>1750</v>
          </cell>
          <cell r="BS12">
            <v>2717</v>
          </cell>
          <cell r="BT12">
            <v>61</v>
          </cell>
          <cell r="BU12">
            <v>19295</v>
          </cell>
          <cell r="BV12">
            <v>21000</v>
          </cell>
          <cell r="BW12">
            <v>21000</v>
          </cell>
          <cell r="BX12">
            <v>2383</v>
          </cell>
          <cell r="BY12">
            <v>1473</v>
          </cell>
          <cell r="BZ12">
            <v>18141</v>
          </cell>
          <cell r="CA12">
            <v>654</v>
          </cell>
          <cell r="CB12">
            <v>12750</v>
          </cell>
        </row>
        <row r="13">
          <cell r="A13" t="str">
            <v>US59MZA1503201400051</v>
          </cell>
          <cell r="B13" t="str">
            <v>Pekin</v>
          </cell>
          <cell r="C13" t="str">
            <v>June-May</v>
          </cell>
          <cell r="D13" t="str">
            <v>US59MZA150</v>
          </cell>
          <cell r="E13" t="str">
            <v>150</v>
          </cell>
          <cell r="F13" t="str">
            <v>Distribution</v>
          </cell>
          <cell r="G13" t="str">
            <v>ZA</v>
          </cell>
          <cell r="H13">
            <v>3201400051</v>
          </cell>
          <cell r="I13" t="str">
            <v>MAINTENANCE EQUIPMENT</v>
          </cell>
          <cell r="J13" t="str">
            <v>VALID</v>
          </cell>
          <cell r="K13">
            <v>0</v>
          </cell>
          <cell r="L13">
            <v>0</v>
          </cell>
          <cell r="M13">
            <v>463</v>
          </cell>
          <cell r="N13">
            <v>1242</v>
          </cell>
          <cell r="O13">
            <v>0</v>
          </cell>
          <cell r="P13">
            <v>2498</v>
          </cell>
          <cell r="Q13">
            <v>0</v>
          </cell>
          <cell r="R13">
            <v>0</v>
          </cell>
          <cell r="S13">
            <v>0</v>
          </cell>
          <cell r="T13">
            <v>0</v>
          </cell>
          <cell r="U13">
            <v>2196</v>
          </cell>
          <cell r="V13">
            <v>0</v>
          </cell>
          <cell r="W13">
            <v>1820</v>
          </cell>
          <cell r="X13">
            <v>731</v>
          </cell>
          <cell r="Y13">
            <v>1889</v>
          </cell>
          <cell r="Z13">
            <v>127</v>
          </cell>
          <cell r="AA13">
            <v>324</v>
          </cell>
          <cell r="AB13">
            <v>176</v>
          </cell>
          <cell r="AC13">
            <v>2901</v>
          </cell>
          <cell r="AD13">
            <v>106</v>
          </cell>
          <cell r="AE13">
            <v>0</v>
          </cell>
          <cell r="AF13">
            <v>0</v>
          </cell>
          <cell r="AG13">
            <v>0</v>
          </cell>
          <cell r="AH13">
            <v>0</v>
          </cell>
          <cell r="AI13">
            <v>0</v>
          </cell>
          <cell r="AJ13">
            <v>0</v>
          </cell>
          <cell r="AK13">
            <v>250</v>
          </cell>
          <cell r="AL13">
            <v>167</v>
          </cell>
          <cell r="AM13">
            <v>0</v>
          </cell>
          <cell r="AN13">
            <v>0</v>
          </cell>
          <cell r="AO13">
            <v>0</v>
          </cell>
          <cell r="AP13">
            <v>0</v>
          </cell>
          <cell r="AQ13">
            <v>976</v>
          </cell>
          <cell r="AR13">
            <v>571</v>
          </cell>
          <cell r="AS13">
            <v>0</v>
          </cell>
          <cell r="AT13">
            <v>200</v>
          </cell>
          <cell r="AU13">
            <v>0</v>
          </cell>
          <cell r="AV13">
            <v>0</v>
          </cell>
          <cell r="AW13">
            <v>0</v>
          </cell>
          <cell r="AX13">
            <v>0</v>
          </cell>
          <cell r="AY13">
            <v>300</v>
          </cell>
          <cell r="AZ13">
            <v>300</v>
          </cell>
          <cell r="BA13">
            <v>300</v>
          </cell>
          <cell r="BB13">
            <v>300</v>
          </cell>
          <cell r="BC13">
            <v>300</v>
          </cell>
          <cell r="BD13">
            <v>300</v>
          </cell>
          <cell r="BE13">
            <v>300</v>
          </cell>
          <cell r="BF13">
            <v>300</v>
          </cell>
          <cell r="BG13">
            <v>300</v>
          </cell>
          <cell r="BH13">
            <v>300</v>
          </cell>
          <cell r="BI13">
            <v>300</v>
          </cell>
          <cell r="BJ13">
            <v>300</v>
          </cell>
          <cell r="BK13">
            <v>300</v>
          </cell>
          <cell r="BL13">
            <v>300</v>
          </cell>
          <cell r="BM13">
            <v>300</v>
          </cell>
          <cell r="BN13">
            <v>300</v>
          </cell>
          <cell r="BO13">
            <v>300</v>
          </cell>
          <cell r="BP13">
            <v>300</v>
          </cell>
          <cell r="BQ13">
            <v>300</v>
          </cell>
          <cell r="BR13">
            <v>300</v>
          </cell>
          <cell r="BS13">
            <v>9585</v>
          </cell>
          <cell r="BT13">
            <v>3600</v>
          </cell>
          <cell r="BU13">
            <v>2047</v>
          </cell>
          <cell r="BV13">
            <v>3600</v>
          </cell>
          <cell r="BW13">
            <v>3600</v>
          </cell>
          <cell r="BX13">
            <v>6399</v>
          </cell>
          <cell r="BY13">
            <v>8074</v>
          </cell>
          <cell r="BZ13">
            <v>2164</v>
          </cell>
          <cell r="CA13">
            <v>0</v>
          </cell>
          <cell r="CB13">
            <v>2400</v>
          </cell>
        </row>
        <row r="14">
          <cell r="A14" t="str">
            <v>US59MZA1503311400099</v>
          </cell>
          <cell r="B14" t="str">
            <v>Pekin</v>
          </cell>
          <cell r="C14" t="str">
            <v>June-May</v>
          </cell>
          <cell r="D14" t="str">
            <v>US59MZA150</v>
          </cell>
          <cell r="E14" t="str">
            <v>150</v>
          </cell>
          <cell r="F14" t="str">
            <v>Distribution</v>
          </cell>
          <cell r="G14" t="str">
            <v>ZA</v>
          </cell>
          <cell r="H14">
            <v>3311400099</v>
          </cell>
          <cell r="I14" t="str">
            <v>CO DEPRECIATION</v>
          </cell>
          <cell r="J14" t="str">
            <v>VALID</v>
          </cell>
          <cell r="K14">
            <v>28022</v>
          </cell>
          <cell r="L14">
            <v>28022</v>
          </cell>
          <cell r="M14">
            <v>28022</v>
          </cell>
          <cell r="N14">
            <v>28022</v>
          </cell>
          <cell r="O14">
            <v>28022</v>
          </cell>
          <cell r="P14">
            <v>28022</v>
          </cell>
          <cell r="Q14">
            <v>28022</v>
          </cell>
          <cell r="R14">
            <v>28022</v>
          </cell>
          <cell r="S14">
            <v>37695</v>
          </cell>
          <cell r="T14">
            <v>28177</v>
          </cell>
          <cell r="U14">
            <v>28440</v>
          </cell>
          <cell r="V14">
            <v>28834</v>
          </cell>
          <cell r="W14">
            <v>28834</v>
          </cell>
          <cell r="X14">
            <v>28834</v>
          </cell>
          <cell r="Y14">
            <v>28834</v>
          </cell>
          <cell r="Z14">
            <v>28834</v>
          </cell>
          <cell r="AA14">
            <v>28834</v>
          </cell>
          <cell r="AB14">
            <v>28693</v>
          </cell>
          <cell r="AC14">
            <v>28693</v>
          </cell>
          <cell r="AD14">
            <v>28490</v>
          </cell>
          <cell r="AE14">
            <v>28490</v>
          </cell>
          <cell r="AF14">
            <v>28490</v>
          </cell>
          <cell r="AG14">
            <v>28490</v>
          </cell>
          <cell r="AH14">
            <v>28128</v>
          </cell>
          <cell r="AI14">
            <v>28058</v>
          </cell>
          <cell r="AJ14">
            <v>28057</v>
          </cell>
          <cell r="AK14">
            <v>28058</v>
          </cell>
          <cell r="AL14">
            <v>28057</v>
          </cell>
          <cell r="AM14">
            <v>28057</v>
          </cell>
          <cell r="AN14">
            <v>28058</v>
          </cell>
          <cell r="AO14">
            <v>28057</v>
          </cell>
          <cell r="AP14">
            <v>28057</v>
          </cell>
          <cell r="AQ14">
            <v>28265</v>
          </cell>
          <cell r="AR14">
            <v>28405</v>
          </cell>
          <cell r="AS14">
            <v>28335</v>
          </cell>
          <cell r="AT14">
            <v>27322</v>
          </cell>
          <cell r="AU14">
            <v>26885</v>
          </cell>
          <cell r="AV14">
            <v>26884</v>
          </cell>
          <cell r="AW14">
            <v>26885</v>
          </cell>
          <cell r="AX14">
            <v>26884</v>
          </cell>
          <cell r="AY14">
            <v>25554</v>
          </cell>
          <cell r="AZ14">
            <v>25000</v>
          </cell>
          <cell r="BA14">
            <v>25000</v>
          </cell>
          <cell r="BB14">
            <v>25000</v>
          </cell>
          <cell r="BC14">
            <v>25000</v>
          </cell>
          <cell r="BD14">
            <v>25000</v>
          </cell>
          <cell r="BE14">
            <v>25000</v>
          </cell>
          <cell r="BF14">
            <v>25000</v>
          </cell>
          <cell r="BG14">
            <v>25000</v>
          </cell>
          <cell r="BH14">
            <v>25000</v>
          </cell>
          <cell r="BI14">
            <v>25000</v>
          </cell>
          <cell r="BJ14">
            <v>25000</v>
          </cell>
          <cell r="BK14">
            <v>25000</v>
          </cell>
          <cell r="BL14">
            <v>25000</v>
          </cell>
          <cell r="BM14">
            <v>25000</v>
          </cell>
          <cell r="BN14">
            <v>25000</v>
          </cell>
          <cell r="BO14">
            <v>25000</v>
          </cell>
          <cell r="BP14">
            <v>25000</v>
          </cell>
          <cell r="BQ14">
            <v>25000</v>
          </cell>
          <cell r="BR14">
            <v>25000</v>
          </cell>
          <cell r="BS14">
            <v>351382</v>
          </cell>
          <cell r="BT14">
            <v>339761</v>
          </cell>
          <cell r="BU14">
            <v>329591</v>
          </cell>
          <cell r="BV14">
            <v>300000</v>
          </cell>
          <cell r="BW14">
            <v>300000</v>
          </cell>
          <cell r="BX14">
            <v>347322</v>
          </cell>
          <cell r="BY14">
            <v>343644</v>
          </cell>
          <cell r="BZ14">
            <v>336786</v>
          </cell>
          <cell r="CA14">
            <v>107538</v>
          </cell>
          <cell r="CB14">
            <v>200554</v>
          </cell>
        </row>
        <row r="15">
          <cell r="A15" t="str">
            <v>US59MZA1503311500300</v>
          </cell>
          <cell r="B15" t="str">
            <v>Pekin</v>
          </cell>
          <cell r="C15" t="str">
            <v>June-May</v>
          </cell>
          <cell r="D15" t="str">
            <v>US59MZA150</v>
          </cell>
          <cell r="E15" t="str">
            <v>150</v>
          </cell>
          <cell r="F15" t="str">
            <v>Distribution</v>
          </cell>
          <cell r="G15" t="str">
            <v>ZA</v>
          </cell>
          <cell r="H15">
            <v>3311500300</v>
          </cell>
          <cell r="I15" t="str">
            <v>Amort. Exp. - Fin. Leased</v>
          </cell>
          <cell r="J15" t="str">
            <v>VALID</v>
          </cell>
          <cell r="K15">
            <v>0</v>
          </cell>
          <cell r="L15">
            <v>0</v>
          </cell>
          <cell r="M15">
            <v>0</v>
          </cell>
          <cell r="N15">
            <v>0</v>
          </cell>
          <cell r="O15">
            <v>316</v>
          </cell>
          <cell r="P15">
            <v>316</v>
          </cell>
          <cell r="Q15">
            <v>332</v>
          </cell>
          <cell r="R15">
            <v>332</v>
          </cell>
          <cell r="S15">
            <v>332</v>
          </cell>
          <cell r="T15">
            <v>352</v>
          </cell>
          <cell r="U15">
            <v>342</v>
          </cell>
          <cell r="V15">
            <v>326</v>
          </cell>
          <cell r="W15">
            <v>326</v>
          </cell>
          <cell r="X15">
            <v>326</v>
          </cell>
          <cell r="Y15">
            <v>326</v>
          </cell>
          <cell r="Z15">
            <v>326</v>
          </cell>
          <cell r="AA15">
            <v>346</v>
          </cell>
          <cell r="AB15">
            <v>-326</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64</v>
          </cell>
          <cell r="AT15">
            <v>0</v>
          </cell>
          <cell r="AU15">
            <v>0</v>
          </cell>
          <cell r="AV15">
            <v>0</v>
          </cell>
          <cell r="AW15">
            <v>0</v>
          </cell>
          <cell r="AX15">
            <v>0</v>
          </cell>
          <cell r="AY15">
            <v>0</v>
          </cell>
          <cell r="BL15">
            <v>0</v>
          </cell>
          <cell r="BM15">
            <v>0</v>
          </cell>
          <cell r="BN15">
            <v>0</v>
          </cell>
          <cell r="BO15">
            <v>0</v>
          </cell>
          <cell r="BP15">
            <v>0</v>
          </cell>
          <cell r="BQ15">
            <v>0</v>
          </cell>
          <cell r="BR15">
            <v>0</v>
          </cell>
          <cell r="BS15">
            <v>3982</v>
          </cell>
          <cell r="BT15">
            <v>-326</v>
          </cell>
          <cell r="BU15">
            <v>64</v>
          </cell>
          <cell r="BV15">
            <v>0</v>
          </cell>
          <cell r="BW15">
            <v>0</v>
          </cell>
          <cell r="BX15">
            <v>2648</v>
          </cell>
          <cell r="BY15">
            <v>1324</v>
          </cell>
          <cell r="BZ15">
            <v>64</v>
          </cell>
          <cell r="CA15">
            <v>0</v>
          </cell>
          <cell r="CB15">
            <v>0</v>
          </cell>
        </row>
        <row r="16">
          <cell r="A16" t="str">
            <v>US59MZA1503911100010</v>
          </cell>
          <cell r="B16" t="str">
            <v>Pekin</v>
          </cell>
          <cell r="C16" t="str">
            <v>June-May</v>
          </cell>
          <cell r="D16" t="str">
            <v>US59MZA150</v>
          </cell>
          <cell r="E16" t="str">
            <v>150</v>
          </cell>
          <cell r="F16" t="str">
            <v>Distribution</v>
          </cell>
          <cell r="G16" t="str">
            <v>ZA</v>
          </cell>
          <cell r="H16">
            <v>3911100010</v>
          </cell>
          <cell r="I16" t="str">
            <v>TRAVEL EXPENSES PERMANENTS / MEALS</v>
          </cell>
          <cell r="J16" t="str">
            <v>VALID</v>
          </cell>
          <cell r="K16">
            <v>28</v>
          </cell>
          <cell r="L16">
            <v>57</v>
          </cell>
          <cell r="M16">
            <v>258</v>
          </cell>
          <cell r="N16">
            <v>132</v>
          </cell>
          <cell r="O16">
            <v>514</v>
          </cell>
          <cell r="P16">
            <v>187</v>
          </cell>
          <cell r="Q16">
            <v>166</v>
          </cell>
          <cell r="R16">
            <v>210</v>
          </cell>
          <cell r="S16">
            <v>-35</v>
          </cell>
          <cell r="T16">
            <v>440</v>
          </cell>
          <cell r="U16">
            <v>0</v>
          </cell>
          <cell r="V16">
            <v>0</v>
          </cell>
          <cell r="W16">
            <v>29</v>
          </cell>
          <cell r="X16">
            <v>0</v>
          </cell>
          <cell r="Y16">
            <v>90</v>
          </cell>
          <cell r="Z16">
            <v>0</v>
          </cell>
          <cell r="AA16">
            <v>473</v>
          </cell>
          <cell r="AB16">
            <v>12</v>
          </cell>
          <cell r="AC16">
            <v>0</v>
          </cell>
          <cell r="AD16">
            <v>268</v>
          </cell>
          <cell r="AE16">
            <v>102</v>
          </cell>
          <cell r="AF16">
            <v>152</v>
          </cell>
          <cell r="AG16">
            <v>238</v>
          </cell>
          <cell r="AH16">
            <v>-178</v>
          </cell>
          <cell r="AI16">
            <v>0</v>
          </cell>
          <cell r="AJ16">
            <v>0</v>
          </cell>
          <cell r="AK16">
            <v>18</v>
          </cell>
          <cell r="AL16">
            <v>0</v>
          </cell>
          <cell r="AM16">
            <v>40</v>
          </cell>
          <cell r="AN16">
            <v>0</v>
          </cell>
          <cell r="AO16">
            <v>52</v>
          </cell>
          <cell r="AP16">
            <v>89</v>
          </cell>
          <cell r="AQ16">
            <v>71</v>
          </cell>
          <cell r="AR16">
            <v>293</v>
          </cell>
          <cell r="AS16">
            <v>0</v>
          </cell>
          <cell r="AT16">
            <v>0</v>
          </cell>
          <cell r="AU16">
            <v>0</v>
          </cell>
          <cell r="AV16">
            <v>0</v>
          </cell>
          <cell r="AW16">
            <v>106</v>
          </cell>
          <cell r="AX16">
            <v>86</v>
          </cell>
          <cell r="AY16">
            <v>200</v>
          </cell>
          <cell r="AZ16">
            <v>100</v>
          </cell>
          <cell r="BA16">
            <v>100</v>
          </cell>
          <cell r="BB16">
            <v>100</v>
          </cell>
          <cell r="BC16">
            <v>100</v>
          </cell>
          <cell r="BD16">
            <v>100</v>
          </cell>
          <cell r="BE16">
            <v>100</v>
          </cell>
          <cell r="BF16">
            <v>100</v>
          </cell>
          <cell r="BG16">
            <v>100</v>
          </cell>
          <cell r="BH16">
            <v>100</v>
          </cell>
          <cell r="BI16">
            <v>100</v>
          </cell>
          <cell r="BJ16">
            <v>100</v>
          </cell>
          <cell r="BK16">
            <v>100</v>
          </cell>
          <cell r="BL16">
            <v>100</v>
          </cell>
          <cell r="BM16">
            <v>100</v>
          </cell>
          <cell r="BN16">
            <v>100</v>
          </cell>
          <cell r="BO16">
            <v>100</v>
          </cell>
          <cell r="BP16">
            <v>100</v>
          </cell>
          <cell r="BQ16">
            <v>100</v>
          </cell>
          <cell r="BR16">
            <v>100</v>
          </cell>
          <cell r="BS16">
            <v>1560</v>
          </cell>
          <cell r="BT16">
            <v>652</v>
          </cell>
          <cell r="BU16">
            <v>897</v>
          </cell>
          <cell r="BV16">
            <v>1200</v>
          </cell>
          <cell r="BW16">
            <v>1200</v>
          </cell>
          <cell r="BX16">
            <v>1957</v>
          </cell>
          <cell r="BY16">
            <v>1186</v>
          </cell>
          <cell r="BZ16">
            <v>563</v>
          </cell>
          <cell r="CA16">
            <v>192</v>
          </cell>
          <cell r="CB16">
            <v>900</v>
          </cell>
        </row>
        <row r="17">
          <cell r="A17" t="str">
            <v>US59MZA1503911100012</v>
          </cell>
          <cell r="B17" t="str">
            <v>Pekin</v>
          </cell>
          <cell r="C17" t="str">
            <v>June-May</v>
          </cell>
          <cell r="D17" t="str">
            <v>US59MZA150</v>
          </cell>
          <cell r="E17" t="str">
            <v>150</v>
          </cell>
          <cell r="F17" t="str">
            <v>Distribution</v>
          </cell>
          <cell r="G17" t="str">
            <v>ZA</v>
          </cell>
          <cell r="H17">
            <v>3911100012</v>
          </cell>
          <cell r="I17" t="str">
            <v>TRAVEL EXPENSES PERMANENTS / HOTELS</v>
          </cell>
          <cell r="J17" t="str">
            <v>VALID</v>
          </cell>
          <cell r="K17">
            <v>0</v>
          </cell>
          <cell r="L17">
            <v>549</v>
          </cell>
          <cell r="M17">
            <v>374</v>
          </cell>
          <cell r="N17">
            <v>975</v>
          </cell>
          <cell r="O17">
            <v>3005</v>
          </cell>
          <cell r="P17">
            <v>3342</v>
          </cell>
          <cell r="Q17">
            <v>1471</v>
          </cell>
          <cell r="R17">
            <v>487</v>
          </cell>
          <cell r="S17">
            <v>-106</v>
          </cell>
          <cell r="T17">
            <v>1486</v>
          </cell>
          <cell r="U17">
            <v>890</v>
          </cell>
          <cell r="V17">
            <v>390</v>
          </cell>
          <cell r="W17">
            <v>0</v>
          </cell>
          <cell r="X17">
            <v>0</v>
          </cell>
          <cell r="Y17">
            <v>150</v>
          </cell>
          <cell r="Z17">
            <v>0</v>
          </cell>
          <cell r="AA17">
            <v>685</v>
          </cell>
          <cell r="AB17">
            <v>0</v>
          </cell>
          <cell r="AC17">
            <v>0</v>
          </cell>
          <cell r="AD17">
            <v>651</v>
          </cell>
          <cell r="AE17">
            <v>265</v>
          </cell>
          <cell r="AF17">
            <v>561</v>
          </cell>
          <cell r="AG17">
            <v>1816</v>
          </cell>
          <cell r="AH17">
            <v>-1322</v>
          </cell>
          <cell r="AI17">
            <v>0</v>
          </cell>
          <cell r="AJ17">
            <v>0</v>
          </cell>
          <cell r="AK17">
            <v>56</v>
          </cell>
          <cell r="AL17">
            <v>0</v>
          </cell>
          <cell r="AM17">
            <v>153</v>
          </cell>
          <cell r="AN17">
            <v>0</v>
          </cell>
          <cell r="AO17">
            <v>189</v>
          </cell>
          <cell r="AP17">
            <v>155</v>
          </cell>
          <cell r="AQ17">
            <v>302</v>
          </cell>
          <cell r="AR17">
            <v>1132</v>
          </cell>
          <cell r="AS17">
            <v>0</v>
          </cell>
          <cell r="AT17">
            <v>0</v>
          </cell>
          <cell r="AU17">
            <v>0</v>
          </cell>
          <cell r="AV17">
            <v>0</v>
          </cell>
          <cell r="AW17">
            <v>444</v>
          </cell>
          <cell r="AX17">
            <v>296</v>
          </cell>
          <cell r="AY17">
            <v>250</v>
          </cell>
          <cell r="AZ17">
            <v>250</v>
          </cell>
          <cell r="BA17">
            <v>250</v>
          </cell>
          <cell r="BB17">
            <v>250</v>
          </cell>
          <cell r="BC17">
            <v>250</v>
          </cell>
          <cell r="BD17">
            <v>250</v>
          </cell>
          <cell r="BE17">
            <v>250</v>
          </cell>
          <cell r="BF17">
            <v>250</v>
          </cell>
          <cell r="BG17">
            <v>250</v>
          </cell>
          <cell r="BH17">
            <v>250</v>
          </cell>
          <cell r="BI17">
            <v>250</v>
          </cell>
          <cell r="BJ17">
            <v>250</v>
          </cell>
          <cell r="BK17">
            <v>250</v>
          </cell>
          <cell r="BL17">
            <v>250</v>
          </cell>
          <cell r="BM17">
            <v>250</v>
          </cell>
          <cell r="BN17">
            <v>250</v>
          </cell>
          <cell r="BO17">
            <v>250</v>
          </cell>
          <cell r="BP17">
            <v>250</v>
          </cell>
          <cell r="BQ17">
            <v>250</v>
          </cell>
          <cell r="BR17">
            <v>250</v>
          </cell>
          <cell r="BS17">
            <v>8795</v>
          </cell>
          <cell r="BT17">
            <v>2180</v>
          </cell>
          <cell r="BU17">
            <v>2768</v>
          </cell>
          <cell r="BV17">
            <v>3000</v>
          </cell>
          <cell r="BW17">
            <v>3000</v>
          </cell>
          <cell r="BX17">
            <v>12863</v>
          </cell>
          <cell r="BY17">
            <v>2806</v>
          </cell>
          <cell r="BZ17">
            <v>1987</v>
          </cell>
          <cell r="CA17">
            <v>740</v>
          </cell>
          <cell r="CB17">
            <v>2000</v>
          </cell>
        </row>
        <row r="18">
          <cell r="A18" t="str">
            <v>US59MZA1503911100015</v>
          </cell>
          <cell r="B18" t="str">
            <v>Pekin</v>
          </cell>
          <cell r="C18" t="str">
            <v>June-May</v>
          </cell>
          <cell r="D18" t="str">
            <v>US59MZA150</v>
          </cell>
          <cell r="E18" t="str">
            <v>150</v>
          </cell>
          <cell r="F18" t="str">
            <v>Distribution</v>
          </cell>
          <cell r="G18" t="str">
            <v>ZA</v>
          </cell>
          <cell r="H18">
            <v>3911100015</v>
          </cell>
          <cell r="I18" t="str">
            <v>TRAVEL EXPENSES PERMANENTS / OTHER</v>
          </cell>
          <cell r="J18" t="str">
            <v>VALID</v>
          </cell>
          <cell r="K18">
            <v>84</v>
          </cell>
          <cell r="L18">
            <v>0</v>
          </cell>
          <cell r="M18">
            <v>12</v>
          </cell>
          <cell r="N18">
            <v>4</v>
          </cell>
          <cell r="O18">
            <v>493</v>
          </cell>
          <cell r="P18">
            <v>471</v>
          </cell>
          <cell r="Q18">
            <v>326</v>
          </cell>
          <cell r="R18">
            <v>0</v>
          </cell>
          <cell r="S18">
            <v>3</v>
          </cell>
          <cell r="T18">
            <v>0</v>
          </cell>
          <cell r="U18">
            <v>395</v>
          </cell>
          <cell r="V18">
            <v>183</v>
          </cell>
          <cell r="W18">
            <v>68</v>
          </cell>
          <cell r="X18">
            <v>0</v>
          </cell>
          <cell r="Y18">
            <v>108</v>
          </cell>
          <cell r="Z18">
            <v>0</v>
          </cell>
          <cell r="AA18">
            <v>126</v>
          </cell>
          <cell r="AB18">
            <v>41</v>
          </cell>
          <cell r="AC18">
            <v>508</v>
          </cell>
          <cell r="AD18">
            <v>507</v>
          </cell>
          <cell r="AE18">
            <v>0</v>
          </cell>
          <cell r="AF18">
            <v>88</v>
          </cell>
          <cell r="AG18">
            <v>1278</v>
          </cell>
          <cell r="AH18">
            <v>-684</v>
          </cell>
          <cell r="AI18">
            <v>0</v>
          </cell>
          <cell r="AJ18">
            <v>0</v>
          </cell>
          <cell r="AK18">
            <v>0</v>
          </cell>
          <cell r="AL18">
            <v>0</v>
          </cell>
          <cell r="AM18">
            <v>150</v>
          </cell>
          <cell r="AN18">
            <v>0</v>
          </cell>
          <cell r="AO18">
            <v>6</v>
          </cell>
          <cell r="AP18">
            <v>0</v>
          </cell>
          <cell r="AQ18">
            <v>0</v>
          </cell>
          <cell r="AR18">
            <v>205</v>
          </cell>
          <cell r="AS18">
            <v>0</v>
          </cell>
          <cell r="AT18">
            <v>0</v>
          </cell>
          <cell r="AU18">
            <v>0</v>
          </cell>
          <cell r="AV18">
            <v>0</v>
          </cell>
          <cell r="AW18">
            <v>3</v>
          </cell>
          <cell r="AX18">
            <v>54</v>
          </cell>
          <cell r="AY18">
            <v>200</v>
          </cell>
          <cell r="AZ18">
            <v>50</v>
          </cell>
          <cell r="BA18">
            <v>50</v>
          </cell>
          <cell r="BB18">
            <v>50</v>
          </cell>
          <cell r="BC18">
            <v>50</v>
          </cell>
          <cell r="BD18">
            <v>50</v>
          </cell>
          <cell r="BE18">
            <v>50</v>
          </cell>
          <cell r="BF18">
            <v>50</v>
          </cell>
          <cell r="BG18">
            <v>50</v>
          </cell>
          <cell r="BH18">
            <v>50</v>
          </cell>
          <cell r="BI18">
            <v>50</v>
          </cell>
          <cell r="BJ18">
            <v>50</v>
          </cell>
          <cell r="BK18">
            <v>50</v>
          </cell>
          <cell r="BL18">
            <v>50</v>
          </cell>
          <cell r="BM18">
            <v>50</v>
          </cell>
          <cell r="BN18">
            <v>50</v>
          </cell>
          <cell r="BO18">
            <v>50</v>
          </cell>
          <cell r="BP18">
            <v>50</v>
          </cell>
          <cell r="BQ18">
            <v>50</v>
          </cell>
          <cell r="BR18">
            <v>50</v>
          </cell>
          <cell r="BS18">
            <v>1680</v>
          </cell>
          <cell r="BT18">
            <v>1888</v>
          </cell>
          <cell r="BU18">
            <v>468</v>
          </cell>
          <cell r="BV18">
            <v>600</v>
          </cell>
          <cell r="BW18">
            <v>600</v>
          </cell>
          <cell r="BX18">
            <v>1971</v>
          </cell>
          <cell r="BY18">
            <v>2040</v>
          </cell>
          <cell r="BZ18">
            <v>361</v>
          </cell>
          <cell r="CA18">
            <v>57</v>
          </cell>
          <cell r="CB18">
            <v>550</v>
          </cell>
        </row>
        <row r="19">
          <cell r="A19" t="str">
            <v>US59MZA1503921100001</v>
          </cell>
          <cell r="B19" t="str">
            <v>Pekin</v>
          </cell>
          <cell r="C19" t="str">
            <v>June-May</v>
          </cell>
          <cell r="D19" t="str">
            <v>US59MZA150</v>
          </cell>
          <cell r="E19" t="str">
            <v>150</v>
          </cell>
          <cell r="F19" t="str">
            <v>Distribution</v>
          </cell>
          <cell r="G19" t="str">
            <v>ZA</v>
          </cell>
          <cell r="H19">
            <v>3921100001</v>
          </cell>
          <cell r="I19" t="str">
            <v>UTILITY EXPENSES ELECTRICITY</v>
          </cell>
          <cell r="J19" t="str">
            <v>VALID</v>
          </cell>
          <cell r="K19">
            <v>0</v>
          </cell>
          <cell r="L19">
            <v>0</v>
          </cell>
          <cell r="M19">
            <v>446</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202</v>
          </cell>
          <cell r="AE19">
            <v>0</v>
          </cell>
          <cell r="AF19">
            <v>0</v>
          </cell>
          <cell r="AG19">
            <v>0</v>
          </cell>
          <cell r="AH19">
            <v>611</v>
          </cell>
          <cell r="AI19">
            <v>0</v>
          </cell>
          <cell r="AJ19">
            <v>0</v>
          </cell>
          <cell r="AK19">
            <v>116</v>
          </cell>
          <cell r="AL19">
            <v>2632</v>
          </cell>
          <cell r="AM19">
            <v>1500</v>
          </cell>
          <cell r="AN19">
            <v>0</v>
          </cell>
          <cell r="AO19">
            <v>500</v>
          </cell>
          <cell r="AP19">
            <v>0</v>
          </cell>
          <cell r="AQ19">
            <v>0</v>
          </cell>
          <cell r="AR19">
            <v>53</v>
          </cell>
          <cell r="AS19">
            <v>0</v>
          </cell>
          <cell r="AT19">
            <v>0</v>
          </cell>
          <cell r="AU19">
            <v>0</v>
          </cell>
          <cell r="AV19">
            <v>0</v>
          </cell>
          <cell r="AW19">
            <v>2247</v>
          </cell>
          <cell r="AX19">
            <v>0</v>
          </cell>
          <cell r="AY19">
            <v>0</v>
          </cell>
          <cell r="AZ19">
            <v>500</v>
          </cell>
          <cell r="BA19">
            <v>500</v>
          </cell>
          <cell r="BB19">
            <v>500</v>
          </cell>
          <cell r="BC19">
            <v>500</v>
          </cell>
          <cell r="BD19">
            <v>500</v>
          </cell>
          <cell r="BE19">
            <v>500</v>
          </cell>
          <cell r="BF19">
            <v>500</v>
          </cell>
          <cell r="BG19">
            <v>500</v>
          </cell>
          <cell r="BH19">
            <v>500</v>
          </cell>
          <cell r="BI19">
            <v>500</v>
          </cell>
          <cell r="BJ19">
            <v>500</v>
          </cell>
          <cell r="BK19">
            <v>500</v>
          </cell>
          <cell r="BL19">
            <v>500</v>
          </cell>
          <cell r="BM19">
            <v>500</v>
          </cell>
          <cell r="BN19">
            <v>500</v>
          </cell>
          <cell r="BO19">
            <v>500</v>
          </cell>
          <cell r="BP19">
            <v>500</v>
          </cell>
          <cell r="BQ19">
            <v>500</v>
          </cell>
          <cell r="BR19">
            <v>500</v>
          </cell>
          <cell r="BS19">
            <v>0</v>
          </cell>
          <cell r="BT19">
            <v>5061</v>
          </cell>
          <cell r="BU19">
            <v>2800</v>
          </cell>
          <cell r="BV19">
            <v>6000</v>
          </cell>
          <cell r="BW19">
            <v>6000</v>
          </cell>
          <cell r="BX19">
            <v>446</v>
          </cell>
          <cell r="BY19">
            <v>813</v>
          </cell>
          <cell r="BZ19">
            <v>4801</v>
          </cell>
          <cell r="CA19">
            <v>2247</v>
          </cell>
          <cell r="CB19">
            <v>3500</v>
          </cell>
        </row>
        <row r="20">
          <cell r="A20" t="str">
            <v>US59MZA1503921200001</v>
          </cell>
          <cell r="B20" t="str">
            <v>Pekin</v>
          </cell>
          <cell r="C20" t="str">
            <v>June-May</v>
          </cell>
          <cell r="D20" t="str">
            <v>US59MZA150</v>
          </cell>
          <cell r="E20" t="str">
            <v>150</v>
          </cell>
          <cell r="F20" t="str">
            <v>Distribution</v>
          </cell>
          <cell r="G20" t="str">
            <v>ZA</v>
          </cell>
          <cell r="H20">
            <v>3921200001</v>
          </cell>
          <cell r="I20" t="str">
            <v>FUEL</v>
          </cell>
          <cell r="J20" t="str">
            <v>VALID</v>
          </cell>
          <cell r="K20">
            <v>0</v>
          </cell>
          <cell r="L20">
            <v>2168</v>
          </cell>
          <cell r="M20">
            <v>0</v>
          </cell>
          <cell r="N20">
            <v>0</v>
          </cell>
          <cell r="O20">
            <v>119</v>
          </cell>
          <cell r="P20">
            <v>571</v>
          </cell>
          <cell r="Q20">
            <v>0</v>
          </cell>
          <cell r="R20">
            <v>327</v>
          </cell>
          <cell r="S20">
            <v>300</v>
          </cell>
          <cell r="T20">
            <v>882</v>
          </cell>
          <cell r="U20">
            <v>0</v>
          </cell>
          <cell r="V20">
            <v>0</v>
          </cell>
          <cell r="W20">
            <v>0</v>
          </cell>
          <cell r="X20">
            <v>1533</v>
          </cell>
          <cell r="Y20">
            <v>0</v>
          </cell>
          <cell r="Z20">
            <v>0</v>
          </cell>
          <cell r="AA20">
            <v>0</v>
          </cell>
          <cell r="AB20">
            <v>0</v>
          </cell>
          <cell r="AC20">
            <v>-124</v>
          </cell>
          <cell r="AD20">
            <v>0</v>
          </cell>
          <cell r="AE20">
            <v>0</v>
          </cell>
          <cell r="AF20">
            <v>130</v>
          </cell>
          <cell r="AG20">
            <v>0</v>
          </cell>
          <cell r="AH20">
            <v>1334</v>
          </cell>
          <cell r="AI20">
            <v>2116</v>
          </cell>
          <cell r="AJ20">
            <v>3246</v>
          </cell>
          <cell r="AK20">
            <v>1577</v>
          </cell>
          <cell r="AL20">
            <v>987</v>
          </cell>
          <cell r="AM20">
            <v>1745</v>
          </cell>
          <cell r="AN20">
            <v>487</v>
          </cell>
          <cell r="AO20">
            <v>330</v>
          </cell>
          <cell r="AP20">
            <v>563</v>
          </cell>
          <cell r="AQ20">
            <v>975</v>
          </cell>
          <cell r="AR20">
            <v>0</v>
          </cell>
          <cell r="AS20">
            <v>708</v>
          </cell>
          <cell r="AT20">
            <v>2274</v>
          </cell>
          <cell r="AU20">
            <v>1990</v>
          </cell>
          <cell r="AV20">
            <v>5305</v>
          </cell>
          <cell r="AW20">
            <v>5389</v>
          </cell>
          <cell r="AX20">
            <v>3052</v>
          </cell>
          <cell r="AY20">
            <v>1500</v>
          </cell>
          <cell r="AZ20">
            <v>2000</v>
          </cell>
          <cell r="BA20">
            <v>2000</v>
          </cell>
          <cell r="BB20">
            <v>2000</v>
          </cell>
          <cell r="BC20">
            <v>2000</v>
          </cell>
          <cell r="BD20">
            <v>2000</v>
          </cell>
          <cell r="BE20">
            <v>2000</v>
          </cell>
          <cell r="BF20">
            <v>2000</v>
          </cell>
          <cell r="BG20">
            <v>2000</v>
          </cell>
          <cell r="BH20">
            <v>2000</v>
          </cell>
          <cell r="BI20">
            <v>2000</v>
          </cell>
          <cell r="BJ20">
            <v>2000</v>
          </cell>
          <cell r="BK20">
            <v>2000</v>
          </cell>
          <cell r="BL20">
            <v>2000</v>
          </cell>
          <cell r="BM20">
            <v>2000</v>
          </cell>
          <cell r="BN20">
            <v>2000</v>
          </cell>
          <cell r="BO20">
            <v>2000</v>
          </cell>
          <cell r="BP20">
            <v>2000</v>
          </cell>
          <cell r="BQ20">
            <v>2000</v>
          </cell>
          <cell r="BR20">
            <v>2000</v>
          </cell>
          <cell r="BS20">
            <v>3613</v>
          </cell>
          <cell r="BT20">
            <v>11011</v>
          </cell>
          <cell r="BU20">
            <v>22573</v>
          </cell>
          <cell r="BV20">
            <v>24000</v>
          </cell>
          <cell r="BW20">
            <v>24000</v>
          </cell>
          <cell r="BX20">
            <v>4367</v>
          </cell>
          <cell r="BY20">
            <v>2873</v>
          </cell>
          <cell r="BZ20">
            <v>15008</v>
          </cell>
          <cell r="CA20">
            <v>15736</v>
          </cell>
          <cell r="CB20">
            <v>15500</v>
          </cell>
        </row>
        <row r="21">
          <cell r="A21" t="str">
            <v>US59MZA1503921200003</v>
          </cell>
          <cell r="B21" t="str">
            <v>Pekin</v>
          </cell>
          <cell r="C21" t="str">
            <v>June-May</v>
          </cell>
          <cell r="D21" t="str">
            <v>US59MZA150</v>
          </cell>
          <cell r="E21" t="str">
            <v>150</v>
          </cell>
          <cell r="F21" t="str">
            <v>Distribution</v>
          </cell>
          <cell r="G21" t="str">
            <v>ZA</v>
          </cell>
          <cell r="H21">
            <v>3921200003</v>
          </cell>
          <cell r="I21" t="str">
            <v>GAS</v>
          </cell>
          <cell r="J21" t="str">
            <v>VALID</v>
          </cell>
          <cell r="K21">
            <v>0</v>
          </cell>
          <cell r="L21">
            <v>0</v>
          </cell>
          <cell r="M21">
            <v>8562</v>
          </cell>
          <cell r="N21">
            <v>3254</v>
          </cell>
          <cell r="O21">
            <v>12734</v>
          </cell>
          <cell r="P21">
            <v>15767</v>
          </cell>
          <cell r="Q21">
            <v>118</v>
          </cell>
          <cell r="R21">
            <v>14250</v>
          </cell>
          <cell r="S21">
            <v>2601</v>
          </cell>
          <cell r="T21">
            <v>813</v>
          </cell>
          <cell r="U21">
            <v>1318</v>
          </cell>
          <cell r="V21">
            <v>1738</v>
          </cell>
          <cell r="W21">
            <v>1064</v>
          </cell>
          <cell r="X21">
            <v>6367</v>
          </cell>
          <cell r="Y21">
            <v>8173</v>
          </cell>
          <cell r="Z21">
            <v>6848</v>
          </cell>
          <cell r="AA21">
            <v>7633</v>
          </cell>
          <cell r="AB21">
            <v>10403</v>
          </cell>
          <cell r="AC21">
            <v>0</v>
          </cell>
          <cell r="AD21">
            <v>2067</v>
          </cell>
          <cell r="AE21">
            <v>656</v>
          </cell>
          <cell r="AF21">
            <v>701</v>
          </cell>
          <cell r="AG21">
            <v>3015</v>
          </cell>
          <cell r="AH21">
            <v>179</v>
          </cell>
          <cell r="AI21">
            <v>2897</v>
          </cell>
          <cell r="AJ21">
            <v>0</v>
          </cell>
          <cell r="AK21">
            <v>2359</v>
          </cell>
          <cell r="AL21">
            <v>3127</v>
          </cell>
          <cell r="AM21">
            <v>3894</v>
          </cell>
          <cell r="AN21">
            <v>16139</v>
          </cell>
          <cell r="AO21">
            <v>0</v>
          </cell>
          <cell r="AP21">
            <v>7555</v>
          </cell>
          <cell r="AQ21">
            <v>6925</v>
          </cell>
          <cell r="AR21">
            <v>1757</v>
          </cell>
          <cell r="AS21">
            <v>857</v>
          </cell>
          <cell r="AT21">
            <v>1872</v>
          </cell>
          <cell r="AU21">
            <v>3855</v>
          </cell>
          <cell r="AV21">
            <v>0</v>
          </cell>
          <cell r="AW21">
            <v>5208</v>
          </cell>
          <cell r="AX21">
            <v>9252</v>
          </cell>
          <cell r="AY21">
            <v>0</v>
          </cell>
          <cell r="AZ21">
            <v>4500</v>
          </cell>
          <cell r="BA21">
            <v>4500</v>
          </cell>
          <cell r="BB21">
            <v>4500</v>
          </cell>
          <cell r="BC21">
            <v>4500</v>
          </cell>
          <cell r="BD21">
            <v>4500</v>
          </cell>
          <cell r="BE21">
            <v>4500</v>
          </cell>
          <cell r="BF21">
            <v>4500</v>
          </cell>
          <cell r="BG21">
            <v>4500</v>
          </cell>
          <cell r="BH21">
            <v>4500</v>
          </cell>
          <cell r="BI21">
            <v>4500</v>
          </cell>
          <cell r="BJ21">
            <v>4500</v>
          </cell>
          <cell r="BK21">
            <v>4500</v>
          </cell>
          <cell r="BL21">
            <v>4500</v>
          </cell>
          <cell r="BM21">
            <v>4500</v>
          </cell>
          <cell r="BN21">
            <v>4500</v>
          </cell>
          <cell r="BO21">
            <v>4500</v>
          </cell>
          <cell r="BP21">
            <v>4500</v>
          </cell>
          <cell r="BQ21">
            <v>4500</v>
          </cell>
          <cell r="BR21">
            <v>4500</v>
          </cell>
          <cell r="BS21">
            <v>66690</v>
          </cell>
          <cell r="BT21">
            <v>29298</v>
          </cell>
          <cell r="BU21">
            <v>53420</v>
          </cell>
          <cell r="BV21">
            <v>54000</v>
          </cell>
          <cell r="BW21">
            <v>54000</v>
          </cell>
          <cell r="BX21">
            <v>61155</v>
          </cell>
          <cell r="BY21">
            <v>47106</v>
          </cell>
          <cell r="BZ21">
            <v>47382</v>
          </cell>
          <cell r="CA21">
            <v>18315</v>
          </cell>
          <cell r="CB21">
            <v>31500</v>
          </cell>
        </row>
        <row r="22">
          <cell r="A22" t="str">
            <v>US59MZA1503921200006</v>
          </cell>
          <cell r="B22" t="str">
            <v>Pekin</v>
          </cell>
          <cell r="C22" t="str">
            <v>June-May</v>
          </cell>
          <cell r="D22" t="str">
            <v>US59MZA150</v>
          </cell>
          <cell r="E22" t="str">
            <v>150</v>
          </cell>
          <cell r="F22" t="str">
            <v>Distribution</v>
          </cell>
          <cell r="G22" t="str">
            <v>ZA</v>
          </cell>
          <cell r="H22">
            <v>3921200006</v>
          </cell>
          <cell r="I22" t="str">
            <v>FACTORY SUPPLIES MAINTENANCE SUPPLIES</v>
          </cell>
          <cell r="J22" t="str">
            <v>VALID</v>
          </cell>
          <cell r="K22">
            <v>118</v>
          </cell>
          <cell r="L22">
            <v>278</v>
          </cell>
          <cell r="M22">
            <v>2391</v>
          </cell>
          <cell r="N22">
            <v>371</v>
          </cell>
          <cell r="O22">
            <v>335</v>
          </cell>
          <cell r="P22">
            <v>38</v>
          </cell>
          <cell r="Q22">
            <v>415</v>
          </cell>
          <cell r="R22">
            <v>122</v>
          </cell>
          <cell r="S22">
            <v>1054</v>
          </cell>
          <cell r="T22">
            <v>127</v>
          </cell>
          <cell r="U22">
            <v>958</v>
          </cell>
          <cell r="V22">
            <v>702</v>
          </cell>
          <cell r="W22">
            <v>40</v>
          </cell>
          <cell r="X22">
            <v>118</v>
          </cell>
          <cell r="Y22">
            <v>2768</v>
          </cell>
          <cell r="Z22">
            <v>87</v>
          </cell>
          <cell r="AA22">
            <v>0</v>
          </cell>
          <cell r="AB22">
            <v>0</v>
          </cell>
          <cell r="AC22">
            <v>0</v>
          </cell>
          <cell r="AD22">
            <v>0</v>
          </cell>
          <cell r="AE22">
            <v>268</v>
          </cell>
          <cell r="AF22">
            <v>0</v>
          </cell>
          <cell r="AG22">
            <v>0</v>
          </cell>
          <cell r="AH22">
            <v>0</v>
          </cell>
          <cell r="AI22">
            <v>455</v>
          </cell>
          <cell r="AJ22">
            <v>1312</v>
          </cell>
          <cell r="AK22">
            <v>0</v>
          </cell>
          <cell r="AL22">
            <v>322</v>
          </cell>
          <cell r="AM22">
            <v>0</v>
          </cell>
          <cell r="AN22">
            <v>870</v>
          </cell>
          <cell r="AO22">
            <v>0</v>
          </cell>
          <cell r="AP22">
            <v>276</v>
          </cell>
          <cell r="AQ22">
            <v>186</v>
          </cell>
          <cell r="AR22">
            <v>0</v>
          </cell>
          <cell r="AS22">
            <v>0</v>
          </cell>
          <cell r="AT22">
            <v>-590</v>
          </cell>
          <cell r="AU22">
            <v>0</v>
          </cell>
          <cell r="AV22">
            <v>0</v>
          </cell>
          <cell r="AW22">
            <v>0</v>
          </cell>
          <cell r="AX22">
            <v>0</v>
          </cell>
          <cell r="AY22">
            <v>250</v>
          </cell>
          <cell r="AZ22">
            <v>250</v>
          </cell>
          <cell r="BA22">
            <v>250</v>
          </cell>
          <cell r="BB22">
            <v>250</v>
          </cell>
          <cell r="BC22">
            <v>250</v>
          </cell>
          <cell r="BD22">
            <v>250</v>
          </cell>
          <cell r="BE22">
            <v>250</v>
          </cell>
          <cell r="BF22">
            <v>250</v>
          </cell>
          <cell r="BG22">
            <v>250</v>
          </cell>
          <cell r="BH22">
            <v>250</v>
          </cell>
          <cell r="BI22">
            <v>250</v>
          </cell>
          <cell r="BJ22">
            <v>250</v>
          </cell>
          <cell r="BK22">
            <v>250</v>
          </cell>
          <cell r="BL22">
            <v>250</v>
          </cell>
          <cell r="BM22">
            <v>250</v>
          </cell>
          <cell r="BN22">
            <v>250</v>
          </cell>
          <cell r="BO22">
            <v>250</v>
          </cell>
          <cell r="BP22">
            <v>250</v>
          </cell>
          <cell r="BQ22">
            <v>250</v>
          </cell>
          <cell r="BR22">
            <v>250</v>
          </cell>
          <cell r="BS22">
            <v>6429</v>
          </cell>
          <cell r="BT22">
            <v>2357</v>
          </cell>
          <cell r="BU22">
            <v>992</v>
          </cell>
          <cell r="BV22">
            <v>3000</v>
          </cell>
          <cell r="BW22">
            <v>3000</v>
          </cell>
          <cell r="BX22">
            <v>6909</v>
          </cell>
          <cell r="BY22">
            <v>3281</v>
          </cell>
          <cell r="BZ22">
            <v>2831</v>
          </cell>
          <cell r="CA22">
            <v>0</v>
          </cell>
          <cell r="CB22">
            <v>2000</v>
          </cell>
        </row>
        <row r="23">
          <cell r="A23" t="str">
            <v>US59MZA1503921200010</v>
          </cell>
          <cell r="B23" t="str">
            <v>Pekin</v>
          </cell>
          <cell r="C23" t="str">
            <v>June-May</v>
          </cell>
          <cell r="D23" t="str">
            <v>US59MZA150</v>
          </cell>
          <cell r="E23" t="str">
            <v>150</v>
          </cell>
          <cell r="F23" t="str">
            <v>Distribution</v>
          </cell>
          <cell r="G23" t="str">
            <v>ZA</v>
          </cell>
          <cell r="H23">
            <v>3921200010</v>
          </cell>
          <cell r="I23" t="str">
            <v>ADMINISTRATIVE SUPPLIES</v>
          </cell>
          <cell r="J23" t="str">
            <v>VALID</v>
          </cell>
          <cell r="K23">
            <v>0</v>
          </cell>
          <cell r="L23">
            <v>151</v>
          </cell>
          <cell r="M23">
            <v>646</v>
          </cell>
          <cell r="N23">
            <v>243</v>
          </cell>
          <cell r="O23">
            <v>571</v>
          </cell>
          <cell r="P23">
            <v>19</v>
          </cell>
          <cell r="Q23">
            <v>68</v>
          </cell>
          <cell r="R23">
            <v>945</v>
          </cell>
          <cell r="S23">
            <v>465</v>
          </cell>
          <cell r="T23">
            <v>40</v>
          </cell>
          <cell r="U23">
            <v>1357</v>
          </cell>
          <cell r="V23">
            <v>392</v>
          </cell>
          <cell r="W23">
            <v>222</v>
          </cell>
          <cell r="X23">
            <v>215</v>
          </cell>
          <cell r="Y23">
            <v>14</v>
          </cell>
          <cell r="Z23">
            <v>435</v>
          </cell>
          <cell r="AA23">
            <v>0</v>
          </cell>
          <cell r="AB23">
            <v>37</v>
          </cell>
          <cell r="AC23">
            <v>101</v>
          </cell>
          <cell r="AD23">
            <v>15</v>
          </cell>
          <cell r="AE23">
            <v>7</v>
          </cell>
          <cell r="AF23">
            <v>0</v>
          </cell>
          <cell r="AG23">
            <v>0</v>
          </cell>
          <cell r="AH23">
            <v>185</v>
          </cell>
          <cell r="AI23">
            <v>460</v>
          </cell>
          <cell r="AJ23">
            <v>508</v>
          </cell>
          <cell r="AK23">
            <v>513</v>
          </cell>
          <cell r="AL23">
            <v>457</v>
          </cell>
          <cell r="AM23">
            <v>36</v>
          </cell>
          <cell r="AN23">
            <v>41</v>
          </cell>
          <cell r="AO23">
            <v>81</v>
          </cell>
          <cell r="AP23">
            <v>37</v>
          </cell>
          <cell r="AQ23">
            <v>26</v>
          </cell>
          <cell r="AR23">
            <v>0</v>
          </cell>
          <cell r="AS23">
            <v>1008</v>
          </cell>
          <cell r="AT23">
            <v>218</v>
          </cell>
          <cell r="AU23">
            <v>0</v>
          </cell>
          <cell r="AV23">
            <v>51</v>
          </cell>
          <cell r="AW23">
            <v>0</v>
          </cell>
          <cell r="AX23">
            <v>146</v>
          </cell>
          <cell r="AY23">
            <v>200</v>
          </cell>
          <cell r="AZ23">
            <v>200</v>
          </cell>
          <cell r="BA23">
            <v>200</v>
          </cell>
          <cell r="BB23">
            <v>200</v>
          </cell>
          <cell r="BC23">
            <v>200</v>
          </cell>
          <cell r="BD23">
            <v>200</v>
          </cell>
          <cell r="BE23">
            <v>200</v>
          </cell>
          <cell r="BF23">
            <v>200</v>
          </cell>
          <cell r="BG23">
            <v>200</v>
          </cell>
          <cell r="BH23">
            <v>200</v>
          </cell>
          <cell r="BI23">
            <v>200</v>
          </cell>
          <cell r="BJ23">
            <v>200</v>
          </cell>
          <cell r="BK23">
            <v>200</v>
          </cell>
          <cell r="BL23">
            <v>200</v>
          </cell>
          <cell r="BM23">
            <v>200</v>
          </cell>
          <cell r="BN23">
            <v>200</v>
          </cell>
          <cell r="BO23">
            <v>200</v>
          </cell>
          <cell r="BP23">
            <v>200</v>
          </cell>
          <cell r="BQ23">
            <v>200</v>
          </cell>
          <cell r="BR23">
            <v>200</v>
          </cell>
          <cell r="BS23">
            <v>4172</v>
          </cell>
          <cell r="BT23">
            <v>2319</v>
          </cell>
          <cell r="BU23">
            <v>1808</v>
          </cell>
          <cell r="BV23">
            <v>2400</v>
          </cell>
          <cell r="BW23">
            <v>2400</v>
          </cell>
          <cell r="BX23">
            <v>4897</v>
          </cell>
          <cell r="BY23">
            <v>1231</v>
          </cell>
          <cell r="BZ23">
            <v>3385</v>
          </cell>
          <cell r="CA23">
            <v>197</v>
          </cell>
          <cell r="CB23">
            <v>1600</v>
          </cell>
        </row>
        <row r="24">
          <cell r="A24" t="str">
            <v>US59MZA1503921200026</v>
          </cell>
          <cell r="B24" t="str">
            <v>Pekin</v>
          </cell>
          <cell r="C24" t="str">
            <v>June-May</v>
          </cell>
          <cell r="D24" t="str">
            <v>US59MZA150</v>
          </cell>
          <cell r="E24" t="str">
            <v>150</v>
          </cell>
          <cell r="F24" t="str">
            <v>Distribution</v>
          </cell>
          <cell r="G24" t="str">
            <v>ZA</v>
          </cell>
          <cell r="H24">
            <v>3921200026</v>
          </cell>
          <cell r="I24" t="str">
            <v>MISCELLANEOUS COSTS ON VEHICLES</v>
          </cell>
          <cell r="J24" t="str">
            <v>VALID</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13</v>
          </cell>
          <cell r="AF24">
            <v>0</v>
          </cell>
          <cell r="AG24">
            <v>852</v>
          </cell>
          <cell r="AH24">
            <v>204</v>
          </cell>
          <cell r="AI24">
            <v>471</v>
          </cell>
          <cell r="AJ24">
            <v>26</v>
          </cell>
          <cell r="AK24">
            <v>7008</v>
          </cell>
          <cell r="AL24">
            <v>114</v>
          </cell>
          <cell r="AM24">
            <v>334</v>
          </cell>
          <cell r="AN24">
            <v>-614</v>
          </cell>
          <cell r="AO24">
            <v>0</v>
          </cell>
          <cell r="AP24">
            <v>0</v>
          </cell>
          <cell r="AQ24">
            <v>0</v>
          </cell>
          <cell r="AR24">
            <v>67</v>
          </cell>
          <cell r="AS24">
            <v>119</v>
          </cell>
          <cell r="AT24">
            <v>108</v>
          </cell>
          <cell r="AU24">
            <v>3276</v>
          </cell>
          <cell r="AV24">
            <v>0</v>
          </cell>
          <cell r="AW24">
            <v>249</v>
          </cell>
          <cell r="AX24">
            <v>0</v>
          </cell>
          <cell r="AY24">
            <v>0</v>
          </cell>
          <cell r="AZ24">
            <v>200</v>
          </cell>
          <cell r="BA24">
            <v>200</v>
          </cell>
          <cell r="BB24">
            <v>200</v>
          </cell>
          <cell r="BC24">
            <v>200</v>
          </cell>
          <cell r="BD24">
            <v>200</v>
          </cell>
          <cell r="BE24">
            <v>200</v>
          </cell>
          <cell r="BF24">
            <v>200</v>
          </cell>
          <cell r="BG24">
            <v>200</v>
          </cell>
          <cell r="BH24">
            <v>200</v>
          </cell>
          <cell r="BI24">
            <v>200</v>
          </cell>
          <cell r="BJ24">
            <v>200</v>
          </cell>
          <cell r="BK24">
            <v>200</v>
          </cell>
          <cell r="BL24">
            <v>200</v>
          </cell>
          <cell r="BM24">
            <v>200</v>
          </cell>
          <cell r="BN24">
            <v>200</v>
          </cell>
          <cell r="BO24">
            <v>200</v>
          </cell>
          <cell r="BP24">
            <v>200</v>
          </cell>
          <cell r="BQ24">
            <v>200</v>
          </cell>
          <cell r="BR24">
            <v>200</v>
          </cell>
          <cell r="BS24">
            <v>0</v>
          </cell>
          <cell r="BT24">
            <v>9022</v>
          </cell>
          <cell r="BU24">
            <v>3205</v>
          </cell>
          <cell r="BV24">
            <v>2400</v>
          </cell>
          <cell r="BW24">
            <v>2400</v>
          </cell>
          <cell r="BX24">
            <v>0</v>
          </cell>
          <cell r="BY24">
            <v>1069</v>
          </cell>
          <cell r="BZ24">
            <v>7633</v>
          </cell>
          <cell r="CA24">
            <v>3525</v>
          </cell>
          <cell r="CB24">
            <v>1400</v>
          </cell>
        </row>
        <row r="25">
          <cell r="A25" t="str">
            <v>US59MZA1503921200037</v>
          </cell>
          <cell r="B25" t="str">
            <v>Pekin</v>
          </cell>
          <cell r="C25" t="str">
            <v>June-May</v>
          </cell>
          <cell r="D25" t="str">
            <v>US59MZA150</v>
          </cell>
          <cell r="E25" t="str">
            <v>150</v>
          </cell>
          <cell r="F25" t="str">
            <v>Distribution</v>
          </cell>
          <cell r="G25" t="str">
            <v>ZA</v>
          </cell>
          <cell r="H25">
            <v>3921200037</v>
          </cell>
          <cell r="I25" t="str">
            <v>EXHAUSTIVE EQUIPMENT</v>
          </cell>
          <cell r="J25" t="str">
            <v>VALID</v>
          </cell>
          <cell r="K25">
            <v>0</v>
          </cell>
          <cell r="L25">
            <v>0</v>
          </cell>
          <cell r="M25">
            <v>0</v>
          </cell>
          <cell r="N25">
            <v>0</v>
          </cell>
          <cell r="O25">
            <v>0</v>
          </cell>
          <cell r="P25">
            <v>0</v>
          </cell>
          <cell r="Q25">
            <v>0</v>
          </cell>
          <cell r="R25">
            <v>35</v>
          </cell>
          <cell r="S25">
            <v>2</v>
          </cell>
          <cell r="T25">
            <v>0</v>
          </cell>
          <cell r="U25">
            <v>0</v>
          </cell>
          <cell r="V25">
            <v>147</v>
          </cell>
          <cell r="W25">
            <v>416</v>
          </cell>
          <cell r="X25">
            <v>279</v>
          </cell>
          <cell r="Y25">
            <v>809</v>
          </cell>
          <cell r="Z25">
            <v>295</v>
          </cell>
          <cell r="AA25">
            <v>413</v>
          </cell>
          <cell r="AB25">
            <v>615</v>
          </cell>
          <cell r="AC25">
            <v>33</v>
          </cell>
          <cell r="AD25">
            <v>751</v>
          </cell>
          <cell r="AE25">
            <v>826</v>
          </cell>
          <cell r="AF25">
            <v>777</v>
          </cell>
          <cell r="AG25">
            <v>788</v>
          </cell>
          <cell r="AH25">
            <v>256</v>
          </cell>
          <cell r="AI25">
            <v>206</v>
          </cell>
          <cell r="AJ25">
            <v>481</v>
          </cell>
          <cell r="AK25">
            <v>1000</v>
          </cell>
          <cell r="AL25">
            <v>233</v>
          </cell>
          <cell r="AM25">
            <v>144</v>
          </cell>
          <cell r="AN25">
            <v>649</v>
          </cell>
          <cell r="AO25">
            <v>0</v>
          </cell>
          <cell r="AP25">
            <v>271</v>
          </cell>
          <cell r="AQ25">
            <v>1351</v>
          </cell>
          <cell r="AR25">
            <v>278</v>
          </cell>
          <cell r="AS25">
            <v>1179</v>
          </cell>
          <cell r="AT25">
            <v>1002</v>
          </cell>
          <cell r="AU25">
            <v>489</v>
          </cell>
          <cell r="AV25">
            <v>751</v>
          </cell>
          <cell r="AW25">
            <v>876</v>
          </cell>
          <cell r="AX25">
            <v>259</v>
          </cell>
          <cell r="AY25">
            <v>0</v>
          </cell>
          <cell r="BL25">
            <v>0</v>
          </cell>
          <cell r="BM25">
            <v>0</v>
          </cell>
          <cell r="BN25">
            <v>0</v>
          </cell>
          <cell r="BO25">
            <v>0</v>
          </cell>
          <cell r="BP25">
            <v>0</v>
          </cell>
          <cell r="BQ25">
            <v>0</v>
          </cell>
          <cell r="BR25">
            <v>0</v>
          </cell>
          <cell r="BS25">
            <v>2396</v>
          </cell>
          <cell r="BT25">
            <v>6110</v>
          </cell>
          <cell r="BU25">
            <v>7105</v>
          </cell>
          <cell r="BV25">
            <v>0</v>
          </cell>
          <cell r="BW25">
            <v>0</v>
          </cell>
          <cell r="BX25">
            <v>184</v>
          </cell>
          <cell r="BY25">
            <v>6258</v>
          </cell>
          <cell r="BZ25">
            <v>6794</v>
          </cell>
          <cell r="CA25">
            <v>2375</v>
          </cell>
          <cell r="CB25">
            <v>0</v>
          </cell>
        </row>
        <row r="26">
          <cell r="A26" t="str">
            <v>US59MZA1503921200100</v>
          </cell>
          <cell r="B26" t="str">
            <v>Pekin</v>
          </cell>
          <cell r="C26" t="str">
            <v>June-May</v>
          </cell>
          <cell r="D26" t="str">
            <v>US59MZA150</v>
          </cell>
          <cell r="E26" t="str">
            <v>150</v>
          </cell>
          <cell r="F26" t="str">
            <v>Distribution</v>
          </cell>
          <cell r="G26" t="str">
            <v>ZA</v>
          </cell>
          <cell r="H26">
            <v>3921200100</v>
          </cell>
          <cell r="I26" t="str">
            <v>FIELD &amp; PRODUCTION SUPPLIES</v>
          </cell>
          <cell r="J26" t="str">
            <v>VALID</v>
          </cell>
          <cell r="K26">
            <v>659</v>
          </cell>
          <cell r="L26">
            <v>4563</v>
          </cell>
          <cell r="M26">
            <v>4429</v>
          </cell>
          <cell r="N26">
            <v>583</v>
          </cell>
          <cell r="O26">
            <v>273</v>
          </cell>
          <cell r="P26">
            <v>9137</v>
          </cell>
          <cell r="Q26">
            <v>8393</v>
          </cell>
          <cell r="R26">
            <v>396</v>
          </cell>
          <cell r="S26">
            <v>165</v>
          </cell>
          <cell r="T26">
            <v>33</v>
          </cell>
          <cell r="U26">
            <v>0</v>
          </cell>
          <cell r="V26">
            <v>0</v>
          </cell>
          <cell r="W26">
            <v>800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3</v>
          </cell>
          <cell r="AN26">
            <v>0</v>
          </cell>
          <cell r="AO26">
            <v>0</v>
          </cell>
          <cell r="AP26">
            <v>0</v>
          </cell>
          <cell r="AQ26">
            <v>0</v>
          </cell>
          <cell r="AR26">
            <v>0</v>
          </cell>
          <cell r="AS26">
            <v>0</v>
          </cell>
          <cell r="AT26">
            <v>0</v>
          </cell>
          <cell r="AU26">
            <v>0</v>
          </cell>
          <cell r="AV26">
            <v>0</v>
          </cell>
          <cell r="AW26">
            <v>0</v>
          </cell>
          <cell r="AX26">
            <v>0</v>
          </cell>
          <cell r="AY26">
            <v>0</v>
          </cell>
          <cell r="BL26">
            <v>0</v>
          </cell>
          <cell r="BM26">
            <v>0</v>
          </cell>
          <cell r="BN26">
            <v>0</v>
          </cell>
          <cell r="BO26">
            <v>0</v>
          </cell>
          <cell r="BP26">
            <v>0</v>
          </cell>
          <cell r="BQ26">
            <v>0</v>
          </cell>
          <cell r="BR26">
            <v>0</v>
          </cell>
          <cell r="BS26">
            <v>18924</v>
          </cell>
          <cell r="BT26">
            <v>3</v>
          </cell>
          <cell r="BU26">
            <v>0</v>
          </cell>
          <cell r="BV26">
            <v>0</v>
          </cell>
          <cell r="BW26">
            <v>0</v>
          </cell>
          <cell r="BX26">
            <v>28631</v>
          </cell>
          <cell r="BY26">
            <v>800</v>
          </cell>
          <cell r="BZ26">
            <v>3</v>
          </cell>
          <cell r="CA26">
            <v>0</v>
          </cell>
          <cell r="CB26">
            <v>0</v>
          </cell>
        </row>
        <row r="27">
          <cell r="A27" t="str">
            <v>US59MZA1503941100001</v>
          </cell>
          <cell r="B27" t="str">
            <v>Pekin</v>
          </cell>
          <cell r="C27" t="str">
            <v>June-May</v>
          </cell>
          <cell r="D27" t="str">
            <v>US59MZA150</v>
          </cell>
          <cell r="E27" t="str">
            <v>150</v>
          </cell>
          <cell r="F27" t="str">
            <v>Distribution</v>
          </cell>
          <cell r="G27" t="str">
            <v>ZA</v>
          </cell>
          <cell r="H27">
            <v>3941100001</v>
          </cell>
          <cell r="I27" t="str">
            <v>FREIGHT ON SALES</v>
          </cell>
          <cell r="J27" t="str">
            <v>VALID</v>
          </cell>
          <cell r="K27">
            <v>19624</v>
          </cell>
          <cell r="L27">
            <v>89354</v>
          </cell>
          <cell r="M27">
            <v>180850</v>
          </cell>
          <cell r="N27">
            <v>305257</v>
          </cell>
          <cell r="O27">
            <v>527662</v>
          </cell>
          <cell r="P27">
            <v>189090</v>
          </cell>
          <cell r="Q27">
            <v>37728</v>
          </cell>
          <cell r="R27">
            <v>29389</v>
          </cell>
          <cell r="S27">
            <v>43204</v>
          </cell>
          <cell r="T27">
            <v>10529</v>
          </cell>
          <cell r="U27">
            <v>816</v>
          </cell>
          <cell r="V27">
            <v>-66</v>
          </cell>
          <cell r="W27">
            <v>0</v>
          </cell>
          <cell r="X27">
            <v>0</v>
          </cell>
          <cell r="Y27">
            <v>0</v>
          </cell>
          <cell r="Z27">
            <v>0</v>
          </cell>
          <cell r="AA27">
            <v>0</v>
          </cell>
          <cell r="AB27">
            <v>0</v>
          </cell>
          <cell r="AC27">
            <v>0</v>
          </cell>
          <cell r="AD27">
            <v>-308</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BL27">
            <v>0</v>
          </cell>
          <cell r="BM27">
            <v>0</v>
          </cell>
          <cell r="BN27">
            <v>0</v>
          </cell>
          <cell r="BO27">
            <v>0</v>
          </cell>
          <cell r="BP27">
            <v>0</v>
          </cell>
          <cell r="BQ27">
            <v>0</v>
          </cell>
          <cell r="BR27">
            <v>0</v>
          </cell>
          <cell r="BS27">
            <v>310690</v>
          </cell>
          <cell r="BT27">
            <v>-308</v>
          </cell>
          <cell r="BU27">
            <v>0</v>
          </cell>
          <cell r="BV27">
            <v>0</v>
          </cell>
          <cell r="BW27">
            <v>0</v>
          </cell>
          <cell r="BX27">
            <v>1433437</v>
          </cell>
          <cell r="BY27">
            <v>-308</v>
          </cell>
          <cell r="BZ27">
            <v>0</v>
          </cell>
          <cell r="CA27">
            <v>0</v>
          </cell>
          <cell r="CB27">
            <v>0</v>
          </cell>
        </row>
        <row r="28">
          <cell r="A28" t="str">
            <v>US59MZA1503941100002</v>
          </cell>
          <cell r="B28" t="str">
            <v>Pekin</v>
          </cell>
          <cell r="C28" t="str">
            <v>June-May</v>
          </cell>
          <cell r="D28" t="str">
            <v>US59MZA150</v>
          </cell>
          <cell r="E28" t="str">
            <v>150</v>
          </cell>
          <cell r="F28" t="str">
            <v>Distribution</v>
          </cell>
          <cell r="G28" t="str">
            <v>ZA</v>
          </cell>
          <cell r="H28">
            <v>3941100002</v>
          </cell>
          <cell r="I28" t="str">
            <v>FREIGHT BETWEEN PLANTS</v>
          </cell>
          <cell r="J28" t="str">
            <v>VALID</v>
          </cell>
          <cell r="K28">
            <v>27903</v>
          </cell>
          <cell r="L28">
            <v>30227</v>
          </cell>
          <cell r="M28">
            <v>74896</v>
          </cell>
          <cell r="N28">
            <v>92735</v>
          </cell>
          <cell r="O28">
            <v>114050</v>
          </cell>
          <cell r="P28">
            <v>63248</v>
          </cell>
          <cell r="Q28">
            <v>7569</v>
          </cell>
          <cell r="R28">
            <v>2723</v>
          </cell>
          <cell r="S28">
            <v>3985</v>
          </cell>
          <cell r="T28">
            <v>48642</v>
          </cell>
          <cell r="U28">
            <v>74268</v>
          </cell>
          <cell r="V28">
            <v>1446</v>
          </cell>
          <cell r="W28">
            <v>3849</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BL28">
            <v>0</v>
          </cell>
          <cell r="BM28">
            <v>0</v>
          </cell>
          <cell r="BN28">
            <v>0</v>
          </cell>
          <cell r="BO28">
            <v>0</v>
          </cell>
          <cell r="BP28">
            <v>0</v>
          </cell>
          <cell r="BQ28">
            <v>0</v>
          </cell>
          <cell r="BR28">
            <v>0</v>
          </cell>
          <cell r="BS28">
            <v>205730</v>
          </cell>
          <cell r="BT28">
            <v>0</v>
          </cell>
          <cell r="BU28">
            <v>0</v>
          </cell>
          <cell r="BV28">
            <v>0</v>
          </cell>
          <cell r="BW28">
            <v>0</v>
          </cell>
          <cell r="BX28">
            <v>541692</v>
          </cell>
          <cell r="BY28">
            <v>3849</v>
          </cell>
          <cell r="BZ28">
            <v>0</v>
          </cell>
          <cell r="CA28">
            <v>0</v>
          </cell>
          <cell r="CB28">
            <v>0</v>
          </cell>
        </row>
        <row r="29">
          <cell r="A29" t="str">
            <v>US59MZA1503941100013</v>
          </cell>
          <cell r="B29" t="str">
            <v>Pekin</v>
          </cell>
          <cell r="C29" t="str">
            <v>June-May</v>
          </cell>
          <cell r="D29" t="str">
            <v>US59MZA150</v>
          </cell>
          <cell r="E29" t="str">
            <v>150</v>
          </cell>
          <cell r="F29" t="str">
            <v>Distribution</v>
          </cell>
          <cell r="G29" t="str">
            <v>ZA</v>
          </cell>
          <cell r="H29">
            <v>3941100013</v>
          </cell>
          <cell r="I29" t="str">
            <v>FREIGHT IN</v>
          </cell>
          <cell r="J29" t="str">
            <v>VALID</v>
          </cell>
          <cell r="K29">
            <v>0</v>
          </cell>
          <cell r="L29">
            <v>216</v>
          </cell>
          <cell r="M29">
            <v>6499</v>
          </cell>
          <cell r="N29">
            <v>101</v>
          </cell>
          <cell r="O29">
            <v>3244</v>
          </cell>
          <cell r="P29">
            <v>14829</v>
          </cell>
          <cell r="Q29">
            <v>35602</v>
          </cell>
          <cell r="R29">
            <v>6318</v>
          </cell>
          <cell r="S29">
            <v>1956</v>
          </cell>
          <cell r="T29">
            <v>2587</v>
          </cell>
          <cell r="U29">
            <v>2693</v>
          </cell>
          <cell r="V29">
            <v>11427</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BL29">
            <v>0</v>
          </cell>
          <cell r="BM29">
            <v>0</v>
          </cell>
          <cell r="BN29">
            <v>0</v>
          </cell>
          <cell r="BO29">
            <v>0</v>
          </cell>
          <cell r="BP29">
            <v>0</v>
          </cell>
          <cell r="BQ29">
            <v>0</v>
          </cell>
          <cell r="BR29">
            <v>0</v>
          </cell>
          <cell r="BS29">
            <v>75412</v>
          </cell>
          <cell r="BT29">
            <v>0</v>
          </cell>
          <cell r="BU29">
            <v>0</v>
          </cell>
          <cell r="BV29">
            <v>0</v>
          </cell>
          <cell r="BW29">
            <v>0</v>
          </cell>
          <cell r="BX29">
            <v>85472</v>
          </cell>
          <cell r="BY29">
            <v>0</v>
          </cell>
          <cell r="BZ29">
            <v>0</v>
          </cell>
          <cell r="CA29">
            <v>0</v>
          </cell>
          <cell r="CB29">
            <v>0</v>
          </cell>
        </row>
        <row r="30">
          <cell r="A30" t="str">
            <v>US59MZA1503951100003</v>
          </cell>
          <cell r="B30" t="str">
            <v>Pekin</v>
          </cell>
          <cell r="C30" t="str">
            <v>June-May</v>
          </cell>
          <cell r="D30" t="str">
            <v>US59MZA150</v>
          </cell>
          <cell r="E30" t="str">
            <v>150</v>
          </cell>
          <cell r="F30" t="str">
            <v>Distribution</v>
          </cell>
          <cell r="G30" t="str">
            <v>ZA</v>
          </cell>
          <cell r="H30">
            <v>3951100003</v>
          </cell>
          <cell r="I30" t="str">
            <v>RENTALS - WAREHOUSE</v>
          </cell>
          <cell r="J30" t="str">
            <v>VALID</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row>
        <row r="31">
          <cell r="A31" t="str">
            <v>US59MZA1503951100005</v>
          </cell>
          <cell r="B31" t="str">
            <v>Pekin</v>
          </cell>
          <cell r="C31" t="str">
            <v>June-May</v>
          </cell>
          <cell r="D31" t="str">
            <v>US59MZA150</v>
          </cell>
          <cell r="E31" t="str">
            <v>150</v>
          </cell>
          <cell r="F31" t="str">
            <v>Distribution</v>
          </cell>
          <cell r="G31" t="str">
            <v>ZA</v>
          </cell>
          <cell r="H31">
            <v>3951100005</v>
          </cell>
          <cell r="I31" t="str">
            <v>OTHER RENTALS</v>
          </cell>
          <cell r="J31" t="str">
            <v>VALID</v>
          </cell>
          <cell r="K31">
            <v>0</v>
          </cell>
          <cell r="L31">
            <v>3500</v>
          </cell>
          <cell r="M31">
            <v>5000</v>
          </cell>
          <cell r="N31">
            <v>6600</v>
          </cell>
          <cell r="O31">
            <v>5600</v>
          </cell>
          <cell r="P31">
            <v>-227</v>
          </cell>
          <cell r="Q31">
            <v>0</v>
          </cell>
          <cell r="R31">
            <v>1650</v>
          </cell>
          <cell r="S31">
            <v>0</v>
          </cell>
          <cell r="T31">
            <v>0</v>
          </cell>
          <cell r="U31">
            <v>2123</v>
          </cell>
          <cell r="V31">
            <v>0</v>
          </cell>
          <cell r="W31">
            <v>0</v>
          </cell>
          <cell r="X31">
            <v>2756</v>
          </cell>
          <cell r="Y31">
            <v>0</v>
          </cell>
          <cell r="Z31">
            <v>3666</v>
          </cell>
          <cell r="AA31">
            <v>4306</v>
          </cell>
          <cell r="AB31">
            <v>0</v>
          </cell>
          <cell r="AC31">
            <v>5412</v>
          </cell>
          <cell r="AD31">
            <v>69</v>
          </cell>
          <cell r="AE31">
            <v>0</v>
          </cell>
          <cell r="AF31">
            <v>0</v>
          </cell>
          <cell r="AG31">
            <v>0</v>
          </cell>
          <cell r="AH31">
            <v>251</v>
          </cell>
          <cell r="AI31">
            <v>981</v>
          </cell>
          <cell r="AJ31">
            <v>800</v>
          </cell>
          <cell r="AK31">
            <v>1600</v>
          </cell>
          <cell r="AL31">
            <v>454</v>
          </cell>
          <cell r="AM31">
            <v>1600</v>
          </cell>
          <cell r="AN31">
            <v>415</v>
          </cell>
          <cell r="AO31">
            <v>1858</v>
          </cell>
          <cell r="AP31">
            <v>1798</v>
          </cell>
          <cell r="AQ31">
            <v>383</v>
          </cell>
          <cell r="AR31">
            <v>311</v>
          </cell>
          <cell r="AS31">
            <v>229</v>
          </cell>
          <cell r="AT31">
            <v>22</v>
          </cell>
          <cell r="AU31">
            <v>2377</v>
          </cell>
          <cell r="AV31">
            <v>1941</v>
          </cell>
          <cell r="AW31">
            <v>1785</v>
          </cell>
          <cell r="AX31">
            <v>1781</v>
          </cell>
          <cell r="AY31">
            <v>1225</v>
          </cell>
          <cell r="AZ31">
            <v>1000</v>
          </cell>
          <cell r="BA31">
            <v>1000</v>
          </cell>
          <cell r="BB31">
            <v>1000</v>
          </cell>
          <cell r="BC31">
            <v>1000</v>
          </cell>
          <cell r="BD31">
            <v>1000</v>
          </cell>
          <cell r="BE31">
            <v>1000</v>
          </cell>
          <cell r="BF31">
            <v>1000</v>
          </cell>
          <cell r="BG31">
            <v>1000</v>
          </cell>
          <cell r="BH31">
            <v>1000</v>
          </cell>
          <cell r="BI31">
            <v>1000</v>
          </cell>
          <cell r="BJ31">
            <v>1000</v>
          </cell>
          <cell r="BK31">
            <v>1000</v>
          </cell>
          <cell r="BL31">
            <v>1000</v>
          </cell>
          <cell r="BM31">
            <v>1000</v>
          </cell>
          <cell r="BN31">
            <v>1000</v>
          </cell>
          <cell r="BO31">
            <v>1000</v>
          </cell>
          <cell r="BP31">
            <v>1000</v>
          </cell>
          <cell r="BQ31">
            <v>1000</v>
          </cell>
          <cell r="BR31">
            <v>1000</v>
          </cell>
          <cell r="BS31">
            <v>14274</v>
          </cell>
          <cell r="BT31">
            <v>11167</v>
          </cell>
          <cell r="BU31">
            <v>14125</v>
          </cell>
          <cell r="BV31">
            <v>12000</v>
          </cell>
          <cell r="BW31">
            <v>12000</v>
          </cell>
          <cell r="BX31">
            <v>24246</v>
          </cell>
          <cell r="BY31">
            <v>16460</v>
          </cell>
          <cell r="BZ31">
            <v>10451</v>
          </cell>
          <cell r="CA31">
            <v>7884</v>
          </cell>
          <cell r="CB31">
            <v>8225</v>
          </cell>
        </row>
        <row r="32">
          <cell r="A32" t="str">
            <v>US59MZA1503951200002</v>
          </cell>
          <cell r="B32" t="str">
            <v>Pekin</v>
          </cell>
          <cell r="C32" t="str">
            <v>June-May</v>
          </cell>
          <cell r="D32" t="str">
            <v>US59MZA150</v>
          </cell>
          <cell r="E32" t="str">
            <v>150</v>
          </cell>
          <cell r="F32" t="str">
            <v>Distribution</v>
          </cell>
          <cell r="G32" t="str">
            <v>ZA</v>
          </cell>
          <cell r="H32">
            <v>3951200002</v>
          </cell>
          <cell r="I32" t="str">
            <v>OPERATING LEASES - VEHICLES (SHORT DURAT</v>
          </cell>
          <cell r="J32" t="str">
            <v>VALID</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row>
        <row r="33">
          <cell r="A33" t="str">
            <v>US59MZA1503991200012</v>
          </cell>
          <cell r="B33" t="str">
            <v>Pekin</v>
          </cell>
          <cell r="C33" t="str">
            <v>June-May</v>
          </cell>
          <cell r="D33" t="str">
            <v>US59MZA150</v>
          </cell>
          <cell r="E33" t="str">
            <v>150</v>
          </cell>
          <cell r="F33" t="str">
            <v>Distribution</v>
          </cell>
          <cell r="G33" t="str">
            <v>ZA</v>
          </cell>
          <cell r="H33">
            <v>3991200012</v>
          </cell>
          <cell r="I33" t="str">
            <v>DELIVERY SERVICES</v>
          </cell>
          <cell r="J33" t="str">
            <v>VALID</v>
          </cell>
          <cell r="K33">
            <v>0</v>
          </cell>
          <cell r="L33">
            <v>0</v>
          </cell>
          <cell r="M33">
            <v>65</v>
          </cell>
          <cell r="N33">
            <v>0</v>
          </cell>
          <cell r="O33">
            <v>2438</v>
          </cell>
          <cell r="P33">
            <v>18</v>
          </cell>
          <cell r="Q33">
            <v>0</v>
          </cell>
          <cell r="R33">
            <v>816</v>
          </cell>
          <cell r="S33">
            <v>56</v>
          </cell>
          <cell r="T33">
            <v>218</v>
          </cell>
          <cell r="U33">
            <v>148</v>
          </cell>
          <cell r="V33">
            <v>170</v>
          </cell>
          <cell r="W33">
            <v>144</v>
          </cell>
          <cell r="X33">
            <v>78</v>
          </cell>
          <cell r="Y33">
            <v>22</v>
          </cell>
          <cell r="Z33">
            <v>0</v>
          </cell>
          <cell r="AA33">
            <v>0</v>
          </cell>
          <cell r="AB33">
            <v>0</v>
          </cell>
          <cell r="AC33">
            <v>0</v>
          </cell>
          <cell r="AD33">
            <v>190</v>
          </cell>
          <cell r="AE33">
            <v>0</v>
          </cell>
          <cell r="AF33">
            <v>9</v>
          </cell>
          <cell r="AG33">
            <v>0</v>
          </cell>
          <cell r="AH33">
            <v>6</v>
          </cell>
          <cell r="AI33">
            <v>0</v>
          </cell>
          <cell r="AJ33">
            <v>0</v>
          </cell>
          <cell r="AK33">
            <v>0</v>
          </cell>
          <cell r="AL33">
            <v>227</v>
          </cell>
          <cell r="AM33">
            <v>0</v>
          </cell>
          <cell r="AN33">
            <v>0</v>
          </cell>
          <cell r="AO33">
            <v>0</v>
          </cell>
          <cell r="AP33">
            <v>0</v>
          </cell>
          <cell r="AQ33">
            <v>0</v>
          </cell>
          <cell r="AR33">
            <v>18</v>
          </cell>
          <cell r="AS33">
            <v>15</v>
          </cell>
          <cell r="AT33">
            <v>0</v>
          </cell>
          <cell r="AU33">
            <v>4</v>
          </cell>
          <cell r="AV33">
            <v>0</v>
          </cell>
          <cell r="AW33">
            <v>0</v>
          </cell>
          <cell r="AX33">
            <v>1072</v>
          </cell>
          <cell r="AY33">
            <v>200</v>
          </cell>
          <cell r="AZ33">
            <v>200</v>
          </cell>
          <cell r="BA33">
            <v>200</v>
          </cell>
          <cell r="BB33">
            <v>200</v>
          </cell>
          <cell r="BC33">
            <v>200</v>
          </cell>
          <cell r="BD33">
            <v>200</v>
          </cell>
          <cell r="BE33">
            <v>200</v>
          </cell>
          <cell r="BF33">
            <v>200</v>
          </cell>
          <cell r="BG33">
            <v>200</v>
          </cell>
          <cell r="BH33">
            <v>200</v>
          </cell>
          <cell r="BI33">
            <v>200</v>
          </cell>
          <cell r="BJ33">
            <v>200</v>
          </cell>
          <cell r="BK33">
            <v>200</v>
          </cell>
          <cell r="BL33">
            <v>200</v>
          </cell>
          <cell r="BM33">
            <v>200</v>
          </cell>
          <cell r="BN33">
            <v>200</v>
          </cell>
          <cell r="BO33">
            <v>200</v>
          </cell>
          <cell r="BP33">
            <v>200</v>
          </cell>
          <cell r="BQ33">
            <v>200</v>
          </cell>
          <cell r="BR33">
            <v>200</v>
          </cell>
          <cell r="BS33">
            <v>1670</v>
          </cell>
          <cell r="BT33">
            <v>432</v>
          </cell>
          <cell r="BU33">
            <v>1309</v>
          </cell>
          <cell r="BV33">
            <v>2400</v>
          </cell>
          <cell r="BW33">
            <v>2400</v>
          </cell>
          <cell r="BX33">
            <v>3929</v>
          </cell>
          <cell r="BY33">
            <v>449</v>
          </cell>
          <cell r="BZ33">
            <v>260</v>
          </cell>
          <cell r="CA33">
            <v>1076</v>
          </cell>
          <cell r="CB33">
            <v>1600</v>
          </cell>
        </row>
        <row r="34">
          <cell r="A34" t="str">
            <v>US59MZA1503111100020</v>
          </cell>
          <cell r="B34" t="str">
            <v>Pekin</v>
          </cell>
          <cell r="C34" t="str">
            <v>June-May</v>
          </cell>
          <cell r="D34" t="str">
            <v>US59MZA150</v>
          </cell>
          <cell r="E34" t="str">
            <v>150</v>
          </cell>
          <cell r="F34" t="str">
            <v>Distribution</v>
          </cell>
          <cell r="G34" t="str">
            <v>ZA</v>
          </cell>
          <cell r="H34">
            <v>3111100020</v>
          </cell>
          <cell r="I34" t="str">
            <v>INCENTIVE PLAN (functions)</v>
          </cell>
          <cell r="J34" t="str">
            <v>INVALID</v>
          </cell>
          <cell r="K34">
            <v>0</v>
          </cell>
          <cell r="L34">
            <v>0</v>
          </cell>
          <cell r="M34">
            <v>0</v>
          </cell>
          <cell r="N34">
            <v>0</v>
          </cell>
          <cell r="O34">
            <v>0</v>
          </cell>
          <cell r="P34">
            <v>0</v>
          </cell>
          <cell r="Q34">
            <v>0</v>
          </cell>
          <cell r="R34">
            <v>0</v>
          </cell>
          <cell r="S34">
            <v>0</v>
          </cell>
          <cell r="T34">
            <v>0</v>
          </cell>
          <cell r="U34">
            <v>0</v>
          </cell>
          <cell r="V34">
            <v>0</v>
          </cell>
          <cell r="W34">
            <v>562</v>
          </cell>
          <cell r="X34">
            <v>-562</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BS34">
            <v>0</v>
          </cell>
          <cell r="BT34">
            <v>0</v>
          </cell>
          <cell r="BU34">
            <v>0</v>
          </cell>
          <cell r="BV34">
            <v>0</v>
          </cell>
          <cell r="BW34">
            <v>0</v>
          </cell>
          <cell r="BX34">
            <v>0</v>
          </cell>
          <cell r="BY34">
            <v>0</v>
          </cell>
          <cell r="BZ34">
            <v>0</v>
          </cell>
          <cell r="CA34">
            <v>0</v>
          </cell>
          <cell r="CB34">
            <v>0</v>
          </cell>
        </row>
        <row r="35">
          <cell r="A35" t="str">
            <v>US59MZA1503131100005</v>
          </cell>
          <cell r="B35" t="str">
            <v>Pekin</v>
          </cell>
          <cell r="C35" t="str">
            <v>June-May</v>
          </cell>
          <cell r="D35" t="str">
            <v>US59MZA150</v>
          </cell>
          <cell r="E35" t="str">
            <v>150</v>
          </cell>
          <cell r="F35" t="str">
            <v>Distribution</v>
          </cell>
          <cell r="G35" t="str">
            <v>ZA</v>
          </cell>
          <cell r="H35">
            <v>3131100005</v>
          </cell>
          <cell r="I35" t="str">
            <v>MOVINGS</v>
          </cell>
          <cell r="J35" t="str">
            <v>INVALID</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537</v>
          </cell>
          <cell r="AX35">
            <v>0</v>
          </cell>
          <cell r="AY35">
            <v>0</v>
          </cell>
          <cell r="BS35">
            <v>0</v>
          </cell>
          <cell r="BT35">
            <v>0</v>
          </cell>
          <cell r="BU35">
            <v>537</v>
          </cell>
          <cell r="BV35">
            <v>0</v>
          </cell>
          <cell r="BW35">
            <v>0</v>
          </cell>
          <cell r="BX35">
            <v>0</v>
          </cell>
          <cell r="BY35">
            <v>0</v>
          </cell>
          <cell r="BZ35">
            <v>0</v>
          </cell>
          <cell r="CA35">
            <v>537</v>
          </cell>
          <cell r="CB35">
            <v>0</v>
          </cell>
        </row>
        <row r="36">
          <cell r="A36" t="str">
            <v>US59MZA1503131100007</v>
          </cell>
          <cell r="B36" t="str">
            <v>Pekin</v>
          </cell>
          <cell r="C36" t="str">
            <v>June-May</v>
          </cell>
          <cell r="D36" t="str">
            <v>US59MZA150</v>
          </cell>
          <cell r="E36" t="str">
            <v>150</v>
          </cell>
          <cell r="F36" t="str">
            <v>Distribution</v>
          </cell>
          <cell r="G36" t="str">
            <v>ZA</v>
          </cell>
          <cell r="H36">
            <v>3131100007</v>
          </cell>
          <cell r="I36" t="str">
            <v>EXTERNAL TRAINING</v>
          </cell>
          <cell r="J36" t="str">
            <v>INVALID</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46</v>
          </cell>
          <cell r="AY36">
            <v>0</v>
          </cell>
          <cell r="BS36">
            <v>0</v>
          </cell>
          <cell r="BT36">
            <v>0</v>
          </cell>
          <cell r="BU36">
            <v>46</v>
          </cell>
          <cell r="BV36">
            <v>0</v>
          </cell>
          <cell r="BW36">
            <v>0</v>
          </cell>
          <cell r="BX36">
            <v>0</v>
          </cell>
          <cell r="BY36">
            <v>0</v>
          </cell>
          <cell r="BZ36">
            <v>0</v>
          </cell>
          <cell r="CA36">
            <v>46</v>
          </cell>
          <cell r="CB36">
            <v>0</v>
          </cell>
        </row>
        <row r="37">
          <cell r="A37" t="str">
            <v>US59MZA1503201300002</v>
          </cell>
          <cell r="B37" t="str">
            <v>Pekin</v>
          </cell>
          <cell r="C37" t="str">
            <v>June-May</v>
          </cell>
          <cell r="D37" t="str">
            <v>US59MZA150</v>
          </cell>
          <cell r="E37" t="str">
            <v>150</v>
          </cell>
          <cell r="F37" t="str">
            <v>Distribution</v>
          </cell>
          <cell r="G37" t="str">
            <v>ZA</v>
          </cell>
          <cell r="H37">
            <v>3201300002</v>
          </cell>
          <cell r="I37" t="str">
            <v>O/S SERVICES</v>
          </cell>
          <cell r="J37" t="str">
            <v>INVALID</v>
          </cell>
          <cell r="K37">
            <v>0</v>
          </cell>
          <cell r="L37">
            <v>304</v>
          </cell>
          <cell r="M37">
            <v>156</v>
          </cell>
          <cell r="N37">
            <v>156</v>
          </cell>
          <cell r="O37">
            <v>32</v>
          </cell>
          <cell r="P37">
            <v>1742</v>
          </cell>
          <cell r="Q37">
            <v>274</v>
          </cell>
          <cell r="R37">
            <v>1307</v>
          </cell>
          <cell r="S37">
            <v>1099</v>
          </cell>
          <cell r="T37">
            <v>4233</v>
          </cell>
          <cell r="U37">
            <v>965</v>
          </cell>
          <cell r="V37">
            <v>754</v>
          </cell>
          <cell r="W37">
            <v>274</v>
          </cell>
          <cell r="X37">
            <v>176</v>
          </cell>
          <cell r="Y37">
            <v>312</v>
          </cell>
          <cell r="Z37">
            <v>2884</v>
          </cell>
          <cell r="AA37">
            <v>0</v>
          </cell>
          <cell r="AB37">
            <v>312</v>
          </cell>
          <cell r="AC37">
            <v>692</v>
          </cell>
          <cell r="AD37">
            <v>5547</v>
          </cell>
          <cell r="AE37">
            <v>942</v>
          </cell>
          <cell r="AF37">
            <v>546</v>
          </cell>
          <cell r="AG37">
            <v>182</v>
          </cell>
          <cell r="AH37">
            <v>380</v>
          </cell>
          <cell r="AI37">
            <v>57</v>
          </cell>
          <cell r="AJ37">
            <v>540</v>
          </cell>
          <cell r="AK37">
            <v>3547</v>
          </cell>
          <cell r="AL37">
            <v>16</v>
          </cell>
          <cell r="AM37">
            <v>182</v>
          </cell>
          <cell r="AN37">
            <v>0</v>
          </cell>
          <cell r="AO37">
            <v>0</v>
          </cell>
          <cell r="AP37">
            <v>0</v>
          </cell>
          <cell r="AQ37">
            <v>0</v>
          </cell>
          <cell r="AR37">
            <v>0</v>
          </cell>
          <cell r="AS37">
            <v>22</v>
          </cell>
          <cell r="AT37">
            <v>0</v>
          </cell>
          <cell r="AU37">
            <v>0</v>
          </cell>
          <cell r="AV37">
            <v>0</v>
          </cell>
          <cell r="AW37">
            <v>2150</v>
          </cell>
          <cell r="AX37">
            <v>979</v>
          </cell>
          <cell r="AY37">
            <v>0</v>
          </cell>
          <cell r="BS37">
            <v>14020</v>
          </cell>
          <cell r="BT37">
            <v>12943</v>
          </cell>
          <cell r="BU37">
            <v>3151</v>
          </cell>
          <cell r="BV37">
            <v>0</v>
          </cell>
          <cell r="BW37">
            <v>0</v>
          </cell>
          <cell r="BX37">
            <v>11022</v>
          </cell>
          <cell r="BY37">
            <v>12247</v>
          </cell>
          <cell r="BZ37">
            <v>4364</v>
          </cell>
          <cell r="CA37">
            <v>3129</v>
          </cell>
          <cell r="CB37">
            <v>0</v>
          </cell>
        </row>
        <row r="38">
          <cell r="A38" t="str">
            <v>US59MZA1503201300003</v>
          </cell>
          <cell r="B38" t="str">
            <v>Pekin</v>
          </cell>
          <cell r="C38" t="str">
            <v>June-May</v>
          </cell>
          <cell r="D38" t="str">
            <v>US59MZA150</v>
          </cell>
          <cell r="E38" t="str">
            <v>150</v>
          </cell>
          <cell r="F38" t="str">
            <v>Distribution</v>
          </cell>
          <cell r="G38" t="str">
            <v>ZA</v>
          </cell>
          <cell r="H38">
            <v>3201300003</v>
          </cell>
          <cell r="I38" t="str">
            <v>O/S SERVICES - COLLECTION AGENCY</v>
          </cell>
          <cell r="J38" t="str">
            <v>INVALID</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158</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BS38">
            <v>158</v>
          </cell>
          <cell r="BT38">
            <v>0</v>
          </cell>
          <cell r="BU38">
            <v>0</v>
          </cell>
          <cell r="BV38">
            <v>0</v>
          </cell>
          <cell r="BW38">
            <v>0</v>
          </cell>
          <cell r="BX38">
            <v>0</v>
          </cell>
          <cell r="BY38">
            <v>158</v>
          </cell>
          <cell r="BZ38">
            <v>0</v>
          </cell>
          <cell r="CA38">
            <v>0</v>
          </cell>
          <cell r="CB38">
            <v>0</v>
          </cell>
        </row>
        <row r="39">
          <cell r="A39" t="str">
            <v>US59MZA1503201300004</v>
          </cell>
          <cell r="B39" t="str">
            <v>Pekin</v>
          </cell>
          <cell r="C39" t="str">
            <v>June-May</v>
          </cell>
          <cell r="D39" t="str">
            <v>US59MZA150</v>
          </cell>
          <cell r="E39" t="str">
            <v>150</v>
          </cell>
          <cell r="F39" t="str">
            <v>Distribution</v>
          </cell>
          <cell r="G39" t="str">
            <v>ZA</v>
          </cell>
          <cell r="H39">
            <v>3201300004</v>
          </cell>
          <cell r="I39" t="str">
            <v>O/S SERVICES - COMPUTER PROGRAMMING</v>
          </cell>
          <cell r="J39" t="str">
            <v>INVALID</v>
          </cell>
          <cell r="K39">
            <v>0</v>
          </cell>
          <cell r="L39">
            <v>0</v>
          </cell>
          <cell r="M39">
            <v>0</v>
          </cell>
          <cell r="N39">
            <v>0</v>
          </cell>
          <cell r="O39">
            <v>0</v>
          </cell>
          <cell r="P39">
            <v>0</v>
          </cell>
          <cell r="Q39">
            <v>6986</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BS39">
            <v>6986</v>
          </cell>
          <cell r="BT39">
            <v>0</v>
          </cell>
          <cell r="BU39">
            <v>0</v>
          </cell>
          <cell r="BV39">
            <v>0</v>
          </cell>
          <cell r="BW39">
            <v>0</v>
          </cell>
          <cell r="BX39">
            <v>6986</v>
          </cell>
          <cell r="BY39">
            <v>0</v>
          </cell>
          <cell r="BZ39">
            <v>0</v>
          </cell>
          <cell r="CA39">
            <v>0</v>
          </cell>
          <cell r="CB39">
            <v>0</v>
          </cell>
        </row>
        <row r="40">
          <cell r="A40" t="str">
            <v>US59MZA1503201400003</v>
          </cell>
          <cell r="B40" t="str">
            <v>Pekin</v>
          </cell>
          <cell r="C40" t="str">
            <v>June-May</v>
          </cell>
          <cell r="D40" t="str">
            <v>US59MZA150</v>
          </cell>
          <cell r="E40" t="str">
            <v>150</v>
          </cell>
          <cell r="F40" t="str">
            <v>Distribution</v>
          </cell>
          <cell r="G40" t="str">
            <v>ZA</v>
          </cell>
          <cell r="H40">
            <v>3201400003</v>
          </cell>
          <cell r="I40" t="str">
            <v>MAINTENANCE OF OFFICE EQUIPMENT AND FURN</v>
          </cell>
          <cell r="J40" t="str">
            <v>INVALID</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159</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BS40">
            <v>159</v>
          </cell>
          <cell r="BT40">
            <v>0</v>
          </cell>
          <cell r="BU40">
            <v>0</v>
          </cell>
          <cell r="BV40">
            <v>0</v>
          </cell>
          <cell r="BW40">
            <v>0</v>
          </cell>
          <cell r="BX40">
            <v>0</v>
          </cell>
          <cell r="BY40">
            <v>159</v>
          </cell>
          <cell r="BZ40">
            <v>0</v>
          </cell>
          <cell r="CA40">
            <v>0</v>
          </cell>
          <cell r="CB40">
            <v>0</v>
          </cell>
        </row>
        <row r="41">
          <cell r="A41" t="str">
            <v>US59MZA1503201400004</v>
          </cell>
          <cell r="B41" t="str">
            <v>Pekin</v>
          </cell>
          <cell r="C41" t="str">
            <v>June-May</v>
          </cell>
          <cell r="D41" t="str">
            <v>US59MZA150</v>
          </cell>
          <cell r="E41" t="str">
            <v>150</v>
          </cell>
          <cell r="F41" t="str">
            <v>Distribution</v>
          </cell>
          <cell r="G41" t="str">
            <v>ZA</v>
          </cell>
          <cell r="H41">
            <v>3201400004</v>
          </cell>
          <cell r="I41" t="str">
            <v>MAINTENANCE OF TECHNICAL EQUIPMENT</v>
          </cell>
          <cell r="J41" t="str">
            <v>INVALID</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316</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BS41">
            <v>0</v>
          </cell>
          <cell r="BT41">
            <v>316</v>
          </cell>
          <cell r="BU41">
            <v>0</v>
          </cell>
          <cell r="BV41">
            <v>0</v>
          </cell>
          <cell r="BW41">
            <v>0</v>
          </cell>
          <cell r="BX41">
            <v>0</v>
          </cell>
          <cell r="BY41">
            <v>316</v>
          </cell>
          <cell r="BZ41">
            <v>0</v>
          </cell>
          <cell r="CA41">
            <v>0</v>
          </cell>
          <cell r="CB41">
            <v>0</v>
          </cell>
        </row>
        <row r="42">
          <cell r="A42" t="str">
            <v>US59MZA1503201400025</v>
          </cell>
          <cell r="B42" t="str">
            <v>Pekin</v>
          </cell>
          <cell r="C42" t="str">
            <v>June-May</v>
          </cell>
          <cell r="D42" t="str">
            <v>US59MZA150</v>
          </cell>
          <cell r="E42" t="str">
            <v>150</v>
          </cell>
          <cell r="F42" t="str">
            <v>Distribution</v>
          </cell>
          <cell r="G42" t="str">
            <v>ZA</v>
          </cell>
          <cell r="H42">
            <v>3201400025</v>
          </cell>
          <cell r="I42" t="str">
            <v>CLEANING EXPENSES</v>
          </cell>
          <cell r="J42" t="str">
            <v>INVALID</v>
          </cell>
          <cell r="K42">
            <v>0</v>
          </cell>
          <cell r="L42">
            <v>0</v>
          </cell>
          <cell r="M42">
            <v>0</v>
          </cell>
          <cell r="N42">
            <v>0</v>
          </cell>
          <cell r="O42">
            <v>0</v>
          </cell>
          <cell r="P42">
            <v>0</v>
          </cell>
          <cell r="Q42">
            <v>0</v>
          </cell>
          <cell r="R42">
            <v>0</v>
          </cell>
          <cell r="S42">
            <v>300</v>
          </cell>
          <cell r="T42">
            <v>811</v>
          </cell>
          <cell r="U42">
            <v>0</v>
          </cell>
          <cell r="V42">
            <v>0</v>
          </cell>
          <cell r="W42">
            <v>730</v>
          </cell>
          <cell r="X42">
            <v>0</v>
          </cell>
          <cell r="Y42">
            <v>0</v>
          </cell>
          <cell r="Z42">
            <v>0</v>
          </cell>
          <cell r="AA42">
            <v>0</v>
          </cell>
          <cell r="AB42">
            <v>0</v>
          </cell>
          <cell r="AC42">
            <v>0</v>
          </cell>
          <cell r="AD42">
            <v>0</v>
          </cell>
          <cell r="AE42">
            <v>0</v>
          </cell>
          <cell r="AF42">
            <v>0</v>
          </cell>
          <cell r="AG42">
            <v>0</v>
          </cell>
          <cell r="AH42">
            <v>0</v>
          </cell>
          <cell r="AI42">
            <v>246</v>
          </cell>
          <cell r="AJ42">
            <v>0</v>
          </cell>
          <cell r="AK42">
            <v>245</v>
          </cell>
          <cell r="AL42">
            <v>0</v>
          </cell>
          <cell r="AM42">
            <v>0</v>
          </cell>
          <cell r="AN42">
            <v>0</v>
          </cell>
          <cell r="AO42">
            <v>0</v>
          </cell>
          <cell r="AP42">
            <v>0</v>
          </cell>
          <cell r="AQ42">
            <v>0</v>
          </cell>
          <cell r="AR42">
            <v>0</v>
          </cell>
          <cell r="AS42">
            <v>245</v>
          </cell>
          <cell r="AT42">
            <v>0</v>
          </cell>
          <cell r="AU42">
            <v>0</v>
          </cell>
          <cell r="AV42">
            <v>0</v>
          </cell>
          <cell r="AW42">
            <v>144</v>
          </cell>
          <cell r="AX42">
            <v>905</v>
          </cell>
          <cell r="AY42">
            <v>0</v>
          </cell>
          <cell r="BS42">
            <v>1841</v>
          </cell>
          <cell r="BT42">
            <v>491</v>
          </cell>
          <cell r="BU42">
            <v>1294</v>
          </cell>
          <cell r="BV42">
            <v>0</v>
          </cell>
          <cell r="BW42">
            <v>0</v>
          </cell>
          <cell r="BX42">
            <v>1111</v>
          </cell>
          <cell r="BY42">
            <v>730</v>
          </cell>
          <cell r="BZ42">
            <v>736</v>
          </cell>
          <cell r="CA42">
            <v>1049</v>
          </cell>
          <cell r="CB42">
            <v>0</v>
          </cell>
        </row>
        <row r="43">
          <cell r="A43" t="str">
            <v>US59MZA1503201400054</v>
          </cell>
          <cell r="B43" t="str">
            <v>Pekin</v>
          </cell>
          <cell r="C43" t="str">
            <v>June-May</v>
          </cell>
          <cell r="D43" t="str">
            <v>US59MZA150</v>
          </cell>
          <cell r="E43" t="str">
            <v>150</v>
          </cell>
          <cell r="F43" t="str">
            <v>Distribution</v>
          </cell>
          <cell r="G43" t="str">
            <v>ZA</v>
          </cell>
          <cell r="H43">
            <v>3201400054</v>
          </cell>
          <cell r="I43" t="str">
            <v>TECHNICAL SERVICES</v>
          </cell>
          <cell r="J43" t="str">
            <v>INVALID</v>
          </cell>
          <cell r="K43">
            <v>0</v>
          </cell>
          <cell r="L43">
            <v>0</v>
          </cell>
          <cell r="M43">
            <v>0</v>
          </cell>
          <cell r="N43">
            <v>0</v>
          </cell>
          <cell r="O43">
            <v>0</v>
          </cell>
          <cell r="P43">
            <v>0</v>
          </cell>
          <cell r="Q43">
            <v>0</v>
          </cell>
          <cell r="R43">
            <v>0</v>
          </cell>
          <cell r="S43">
            <v>0</v>
          </cell>
          <cell r="T43">
            <v>0</v>
          </cell>
          <cell r="U43">
            <v>0</v>
          </cell>
          <cell r="V43">
            <v>0</v>
          </cell>
          <cell r="W43">
            <v>60</v>
          </cell>
          <cell r="X43">
            <v>0</v>
          </cell>
          <cell r="Y43">
            <v>0</v>
          </cell>
          <cell r="Z43">
            <v>0</v>
          </cell>
          <cell r="AA43">
            <v>21</v>
          </cell>
          <cell r="AB43">
            <v>51</v>
          </cell>
          <cell r="AC43">
            <v>0</v>
          </cell>
          <cell r="AD43">
            <v>0</v>
          </cell>
          <cell r="AE43">
            <v>0</v>
          </cell>
          <cell r="AF43">
            <v>0</v>
          </cell>
          <cell r="AG43">
            <v>0</v>
          </cell>
          <cell r="AH43">
            <v>60</v>
          </cell>
          <cell r="AI43">
            <v>67</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BS43">
            <v>81</v>
          </cell>
          <cell r="BT43">
            <v>178</v>
          </cell>
          <cell r="BU43">
            <v>0</v>
          </cell>
          <cell r="BV43">
            <v>0</v>
          </cell>
          <cell r="BW43">
            <v>0</v>
          </cell>
          <cell r="BX43">
            <v>0</v>
          </cell>
          <cell r="BY43">
            <v>192</v>
          </cell>
          <cell r="BZ43">
            <v>67</v>
          </cell>
          <cell r="CA43">
            <v>0</v>
          </cell>
          <cell r="CB43">
            <v>0</v>
          </cell>
        </row>
        <row r="44">
          <cell r="A44" t="str">
            <v>US59MZA1503201400055</v>
          </cell>
          <cell r="B44" t="str">
            <v>Pekin</v>
          </cell>
          <cell r="C44" t="str">
            <v>June-May</v>
          </cell>
          <cell r="D44" t="str">
            <v>US59MZA150</v>
          </cell>
          <cell r="E44" t="str">
            <v>150</v>
          </cell>
          <cell r="F44" t="str">
            <v>Distribution</v>
          </cell>
          <cell r="G44" t="str">
            <v>ZA</v>
          </cell>
          <cell r="H44">
            <v>3201400055</v>
          </cell>
          <cell r="I44" t="str">
            <v>LABORATORY TESTING</v>
          </cell>
          <cell r="J44" t="str">
            <v>INVALID</v>
          </cell>
          <cell r="K44">
            <v>0</v>
          </cell>
          <cell r="L44">
            <v>0</v>
          </cell>
          <cell r="M44">
            <v>0</v>
          </cell>
          <cell r="N44">
            <v>0</v>
          </cell>
          <cell r="O44">
            <v>0</v>
          </cell>
          <cell r="P44">
            <v>0</v>
          </cell>
          <cell r="Q44">
            <v>0</v>
          </cell>
          <cell r="R44">
            <v>0</v>
          </cell>
          <cell r="S44">
            <v>0</v>
          </cell>
          <cell r="T44">
            <v>250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BS44">
            <v>250</v>
          </cell>
          <cell r="BT44">
            <v>0</v>
          </cell>
          <cell r="BU44">
            <v>0</v>
          </cell>
          <cell r="BV44">
            <v>0</v>
          </cell>
          <cell r="BW44">
            <v>0</v>
          </cell>
          <cell r="BX44">
            <v>250</v>
          </cell>
          <cell r="BY44">
            <v>0</v>
          </cell>
          <cell r="BZ44">
            <v>0</v>
          </cell>
          <cell r="CA44">
            <v>0</v>
          </cell>
          <cell r="CB44">
            <v>0</v>
          </cell>
        </row>
        <row r="45">
          <cell r="A45" t="str">
            <v>US59MZA1503201400063</v>
          </cell>
          <cell r="B45" t="str">
            <v>Pekin</v>
          </cell>
          <cell r="C45" t="str">
            <v>June-May</v>
          </cell>
          <cell r="D45" t="str">
            <v>US59MZA150</v>
          </cell>
          <cell r="E45" t="str">
            <v>150</v>
          </cell>
          <cell r="F45" t="str">
            <v>Distribution</v>
          </cell>
          <cell r="G45" t="str">
            <v>ZA</v>
          </cell>
          <cell r="H45">
            <v>3201400063</v>
          </cell>
          <cell r="I45" t="str">
            <v>DISCARD HANDLING FEES</v>
          </cell>
          <cell r="J45" t="str">
            <v>INVALID</v>
          </cell>
          <cell r="K45">
            <v>0</v>
          </cell>
          <cell r="L45">
            <v>0</v>
          </cell>
          <cell r="M45">
            <v>0</v>
          </cell>
          <cell r="N45">
            <v>0</v>
          </cell>
          <cell r="O45">
            <v>0</v>
          </cell>
          <cell r="P45">
            <v>0</v>
          </cell>
          <cell r="Q45">
            <v>0</v>
          </cell>
          <cell r="R45">
            <v>2981</v>
          </cell>
          <cell r="S45">
            <v>0</v>
          </cell>
          <cell r="T45">
            <v>0</v>
          </cell>
          <cell r="U45">
            <v>0</v>
          </cell>
          <cell r="V45">
            <v>0</v>
          </cell>
          <cell r="W45">
            <v>0</v>
          </cell>
          <cell r="X45">
            <v>0</v>
          </cell>
          <cell r="Y45">
            <v>0</v>
          </cell>
          <cell r="Z45">
            <v>0</v>
          </cell>
          <cell r="AA45">
            <v>0</v>
          </cell>
          <cell r="AB45">
            <v>0</v>
          </cell>
          <cell r="AC45">
            <v>0</v>
          </cell>
          <cell r="AD45">
            <v>939</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BS45">
            <v>2981</v>
          </cell>
          <cell r="BT45">
            <v>939</v>
          </cell>
          <cell r="BU45">
            <v>0</v>
          </cell>
          <cell r="BV45">
            <v>0</v>
          </cell>
          <cell r="BW45">
            <v>0</v>
          </cell>
          <cell r="BX45">
            <v>2981</v>
          </cell>
          <cell r="BY45">
            <v>939</v>
          </cell>
          <cell r="BZ45">
            <v>0</v>
          </cell>
          <cell r="CA45">
            <v>0</v>
          </cell>
          <cell r="CB45">
            <v>0</v>
          </cell>
        </row>
        <row r="46">
          <cell r="A46" t="str">
            <v>US59MZA1503911100022</v>
          </cell>
          <cell r="B46" t="str">
            <v>Pekin</v>
          </cell>
          <cell r="C46" t="str">
            <v>June-May</v>
          </cell>
          <cell r="D46" t="str">
            <v>US59MZA150</v>
          </cell>
          <cell r="E46" t="str">
            <v>150</v>
          </cell>
          <cell r="F46" t="str">
            <v>Distribution</v>
          </cell>
          <cell r="G46" t="str">
            <v>ZA</v>
          </cell>
          <cell r="H46">
            <v>3911100022</v>
          </cell>
          <cell r="I46" t="str">
            <v>TRAVEL EXPENSES - AIRFARE</v>
          </cell>
          <cell r="J46" t="str">
            <v>INVALID</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1030</v>
          </cell>
          <cell r="Z46">
            <v>0</v>
          </cell>
          <cell r="AA46">
            <v>0</v>
          </cell>
          <cell r="AB46">
            <v>0</v>
          </cell>
          <cell r="AC46">
            <v>0</v>
          </cell>
          <cell r="AD46">
            <v>393</v>
          </cell>
          <cell r="AE46">
            <v>0</v>
          </cell>
          <cell r="AF46">
            <v>0</v>
          </cell>
          <cell r="AG46">
            <v>0</v>
          </cell>
          <cell r="AH46">
            <v>0</v>
          </cell>
          <cell r="AI46">
            <v>423</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BS46">
            <v>1030</v>
          </cell>
          <cell r="BT46">
            <v>816</v>
          </cell>
          <cell r="BU46">
            <v>0</v>
          </cell>
          <cell r="BV46">
            <v>0</v>
          </cell>
          <cell r="BW46">
            <v>0</v>
          </cell>
          <cell r="BX46">
            <v>0</v>
          </cell>
          <cell r="BY46">
            <v>1423</v>
          </cell>
          <cell r="BZ46">
            <v>423</v>
          </cell>
          <cell r="CA46">
            <v>0</v>
          </cell>
          <cell r="CB46">
            <v>0</v>
          </cell>
        </row>
        <row r="47">
          <cell r="A47" t="str">
            <v>US59MZA1503911100041</v>
          </cell>
          <cell r="B47" t="str">
            <v>Pekin</v>
          </cell>
          <cell r="C47" t="str">
            <v>June-May</v>
          </cell>
          <cell r="D47" t="str">
            <v>US59MZA150</v>
          </cell>
          <cell r="E47" t="str">
            <v>150</v>
          </cell>
          <cell r="F47" t="str">
            <v>Distribution</v>
          </cell>
          <cell r="G47" t="str">
            <v>ZA</v>
          </cell>
          <cell r="H47">
            <v>3911100041</v>
          </cell>
          <cell r="I47" t="str">
            <v>TRAVEL EXPENSES - ENTERTAINMENT</v>
          </cell>
          <cell r="J47" t="str">
            <v>INVALID</v>
          </cell>
          <cell r="K47">
            <v>0</v>
          </cell>
          <cell r="L47">
            <v>0</v>
          </cell>
          <cell r="M47">
            <v>0</v>
          </cell>
          <cell r="N47">
            <v>251</v>
          </cell>
          <cell r="O47">
            <v>43</v>
          </cell>
          <cell r="P47">
            <v>30</v>
          </cell>
          <cell r="Q47">
            <v>422</v>
          </cell>
          <cell r="R47">
            <v>0</v>
          </cell>
          <cell r="S47">
            <v>47</v>
          </cell>
          <cell r="T47">
            <v>0</v>
          </cell>
          <cell r="U47">
            <v>21</v>
          </cell>
          <cell r="V47">
            <v>0</v>
          </cell>
          <cell r="W47">
            <v>0</v>
          </cell>
          <cell r="X47">
            <v>0</v>
          </cell>
          <cell r="Y47">
            <v>9</v>
          </cell>
          <cell r="Z47">
            <v>0</v>
          </cell>
          <cell r="AA47">
            <v>0</v>
          </cell>
          <cell r="AB47">
            <v>0</v>
          </cell>
          <cell r="AC47">
            <v>0</v>
          </cell>
          <cell r="AD47">
            <v>25</v>
          </cell>
          <cell r="AE47">
            <v>0</v>
          </cell>
          <cell r="AF47">
            <v>27</v>
          </cell>
          <cell r="AG47">
            <v>16</v>
          </cell>
          <cell r="AH47">
            <v>-16</v>
          </cell>
          <cell r="AI47">
            <v>0</v>
          </cell>
          <cell r="AJ47">
            <v>0</v>
          </cell>
          <cell r="AK47">
            <v>0</v>
          </cell>
          <cell r="AL47">
            <v>0</v>
          </cell>
          <cell r="AM47">
            <v>0</v>
          </cell>
          <cell r="AN47">
            <v>0</v>
          </cell>
          <cell r="AO47">
            <v>0</v>
          </cell>
          <cell r="AP47">
            <v>0</v>
          </cell>
          <cell r="AQ47">
            <v>0</v>
          </cell>
          <cell r="AR47">
            <v>39</v>
          </cell>
          <cell r="AS47">
            <v>0</v>
          </cell>
          <cell r="AT47">
            <v>0</v>
          </cell>
          <cell r="AU47">
            <v>0</v>
          </cell>
          <cell r="AV47">
            <v>0</v>
          </cell>
          <cell r="AW47">
            <v>0</v>
          </cell>
          <cell r="AX47">
            <v>0</v>
          </cell>
          <cell r="AY47">
            <v>0</v>
          </cell>
          <cell r="BS47">
            <v>529</v>
          </cell>
          <cell r="BT47">
            <v>52</v>
          </cell>
          <cell r="BU47">
            <v>39</v>
          </cell>
          <cell r="BV47">
            <v>0</v>
          </cell>
          <cell r="BW47">
            <v>0</v>
          </cell>
          <cell r="BX47">
            <v>814</v>
          </cell>
          <cell r="BY47">
            <v>61</v>
          </cell>
          <cell r="BZ47">
            <v>39</v>
          </cell>
          <cell r="CA47">
            <v>0</v>
          </cell>
          <cell r="CB47">
            <v>0</v>
          </cell>
        </row>
        <row r="48">
          <cell r="A48" t="str">
            <v>US59MZA1503921100000</v>
          </cell>
          <cell r="B48" t="str">
            <v>Pekin</v>
          </cell>
          <cell r="C48" t="str">
            <v>June-May</v>
          </cell>
          <cell r="D48" t="str">
            <v>US59MZA150</v>
          </cell>
          <cell r="E48" t="str">
            <v>150</v>
          </cell>
          <cell r="F48" t="str">
            <v>Distribution</v>
          </cell>
          <cell r="G48" t="str">
            <v>ZA</v>
          </cell>
          <cell r="H48">
            <v>3921100000</v>
          </cell>
          <cell r="I48" t="str">
            <v>UTILITIES EXPENSES WATER</v>
          </cell>
          <cell r="J48" t="str">
            <v>INVALID</v>
          </cell>
          <cell r="K48">
            <v>0</v>
          </cell>
          <cell r="L48">
            <v>0</v>
          </cell>
          <cell r="M48">
            <v>0</v>
          </cell>
          <cell r="N48">
            <v>153</v>
          </cell>
          <cell r="O48">
            <v>0</v>
          </cell>
          <cell r="P48">
            <v>0</v>
          </cell>
          <cell r="Q48">
            <v>10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BS48">
            <v>10</v>
          </cell>
          <cell r="BT48">
            <v>0</v>
          </cell>
          <cell r="BU48">
            <v>0</v>
          </cell>
          <cell r="BV48">
            <v>0</v>
          </cell>
          <cell r="BW48">
            <v>0</v>
          </cell>
          <cell r="BX48">
            <v>163</v>
          </cell>
          <cell r="BY48">
            <v>0</v>
          </cell>
          <cell r="BZ48">
            <v>0</v>
          </cell>
          <cell r="CA48">
            <v>0</v>
          </cell>
          <cell r="CB48">
            <v>0</v>
          </cell>
        </row>
        <row r="49">
          <cell r="A49" t="str">
            <v>US59MZA1503921200004</v>
          </cell>
          <cell r="B49" t="str">
            <v>Pekin</v>
          </cell>
          <cell r="C49" t="str">
            <v>June-May</v>
          </cell>
          <cell r="D49" t="str">
            <v>US59MZA150</v>
          </cell>
          <cell r="E49" t="str">
            <v>150</v>
          </cell>
          <cell r="F49" t="str">
            <v>Distribution</v>
          </cell>
          <cell r="G49" t="str">
            <v>ZA</v>
          </cell>
          <cell r="H49">
            <v>3921200004</v>
          </cell>
          <cell r="I49" t="str">
            <v>FACTORY SUPPLIES LABO SUPPLIES</v>
          </cell>
          <cell r="J49" t="str">
            <v>INVALID</v>
          </cell>
          <cell r="K49">
            <v>0</v>
          </cell>
          <cell r="L49">
            <v>0</v>
          </cell>
          <cell r="M49">
            <v>0</v>
          </cell>
          <cell r="N49">
            <v>0</v>
          </cell>
          <cell r="O49">
            <v>0</v>
          </cell>
          <cell r="P49">
            <v>0</v>
          </cell>
          <cell r="Q49">
            <v>0</v>
          </cell>
          <cell r="R49">
            <v>0</v>
          </cell>
          <cell r="S49">
            <v>878</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BS49">
            <v>878</v>
          </cell>
          <cell r="BT49">
            <v>0</v>
          </cell>
          <cell r="BU49">
            <v>0</v>
          </cell>
          <cell r="BV49">
            <v>0</v>
          </cell>
          <cell r="BW49">
            <v>0</v>
          </cell>
          <cell r="BX49">
            <v>878</v>
          </cell>
          <cell r="BY49">
            <v>0</v>
          </cell>
          <cell r="BZ49">
            <v>0</v>
          </cell>
          <cell r="CA49">
            <v>0</v>
          </cell>
          <cell r="CB49">
            <v>0</v>
          </cell>
        </row>
        <row r="50">
          <cell r="A50" t="str">
            <v>US59MZA1503941100004</v>
          </cell>
          <cell r="B50" t="str">
            <v>Pekin</v>
          </cell>
          <cell r="C50" t="str">
            <v>June-May</v>
          </cell>
          <cell r="D50" t="str">
            <v>US59MZA150</v>
          </cell>
          <cell r="E50" t="str">
            <v>150</v>
          </cell>
          <cell r="F50" t="str">
            <v>Distribution</v>
          </cell>
          <cell r="G50" t="str">
            <v>ZA</v>
          </cell>
          <cell r="H50">
            <v>3941100004</v>
          </cell>
          <cell r="I50" t="str">
            <v>CUSTOMS DUTIES</v>
          </cell>
          <cell r="J50" t="str">
            <v>INVALID</v>
          </cell>
          <cell r="K50">
            <v>0</v>
          </cell>
          <cell r="L50">
            <v>0</v>
          </cell>
          <cell r="M50">
            <v>56</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BS50">
            <v>0</v>
          </cell>
          <cell r="BT50">
            <v>0</v>
          </cell>
          <cell r="BU50">
            <v>0</v>
          </cell>
          <cell r="BV50">
            <v>0</v>
          </cell>
          <cell r="BW50">
            <v>0</v>
          </cell>
          <cell r="BX50">
            <v>56</v>
          </cell>
          <cell r="BY50">
            <v>0</v>
          </cell>
          <cell r="BZ50">
            <v>0</v>
          </cell>
          <cell r="CA50">
            <v>0</v>
          </cell>
          <cell r="CB50">
            <v>0</v>
          </cell>
        </row>
        <row r="51">
          <cell r="A51" t="str">
            <v>US59MZA1503951200008</v>
          </cell>
          <cell r="B51" t="str">
            <v>Pekin</v>
          </cell>
          <cell r="C51" t="str">
            <v>June-May</v>
          </cell>
          <cell r="D51" t="str">
            <v>US59MZA150</v>
          </cell>
          <cell r="E51" t="str">
            <v>150</v>
          </cell>
          <cell r="F51" t="str">
            <v>Distribution</v>
          </cell>
          <cell r="G51" t="str">
            <v>ZA</v>
          </cell>
          <cell r="H51">
            <v>3951200008</v>
          </cell>
          <cell r="I51" t="str">
            <v>OPERATING LEASES - PERSONAL COMPUTER</v>
          </cell>
          <cell r="J51" t="str">
            <v>INVALID</v>
          </cell>
          <cell r="K51">
            <v>0</v>
          </cell>
          <cell r="L51">
            <v>0</v>
          </cell>
          <cell r="M51">
            <v>197</v>
          </cell>
          <cell r="N51">
            <v>0</v>
          </cell>
          <cell r="O51">
            <v>161</v>
          </cell>
          <cell r="P51">
            <v>297</v>
          </cell>
          <cell r="Q51">
            <v>0</v>
          </cell>
          <cell r="R51">
            <v>0</v>
          </cell>
          <cell r="S51">
            <v>359</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BS51">
            <v>656</v>
          </cell>
          <cell r="BT51">
            <v>0</v>
          </cell>
          <cell r="BU51">
            <v>0</v>
          </cell>
          <cell r="BV51">
            <v>0</v>
          </cell>
          <cell r="BW51">
            <v>0</v>
          </cell>
          <cell r="BX51">
            <v>1014</v>
          </cell>
          <cell r="BY51">
            <v>0</v>
          </cell>
          <cell r="BZ51">
            <v>0</v>
          </cell>
          <cell r="CA51">
            <v>0</v>
          </cell>
          <cell r="CB51">
            <v>0</v>
          </cell>
        </row>
        <row r="52">
          <cell r="A52" t="str">
            <v>US59MZA1503981100067</v>
          </cell>
          <cell r="B52" t="str">
            <v>Pekin</v>
          </cell>
          <cell r="C52" t="str">
            <v>June-May</v>
          </cell>
          <cell r="D52" t="str">
            <v>US59MZA150</v>
          </cell>
          <cell r="E52" t="str">
            <v>150</v>
          </cell>
          <cell r="F52" t="str">
            <v>Distribution</v>
          </cell>
          <cell r="G52" t="str">
            <v>ZA</v>
          </cell>
          <cell r="H52">
            <v>3981100067</v>
          </cell>
          <cell r="I52" t="str">
            <v>NET BOOK VALUE OF FIXED ASSETS 3RD</v>
          </cell>
          <cell r="J52" t="str">
            <v>INVALID</v>
          </cell>
          <cell r="K52">
            <v>0</v>
          </cell>
          <cell r="L52">
            <v>0</v>
          </cell>
          <cell r="M52">
            <v>0</v>
          </cell>
          <cell r="N52">
            <v>0</v>
          </cell>
          <cell r="O52">
            <v>0</v>
          </cell>
          <cell r="P52">
            <v>0</v>
          </cell>
          <cell r="Q52">
            <v>0</v>
          </cell>
          <cell r="R52">
            <v>0</v>
          </cell>
          <cell r="S52">
            <v>0</v>
          </cell>
          <cell r="T52">
            <v>5000</v>
          </cell>
          <cell r="U52">
            <v>4000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BS52">
            <v>9000</v>
          </cell>
          <cell r="BT52">
            <v>0</v>
          </cell>
          <cell r="BU52">
            <v>0</v>
          </cell>
          <cell r="BV52">
            <v>0</v>
          </cell>
          <cell r="BW52">
            <v>0</v>
          </cell>
          <cell r="BX52">
            <v>9000</v>
          </cell>
          <cell r="BY52">
            <v>0</v>
          </cell>
          <cell r="BZ52">
            <v>0</v>
          </cell>
          <cell r="CA52">
            <v>0</v>
          </cell>
          <cell r="CB52">
            <v>0</v>
          </cell>
        </row>
        <row r="53">
          <cell r="A53" t="str">
            <v>US59MZA1503981100078</v>
          </cell>
          <cell r="B53" t="str">
            <v>Pekin</v>
          </cell>
          <cell r="C53" t="str">
            <v>June-May</v>
          </cell>
          <cell r="D53" t="str">
            <v>US59MZA150</v>
          </cell>
          <cell r="E53" t="str">
            <v>150</v>
          </cell>
          <cell r="F53" t="str">
            <v>Distribution</v>
          </cell>
          <cell r="G53" t="str">
            <v>ZA</v>
          </cell>
          <cell r="H53">
            <v>3981100078</v>
          </cell>
          <cell r="I53" t="str">
            <v>GAIN ON FIXED ASSET</v>
          </cell>
          <cell r="J53" t="str">
            <v>INVALID</v>
          </cell>
          <cell r="K53">
            <v>0</v>
          </cell>
          <cell r="L53">
            <v>0</v>
          </cell>
          <cell r="M53">
            <v>0</v>
          </cell>
          <cell r="N53">
            <v>0</v>
          </cell>
          <cell r="O53">
            <v>0</v>
          </cell>
          <cell r="P53">
            <v>0</v>
          </cell>
          <cell r="Q53">
            <v>0</v>
          </cell>
          <cell r="R53">
            <v>0</v>
          </cell>
          <cell r="S53">
            <v>0</v>
          </cell>
          <cell r="T53">
            <v>2385</v>
          </cell>
          <cell r="U53">
            <v>2859</v>
          </cell>
          <cell r="V53">
            <v>0</v>
          </cell>
          <cell r="W53">
            <v>0</v>
          </cell>
          <cell r="X53">
            <v>0</v>
          </cell>
          <cell r="Y53">
            <v>0</v>
          </cell>
          <cell r="Z53">
            <v>0</v>
          </cell>
          <cell r="AA53">
            <v>0</v>
          </cell>
          <cell r="AB53">
            <v>-5439</v>
          </cell>
          <cell r="AC53">
            <v>0</v>
          </cell>
          <cell r="AD53">
            <v>9276</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BS53">
            <v>5244</v>
          </cell>
          <cell r="BT53">
            <v>3837</v>
          </cell>
          <cell r="BU53">
            <v>0</v>
          </cell>
          <cell r="BV53">
            <v>0</v>
          </cell>
          <cell r="BW53">
            <v>0</v>
          </cell>
          <cell r="BX53">
            <v>5244</v>
          </cell>
          <cell r="BY53">
            <v>3837</v>
          </cell>
          <cell r="BZ53">
            <v>0</v>
          </cell>
          <cell r="CA53">
            <v>0</v>
          </cell>
          <cell r="CB53">
            <v>0</v>
          </cell>
        </row>
        <row r="54">
          <cell r="A54" t="str">
            <v>US59MZA1503991200001</v>
          </cell>
          <cell r="B54" t="str">
            <v>Pekin</v>
          </cell>
          <cell r="C54" t="str">
            <v>June-May</v>
          </cell>
          <cell r="D54" t="str">
            <v>US59MZA150</v>
          </cell>
          <cell r="E54" t="str">
            <v>150</v>
          </cell>
          <cell r="F54" t="str">
            <v>Distribution</v>
          </cell>
          <cell r="G54" t="str">
            <v>ZA</v>
          </cell>
          <cell r="H54">
            <v>3991200001</v>
          </cell>
          <cell r="I54" t="str">
            <v>POSTAGE EXPENSES</v>
          </cell>
          <cell r="J54" t="str">
            <v>INVALID</v>
          </cell>
          <cell r="K54">
            <v>0</v>
          </cell>
          <cell r="L54">
            <v>0</v>
          </cell>
          <cell r="M54">
            <v>0</v>
          </cell>
          <cell r="N54">
            <v>0</v>
          </cell>
          <cell r="O54">
            <v>0</v>
          </cell>
          <cell r="P54">
            <v>0</v>
          </cell>
          <cell r="Q54">
            <v>0</v>
          </cell>
          <cell r="R54">
            <v>0</v>
          </cell>
          <cell r="S54">
            <v>0</v>
          </cell>
          <cell r="T54">
            <v>0</v>
          </cell>
          <cell r="U54">
            <v>39</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BS54">
            <v>39</v>
          </cell>
          <cell r="BT54">
            <v>0</v>
          </cell>
          <cell r="BU54">
            <v>0</v>
          </cell>
          <cell r="BV54">
            <v>0</v>
          </cell>
          <cell r="BW54">
            <v>0</v>
          </cell>
          <cell r="BX54">
            <v>39</v>
          </cell>
          <cell r="BY54">
            <v>0</v>
          </cell>
          <cell r="BZ54">
            <v>0</v>
          </cell>
          <cell r="CA54">
            <v>0</v>
          </cell>
          <cell r="CB54">
            <v>0</v>
          </cell>
        </row>
        <row r="55">
          <cell r="A55" t="str">
            <v>US59MZA1503991200099</v>
          </cell>
          <cell r="B55" t="str">
            <v>Pekin</v>
          </cell>
          <cell r="C55" t="str">
            <v>June-May</v>
          </cell>
          <cell r="D55" t="str">
            <v>US59MZA150</v>
          </cell>
          <cell r="E55" t="str">
            <v>150</v>
          </cell>
          <cell r="F55" t="str">
            <v>Distribution</v>
          </cell>
          <cell r="G55" t="str">
            <v>ZA</v>
          </cell>
          <cell r="H55">
            <v>3991200099</v>
          </cell>
          <cell r="I55" t="str">
            <v>OTHER EXPENSES TO 3RD PARTIES - ADJUSTME</v>
          </cell>
          <cell r="J55" t="str">
            <v>INVALID</v>
          </cell>
          <cell r="K55">
            <v>0</v>
          </cell>
          <cell r="L55">
            <v>5</v>
          </cell>
          <cell r="M55">
            <v>40</v>
          </cell>
          <cell r="N55">
            <v>4</v>
          </cell>
          <cell r="O55">
            <v>26</v>
          </cell>
          <cell r="P55">
            <v>0</v>
          </cell>
          <cell r="Q55">
            <v>0</v>
          </cell>
          <cell r="R55">
            <v>2621</v>
          </cell>
          <cell r="S55">
            <v>-2284</v>
          </cell>
          <cell r="T55">
            <v>0</v>
          </cell>
          <cell r="U55">
            <v>4610</v>
          </cell>
          <cell r="V55">
            <v>4084</v>
          </cell>
          <cell r="W55">
            <v>601</v>
          </cell>
          <cell r="X55">
            <v>440</v>
          </cell>
          <cell r="Y55">
            <v>62</v>
          </cell>
          <cell r="Z55">
            <v>45</v>
          </cell>
          <cell r="AA55">
            <v>128</v>
          </cell>
          <cell r="AB55">
            <v>325</v>
          </cell>
          <cell r="AC55">
            <v>514</v>
          </cell>
          <cell r="AD55">
            <v>55</v>
          </cell>
          <cell r="AE55">
            <v>463</v>
          </cell>
          <cell r="AF55">
            <v>605</v>
          </cell>
          <cell r="AG55">
            <v>553</v>
          </cell>
          <cell r="AH55">
            <v>222</v>
          </cell>
          <cell r="AI55">
            <v>149</v>
          </cell>
          <cell r="AJ55">
            <v>812</v>
          </cell>
          <cell r="AK55">
            <v>259</v>
          </cell>
          <cell r="AL55">
            <v>293</v>
          </cell>
          <cell r="AM55">
            <v>194</v>
          </cell>
          <cell r="AN55">
            <v>39</v>
          </cell>
          <cell r="AO55">
            <v>169</v>
          </cell>
          <cell r="AP55">
            <v>99</v>
          </cell>
          <cell r="AQ55">
            <v>33</v>
          </cell>
          <cell r="AR55">
            <v>136</v>
          </cell>
          <cell r="AS55">
            <v>455</v>
          </cell>
          <cell r="AT55">
            <v>152</v>
          </cell>
          <cell r="AU55">
            <v>1665</v>
          </cell>
          <cell r="AV55">
            <v>77</v>
          </cell>
          <cell r="AW55">
            <v>182</v>
          </cell>
          <cell r="AX55">
            <v>255</v>
          </cell>
          <cell r="AY55">
            <v>0</v>
          </cell>
          <cell r="BS55">
            <v>10307</v>
          </cell>
          <cell r="BT55">
            <v>4444</v>
          </cell>
          <cell r="BU55">
            <v>3262</v>
          </cell>
          <cell r="BV55">
            <v>0</v>
          </cell>
          <cell r="BW55">
            <v>0</v>
          </cell>
          <cell r="BX55">
            <v>9106</v>
          </cell>
          <cell r="BY55">
            <v>4013</v>
          </cell>
          <cell r="BZ55">
            <v>2790</v>
          </cell>
          <cell r="CA55">
            <v>2179</v>
          </cell>
          <cell r="CB55">
            <v>0</v>
          </cell>
        </row>
        <row r="56">
          <cell r="A56" t="str">
            <v>US59MZA1503991200201</v>
          </cell>
          <cell r="B56" t="str">
            <v>Pekin</v>
          </cell>
          <cell r="C56" t="str">
            <v>June-May</v>
          </cell>
          <cell r="D56" t="str">
            <v>US59MZA150</v>
          </cell>
          <cell r="E56" t="str">
            <v>150</v>
          </cell>
          <cell r="F56" t="str">
            <v>Distribution</v>
          </cell>
          <cell r="G56" t="str">
            <v>ZA</v>
          </cell>
          <cell r="H56">
            <v>3991200201</v>
          </cell>
          <cell r="I56" t="str">
            <v>ALLOCATIONS OTHER IN/OUT LOAD AC</v>
          </cell>
          <cell r="J56" t="str">
            <v>INVALID</v>
          </cell>
          <cell r="K56">
            <v>0</v>
          </cell>
          <cell r="L56">
            <v>0</v>
          </cell>
          <cell r="M56">
            <v>0</v>
          </cell>
          <cell r="N56">
            <v>0</v>
          </cell>
          <cell r="O56">
            <v>0</v>
          </cell>
          <cell r="P56">
            <v>0</v>
          </cell>
          <cell r="Q56">
            <v>0</v>
          </cell>
          <cell r="R56">
            <v>0</v>
          </cell>
          <cell r="S56">
            <v>0</v>
          </cell>
          <cell r="T56">
            <v>0</v>
          </cell>
          <cell r="U56">
            <v>0</v>
          </cell>
          <cell r="V56">
            <v>0</v>
          </cell>
          <cell r="W56">
            <v>0</v>
          </cell>
          <cell r="X56">
            <v>-276</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BS56">
            <v>-276</v>
          </cell>
          <cell r="BT56">
            <v>0</v>
          </cell>
          <cell r="BU56">
            <v>0</v>
          </cell>
          <cell r="BV56">
            <v>0</v>
          </cell>
          <cell r="BW56">
            <v>0</v>
          </cell>
          <cell r="BX56">
            <v>0</v>
          </cell>
          <cell r="BY56">
            <v>-276</v>
          </cell>
          <cell r="BZ56">
            <v>0</v>
          </cell>
          <cell r="CA56">
            <v>0</v>
          </cell>
          <cell r="CB56">
            <v>0</v>
          </cell>
        </row>
        <row r="57">
          <cell r="A57" t="str">
            <v>US59MZA1509420000025</v>
          </cell>
          <cell r="B57" t="str">
            <v>Pekin</v>
          </cell>
          <cell r="C57" t="str">
            <v>June-May</v>
          </cell>
          <cell r="D57" t="str">
            <v>US59MZA150</v>
          </cell>
          <cell r="E57" t="str">
            <v>150</v>
          </cell>
          <cell r="F57" t="str">
            <v>Distribution</v>
          </cell>
          <cell r="G57" t="str">
            <v>ZA</v>
          </cell>
          <cell r="H57">
            <v>9420000025</v>
          </cell>
          <cell r="I57" t="str">
            <v>EMPLOYEE BENEFIT ALLOCATION</v>
          </cell>
          <cell r="J57" t="str">
            <v>VALID - NON BUDGET</v>
          </cell>
          <cell r="K57">
            <v>10424</v>
          </cell>
          <cell r="L57">
            <v>6767</v>
          </cell>
          <cell r="M57">
            <v>9115</v>
          </cell>
          <cell r="N57">
            <v>9361</v>
          </cell>
          <cell r="O57">
            <v>9010</v>
          </cell>
          <cell r="P57">
            <v>2840</v>
          </cell>
          <cell r="Q57">
            <v>4615</v>
          </cell>
          <cell r="R57">
            <v>5775</v>
          </cell>
          <cell r="S57">
            <v>5679</v>
          </cell>
          <cell r="T57">
            <v>2495</v>
          </cell>
          <cell r="U57">
            <v>3145</v>
          </cell>
          <cell r="V57">
            <v>2962</v>
          </cell>
          <cell r="W57">
            <v>7718</v>
          </cell>
          <cell r="X57">
            <v>8098</v>
          </cell>
          <cell r="Y57">
            <v>9434</v>
          </cell>
          <cell r="Z57">
            <v>8820</v>
          </cell>
          <cell r="AA57">
            <v>9625</v>
          </cell>
          <cell r="AB57">
            <v>7245</v>
          </cell>
          <cell r="AC57">
            <v>5121</v>
          </cell>
          <cell r="AD57">
            <v>3066</v>
          </cell>
          <cell r="AE57">
            <v>2321</v>
          </cell>
          <cell r="AF57">
            <v>3796</v>
          </cell>
          <cell r="AG57">
            <v>4374</v>
          </cell>
          <cell r="AH57">
            <v>3282</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BS57">
            <v>71206</v>
          </cell>
          <cell r="BT57">
            <v>29205</v>
          </cell>
          <cell r="BU57">
            <v>0</v>
          </cell>
          <cell r="BV57">
            <v>0</v>
          </cell>
          <cell r="BW57">
            <v>0</v>
          </cell>
          <cell r="BX57">
            <v>72188</v>
          </cell>
          <cell r="BY57">
            <v>72900</v>
          </cell>
          <cell r="BZ57">
            <v>0</v>
          </cell>
          <cell r="CA57">
            <v>0</v>
          </cell>
          <cell r="CB57">
            <v>0</v>
          </cell>
        </row>
      </sheetData>
      <sheetData sheetId="29" refreshError="1"/>
      <sheetData sheetId="30">
        <row r="3">
          <cell r="A3" t="str">
            <v>CC/Cost Element</v>
          </cell>
          <cell r="B3" t="str">
            <v>Site Name</v>
          </cell>
          <cell r="C3" t="str">
            <v>Function Timeperiod</v>
          </cell>
          <cell r="D3" t="str">
            <v>CY09/FY10 CC</v>
          </cell>
          <cell r="E3" t="str">
            <v>CY09/FY10 Function</v>
          </cell>
          <cell r="F3" t="str">
            <v>CY09/FY10 Function Name</v>
          </cell>
          <cell r="G3" t="str">
            <v>Crop</v>
          </cell>
          <cell r="H3" t="str">
            <v>CY09/FY10 G/L Account</v>
          </cell>
          <cell r="I3" t="str">
            <v>CY09/FY10 Account Description</v>
          </cell>
          <cell r="J3" t="str">
            <v>Valid</v>
          </cell>
          <cell r="K3">
            <v>38718</v>
          </cell>
          <cell r="L3">
            <v>38749</v>
          </cell>
          <cell r="M3">
            <v>38777</v>
          </cell>
          <cell r="N3">
            <v>38808</v>
          </cell>
          <cell r="O3">
            <v>38838</v>
          </cell>
          <cell r="P3">
            <v>38869</v>
          </cell>
          <cell r="Q3">
            <v>38899</v>
          </cell>
          <cell r="R3">
            <v>38930</v>
          </cell>
          <cell r="S3">
            <v>38961</v>
          </cell>
          <cell r="T3">
            <v>38991</v>
          </cell>
          <cell r="U3">
            <v>39022</v>
          </cell>
          <cell r="V3">
            <v>39052</v>
          </cell>
          <cell r="W3">
            <v>39083</v>
          </cell>
          <cell r="X3">
            <v>39114</v>
          </cell>
          <cell r="Y3">
            <v>39142</v>
          </cell>
          <cell r="Z3">
            <v>39173</v>
          </cell>
          <cell r="AA3">
            <v>39203</v>
          </cell>
          <cell r="AB3">
            <v>39234</v>
          </cell>
          <cell r="AC3">
            <v>39264</v>
          </cell>
          <cell r="AD3">
            <v>39295</v>
          </cell>
          <cell r="AE3">
            <v>39326</v>
          </cell>
          <cell r="AF3">
            <v>39356</v>
          </cell>
          <cell r="AG3">
            <v>39387</v>
          </cell>
          <cell r="AH3">
            <v>39417</v>
          </cell>
          <cell r="AI3">
            <v>39448</v>
          </cell>
          <cell r="AJ3">
            <v>39479</v>
          </cell>
          <cell r="AK3">
            <v>39508</v>
          </cell>
          <cell r="AL3">
            <v>39539</v>
          </cell>
          <cell r="AM3">
            <v>39569</v>
          </cell>
          <cell r="AN3">
            <v>39600</v>
          </cell>
          <cell r="AO3">
            <v>39630</v>
          </cell>
          <cell r="AP3">
            <v>39661</v>
          </cell>
          <cell r="AQ3">
            <v>39692</v>
          </cell>
          <cell r="AR3">
            <v>39722</v>
          </cell>
          <cell r="AS3">
            <v>39753</v>
          </cell>
          <cell r="AT3">
            <v>39783</v>
          </cell>
          <cell r="AU3">
            <v>39814</v>
          </cell>
          <cell r="AV3">
            <v>39845</v>
          </cell>
          <cell r="AW3">
            <v>39873</v>
          </cell>
          <cell r="AX3">
            <v>39904</v>
          </cell>
          <cell r="AY3">
            <v>39934</v>
          </cell>
          <cell r="AZ3">
            <v>39965</v>
          </cell>
          <cell r="BA3">
            <v>39995</v>
          </cell>
          <cell r="BB3">
            <v>40026</v>
          </cell>
          <cell r="BC3">
            <v>40057</v>
          </cell>
          <cell r="BD3">
            <v>40087</v>
          </cell>
          <cell r="BE3">
            <v>40118</v>
          </cell>
          <cell r="BF3">
            <v>40148</v>
          </cell>
          <cell r="BG3">
            <v>40179</v>
          </cell>
          <cell r="BH3">
            <v>40210</v>
          </cell>
          <cell r="BI3">
            <v>40238</v>
          </cell>
          <cell r="BJ3">
            <v>40269</v>
          </cell>
          <cell r="BK3">
            <v>40299</v>
          </cell>
          <cell r="BL3">
            <v>40330</v>
          </cell>
          <cell r="BM3">
            <v>40360</v>
          </cell>
          <cell r="BN3">
            <v>40391</v>
          </cell>
          <cell r="BO3">
            <v>40422</v>
          </cell>
          <cell r="BP3">
            <v>40452</v>
          </cell>
          <cell r="BQ3">
            <v>40483</v>
          </cell>
          <cell r="BR3">
            <v>40513</v>
          </cell>
          <cell r="BS3" t="str">
            <v>CY 2006</v>
          </cell>
          <cell r="BT3" t="str">
            <v>CY 2007</v>
          </cell>
          <cell r="BU3" t="str">
            <v>CY 2008</v>
          </cell>
          <cell r="BV3" t="str">
            <v>CY 2009</v>
          </cell>
          <cell r="BW3" t="str">
            <v>FY 2010</v>
          </cell>
          <cell r="BX3" t="str">
            <v>FY 2006</v>
          </cell>
          <cell r="BY3" t="str">
            <v>FY 2007</v>
          </cell>
          <cell r="BZ3" t="str">
            <v>FY 2008</v>
          </cell>
          <cell r="CA3" t="str">
            <v>Actuals YTD 2009</v>
          </cell>
          <cell r="CB3" t="str">
            <v>Budget FY 2009</v>
          </cell>
        </row>
        <row r="4">
          <cell r="A4" t="str">
            <v>US59MZA1553111100000</v>
          </cell>
          <cell r="B4" t="str">
            <v>Pekin</v>
          </cell>
          <cell r="C4" t="str">
            <v>June-May</v>
          </cell>
          <cell r="D4" t="str">
            <v>US59MZA155</v>
          </cell>
          <cell r="E4" t="str">
            <v>155</v>
          </cell>
          <cell r="F4" t="str">
            <v>Dispatch</v>
          </cell>
          <cell r="G4" t="str">
            <v>ZA</v>
          </cell>
          <cell r="H4">
            <v>3111100000</v>
          </cell>
          <cell r="I4" t="str">
            <v>WAGES,SALARIES,ALLOWANCES AND COMMI/PERM</v>
          </cell>
          <cell r="J4" t="str">
            <v>VALID</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4384</v>
          </cell>
          <cell r="AJ4">
            <v>7743</v>
          </cell>
          <cell r="AK4">
            <v>3097</v>
          </cell>
          <cell r="AL4">
            <v>3165</v>
          </cell>
          <cell r="AM4">
            <v>3574</v>
          </cell>
          <cell r="AN4">
            <v>2859</v>
          </cell>
          <cell r="AO4">
            <v>0</v>
          </cell>
          <cell r="AP4">
            <v>0</v>
          </cell>
          <cell r="AQ4">
            <v>0</v>
          </cell>
          <cell r="AR4">
            <v>0</v>
          </cell>
          <cell r="AS4">
            <v>0</v>
          </cell>
          <cell r="AT4">
            <v>0</v>
          </cell>
          <cell r="AU4">
            <v>0</v>
          </cell>
          <cell r="AV4">
            <v>0</v>
          </cell>
          <cell r="AW4">
            <v>0</v>
          </cell>
          <cell r="AX4">
            <v>0</v>
          </cell>
          <cell r="AY4">
            <v>0</v>
          </cell>
          <cell r="BS4">
            <v>0</v>
          </cell>
          <cell r="BT4">
            <v>21963</v>
          </cell>
          <cell r="BU4">
            <v>2859</v>
          </cell>
          <cell r="BV4">
            <v>0</v>
          </cell>
          <cell r="BW4">
            <v>0</v>
          </cell>
          <cell r="BX4">
            <v>0</v>
          </cell>
          <cell r="BY4">
            <v>0</v>
          </cell>
          <cell r="BZ4">
            <v>24822</v>
          </cell>
          <cell r="CA4">
            <v>0</v>
          </cell>
          <cell r="CB4">
            <v>0</v>
          </cell>
        </row>
        <row r="5">
          <cell r="A5" t="str">
            <v>US59MZA1553111100012</v>
          </cell>
          <cell r="B5" t="str">
            <v>Pekin</v>
          </cell>
          <cell r="C5" t="str">
            <v>June-May</v>
          </cell>
          <cell r="D5" t="str">
            <v>US59MZA155</v>
          </cell>
          <cell r="E5" t="str">
            <v>155</v>
          </cell>
          <cell r="F5" t="str">
            <v>Dispatch</v>
          </cell>
          <cell r="G5" t="str">
            <v>ZA</v>
          </cell>
          <cell r="H5">
            <v>3111100012</v>
          </cell>
          <cell r="I5" t="str">
            <v>OVERTIME HOURS /PERMANENTS</v>
          </cell>
          <cell r="J5" t="str">
            <v>VALID</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941</v>
          </cell>
          <cell r="AJ5">
            <v>2991</v>
          </cell>
          <cell r="AK5">
            <v>1371</v>
          </cell>
          <cell r="AL5">
            <v>1991</v>
          </cell>
          <cell r="AM5">
            <v>2573</v>
          </cell>
          <cell r="AN5">
            <v>838</v>
          </cell>
          <cell r="AO5">
            <v>0</v>
          </cell>
          <cell r="AP5">
            <v>0</v>
          </cell>
          <cell r="AQ5">
            <v>0</v>
          </cell>
          <cell r="AR5">
            <v>0</v>
          </cell>
          <cell r="AS5">
            <v>0</v>
          </cell>
          <cell r="AT5">
            <v>0</v>
          </cell>
          <cell r="AU5">
            <v>0</v>
          </cell>
          <cell r="AV5">
            <v>0</v>
          </cell>
          <cell r="AW5">
            <v>0</v>
          </cell>
          <cell r="AX5">
            <v>0</v>
          </cell>
          <cell r="AY5">
            <v>0</v>
          </cell>
          <cell r="BS5">
            <v>0</v>
          </cell>
          <cell r="BT5">
            <v>9867</v>
          </cell>
          <cell r="BU5">
            <v>838</v>
          </cell>
          <cell r="BV5">
            <v>0</v>
          </cell>
          <cell r="BW5">
            <v>0</v>
          </cell>
          <cell r="BX5">
            <v>0</v>
          </cell>
          <cell r="BY5">
            <v>0</v>
          </cell>
          <cell r="BZ5">
            <v>10705</v>
          </cell>
          <cell r="CA5">
            <v>0</v>
          </cell>
          <cell r="CB5">
            <v>0</v>
          </cell>
        </row>
        <row r="6">
          <cell r="A6" t="str">
            <v>US59MZA1553111100900</v>
          </cell>
          <cell r="B6" t="str">
            <v>Pekin</v>
          </cell>
          <cell r="C6" t="str">
            <v>June-May</v>
          </cell>
          <cell r="D6" t="str">
            <v>US59MZA155</v>
          </cell>
          <cell r="E6" t="str">
            <v>155</v>
          </cell>
          <cell r="F6" t="str">
            <v>Dispatch</v>
          </cell>
          <cell r="G6" t="str">
            <v>ZA</v>
          </cell>
          <cell r="H6">
            <v>3111100900</v>
          </cell>
          <cell r="I6" t="str">
            <v>WAGES &amp; SALARIES / SEASONALS</v>
          </cell>
          <cell r="J6" t="str">
            <v>VALID</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BS6">
            <v>0</v>
          </cell>
          <cell r="BT6">
            <v>0</v>
          </cell>
          <cell r="BU6">
            <v>0</v>
          </cell>
          <cell r="BV6">
            <v>0</v>
          </cell>
          <cell r="BW6">
            <v>0</v>
          </cell>
          <cell r="BX6">
            <v>0</v>
          </cell>
          <cell r="BY6">
            <v>0</v>
          </cell>
          <cell r="BZ6">
            <v>0</v>
          </cell>
          <cell r="CA6">
            <v>0</v>
          </cell>
          <cell r="CB6">
            <v>0</v>
          </cell>
        </row>
        <row r="7">
          <cell r="A7" t="str">
            <v>US59MZA1553121300013</v>
          </cell>
          <cell r="B7" t="str">
            <v>Pekin</v>
          </cell>
          <cell r="C7" t="str">
            <v>June-May</v>
          </cell>
          <cell r="D7" t="str">
            <v>US59MZA155</v>
          </cell>
          <cell r="E7" t="str">
            <v>155</v>
          </cell>
          <cell r="F7" t="str">
            <v>Dispatch</v>
          </cell>
          <cell r="G7" t="str">
            <v>ZA</v>
          </cell>
          <cell r="H7">
            <v>3121300013</v>
          </cell>
          <cell r="I7" t="str">
            <v>FRINGE BENEFITS</v>
          </cell>
          <cell r="J7" t="str">
            <v>VALID</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1981</v>
          </cell>
          <cell r="AJ7">
            <v>3993</v>
          </cell>
          <cell r="AK7">
            <v>1662</v>
          </cell>
          <cell r="AL7">
            <v>1918</v>
          </cell>
          <cell r="AM7">
            <v>2287</v>
          </cell>
          <cell r="AN7">
            <v>1375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11841</v>
          </cell>
          <cell r="BU7">
            <v>1375</v>
          </cell>
          <cell r="BV7">
            <v>0</v>
          </cell>
          <cell r="BW7">
            <v>0</v>
          </cell>
          <cell r="BX7">
            <v>0</v>
          </cell>
          <cell r="BY7">
            <v>0</v>
          </cell>
          <cell r="BZ7">
            <v>13216</v>
          </cell>
          <cell r="CA7">
            <v>0</v>
          </cell>
          <cell r="CB7">
            <v>0</v>
          </cell>
        </row>
        <row r="8">
          <cell r="A8" t="str">
            <v>US59MZA1553201300001</v>
          </cell>
          <cell r="B8" t="str">
            <v>Pekin</v>
          </cell>
          <cell r="C8" t="str">
            <v>June-May</v>
          </cell>
          <cell r="D8" t="str">
            <v>US59MZA155</v>
          </cell>
          <cell r="E8" t="str">
            <v>155</v>
          </cell>
          <cell r="F8" t="str">
            <v>Dispatch</v>
          </cell>
          <cell r="G8" t="str">
            <v>ZA</v>
          </cell>
          <cell r="H8">
            <v>3201300001</v>
          </cell>
          <cell r="I8" t="str">
            <v>HIRED PERSONNEL FROM 3RD PARTIES</v>
          </cell>
          <cell r="J8" t="str">
            <v>VALID</v>
          </cell>
          <cell r="K8">
            <v>0</v>
          </cell>
          <cell r="L8">
            <v>0</v>
          </cell>
          <cell r="M8">
            <v>0</v>
          </cell>
          <cell r="N8">
            <v>0</v>
          </cell>
          <cell r="O8">
            <v>0</v>
          </cell>
          <cell r="P8">
            <v>0</v>
          </cell>
          <cell r="Q8">
            <v>0</v>
          </cell>
          <cell r="R8">
            <v>0</v>
          </cell>
          <cell r="S8">
            <v>0</v>
          </cell>
          <cell r="T8">
            <v>0</v>
          </cell>
          <cell r="U8">
            <v>0</v>
          </cell>
          <cell r="V8">
            <v>0</v>
          </cell>
          <cell r="W8">
            <v>655</v>
          </cell>
          <cell r="X8">
            <v>650</v>
          </cell>
          <cell r="Y8">
            <v>0</v>
          </cell>
          <cell r="Z8">
            <v>0</v>
          </cell>
          <cell r="AA8">
            <v>0</v>
          </cell>
          <cell r="AB8">
            <v>0</v>
          </cell>
          <cell r="AC8">
            <v>0</v>
          </cell>
          <cell r="AD8">
            <v>0</v>
          </cell>
          <cell r="AE8">
            <v>0</v>
          </cell>
          <cell r="AF8">
            <v>0</v>
          </cell>
          <cell r="AG8">
            <v>2912</v>
          </cell>
          <cell r="AH8">
            <v>1458</v>
          </cell>
          <cell r="AI8">
            <v>5049</v>
          </cell>
          <cell r="AJ8">
            <v>4116</v>
          </cell>
          <cell r="AK8">
            <v>6093</v>
          </cell>
          <cell r="AL8">
            <v>5231</v>
          </cell>
          <cell r="AM8">
            <v>6087</v>
          </cell>
          <cell r="AN8">
            <v>3095</v>
          </cell>
          <cell r="AO8">
            <v>3135</v>
          </cell>
          <cell r="AP8">
            <v>831</v>
          </cell>
          <cell r="AQ8">
            <v>0</v>
          </cell>
          <cell r="AR8">
            <v>0</v>
          </cell>
          <cell r="AS8">
            <v>0</v>
          </cell>
          <cell r="AT8">
            <v>0</v>
          </cell>
          <cell r="AU8">
            <v>0</v>
          </cell>
          <cell r="AV8">
            <v>0</v>
          </cell>
          <cell r="AW8">
            <v>0</v>
          </cell>
          <cell r="AX8">
            <v>0</v>
          </cell>
          <cell r="AY8">
            <v>0</v>
          </cell>
          <cell r="BS8">
            <v>1305</v>
          </cell>
          <cell r="BT8">
            <v>30946</v>
          </cell>
          <cell r="BU8">
            <v>7061</v>
          </cell>
          <cell r="BV8">
            <v>0</v>
          </cell>
          <cell r="BW8">
            <v>0</v>
          </cell>
          <cell r="BX8">
            <v>0</v>
          </cell>
          <cell r="BY8">
            <v>5675</v>
          </cell>
          <cell r="BZ8">
            <v>33637</v>
          </cell>
          <cell r="CA8">
            <v>0</v>
          </cell>
          <cell r="CB8">
            <v>0</v>
          </cell>
        </row>
        <row r="9">
          <cell r="A9" t="str">
            <v>US59MZA1559420000025</v>
          </cell>
          <cell r="B9" t="str">
            <v>Pekin</v>
          </cell>
          <cell r="C9" t="str">
            <v>June-May</v>
          </cell>
          <cell r="D9" t="str">
            <v>US59MZA155</v>
          </cell>
          <cell r="E9" t="str">
            <v>155</v>
          </cell>
          <cell r="F9" t="str">
            <v>Dispatch</v>
          </cell>
          <cell r="G9" t="str">
            <v>ZA</v>
          </cell>
          <cell r="H9">
            <v>9420000025</v>
          </cell>
          <cell r="I9" t="str">
            <v>EMPLOYEE BENEFIT ALLOCATION</v>
          </cell>
          <cell r="J9" t="str">
            <v>VALID</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BS9">
            <v>0</v>
          </cell>
          <cell r="BT9">
            <v>0</v>
          </cell>
          <cell r="BU9">
            <v>0</v>
          </cell>
          <cell r="BV9">
            <v>0</v>
          </cell>
          <cell r="BW9">
            <v>0</v>
          </cell>
          <cell r="BX9">
            <v>0</v>
          </cell>
          <cell r="BY9">
            <v>0</v>
          </cell>
          <cell r="BZ9">
            <v>0</v>
          </cell>
          <cell r="CA9">
            <v>0</v>
          </cell>
          <cell r="CB9">
            <v>0</v>
          </cell>
        </row>
        <row r="10">
          <cell r="A10" t="str">
            <v>US59MZA1553991200015</v>
          </cell>
          <cell r="B10" t="str">
            <v>Pekin</v>
          </cell>
          <cell r="C10" t="str">
            <v>June-May</v>
          </cell>
          <cell r="D10" t="str">
            <v>US59MZA155</v>
          </cell>
          <cell r="E10" t="str">
            <v>155</v>
          </cell>
          <cell r="F10" t="str">
            <v>Dispatch</v>
          </cell>
          <cell r="G10" t="str">
            <v>ZA</v>
          </cell>
          <cell r="H10">
            <v>3991200015</v>
          </cell>
          <cell r="I10" t="str">
            <v>TELEPHONE</v>
          </cell>
          <cell r="J10" t="str">
            <v>INVALID</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1838</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BS10">
            <v>0</v>
          </cell>
          <cell r="BT10">
            <v>1838</v>
          </cell>
          <cell r="BU10">
            <v>0</v>
          </cell>
          <cell r="BV10">
            <v>0</v>
          </cell>
          <cell r="BW10">
            <v>0</v>
          </cell>
          <cell r="BX10">
            <v>0</v>
          </cell>
          <cell r="BY10">
            <v>0</v>
          </cell>
          <cell r="BZ10">
            <v>1838</v>
          </cell>
          <cell r="CA10">
            <v>0</v>
          </cell>
          <cell r="CB10">
            <v>0</v>
          </cell>
        </row>
      </sheetData>
      <sheetData sheetId="31" refreshError="1"/>
      <sheetData sheetId="32" refreshError="1"/>
      <sheetData sheetId="33" refreshError="1"/>
      <sheetData sheetId="34"/>
      <sheetData sheetId="35">
        <row r="5">
          <cell r="B5">
            <v>1060272.06</v>
          </cell>
        </row>
      </sheetData>
      <sheetData sheetId="36">
        <row r="6">
          <cell r="F6">
            <v>1060272.06256</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er PPV pivot"/>
      <sheetName val="Other PPV Pivots YTD"/>
      <sheetName val="Other PPV Pivots MTD"/>
      <sheetName val="detail 0810 - 0211"/>
      <sheetName val="lookup us (2)"/>
      <sheetName val="51111000 US PPV 3rd Party 0211"/>
      <sheetName val="51111000 US PPV 3rd Party 0111"/>
      <sheetName val="51111000 US PPV 3rd Party 1210"/>
      <sheetName val="51111000 US PPV 3rd Party 1110"/>
      <sheetName val="51111000 US PPV 3rd Party 1010"/>
      <sheetName val="51111000 US PPV 3rd Party 0910"/>
      <sheetName val="51111000  US PPV 3rd Party 0810"/>
      <sheetName val="Plant"/>
      <sheetName val="lookup 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A1" t="str">
            <v>Plant</v>
          </cell>
          <cell r="B1" t="str">
            <v>Name 1</v>
          </cell>
          <cell r="C1" t="str">
            <v>Valuation Area</v>
          </cell>
          <cell r="D1" t="str">
            <v>Customer no. - plant</v>
          </cell>
          <cell r="E1" t="str">
            <v>Vendor number plant</v>
          </cell>
          <cell r="F1" t="str">
            <v>Factory calendar</v>
          </cell>
          <cell r="G1" t="str">
            <v>Name 2</v>
          </cell>
        </row>
        <row r="2">
          <cell r="A2" t="str">
            <v>CA01</v>
          </cell>
          <cell r="B2" t="str">
            <v>Cottam, ON</v>
          </cell>
          <cell r="C2" t="str">
            <v>CA01</v>
          </cell>
          <cell r="D2" t="str">
            <v>PCA01</v>
          </cell>
          <cell r="E2">
            <v>0</v>
          </cell>
          <cell r="F2" t="str">
            <v>CA</v>
          </cell>
          <cell r="G2" t="str">
            <v>Corn</v>
          </cell>
        </row>
        <row r="3">
          <cell r="A3" t="str">
            <v>CA20</v>
          </cell>
          <cell r="B3" t="str">
            <v>Agromart Processing Co.</v>
          </cell>
          <cell r="C3" t="str">
            <v>CA20</v>
          </cell>
          <cell r="D3" t="str">
            <v>PCA20</v>
          </cell>
          <cell r="E3">
            <v>0</v>
          </cell>
          <cell r="F3" t="str">
            <v>CA</v>
          </cell>
          <cell r="G3" t="str">
            <v>Soybeans</v>
          </cell>
        </row>
        <row r="4">
          <cell r="A4" t="str">
            <v>CA21</v>
          </cell>
          <cell r="B4" t="str">
            <v>Agworks Inc.</v>
          </cell>
          <cell r="C4" t="str">
            <v>CA21</v>
          </cell>
          <cell r="D4" t="str">
            <v>PCA21</v>
          </cell>
          <cell r="E4">
            <v>0</v>
          </cell>
          <cell r="F4" t="str">
            <v>CA</v>
          </cell>
          <cell r="G4" t="str">
            <v>Soybeans</v>
          </cell>
        </row>
        <row r="5">
          <cell r="A5" t="str">
            <v>CA22</v>
          </cell>
          <cell r="B5" t="str">
            <v>Bev Manning</v>
          </cell>
          <cell r="C5" t="str">
            <v>CA22</v>
          </cell>
          <cell r="D5" t="str">
            <v>PCA22</v>
          </cell>
          <cell r="E5">
            <v>0</v>
          </cell>
          <cell r="F5" t="str">
            <v>CA</v>
          </cell>
          <cell r="G5" t="str">
            <v>Soybeans</v>
          </cell>
        </row>
        <row r="6">
          <cell r="A6" t="str">
            <v>CA23</v>
          </cell>
          <cell r="B6" t="str">
            <v>Brussels Agromart</v>
          </cell>
          <cell r="C6" t="str">
            <v>CA23</v>
          </cell>
          <cell r="D6" t="str">
            <v>PCA23</v>
          </cell>
          <cell r="E6">
            <v>0</v>
          </cell>
          <cell r="F6" t="str">
            <v>CA</v>
          </cell>
          <cell r="G6" t="str">
            <v>Soybeans</v>
          </cell>
        </row>
        <row r="7">
          <cell r="A7" t="str">
            <v>CA24</v>
          </cell>
          <cell r="B7" t="str">
            <v>Dunlop Farms</v>
          </cell>
          <cell r="C7" t="str">
            <v>CA24</v>
          </cell>
          <cell r="D7" t="str">
            <v>PCA24</v>
          </cell>
          <cell r="E7">
            <v>0</v>
          </cell>
          <cell r="F7" t="str">
            <v>CA</v>
          </cell>
          <cell r="G7" t="str">
            <v>Soybeans</v>
          </cell>
        </row>
        <row r="8">
          <cell r="A8" t="str">
            <v>CA25</v>
          </cell>
          <cell r="B8" t="str">
            <v>Grand River Bean</v>
          </cell>
          <cell r="C8" t="str">
            <v>CA25</v>
          </cell>
          <cell r="D8" t="str">
            <v>PCA25</v>
          </cell>
          <cell r="E8">
            <v>0</v>
          </cell>
          <cell r="F8" t="str">
            <v>CA</v>
          </cell>
          <cell r="G8" t="str">
            <v>Soybeans</v>
          </cell>
        </row>
        <row r="9">
          <cell r="A9" t="str">
            <v>CA26</v>
          </cell>
          <cell r="B9" t="str">
            <v>Hendrick Seeds</v>
          </cell>
          <cell r="C9" t="str">
            <v>CA26</v>
          </cell>
          <cell r="D9" t="str">
            <v>PCA26</v>
          </cell>
          <cell r="E9">
            <v>0</v>
          </cell>
          <cell r="F9" t="str">
            <v>CA</v>
          </cell>
          <cell r="G9" t="str">
            <v>Soybeans</v>
          </cell>
        </row>
        <row r="10">
          <cell r="A10" t="str">
            <v>CA27</v>
          </cell>
          <cell r="B10" t="str">
            <v>Hensall District CO-OP</v>
          </cell>
          <cell r="C10" t="str">
            <v>CA27</v>
          </cell>
          <cell r="D10" t="str">
            <v>PCA27</v>
          </cell>
          <cell r="E10">
            <v>0</v>
          </cell>
          <cell r="F10" t="str">
            <v>CA</v>
          </cell>
          <cell r="G10" t="str">
            <v>Soybeans</v>
          </cell>
        </row>
        <row r="11">
          <cell r="A11" t="str">
            <v>CA28</v>
          </cell>
          <cell r="B11" t="str">
            <v>Jackson Seeds</v>
          </cell>
          <cell r="C11" t="str">
            <v>CA28</v>
          </cell>
          <cell r="D11" t="str">
            <v>PCA28</v>
          </cell>
          <cell r="E11">
            <v>0</v>
          </cell>
          <cell r="F11" t="str">
            <v>CA</v>
          </cell>
          <cell r="G11" t="str">
            <v>Soybeans</v>
          </cell>
        </row>
        <row r="12">
          <cell r="A12" t="str">
            <v>CA29</v>
          </cell>
          <cell r="B12" t="str">
            <v>MacKellar Farms</v>
          </cell>
          <cell r="C12" t="str">
            <v>CA29</v>
          </cell>
          <cell r="D12" t="str">
            <v>PCA29</v>
          </cell>
          <cell r="E12">
            <v>0</v>
          </cell>
          <cell r="F12" t="str">
            <v>CA</v>
          </cell>
          <cell r="G12" t="str">
            <v>Soybeans</v>
          </cell>
        </row>
        <row r="13">
          <cell r="A13" t="str">
            <v>CA30</v>
          </cell>
          <cell r="B13" t="str">
            <v>Oxford Agropro LTD.</v>
          </cell>
          <cell r="C13" t="str">
            <v>CA30</v>
          </cell>
          <cell r="D13" t="str">
            <v>PCA30</v>
          </cell>
          <cell r="E13">
            <v>0</v>
          </cell>
          <cell r="F13" t="str">
            <v>CA</v>
          </cell>
          <cell r="G13" t="str">
            <v>Soybeans</v>
          </cell>
        </row>
        <row r="14">
          <cell r="A14" t="str">
            <v>CA32</v>
          </cell>
          <cell r="B14" t="str">
            <v>Recker Seeds &amp; Cleaning</v>
          </cell>
          <cell r="C14" t="str">
            <v>CA32</v>
          </cell>
          <cell r="D14" t="str">
            <v>PCA32</v>
          </cell>
          <cell r="E14">
            <v>0</v>
          </cell>
          <cell r="F14" t="str">
            <v>CA</v>
          </cell>
          <cell r="G14" t="str">
            <v>Soybeans</v>
          </cell>
        </row>
        <row r="15">
          <cell r="A15" t="str">
            <v>CA33</v>
          </cell>
          <cell r="B15" t="str">
            <v>Rosebank Seed Farms Ltd.</v>
          </cell>
          <cell r="C15" t="str">
            <v>CA33</v>
          </cell>
          <cell r="D15" t="str">
            <v>PCA33</v>
          </cell>
          <cell r="E15">
            <v>0</v>
          </cell>
          <cell r="F15" t="str">
            <v>CA</v>
          </cell>
          <cell r="G15" t="str">
            <v>Soybeans</v>
          </cell>
        </row>
        <row r="16">
          <cell r="A16" t="str">
            <v>CA34</v>
          </cell>
          <cell r="B16" t="str">
            <v>Summit Seeds Inc.</v>
          </cell>
          <cell r="C16" t="str">
            <v>CA34</v>
          </cell>
          <cell r="D16" t="str">
            <v>PCA34</v>
          </cell>
          <cell r="E16">
            <v>0</v>
          </cell>
          <cell r="F16" t="str">
            <v>CA</v>
          </cell>
          <cell r="G16" t="str">
            <v>Soybeans</v>
          </cell>
        </row>
        <row r="17">
          <cell r="A17" t="str">
            <v>CA35</v>
          </cell>
          <cell r="B17" t="str">
            <v>Warrindale Farm</v>
          </cell>
          <cell r="C17" t="str">
            <v>CA35</v>
          </cell>
          <cell r="D17" t="str">
            <v>PCA35</v>
          </cell>
          <cell r="E17">
            <v>0</v>
          </cell>
          <cell r="F17" t="str">
            <v>CA</v>
          </cell>
          <cell r="G17" t="str">
            <v>Soybeans</v>
          </cell>
        </row>
        <row r="18">
          <cell r="A18" t="str">
            <v>CA36</v>
          </cell>
          <cell r="B18" t="str">
            <v>Ens Farms Ltd.</v>
          </cell>
          <cell r="C18" t="str">
            <v>CA36</v>
          </cell>
          <cell r="D18" t="str">
            <v>PCA36</v>
          </cell>
          <cell r="E18">
            <v>0</v>
          </cell>
          <cell r="F18" t="str">
            <v>CA</v>
          </cell>
          <cell r="G18" t="str">
            <v>Soybeans</v>
          </cell>
        </row>
        <row r="19">
          <cell r="A19" t="str">
            <v>CA37</v>
          </cell>
          <cell r="B19" t="str">
            <v>Les Grains Semtech</v>
          </cell>
          <cell r="C19" t="str">
            <v>CA37</v>
          </cell>
          <cell r="D19" t="str">
            <v>PCA37</v>
          </cell>
          <cell r="E19">
            <v>0</v>
          </cell>
          <cell r="F19" t="str">
            <v>CA</v>
          </cell>
          <cell r="G19" t="str">
            <v>Soya Business</v>
          </cell>
        </row>
        <row r="20">
          <cell r="A20" t="str">
            <v>CAA0</v>
          </cell>
          <cell r="B20" t="str">
            <v>Canada Regional Supply Chain</v>
          </cell>
          <cell r="C20" t="str">
            <v>CAA0</v>
          </cell>
          <cell r="D20">
            <v>0</v>
          </cell>
          <cell r="E20">
            <v>0</v>
          </cell>
          <cell r="F20" t="str">
            <v>CA</v>
          </cell>
          <cell r="G20" t="str">
            <v>Soybean Lead Costing</v>
          </cell>
        </row>
        <row r="21">
          <cell r="A21" t="str">
            <v>USA0</v>
          </cell>
          <cell r="B21" t="str">
            <v>Minnetonka, MN</v>
          </cell>
          <cell r="C21" t="str">
            <v>USA0</v>
          </cell>
          <cell r="D21" t="str">
            <v>PUSA0</v>
          </cell>
          <cell r="E21">
            <v>0</v>
          </cell>
          <cell r="F21" t="str">
            <v>US</v>
          </cell>
          <cell r="G21" t="str">
            <v>Corn &amp; Soybeans</v>
          </cell>
        </row>
        <row r="22">
          <cell r="A22" t="str">
            <v>USA1</v>
          </cell>
          <cell r="B22" t="str">
            <v>Ames, IA</v>
          </cell>
          <cell r="C22" t="str">
            <v>USA1</v>
          </cell>
          <cell r="D22" t="str">
            <v>PUSA1</v>
          </cell>
          <cell r="E22">
            <v>0</v>
          </cell>
          <cell r="F22" t="str">
            <v>US</v>
          </cell>
          <cell r="G22" t="str">
            <v>Corn &amp; Soybeans</v>
          </cell>
        </row>
        <row r="23">
          <cell r="A23" t="str">
            <v>USA2</v>
          </cell>
          <cell r="B23" t="str">
            <v>Coon Rapids, IA</v>
          </cell>
          <cell r="C23" t="str">
            <v>USA2</v>
          </cell>
          <cell r="D23" t="str">
            <v>PUSA2</v>
          </cell>
          <cell r="E23">
            <v>0</v>
          </cell>
          <cell r="F23" t="str">
            <v>US</v>
          </cell>
          <cell r="G23" t="str">
            <v>Corn</v>
          </cell>
        </row>
        <row r="24">
          <cell r="A24" t="str">
            <v>USA3</v>
          </cell>
          <cell r="B24" t="str">
            <v>Kekaha, HI</v>
          </cell>
          <cell r="C24" t="str">
            <v>USA3</v>
          </cell>
          <cell r="D24" t="str">
            <v>PUSA3</v>
          </cell>
          <cell r="E24">
            <v>0</v>
          </cell>
          <cell r="F24" t="str">
            <v>US</v>
          </cell>
          <cell r="G24" t="str">
            <v>Corn</v>
          </cell>
        </row>
        <row r="25">
          <cell r="A25" t="str">
            <v>USA4</v>
          </cell>
          <cell r="B25" t="str">
            <v>Lone Tree, IA</v>
          </cell>
          <cell r="C25" t="str">
            <v>USA4</v>
          </cell>
          <cell r="D25" t="str">
            <v>PUSA4</v>
          </cell>
          <cell r="E25">
            <v>0</v>
          </cell>
          <cell r="F25" t="str">
            <v>US</v>
          </cell>
          <cell r="G25" t="str">
            <v>Corn</v>
          </cell>
        </row>
        <row r="26">
          <cell r="A26" t="str">
            <v>USA5</v>
          </cell>
          <cell r="B26" t="str">
            <v>Paris, IL</v>
          </cell>
          <cell r="C26" t="str">
            <v>USA5</v>
          </cell>
          <cell r="D26" t="str">
            <v>PUSA5</v>
          </cell>
          <cell r="E26">
            <v>0</v>
          </cell>
          <cell r="F26" t="str">
            <v>US</v>
          </cell>
          <cell r="G26" t="str">
            <v>Corn</v>
          </cell>
        </row>
        <row r="27">
          <cell r="A27" t="str">
            <v>USA6</v>
          </cell>
          <cell r="B27" t="str">
            <v>Pekin, IL</v>
          </cell>
          <cell r="C27" t="str">
            <v>USA6</v>
          </cell>
          <cell r="D27" t="str">
            <v>PUSA6</v>
          </cell>
          <cell r="E27">
            <v>0</v>
          </cell>
          <cell r="F27" t="str">
            <v>US</v>
          </cell>
          <cell r="G27" t="str">
            <v>Corn &amp; Soybeans</v>
          </cell>
        </row>
        <row r="28">
          <cell r="A28" t="str">
            <v>USA7</v>
          </cell>
          <cell r="B28" t="str">
            <v>Phillips, NE</v>
          </cell>
          <cell r="C28" t="str">
            <v>USA7</v>
          </cell>
          <cell r="D28" t="str">
            <v>PUSA7</v>
          </cell>
          <cell r="E28">
            <v>0</v>
          </cell>
          <cell r="F28" t="str">
            <v>US</v>
          </cell>
          <cell r="G28" t="str">
            <v>Corn</v>
          </cell>
        </row>
        <row r="29">
          <cell r="A29" t="str">
            <v>USA8</v>
          </cell>
          <cell r="B29" t="str">
            <v>Slater, IA</v>
          </cell>
          <cell r="C29" t="str">
            <v>USA8</v>
          </cell>
          <cell r="D29" t="str">
            <v>PUSA8</v>
          </cell>
          <cell r="E29">
            <v>0</v>
          </cell>
          <cell r="F29" t="str">
            <v>US</v>
          </cell>
          <cell r="G29" t="str">
            <v>Corn</v>
          </cell>
        </row>
        <row r="30">
          <cell r="A30" t="str">
            <v>USA9</v>
          </cell>
          <cell r="B30" t="str">
            <v>Washington, IA</v>
          </cell>
          <cell r="C30" t="str">
            <v>USA9</v>
          </cell>
          <cell r="D30" t="str">
            <v>PUSA9</v>
          </cell>
          <cell r="E30">
            <v>0</v>
          </cell>
          <cell r="F30" t="str">
            <v>US</v>
          </cell>
          <cell r="G30" t="str">
            <v>Corn &amp; Soybeans</v>
          </cell>
        </row>
        <row r="31">
          <cell r="A31" t="str">
            <v>USB0</v>
          </cell>
          <cell r="B31" t="str">
            <v>Waterloo, NE - Commercial</v>
          </cell>
          <cell r="C31" t="str">
            <v>USB0</v>
          </cell>
          <cell r="D31" t="str">
            <v>PUSB0</v>
          </cell>
          <cell r="E31">
            <v>0</v>
          </cell>
          <cell r="F31" t="str">
            <v>US</v>
          </cell>
          <cell r="G31" t="str">
            <v>Corn</v>
          </cell>
        </row>
        <row r="32">
          <cell r="A32" t="str">
            <v>USB1</v>
          </cell>
          <cell r="B32" t="str">
            <v>Waterloo, NE - Basic Seeds</v>
          </cell>
          <cell r="C32" t="str">
            <v>USB1</v>
          </cell>
          <cell r="D32" t="str">
            <v>PUSB1</v>
          </cell>
          <cell r="E32">
            <v>0</v>
          </cell>
          <cell r="F32" t="str">
            <v>US</v>
          </cell>
          <cell r="G32" t="str">
            <v>Corn</v>
          </cell>
        </row>
        <row r="33">
          <cell r="A33" t="str">
            <v>USB2</v>
          </cell>
          <cell r="B33" t="str">
            <v>Waterloo, NE - Reg. Prod.</v>
          </cell>
          <cell r="C33" t="str">
            <v>USB2</v>
          </cell>
          <cell r="D33" t="str">
            <v>PUSB2</v>
          </cell>
          <cell r="E33">
            <v>0</v>
          </cell>
          <cell r="F33" t="str">
            <v>US</v>
          </cell>
          <cell r="G33" t="str">
            <v>Corn</v>
          </cell>
        </row>
        <row r="34">
          <cell r="A34" t="str">
            <v>USB3</v>
          </cell>
          <cell r="B34" t="str">
            <v>Gro Alliance, Belle Plaine, IA</v>
          </cell>
          <cell r="C34" t="str">
            <v>USB3</v>
          </cell>
          <cell r="D34" t="str">
            <v>PUSB3</v>
          </cell>
          <cell r="E34">
            <v>0</v>
          </cell>
          <cell r="F34" t="str">
            <v>US</v>
          </cell>
          <cell r="G34" t="str">
            <v>Corn</v>
          </cell>
        </row>
        <row r="35">
          <cell r="A35" t="str">
            <v>USB4</v>
          </cell>
          <cell r="B35" t="str">
            <v>Gro Alliance, Bluffton, IN</v>
          </cell>
          <cell r="C35" t="str">
            <v>USB4</v>
          </cell>
          <cell r="D35" t="str">
            <v>PUSB4</v>
          </cell>
          <cell r="E35">
            <v>0</v>
          </cell>
          <cell r="F35" t="str">
            <v>US</v>
          </cell>
          <cell r="G35" t="str">
            <v>Corn</v>
          </cell>
        </row>
        <row r="36">
          <cell r="A36" t="str">
            <v>USB5</v>
          </cell>
          <cell r="B36" t="str">
            <v>Pivot Point Services</v>
          </cell>
          <cell r="C36" t="str">
            <v>USB5</v>
          </cell>
          <cell r="D36" t="str">
            <v>PUSB5</v>
          </cell>
          <cell r="E36">
            <v>0</v>
          </cell>
          <cell r="F36" t="str">
            <v>US</v>
          </cell>
          <cell r="G36" t="str">
            <v>Corn</v>
          </cell>
        </row>
        <row r="37">
          <cell r="A37" t="str">
            <v>USB6</v>
          </cell>
          <cell r="B37" t="str">
            <v>Gro Alliance, Cuba City, WI</v>
          </cell>
          <cell r="C37" t="str">
            <v>USB6</v>
          </cell>
          <cell r="D37" t="str">
            <v>PUSB6</v>
          </cell>
          <cell r="E37">
            <v>0</v>
          </cell>
          <cell r="F37" t="str">
            <v>US</v>
          </cell>
          <cell r="G37" t="str">
            <v>Corn</v>
          </cell>
        </row>
        <row r="38">
          <cell r="A38" t="str">
            <v>USB7</v>
          </cell>
          <cell r="B38" t="str">
            <v>Hartung Brothers, Madison, WI</v>
          </cell>
          <cell r="C38" t="str">
            <v>USB7</v>
          </cell>
          <cell r="D38" t="str">
            <v>PUSB7</v>
          </cell>
          <cell r="E38">
            <v>0</v>
          </cell>
          <cell r="F38" t="str">
            <v>US</v>
          </cell>
          <cell r="G38" t="str">
            <v>Corn</v>
          </cell>
        </row>
        <row r="39">
          <cell r="A39" t="str">
            <v>USB8</v>
          </cell>
          <cell r="B39" t="str">
            <v>Hartung Brothers, Muncie, IL</v>
          </cell>
          <cell r="C39" t="str">
            <v>USB8</v>
          </cell>
          <cell r="D39" t="str">
            <v>PUSB8</v>
          </cell>
          <cell r="E39">
            <v>0</v>
          </cell>
          <cell r="F39" t="str">
            <v>US</v>
          </cell>
          <cell r="G39" t="str">
            <v>Corn</v>
          </cell>
        </row>
        <row r="40">
          <cell r="A40" t="str">
            <v>USB9</v>
          </cell>
          <cell r="B40" t="str">
            <v>Kunia,Oahu</v>
          </cell>
          <cell r="C40" t="str">
            <v>USB9</v>
          </cell>
          <cell r="D40" t="str">
            <v>PUSB9</v>
          </cell>
          <cell r="E40">
            <v>0</v>
          </cell>
          <cell r="F40" t="str">
            <v>US</v>
          </cell>
          <cell r="G40" t="str">
            <v>Corn</v>
          </cell>
        </row>
        <row r="41">
          <cell r="A41" t="str">
            <v>USC0</v>
          </cell>
          <cell r="B41" t="str">
            <v>Chile Winter Production</v>
          </cell>
          <cell r="C41" t="str">
            <v>USC0</v>
          </cell>
          <cell r="D41">
            <v>0</v>
          </cell>
          <cell r="E41">
            <v>0</v>
          </cell>
          <cell r="F41" t="str">
            <v>US</v>
          </cell>
          <cell r="G41" t="str">
            <v>Corn</v>
          </cell>
        </row>
        <row r="42">
          <cell r="A42" t="str">
            <v>USC1</v>
          </cell>
          <cell r="B42" t="str">
            <v>Hampton, IA</v>
          </cell>
          <cell r="C42" t="str">
            <v>USC1</v>
          </cell>
          <cell r="D42">
            <v>0</v>
          </cell>
          <cell r="E42">
            <v>0</v>
          </cell>
          <cell r="F42" t="str">
            <v>US</v>
          </cell>
          <cell r="G42" t="str">
            <v>Corn &amp; Soybeans</v>
          </cell>
        </row>
        <row r="43">
          <cell r="A43" t="str">
            <v>USC2</v>
          </cell>
          <cell r="B43" t="str">
            <v>AgriHorizon, Inc.</v>
          </cell>
          <cell r="C43" t="str">
            <v>USC2</v>
          </cell>
          <cell r="D43">
            <v>0</v>
          </cell>
          <cell r="E43">
            <v>0</v>
          </cell>
          <cell r="F43" t="str">
            <v>US</v>
          </cell>
          <cell r="G43" t="str">
            <v>Corn</v>
          </cell>
        </row>
        <row r="44">
          <cell r="A44" t="str">
            <v>USG0</v>
          </cell>
          <cell r="B44" t="str">
            <v>Amboy, MN</v>
          </cell>
          <cell r="C44" t="str">
            <v>USG0</v>
          </cell>
          <cell r="D44" t="str">
            <v>PUSG0</v>
          </cell>
          <cell r="E44">
            <v>0</v>
          </cell>
          <cell r="F44" t="str">
            <v>US</v>
          </cell>
          <cell r="G44" t="str">
            <v>Corn &amp; Soybeans</v>
          </cell>
        </row>
        <row r="45">
          <cell r="A45" t="str">
            <v>USG1</v>
          </cell>
          <cell r="B45" t="str">
            <v>Bay, AR</v>
          </cell>
          <cell r="C45" t="str">
            <v>USG1</v>
          </cell>
          <cell r="D45" t="str">
            <v>PUSG1</v>
          </cell>
          <cell r="E45">
            <v>0</v>
          </cell>
          <cell r="F45" t="str">
            <v>US</v>
          </cell>
          <cell r="G45" t="str">
            <v>Soybeans</v>
          </cell>
        </row>
        <row r="46">
          <cell r="A46" t="str">
            <v>USG2</v>
          </cell>
          <cell r="B46" t="str">
            <v>Belmond, IA</v>
          </cell>
          <cell r="C46" t="str">
            <v>USG2</v>
          </cell>
          <cell r="D46" t="str">
            <v>PUSG2</v>
          </cell>
          <cell r="E46">
            <v>0</v>
          </cell>
          <cell r="F46" t="str">
            <v>US</v>
          </cell>
          <cell r="G46" t="str">
            <v>Soybeans</v>
          </cell>
        </row>
        <row r="47">
          <cell r="A47" t="str">
            <v>USG3</v>
          </cell>
          <cell r="B47" t="str">
            <v>Brookings, SD</v>
          </cell>
          <cell r="C47" t="str">
            <v>USG3</v>
          </cell>
          <cell r="D47" t="str">
            <v>PUSG3</v>
          </cell>
          <cell r="E47">
            <v>0</v>
          </cell>
          <cell r="F47" t="str">
            <v>US</v>
          </cell>
          <cell r="G47" t="str">
            <v>Soybeans</v>
          </cell>
        </row>
        <row r="48">
          <cell r="A48" t="str">
            <v>USG4</v>
          </cell>
          <cell r="B48" t="str">
            <v>Carroll, IA - Commercial</v>
          </cell>
          <cell r="C48" t="str">
            <v>USG4</v>
          </cell>
          <cell r="D48" t="str">
            <v>PUSG4</v>
          </cell>
          <cell r="E48">
            <v>0</v>
          </cell>
          <cell r="F48" t="str">
            <v>US</v>
          </cell>
          <cell r="G48" t="str">
            <v>Soybeans</v>
          </cell>
        </row>
        <row r="49">
          <cell r="A49" t="str">
            <v>USG5</v>
          </cell>
          <cell r="B49" t="str">
            <v>Carroll, IA - Basic Seeds</v>
          </cell>
          <cell r="C49" t="str">
            <v>USG5</v>
          </cell>
          <cell r="D49" t="str">
            <v>PUSG5</v>
          </cell>
          <cell r="E49">
            <v>0</v>
          </cell>
          <cell r="F49" t="str">
            <v>US</v>
          </cell>
          <cell r="G49" t="str">
            <v>Soybeans</v>
          </cell>
        </row>
        <row r="50">
          <cell r="A50" t="str">
            <v>USG6</v>
          </cell>
          <cell r="B50" t="str">
            <v>Danvers, MN</v>
          </cell>
          <cell r="C50" t="str">
            <v>USG6</v>
          </cell>
          <cell r="D50" t="str">
            <v>PUSG6</v>
          </cell>
          <cell r="E50">
            <v>0</v>
          </cell>
          <cell r="F50" t="str">
            <v>US</v>
          </cell>
          <cell r="G50" t="str">
            <v>Soybeans</v>
          </cell>
        </row>
        <row r="51">
          <cell r="A51" t="str">
            <v>USG7</v>
          </cell>
          <cell r="B51" t="str">
            <v>Dassel, MN</v>
          </cell>
          <cell r="C51" t="str">
            <v>USG7</v>
          </cell>
          <cell r="D51" t="str">
            <v>PUSG7</v>
          </cell>
          <cell r="E51">
            <v>0</v>
          </cell>
          <cell r="F51" t="str">
            <v>US</v>
          </cell>
          <cell r="G51" t="str">
            <v>Soybeans</v>
          </cell>
        </row>
        <row r="52">
          <cell r="A52" t="str">
            <v>USG8</v>
          </cell>
          <cell r="B52" t="str">
            <v>Jefferson, IA</v>
          </cell>
          <cell r="C52" t="str">
            <v>USG8</v>
          </cell>
          <cell r="D52" t="str">
            <v>PUSG8</v>
          </cell>
          <cell r="E52">
            <v>0</v>
          </cell>
          <cell r="F52" t="str">
            <v>US</v>
          </cell>
          <cell r="G52" t="str">
            <v>Soybeans</v>
          </cell>
        </row>
        <row r="53">
          <cell r="A53" t="str">
            <v>USG9</v>
          </cell>
          <cell r="B53" t="str">
            <v>Tuscola, IL</v>
          </cell>
          <cell r="C53" t="str">
            <v>USG9</v>
          </cell>
          <cell r="D53" t="str">
            <v>PUSG9</v>
          </cell>
          <cell r="E53">
            <v>0</v>
          </cell>
          <cell r="F53" t="str">
            <v>US</v>
          </cell>
          <cell r="G53" t="str">
            <v>Soybeans</v>
          </cell>
        </row>
        <row r="54">
          <cell r="A54" t="str">
            <v>USH1</v>
          </cell>
          <cell r="B54" t="str">
            <v>Waterloo, IA</v>
          </cell>
          <cell r="C54" t="str">
            <v>USH1</v>
          </cell>
          <cell r="D54" t="str">
            <v>PUSH1</v>
          </cell>
          <cell r="E54">
            <v>0</v>
          </cell>
          <cell r="F54" t="str">
            <v>US</v>
          </cell>
          <cell r="G54" t="str">
            <v>Soybeans</v>
          </cell>
        </row>
        <row r="55">
          <cell r="A55" t="str">
            <v>USH2</v>
          </cell>
          <cell r="B55" t="str">
            <v>DNS</v>
          </cell>
          <cell r="C55" t="str">
            <v>USH2</v>
          </cell>
          <cell r="D55" t="str">
            <v>PUSH2</v>
          </cell>
          <cell r="E55">
            <v>0</v>
          </cell>
          <cell r="F55" t="str">
            <v>US</v>
          </cell>
          <cell r="G55" t="str">
            <v>Soybeans</v>
          </cell>
        </row>
        <row r="56">
          <cell r="A56" t="str">
            <v>USH3</v>
          </cell>
          <cell r="B56" t="str">
            <v>Fischer Seeds</v>
          </cell>
          <cell r="C56" t="str">
            <v>USH3</v>
          </cell>
          <cell r="D56" t="str">
            <v>PUSH3</v>
          </cell>
          <cell r="E56">
            <v>0</v>
          </cell>
          <cell r="F56" t="str">
            <v>US</v>
          </cell>
          <cell r="G56" t="str">
            <v>Soybeans</v>
          </cell>
        </row>
        <row r="57">
          <cell r="A57" t="str">
            <v>USH4</v>
          </cell>
          <cell r="B57" t="str">
            <v>Custom Seed Production LLC</v>
          </cell>
          <cell r="C57" t="str">
            <v>USH4</v>
          </cell>
          <cell r="D57" t="str">
            <v>PUSH4</v>
          </cell>
          <cell r="E57">
            <v>0</v>
          </cell>
          <cell r="F57" t="str">
            <v>US</v>
          </cell>
          <cell r="G57" t="str">
            <v>Soybeans</v>
          </cell>
        </row>
        <row r="58">
          <cell r="A58" t="str">
            <v>USH5</v>
          </cell>
          <cell r="B58" t="str">
            <v>Precision Soya,  Nashville, IL</v>
          </cell>
          <cell r="C58" t="str">
            <v>USH5</v>
          </cell>
          <cell r="D58" t="str">
            <v>PUSH5</v>
          </cell>
          <cell r="E58">
            <v>0</v>
          </cell>
          <cell r="F58" t="str">
            <v>US</v>
          </cell>
          <cell r="G58" t="str">
            <v>Soybeans</v>
          </cell>
        </row>
        <row r="59">
          <cell r="A59" t="str">
            <v>USH6</v>
          </cell>
          <cell r="B59" t="str">
            <v>Gemeingardt Seeds Inc</v>
          </cell>
          <cell r="C59" t="str">
            <v>USH6</v>
          </cell>
          <cell r="D59" t="str">
            <v>PUSH6</v>
          </cell>
          <cell r="E59">
            <v>0</v>
          </cell>
          <cell r="F59" t="str">
            <v>US</v>
          </cell>
          <cell r="G59" t="str">
            <v>Soybeans</v>
          </cell>
        </row>
        <row r="60">
          <cell r="A60" t="str">
            <v>USH7</v>
          </cell>
          <cell r="B60" t="str">
            <v>Precision Soya, New Castle, IN</v>
          </cell>
          <cell r="C60" t="str">
            <v>USH7</v>
          </cell>
          <cell r="D60" t="str">
            <v>PUSH7</v>
          </cell>
          <cell r="E60">
            <v>0</v>
          </cell>
          <cell r="F60" t="str">
            <v>US</v>
          </cell>
          <cell r="G60" t="str">
            <v>Soybeans</v>
          </cell>
        </row>
        <row r="61">
          <cell r="A61" t="str">
            <v>USH8</v>
          </cell>
          <cell r="B61" t="str">
            <v>Cache River Valley Seed</v>
          </cell>
          <cell r="C61" t="str">
            <v>USH8</v>
          </cell>
          <cell r="D61" t="str">
            <v>PUSH8</v>
          </cell>
          <cell r="E61">
            <v>0</v>
          </cell>
          <cell r="F61" t="str">
            <v>US</v>
          </cell>
          <cell r="G61" t="str">
            <v>Soybeans</v>
          </cell>
        </row>
        <row r="62">
          <cell r="A62" t="str">
            <v>USH9</v>
          </cell>
          <cell r="B62" t="str">
            <v>Remington Seeds, Ridgway, IL</v>
          </cell>
          <cell r="C62" t="str">
            <v>USH9</v>
          </cell>
          <cell r="D62" t="str">
            <v>PUSH9</v>
          </cell>
          <cell r="E62">
            <v>0</v>
          </cell>
          <cell r="F62" t="str">
            <v>US</v>
          </cell>
          <cell r="G62" t="str">
            <v>Soybeans</v>
          </cell>
        </row>
        <row r="63">
          <cell r="A63" t="str">
            <v>USI0</v>
          </cell>
          <cell r="B63" t="str">
            <v>Stratton Seeds, Carlisle, AR</v>
          </cell>
          <cell r="C63" t="str">
            <v>USI0</v>
          </cell>
          <cell r="D63" t="str">
            <v>PUSI0</v>
          </cell>
          <cell r="E63">
            <v>0</v>
          </cell>
          <cell r="F63" t="str">
            <v>US</v>
          </cell>
          <cell r="G63" t="str">
            <v>Soybeans</v>
          </cell>
        </row>
        <row r="64">
          <cell r="A64" t="str">
            <v>USI1</v>
          </cell>
          <cell r="B64" t="str">
            <v>Stratton Seeds, Stuttgart, AR</v>
          </cell>
          <cell r="C64" t="str">
            <v>USI1</v>
          </cell>
          <cell r="D64" t="str">
            <v>PUSI1</v>
          </cell>
          <cell r="E64">
            <v>0</v>
          </cell>
          <cell r="F64" t="str">
            <v>US</v>
          </cell>
          <cell r="G64" t="str">
            <v>Soybeans</v>
          </cell>
        </row>
        <row r="65">
          <cell r="A65" t="str">
            <v>USI2</v>
          </cell>
          <cell r="B65" t="str">
            <v>Tanner Seed</v>
          </cell>
          <cell r="C65" t="str">
            <v>USI2</v>
          </cell>
          <cell r="D65" t="str">
            <v>PUSI2</v>
          </cell>
          <cell r="E65">
            <v>0</v>
          </cell>
          <cell r="F65" t="str">
            <v>US</v>
          </cell>
          <cell r="G65" t="str">
            <v>Soybeans</v>
          </cell>
        </row>
        <row r="66">
          <cell r="A66" t="str">
            <v>USI3</v>
          </cell>
          <cell r="B66" t="str">
            <v>Cashwell &amp; Jones</v>
          </cell>
          <cell r="C66" t="str">
            <v>USI3</v>
          </cell>
          <cell r="D66" t="str">
            <v>PUSI3</v>
          </cell>
          <cell r="E66">
            <v>0</v>
          </cell>
          <cell r="F66" t="str">
            <v>US</v>
          </cell>
          <cell r="G66" t="str">
            <v>Soybeans</v>
          </cell>
        </row>
        <row r="67">
          <cell r="A67" t="str">
            <v>USI4</v>
          </cell>
          <cell r="B67" t="str">
            <v>Circle Grove Seeds</v>
          </cell>
          <cell r="C67" t="str">
            <v>USI4</v>
          </cell>
          <cell r="D67" t="str">
            <v>PUSI4</v>
          </cell>
          <cell r="E67">
            <v>0</v>
          </cell>
          <cell r="F67" t="str">
            <v>US</v>
          </cell>
          <cell r="G67" t="str">
            <v>Soybeans</v>
          </cell>
        </row>
        <row r="68">
          <cell r="A68" t="str">
            <v>USI5</v>
          </cell>
          <cell r="B68" t="str">
            <v>Eure Seed Farms</v>
          </cell>
          <cell r="C68" t="str">
            <v>USI5</v>
          </cell>
          <cell r="D68" t="str">
            <v>PUSI5</v>
          </cell>
          <cell r="E68">
            <v>0</v>
          </cell>
          <cell r="F68" t="str">
            <v>US</v>
          </cell>
          <cell r="G68" t="str">
            <v>Soybeans</v>
          </cell>
        </row>
        <row r="69">
          <cell r="A69" t="str">
            <v>USI6</v>
          </cell>
          <cell r="B69" t="str">
            <v>Hundley Seed Co.</v>
          </cell>
          <cell r="C69" t="str">
            <v>USI6</v>
          </cell>
          <cell r="D69" t="str">
            <v>PUSI6</v>
          </cell>
          <cell r="E69">
            <v>0</v>
          </cell>
          <cell r="F69" t="str">
            <v>US</v>
          </cell>
          <cell r="G69" t="str">
            <v>Soybeans</v>
          </cell>
        </row>
        <row r="70">
          <cell r="A70" t="str">
            <v>USI7</v>
          </cell>
          <cell r="B70" t="str">
            <v>Riverside Grain Corporation</v>
          </cell>
          <cell r="C70" t="str">
            <v>USI7</v>
          </cell>
          <cell r="D70" t="str">
            <v>PUSI7</v>
          </cell>
          <cell r="E70">
            <v>0</v>
          </cell>
          <cell r="F70" t="str">
            <v>US</v>
          </cell>
          <cell r="G70" t="str">
            <v>Soybeans</v>
          </cell>
        </row>
        <row r="71">
          <cell r="A71" t="str">
            <v>USI8</v>
          </cell>
          <cell r="B71" t="str">
            <v>Seedway, Emmaus, PA</v>
          </cell>
          <cell r="C71" t="str">
            <v>USI8</v>
          </cell>
          <cell r="D71" t="str">
            <v>PUSI8</v>
          </cell>
          <cell r="E71">
            <v>0</v>
          </cell>
          <cell r="F71" t="str">
            <v>US</v>
          </cell>
          <cell r="G71" t="str">
            <v>Soybeans</v>
          </cell>
        </row>
        <row r="72">
          <cell r="A72" t="str">
            <v>USI9</v>
          </cell>
          <cell r="B72" t="str">
            <v>Seedway, Hall, NY</v>
          </cell>
          <cell r="C72" t="str">
            <v>USI9</v>
          </cell>
          <cell r="D72" t="str">
            <v>PUSI9</v>
          </cell>
          <cell r="E72">
            <v>0</v>
          </cell>
          <cell r="F72" t="str">
            <v>US</v>
          </cell>
          <cell r="G72" t="str">
            <v>Soybeans</v>
          </cell>
        </row>
        <row r="73">
          <cell r="A73" t="str">
            <v>USJ0</v>
          </cell>
          <cell r="B73" t="str">
            <v>Bunck Seed Farms</v>
          </cell>
          <cell r="C73" t="str">
            <v>USJ0</v>
          </cell>
          <cell r="D73" t="str">
            <v>PUSJ0</v>
          </cell>
          <cell r="E73">
            <v>0</v>
          </cell>
          <cell r="F73" t="str">
            <v>US</v>
          </cell>
          <cell r="G73" t="str">
            <v>Soybeans</v>
          </cell>
        </row>
        <row r="74">
          <cell r="A74" t="str">
            <v>USJ1</v>
          </cell>
          <cell r="B74" t="str">
            <v>Harrington Seed</v>
          </cell>
          <cell r="C74" t="str">
            <v>USJ1</v>
          </cell>
          <cell r="D74" t="str">
            <v>PUSJ1</v>
          </cell>
          <cell r="E74">
            <v>0</v>
          </cell>
          <cell r="F74" t="str">
            <v>US</v>
          </cell>
          <cell r="G74" t="str">
            <v>Soybeans</v>
          </cell>
        </row>
        <row r="75">
          <cell r="A75" t="str">
            <v>USJ2</v>
          </cell>
          <cell r="B75" t="str">
            <v>Irrer Seed Farm</v>
          </cell>
          <cell r="C75" t="str">
            <v>USJ2</v>
          </cell>
          <cell r="D75" t="str">
            <v>PUSJ2</v>
          </cell>
          <cell r="E75">
            <v>0</v>
          </cell>
          <cell r="F75" t="str">
            <v>US</v>
          </cell>
          <cell r="G75" t="str">
            <v>Soybeans</v>
          </cell>
        </row>
        <row r="76">
          <cell r="A76" t="str">
            <v>USJ3</v>
          </cell>
          <cell r="B76" t="str">
            <v>Mid State Seed</v>
          </cell>
          <cell r="C76" t="str">
            <v>USJ3</v>
          </cell>
          <cell r="D76" t="str">
            <v>PUSJ3</v>
          </cell>
          <cell r="E76">
            <v>0</v>
          </cell>
          <cell r="F76" t="str">
            <v>US</v>
          </cell>
          <cell r="G76" t="str">
            <v>Soybeans</v>
          </cell>
        </row>
        <row r="77">
          <cell r="A77" t="str">
            <v>USJ4</v>
          </cell>
          <cell r="B77" t="str">
            <v>West Central Coop</v>
          </cell>
          <cell r="C77" t="str">
            <v>USJ4</v>
          </cell>
          <cell r="D77" t="str">
            <v>PUSJ4</v>
          </cell>
          <cell r="E77">
            <v>0</v>
          </cell>
          <cell r="F77" t="str">
            <v>US</v>
          </cell>
          <cell r="G77" t="str">
            <v>Soybeans</v>
          </cell>
        </row>
        <row r="78">
          <cell r="A78" t="str">
            <v>USJ5</v>
          </cell>
          <cell r="B78" t="str">
            <v>Robert Borek Farms</v>
          </cell>
          <cell r="C78" t="str">
            <v>USJ5</v>
          </cell>
          <cell r="D78" t="str">
            <v>PUSJ5</v>
          </cell>
          <cell r="E78">
            <v>0</v>
          </cell>
          <cell r="F78" t="str">
            <v>US</v>
          </cell>
          <cell r="G78" t="str">
            <v>Soybeans</v>
          </cell>
        </row>
        <row r="79">
          <cell r="A79" t="str">
            <v>USJ6</v>
          </cell>
          <cell r="B79" t="str">
            <v>Stine Seed Farm</v>
          </cell>
          <cell r="C79" t="str">
            <v>USJ6</v>
          </cell>
          <cell r="D79" t="str">
            <v>PUSJ6</v>
          </cell>
          <cell r="E79">
            <v>0</v>
          </cell>
          <cell r="F79" t="str">
            <v>US</v>
          </cell>
          <cell r="G79" t="str">
            <v>Soybeans</v>
          </cell>
        </row>
        <row r="80">
          <cell r="A80" t="str">
            <v>USJ7</v>
          </cell>
          <cell r="B80" t="str">
            <v>Remington Seeds, Mapleton, ND</v>
          </cell>
          <cell r="C80" t="str">
            <v>USJ7</v>
          </cell>
          <cell r="D80" t="str">
            <v>PUSJ7</v>
          </cell>
          <cell r="E80">
            <v>0</v>
          </cell>
          <cell r="F80" t="str">
            <v>US</v>
          </cell>
          <cell r="G80" t="str">
            <v>Soybeans</v>
          </cell>
        </row>
        <row r="81">
          <cell r="A81" t="str">
            <v>USJ8</v>
          </cell>
          <cell r="B81" t="str">
            <v>Northern Tier Seed Company</v>
          </cell>
          <cell r="C81" t="str">
            <v>USJ8</v>
          </cell>
          <cell r="D81" t="str">
            <v>PUSJ8</v>
          </cell>
          <cell r="E81">
            <v>0</v>
          </cell>
          <cell r="F81" t="str">
            <v>US</v>
          </cell>
          <cell r="G81" t="str">
            <v>Soybeans</v>
          </cell>
        </row>
        <row r="82">
          <cell r="A82" t="str">
            <v>USK4</v>
          </cell>
          <cell r="B82" t="str">
            <v>IBAC</v>
          </cell>
          <cell r="C82" t="str">
            <v>USK4</v>
          </cell>
          <cell r="D82" t="str">
            <v>PUSK4</v>
          </cell>
          <cell r="E82">
            <v>0</v>
          </cell>
          <cell r="F82" t="str">
            <v>US</v>
          </cell>
          <cell r="G82" t="str">
            <v>Soybeans</v>
          </cell>
        </row>
        <row r="83">
          <cell r="A83" t="str">
            <v>USK5</v>
          </cell>
          <cell r="B83" t="str">
            <v>HarveyPriceWarehouseKinston,NC</v>
          </cell>
          <cell r="C83" t="str">
            <v>USK5</v>
          </cell>
          <cell r="D83">
            <v>0</v>
          </cell>
          <cell r="E83">
            <v>0</v>
          </cell>
          <cell r="F83" t="str">
            <v>US</v>
          </cell>
          <cell r="G83" t="str">
            <v>Soybeans</v>
          </cell>
        </row>
        <row r="84">
          <cell r="A84" t="str">
            <v>USK6</v>
          </cell>
          <cell r="B84" t="str">
            <v>MRM AG Services, East Prairie</v>
          </cell>
          <cell r="C84" t="str">
            <v>USK6</v>
          </cell>
          <cell r="D84">
            <v>0</v>
          </cell>
          <cell r="E84">
            <v>0</v>
          </cell>
          <cell r="F84" t="str">
            <v>US</v>
          </cell>
          <cell r="G84" t="str">
            <v>Soybeans</v>
          </cell>
        </row>
        <row r="85">
          <cell r="A85" t="str">
            <v>USK7</v>
          </cell>
          <cell r="B85" t="str">
            <v>Argentina</v>
          </cell>
          <cell r="F85" t="str">
            <v>US</v>
          </cell>
          <cell r="G85" t="str">
            <v>Corn</v>
          </cell>
        </row>
      </sheetData>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Fixed Cost Mvmt"/>
      <sheetName val="ETR COGS-Corn"/>
      <sheetName val="1997 Crop Cost - February 98 ME"/>
      <sheetName val="Summary of Green Bushels 97crop"/>
      <sheetName val="Sheet1 (2)"/>
      <sheetName val="Discard Memo"/>
      <sheetName val="Sheet1"/>
      <sheetName val="Summary"/>
      <sheetName val="Overview"/>
      <sheetName val="N's to Discard"/>
      <sheetName val="CORN"/>
      <sheetName val="Instructions"/>
      <sheetName val="Referen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DS1">
            <v>4</v>
          </cell>
        </row>
        <row r="2">
          <cell r="B2" t="str">
            <v>Hybrid by Hybrid Analysis</v>
          </cell>
          <cell r="DM2" t="str">
            <v>1997 Price Mix</v>
          </cell>
          <cell r="DP2">
            <v>0</v>
          </cell>
          <cell r="DQ2">
            <v>1</v>
          </cell>
          <cell r="DS2" t="str">
            <v>VOL.</v>
          </cell>
          <cell r="DT2" t="str">
            <v>SALES</v>
          </cell>
          <cell r="DU2" t="str">
            <v>BUDGET</v>
          </cell>
          <cell r="DV2" t="str">
            <v>VAR.</v>
          </cell>
          <cell r="EA2" t="str">
            <v>1997 Price Mix</v>
          </cell>
          <cell r="EE2">
            <v>0</v>
          </cell>
          <cell r="EF2">
            <v>1</v>
          </cell>
          <cell r="EH2" t="str">
            <v>VOL.</v>
          </cell>
          <cell r="EI2" t="str">
            <v>SALES</v>
          </cell>
          <cell r="EJ2" t="str">
            <v>BUDGET</v>
          </cell>
          <cell r="EK2" t="str">
            <v>VAR.</v>
          </cell>
        </row>
        <row r="3">
          <cell r="B3" t="str">
            <v>Corn</v>
          </cell>
          <cell r="DM3" t="str">
            <v>MARCY</v>
          </cell>
          <cell r="EE3" t="str">
            <v>Early</v>
          </cell>
          <cell r="EF3" t="str">
            <v>Final</v>
          </cell>
        </row>
        <row r="4">
          <cell r="B4" t="str">
            <v>12/29/97 Supply Analysis</v>
          </cell>
          <cell r="E4" t="str">
            <v>----------</v>
          </cell>
          <cell r="BU4" t="str">
            <v>EXP - Export (M Martin)</v>
          </cell>
          <cell r="DN4">
            <v>7</v>
          </cell>
          <cell r="DO4" t="str">
            <v>ST</v>
          </cell>
          <cell r="DP4">
            <v>89</v>
          </cell>
          <cell r="DQ4">
            <v>94</v>
          </cell>
          <cell r="DR4">
            <v>0.35749547628315331</v>
          </cell>
          <cell r="DS4">
            <v>262.15861763902075</v>
          </cell>
          <cell r="EC4">
            <v>7</v>
          </cell>
          <cell r="ED4" t="str">
            <v>ST</v>
          </cell>
          <cell r="EE4">
            <v>94</v>
          </cell>
          <cell r="EF4">
            <v>94</v>
          </cell>
          <cell r="EG4" t="e">
            <v>#REF!</v>
          </cell>
          <cell r="EH4">
            <v>253.59614480000008</v>
          </cell>
        </row>
        <row r="5">
          <cell r="DN5">
            <v>6</v>
          </cell>
          <cell r="DO5" t="str">
            <v>PREMIER</v>
          </cell>
          <cell r="DP5">
            <v>89</v>
          </cell>
          <cell r="DQ5">
            <v>92</v>
          </cell>
          <cell r="DR5">
            <v>0.43737643168332996</v>
          </cell>
          <cell r="DS5">
            <v>320.73692766722354</v>
          </cell>
          <cell r="EC5">
            <v>6</v>
          </cell>
          <cell r="ED5" t="str">
            <v>PREMIER</v>
          </cell>
          <cell r="EE5">
            <v>92</v>
          </cell>
          <cell r="EF5">
            <v>92</v>
          </cell>
          <cell r="EG5" t="e">
            <v>#REF!</v>
          </cell>
          <cell r="EH5">
            <v>245.54105960000001</v>
          </cell>
        </row>
        <row r="6">
          <cell r="B6" t="str">
            <v>BEN</v>
          </cell>
          <cell r="C6" t="str">
            <v>DAN</v>
          </cell>
          <cell r="D6" t="str">
            <v>DAN</v>
          </cell>
          <cell r="E6" t="str">
            <v>DAN</v>
          </cell>
          <cell r="F6" t="str">
            <v>DAN</v>
          </cell>
          <cell r="G6" t="str">
            <v>DAN</v>
          </cell>
          <cell r="M6" t="str">
            <v>DAN</v>
          </cell>
          <cell r="O6" t="str">
            <v>DAN</v>
          </cell>
          <cell r="Q6" t="str">
            <v>DAN</v>
          </cell>
          <cell r="R6" t="str">
            <v>DAN</v>
          </cell>
          <cell r="W6" t="str">
            <v>DAN</v>
          </cell>
          <cell r="AE6" t="str">
            <v>DAN</v>
          </cell>
          <cell r="AF6" t="str">
            <v>DAN</v>
          </cell>
          <cell r="AH6" t="str">
            <v>DAN</v>
          </cell>
          <cell r="AP6" t="str">
            <v>DAN</v>
          </cell>
          <cell r="AQ6" t="str">
            <v>DAN</v>
          </cell>
          <cell r="AX6" t="str">
            <v>DAN</v>
          </cell>
          <cell r="AY6" t="str">
            <v>DAN</v>
          </cell>
          <cell r="AZ6" t="str">
            <v>DAN</v>
          </cell>
          <cell r="BA6" t="str">
            <v>DAN</v>
          </cell>
          <cell r="BC6" t="str">
            <v>DAN</v>
          </cell>
          <cell r="BD6" t="str">
            <v>DAN</v>
          </cell>
          <cell r="BF6" t="str">
            <v>DAN</v>
          </cell>
          <cell r="BG6" t="str">
            <v>FIELD</v>
          </cell>
          <cell r="BH6" t="str">
            <v>DAN</v>
          </cell>
          <cell r="BI6" t="str">
            <v>DAN</v>
          </cell>
          <cell r="BJ6" t="str">
            <v>MARCY</v>
          </cell>
          <cell r="BK6" t="str">
            <v>MARCY</v>
          </cell>
          <cell r="BL6" t="str">
            <v>MARCY</v>
          </cell>
          <cell r="BN6" t="str">
            <v>MARCY</v>
          </cell>
          <cell r="BP6" t="str">
            <v>MARCY</v>
          </cell>
          <cell r="BQ6" t="str">
            <v>MARCY</v>
          </cell>
          <cell r="BR6" t="str">
            <v>MARCY</v>
          </cell>
          <cell r="BS6" t="str">
            <v>MARCY</v>
          </cell>
          <cell r="CC6" t="str">
            <v>DAN</v>
          </cell>
          <cell r="CD6" t="str">
            <v>DAN</v>
          </cell>
          <cell r="CG6" t="str">
            <v>DAN</v>
          </cell>
          <cell r="CH6" t="str">
            <v>BEN</v>
          </cell>
          <cell r="CI6" t="str">
            <v>BEN</v>
          </cell>
          <cell r="CJ6" t="str">
            <v>DAN</v>
          </cell>
          <cell r="CK6" t="str">
            <v>DAN</v>
          </cell>
          <cell r="CL6" t="str">
            <v>DAN</v>
          </cell>
          <cell r="CM6" t="str">
            <v>DAN</v>
          </cell>
          <cell r="CN6" t="str">
            <v>DAN</v>
          </cell>
          <cell r="CO6" t="str">
            <v>DAN</v>
          </cell>
          <cell r="CP6" t="str">
            <v>BEN</v>
          </cell>
          <cell r="CQ6" t="str">
            <v>MARCY</v>
          </cell>
          <cell r="CR6" t="str">
            <v>MARCY</v>
          </cell>
          <cell r="CS6" t="str">
            <v>MARCY</v>
          </cell>
          <cell r="CT6" t="str">
            <v>MARCY</v>
          </cell>
          <cell r="CU6" t="str">
            <v>MARCY</v>
          </cell>
          <cell r="CV6" t="str">
            <v>MARCY</v>
          </cell>
          <cell r="CW6" t="str">
            <v>MARCY</v>
          </cell>
          <cell r="CX6" t="str">
            <v>MARCY</v>
          </cell>
          <cell r="CY6" t="str">
            <v>DAN</v>
          </cell>
          <cell r="CZ6" t="str">
            <v>MARCY</v>
          </cell>
          <cell r="DA6" t="str">
            <v>BEN</v>
          </cell>
          <cell r="DB6" t="str">
            <v>BEN</v>
          </cell>
          <cell r="DC6" t="str">
            <v>BEN</v>
          </cell>
          <cell r="DD6" t="str">
            <v>BEN</v>
          </cell>
          <cell r="DE6" t="str">
            <v>BEN</v>
          </cell>
          <cell r="DF6" t="str">
            <v>BEN</v>
          </cell>
          <cell r="DG6" t="str">
            <v>BEN</v>
          </cell>
          <cell r="DH6" t="str">
            <v>BEN</v>
          </cell>
          <cell r="DI6" t="str">
            <v>BEN</v>
          </cell>
          <cell r="DJ6" t="str">
            <v>DAN</v>
          </cell>
          <cell r="DN6">
            <v>5</v>
          </cell>
          <cell r="DO6" t="str">
            <v>ELITE</v>
          </cell>
          <cell r="DP6">
            <v>85</v>
          </cell>
          <cell r="DQ6">
            <v>88</v>
          </cell>
          <cell r="DR6">
            <v>0.12485789298997563</v>
          </cell>
          <cell r="DS6">
            <v>91.56080230130533</v>
          </cell>
          <cell r="EC6">
            <v>5</v>
          </cell>
          <cell r="ED6" t="str">
            <v>ELITE</v>
          </cell>
          <cell r="EE6">
            <v>88</v>
          </cell>
          <cell r="EF6">
            <v>88</v>
          </cell>
          <cell r="EG6" t="e">
            <v>#REF!</v>
          </cell>
          <cell r="EH6">
            <v>52.088651999999989</v>
          </cell>
        </row>
        <row r="7">
          <cell r="BL7" t="str">
            <v>(used in</v>
          </cell>
          <cell r="BM7" t="str">
            <v>^@12/31/96</v>
          </cell>
          <cell r="BN7" t="str">
            <v>Current View</v>
          </cell>
          <cell r="BO7" t="str">
            <v>^@12/31/96</v>
          </cell>
          <cell r="BP7" t="str">
            <v>Current View</v>
          </cell>
          <cell r="BQ7" t="str">
            <v>'96 Sales</v>
          </cell>
          <cell r="BS7" t="str">
            <v>'96 Sales</v>
          </cell>
          <cell r="BU7" t="str">
            <v>FBM - Assigned</v>
          </cell>
          <cell r="CS7" t="str">
            <v>(used in</v>
          </cell>
          <cell r="CT7" t="str">
            <v>'97 Sales</v>
          </cell>
          <cell r="CU7" t="str">
            <v>'97 Sales</v>
          </cell>
          <cell r="CV7" t="str">
            <v>'97 Sales</v>
          </cell>
          <cell r="CX7" t="str">
            <v>'97 Sales</v>
          </cell>
          <cell r="CY7" t="str">
            <v>LIFE CYCLE</v>
          </cell>
          <cell r="CZ7" t="str">
            <v>TARGET</v>
          </cell>
          <cell r="DN7">
            <v>1</v>
          </cell>
          <cell r="DO7" t="str">
            <v>GRP I</v>
          </cell>
          <cell r="DP7">
            <v>80</v>
          </cell>
          <cell r="DQ7">
            <v>83</v>
          </cell>
          <cell r="DR7">
            <v>3.7876824786329505E-2</v>
          </cell>
          <cell r="DS7">
            <v>27.775836857512346</v>
          </cell>
          <cell r="EC7">
            <v>1</v>
          </cell>
          <cell r="ED7" t="str">
            <v>GRP I</v>
          </cell>
          <cell r="EE7">
            <v>83</v>
          </cell>
          <cell r="EF7">
            <v>83</v>
          </cell>
          <cell r="EG7" t="e">
            <v>#REF!</v>
          </cell>
          <cell r="EH7">
            <v>10.205964</v>
          </cell>
        </row>
        <row r="8">
          <cell r="L8" t="str">
            <v>x</v>
          </cell>
          <cell r="M8" t="str">
            <v>x</v>
          </cell>
          <cell r="O8" t="str">
            <v>x</v>
          </cell>
          <cell r="Q8" t="str">
            <v>x</v>
          </cell>
          <cell r="AY8" t="str">
            <v>x</v>
          </cell>
          <cell r="BA8" t="str">
            <v xml:space="preserve"> </v>
          </cell>
          <cell r="BK8">
            <v>1998</v>
          </cell>
          <cell r="BL8" t="str">
            <v>excess calc)</v>
          </cell>
          <cell r="BQ8" t="str">
            <v>CALC</v>
          </cell>
          <cell r="BU8" t="str">
            <v>IRP - Inv. reduction program</v>
          </cell>
          <cell r="BW8" t="str">
            <v>DAN</v>
          </cell>
          <cell r="BX8" t="str">
            <v>ROY</v>
          </cell>
          <cell r="BY8" t="str">
            <v>RETAIL</v>
          </cell>
          <cell r="BZ8" t="str">
            <v>DAN</v>
          </cell>
          <cell r="CA8" t="str">
            <v>ROY</v>
          </cell>
          <cell r="CE8" t="str">
            <v>Stan</v>
          </cell>
          <cell r="CF8" t="str">
            <v>Stan</v>
          </cell>
          <cell r="CJ8" t="str">
            <v xml:space="preserve"> </v>
          </cell>
          <cell r="CO8" t="str">
            <v>98</v>
          </cell>
          <cell r="CP8" t="str">
            <v>98</v>
          </cell>
          <cell r="CQ8">
            <v>1998</v>
          </cell>
          <cell r="CR8">
            <v>1998</v>
          </cell>
          <cell r="CS8" t="str">
            <v>excess calc)</v>
          </cell>
          <cell r="CU8" t="str">
            <v>CALC</v>
          </cell>
          <cell r="CV8" t="str">
            <v>CALC</v>
          </cell>
          <cell r="CW8" t="str">
            <v>NET</v>
          </cell>
          <cell r="CY8" t="str">
            <v>STAGE</v>
          </cell>
          <cell r="CZ8" t="str">
            <v>CARRYOVER</v>
          </cell>
          <cell r="DN8">
            <v>2</v>
          </cell>
          <cell r="DO8" t="str">
            <v>GRP II</v>
          </cell>
          <cell r="DP8">
            <v>75</v>
          </cell>
          <cell r="DQ8">
            <v>78</v>
          </cell>
          <cell r="DR8">
            <v>6.8244445008032997E-3</v>
          </cell>
          <cell r="DS8">
            <v>5.0045023089124872</v>
          </cell>
          <cell r="EC8">
            <v>2</v>
          </cell>
          <cell r="ED8" t="str">
            <v>GRP II</v>
          </cell>
          <cell r="EE8">
            <v>78</v>
          </cell>
          <cell r="EF8">
            <v>78</v>
          </cell>
          <cell r="EG8" t="e">
            <v>#REF!</v>
          </cell>
          <cell r="EH8">
            <v>7.1765280000000002</v>
          </cell>
        </row>
        <row r="9">
          <cell r="B9" t="str">
            <v>VARIETY</v>
          </cell>
          <cell r="C9" t="str">
            <v>TOTAL</v>
          </cell>
          <cell r="D9" t="str">
            <v>92 SALES</v>
          </cell>
          <cell r="E9" t="str">
            <v>93 SALES</v>
          </cell>
          <cell r="F9" t="str">
            <v>94 SALES</v>
          </cell>
          <cell r="G9" t="str">
            <v>95 SALES</v>
          </cell>
          <cell r="H9" t="str">
            <v>96 SALES</v>
          </cell>
          <cell r="I9" t="str">
            <v>97 SALES</v>
          </cell>
          <cell r="J9" t="str">
            <v>PHYS.</v>
          </cell>
          <cell r="K9" t="str">
            <v>PHYS.</v>
          </cell>
          <cell r="L9" t="str">
            <v>PHYS.</v>
          </cell>
          <cell r="M9" t="str">
            <v>HOLD</v>
          </cell>
          <cell r="N9" t="str">
            <v>HOLD</v>
          </cell>
          <cell r="O9" t="str">
            <v>RESERVE</v>
          </cell>
          <cell r="P9" t="str">
            <v>RESERVE</v>
          </cell>
          <cell r="Q9" t="str">
            <v>WHOLE-</v>
          </cell>
          <cell r="R9" t="str">
            <v>GOOD</v>
          </cell>
          <cell r="S9" t="str">
            <v>CROP</v>
          </cell>
          <cell r="T9" t="str">
            <v>SHIPPED</v>
          </cell>
          <cell r="U9" t="str">
            <v>SHIPPED</v>
          </cell>
          <cell r="W9" t="str">
            <v>--------------------------------------------</v>
          </cell>
          <cell r="AB9" t="str">
            <v>BULK CROP</v>
          </cell>
          <cell r="AC9" t="str">
            <v>-------------------------------------------</v>
          </cell>
          <cell r="AH9" t="str">
            <v>--------------------------------------------</v>
          </cell>
          <cell r="AM9" t="str">
            <v>BAGGED CROP</v>
          </cell>
          <cell r="AN9" t="str">
            <v>-------------------------------------------</v>
          </cell>
          <cell r="AX9" t="str">
            <v xml:space="preserve">PENDING </v>
          </cell>
          <cell r="AZ9" t="str">
            <v>PLANNED</v>
          </cell>
          <cell r="BA9">
            <v>1998</v>
          </cell>
          <cell r="BB9">
            <v>1998</v>
          </cell>
          <cell r="BC9">
            <v>1998</v>
          </cell>
          <cell r="BD9">
            <v>1998</v>
          </cell>
          <cell r="BE9" t="str">
            <v>PLANNED</v>
          </cell>
          <cell r="BF9">
            <v>1998</v>
          </cell>
          <cell r="BG9" t="str">
            <v>FEB</v>
          </cell>
          <cell r="BH9">
            <v>1998</v>
          </cell>
          <cell r="BI9" t="str">
            <v>SUPPLY/</v>
          </cell>
          <cell r="BJ9" t="str">
            <v>'98 BUDGET</v>
          </cell>
          <cell r="BK9" t="str">
            <v>BUDGET</v>
          </cell>
          <cell r="BL9" t="str">
            <v>SUPPLY/</v>
          </cell>
          <cell r="BO9" t="str">
            <v>CALC</v>
          </cell>
          <cell r="BP9" t="str">
            <v>CALC</v>
          </cell>
          <cell r="BQ9" t="str">
            <v>EXCESS</v>
          </cell>
          <cell r="BR9" t="str">
            <v>NET</v>
          </cell>
          <cell r="BS9" t="str">
            <v>%</v>
          </cell>
          <cell r="BU9" t="str">
            <v>SP - Sales program</v>
          </cell>
          <cell r="BW9" t="str">
            <v>Quantity</v>
          </cell>
          <cell r="BX9" t="str">
            <v>Quantity</v>
          </cell>
          <cell r="BY9" t="str">
            <v>Quantity</v>
          </cell>
          <cell r="BZ9" t="str">
            <v>Quantity</v>
          </cell>
          <cell r="CA9" t="str">
            <v>Quantity</v>
          </cell>
          <cell r="CC9" t="str">
            <v>1998</v>
          </cell>
          <cell r="CD9" t="str">
            <v>GERM</v>
          </cell>
          <cell r="CE9" t="str">
            <v>GERM</v>
          </cell>
          <cell r="CF9" t="str">
            <v>GERM</v>
          </cell>
          <cell r="CG9" t="str">
            <v>1998</v>
          </cell>
          <cell r="CH9">
            <v>1997</v>
          </cell>
          <cell r="CI9">
            <v>1998</v>
          </cell>
          <cell r="CJ9">
            <v>1998</v>
          </cell>
          <cell r="CK9">
            <v>1998</v>
          </cell>
          <cell r="CL9">
            <v>1998</v>
          </cell>
          <cell r="CM9">
            <v>1998</v>
          </cell>
          <cell r="CN9" t="str">
            <v>FEB</v>
          </cell>
          <cell r="CO9" t="str">
            <v>Current View</v>
          </cell>
          <cell r="CP9" t="str">
            <v>Prod Plan</v>
          </cell>
          <cell r="CQ9" t="str">
            <v>BUDGET</v>
          </cell>
          <cell r="CR9" t="str">
            <v>BUDGET</v>
          </cell>
          <cell r="CS9" t="str">
            <v>SUPPLY/</v>
          </cell>
          <cell r="CT9" t="str">
            <v xml:space="preserve"> </v>
          </cell>
          <cell r="CU9" t="str">
            <v>EXCESS</v>
          </cell>
          <cell r="CV9" t="str">
            <v>EXCESS</v>
          </cell>
          <cell r="CW9" t="str">
            <v>VALUED</v>
          </cell>
          <cell r="CX9" t="str">
            <v>%</v>
          </cell>
          <cell r="CY9" t="str">
            <v>N=New</v>
          </cell>
          <cell r="CZ9">
            <v>1.45</v>
          </cell>
          <cell r="DA9">
            <v>1998</v>
          </cell>
          <cell r="DB9" t="str">
            <v>SORTOUT</v>
          </cell>
          <cell r="DC9" t="str">
            <v>CONVERSION</v>
          </cell>
          <cell r="DD9" t="str">
            <v>FEMALE</v>
          </cell>
          <cell r="DE9" t="str">
            <v>YIELD/</v>
          </cell>
          <cell r="DF9" t="str">
            <v>UNITS/</v>
          </cell>
          <cell r="DG9" t="str">
            <v>1998 PROD</v>
          </cell>
          <cell r="DH9" t="str">
            <v>NET 1999</v>
          </cell>
          <cell r="DI9">
            <v>1998</v>
          </cell>
          <cell r="DJ9" t="str">
            <v>1999 SALES</v>
          </cell>
          <cell r="DK9" t="str">
            <v>PERCENT</v>
          </cell>
          <cell r="DL9">
            <v>2000</v>
          </cell>
          <cell r="DN9">
            <v>3</v>
          </cell>
          <cell r="DO9" t="str">
            <v>GRP III</v>
          </cell>
          <cell r="DP9">
            <v>69.5</v>
          </cell>
          <cell r="DQ9">
            <v>71</v>
          </cell>
          <cell r="DR9">
            <v>2.3990861044430014E-2</v>
          </cell>
          <cell r="DS9">
            <v>17.592980567944572</v>
          </cell>
          <cell r="EC9">
            <v>3</v>
          </cell>
          <cell r="ED9" t="str">
            <v>GRP III</v>
          </cell>
          <cell r="EE9">
            <v>71</v>
          </cell>
          <cell r="EF9">
            <v>71</v>
          </cell>
          <cell r="EG9" t="e">
            <v>#REF!</v>
          </cell>
          <cell r="EH9">
            <v>14.888354400000001</v>
          </cell>
        </row>
        <row r="10">
          <cell r="B10" t="str">
            <v>GARST</v>
          </cell>
          <cell r="C10" t="str">
            <v>91 USE</v>
          </cell>
          <cell r="D10" t="str">
            <v>USAGE</v>
          </cell>
          <cell r="E10" t="str">
            <v>USAGE</v>
          </cell>
          <cell r="F10" t="str">
            <v>USAGE</v>
          </cell>
          <cell r="G10" t="str">
            <v>USAGE</v>
          </cell>
          <cell r="H10" t="str">
            <v>USAGE</v>
          </cell>
          <cell r="I10" t="str">
            <v>USAGE</v>
          </cell>
          <cell r="J10" t="str">
            <v>INVEN-</v>
          </cell>
          <cell r="K10" t="str">
            <v>INVEN-</v>
          </cell>
          <cell r="L10" t="str">
            <v>INVEN-</v>
          </cell>
          <cell r="M10" t="str">
            <v>C/O</v>
          </cell>
          <cell r="N10" t="str">
            <v>1997 Crop</v>
          </cell>
          <cell r="O10" t="str">
            <v>C/O</v>
          </cell>
          <cell r="P10" t="str">
            <v>1997 Crop</v>
          </cell>
          <cell r="Q10" t="str">
            <v>SALE</v>
          </cell>
          <cell r="R10" t="str">
            <v>CO</v>
          </cell>
          <cell r="T10" t="str">
            <v>C/O</v>
          </cell>
          <cell r="U10" t="str">
            <v>97 Crop</v>
          </cell>
          <cell r="V10" t="str">
            <v>TOTAL</v>
          </cell>
          <cell r="W10" t="str">
            <v>Coon</v>
          </cell>
          <cell r="X10" t="str">
            <v>Muncie</v>
          </cell>
          <cell r="Y10" t="str">
            <v>Dassel</v>
          </cell>
          <cell r="Z10" t="str">
            <v>Hartung</v>
          </cell>
          <cell r="AA10" t="str">
            <v>CRF</v>
          </cell>
          <cell r="AB10" t="str">
            <v>MD</v>
          </cell>
          <cell r="AC10" t="str">
            <v>Hemm.</v>
          </cell>
          <cell r="AD10" t="str">
            <v>Chile</v>
          </cell>
          <cell r="AE10" t="str">
            <v>Argentina</v>
          </cell>
          <cell r="AF10" t="str">
            <v>Options</v>
          </cell>
          <cell r="AG10" t="str">
            <v>TOTAL</v>
          </cell>
          <cell r="AH10" t="str">
            <v>Coon</v>
          </cell>
          <cell r="AI10" t="str">
            <v>Muncie</v>
          </cell>
          <cell r="AJ10" t="str">
            <v>Dassel</v>
          </cell>
          <cell r="AK10" t="str">
            <v>Hartung</v>
          </cell>
          <cell r="AL10" t="str">
            <v>CRF</v>
          </cell>
          <cell r="AM10" t="str">
            <v>MD</v>
          </cell>
          <cell r="AN10" t="str">
            <v>Hemm.</v>
          </cell>
          <cell r="AO10" t="str">
            <v>Chile</v>
          </cell>
          <cell r="AP10" t="str">
            <v>Argentina</v>
          </cell>
          <cell r="AQ10" t="str">
            <v>Options</v>
          </cell>
          <cell r="AR10" t="str">
            <v>TOTAL</v>
          </cell>
          <cell r="AS10" t="str">
            <v>TOTAL</v>
          </cell>
          <cell r="AT10" t="str">
            <v>BEG EST</v>
          </cell>
          <cell r="AV10" t="str">
            <v>DISCARD</v>
          </cell>
          <cell r="AW10" t="str">
            <v xml:space="preserve">NET </v>
          </cell>
          <cell r="AX10" t="str">
            <v>WHOLE-</v>
          </cell>
          <cell r="AZ10">
            <v>1998</v>
          </cell>
          <cell r="BA10" t="str">
            <v>CANADA</v>
          </cell>
          <cell r="BB10" t="str">
            <v>IPSC</v>
          </cell>
          <cell r="BC10" t="str">
            <v>REA</v>
          </cell>
          <cell r="BD10" t="str">
            <v>OTHER</v>
          </cell>
          <cell r="BE10">
            <v>1998</v>
          </cell>
          <cell r="BF10" t="str">
            <v>RETAIL</v>
          </cell>
          <cell r="BG10" t="str">
            <v>FIELD</v>
          </cell>
          <cell r="BH10" t="str">
            <v>TOTAL</v>
          </cell>
          <cell r="BI10" t="str">
            <v>TOTAL</v>
          </cell>
          <cell r="BJ10" t="str">
            <v>RETAIL</v>
          </cell>
          <cell r="BK10" t="str">
            <v>TOTAL</v>
          </cell>
          <cell r="BL10" t="str">
            <v>RETAIL</v>
          </cell>
          <cell r="BM10" t="str">
            <v>G=GROWING</v>
          </cell>
          <cell r="BN10" t="str">
            <v xml:space="preserve"> </v>
          </cell>
          <cell r="BO10" t="str">
            <v>EXCESS</v>
          </cell>
          <cell r="BP10" t="str">
            <v>EXCESS</v>
          </cell>
          <cell r="BQ10">
            <v>1.6</v>
          </cell>
          <cell r="BR10" t="str">
            <v>VALUED</v>
          </cell>
          <cell r="BT10" t="str">
            <v>Public</v>
          </cell>
          <cell r="BU10" t="str">
            <v>WS - Wholesale (D Swalla)</v>
          </cell>
          <cell r="BW10" t="str">
            <v>that</v>
          </cell>
          <cell r="BX10" t="str">
            <v>that</v>
          </cell>
          <cell r="BY10" t="str">
            <v>that</v>
          </cell>
          <cell r="BZ10" t="str">
            <v>that</v>
          </cell>
          <cell r="CA10" t="str">
            <v>that</v>
          </cell>
          <cell r="CB10" t="str">
            <v>Quantity</v>
          </cell>
          <cell r="CC10" t="str">
            <v>END</v>
          </cell>
          <cell r="CD10" t="str">
            <v>LOSS</v>
          </cell>
          <cell r="CE10" t="str">
            <v>LOSS</v>
          </cell>
          <cell r="CF10" t="str">
            <v>LOSS</v>
          </cell>
          <cell r="CG10" t="str">
            <v>BEG</v>
          </cell>
          <cell r="CH10" t="str">
            <v>PROD</v>
          </cell>
          <cell r="CI10" t="str">
            <v>TOTAL</v>
          </cell>
          <cell r="CJ10" t="str">
            <v>CANADA</v>
          </cell>
          <cell r="CK10" t="str">
            <v>REA</v>
          </cell>
          <cell r="CL10" t="str">
            <v>OTHER</v>
          </cell>
          <cell r="CM10" t="str">
            <v>RETAIL</v>
          </cell>
          <cell r="CN10" t="str">
            <v>FIELD</v>
          </cell>
          <cell r="CO10" t="str">
            <v>TOTAL</v>
          </cell>
          <cell r="CP10" t="str">
            <v>TOTAL</v>
          </cell>
          <cell r="CQ10" t="str">
            <v>RETAIL</v>
          </cell>
          <cell r="CR10" t="str">
            <v>TOTAL</v>
          </cell>
          <cell r="CS10" t="str">
            <v>BUDGET</v>
          </cell>
          <cell r="CT10" t="str">
            <v>G=GROWING</v>
          </cell>
          <cell r="CU10">
            <v>2</v>
          </cell>
          <cell r="CV10">
            <v>1.6</v>
          </cell>
          <cell r="CW10" t="str">
            <v>1998</v>
          </cell>
          <cell r="CY10" t="str">
            <v>G=Growing</v>
          </cell>
          <cell r="CZ10">
            <v>1.35</v>
          </cell>
          <cell r="DA10" t="str">
            <v>SUPPLY</v>
          </cell>
          <cell r="DB10" t="str">
            <v>%</v>
          </cell>
          <cell r="DC10" t="str">
            <v>%</v>
          </cell>
          <cell r="DD10" t="str">
            <v>%</v>
          </cell>
          <cell r="DE10" t="str">
            <v>FEMALE ACRE</v>
          </cell>
          <cell r="DF10" t="str">
            <v>GR ACRE</v>
          </cell>
          <cell r="DG10" t="str">
            <v>ACRES</v>
          </cell>
          <cell r="DH10" t="str">
            <v>BEG INV</v>
          </cell>
          <cell r="DI10" t="str">
            <v>PRODUCTION</v>
          </cell>
          <cell r="DJ10" t="str">
            <v>USAGE</v>
          </cell>
          <cell r="DK10" t="str">
            <v>CARRYOVER</v>
          </cell>
          <cell r="DL10" t="str">
            <v>SALES USE</v>
          </cell>
          <cell r="DN10">
            <v>4</v>
          </cell>
          <cell r="DO10" t="str">
            <v>GRP IV</v>
          </cell>
          <cell r="DP10">
            <v>39.5</v>
          </cell>
          <cell r="DQ10">
            <v>41</v>
          </cell>
          <cell r="DR10">
            <v>1.1578068711978454E-2</v>
          </cell>
          <cell r="DS10">
            <v>8.4904304804622903</v>
          </cell>
          <cell r="EC10">
            <v>4</v>
          </cell>
          <cell r="ED10" t="str">
            <v>GRP IV</v>
          </cell>
          <cell r="EE10">
            <v>41</v>
          </cell>
          <cell r="EF10">
            <v>41</v>
          </cell>
          <cell r="EG10" t="e">
            <v>#REF!</v>
          </cell>
          <cell r="EH10">
            <v>4.3588584000000008</v>
          </cell>
        </row>
        <row r="11">
          <cell r="B11" t="str">
            <v>(as per INV)</v>
          </cell>
          <cell r="C11" t="str">
            <v>8</v>
          </cell>
          <cell r="D11" t="str">
            <v>8A</v>
          </cell>
          <cell r="E11" t="str">
            <v>8C</v>
          </cell>
          <cell r="J11" t="str">
            <v>TORY</v>
          </cell>
          <cell r="K11" t="str">
            <v>TORY</v>
          </cell>
          <cell r="L11" t="str">
            <v>TORY</v>
          </cell>
          <cell r="R11" t="str">
            <v>IN</v>
          </cell>
          <cell r="V11" t="str">
            <v>AVAILABLE</v>
          </cell>
          <cell r="W11" t="str">
            <v>Rapids</v>
          </cell>
          <cell r="X11" t="str">
            <v>Kentland</v>
          </cell>
          <cell r="AB11" t="str">
            <v>Meyer</v>
          </cell>
          <cell r="AF11" t="str">
            <v xml:space="preserve"> </v>
          </cell>
          <cell r="AG11" t="str">
            <v>BULK</v>
          </cell>
          <cell r="AH11" t="str">
            <v>Rapids</v>
          </cell>
          <cell r="AI11" t="str">
            <v>Kentland</v>
          </cell>
          <cell r="AM11" t="str">
            <v>Meyer</v>
          </cell>
          <cell r="AQ11" t="str">
            <v xml:space="preserve"> </v>
          </cell>
          <cell r="AR11" t="str">
            <v>BAGGED</v>
          </cell>
          <cell r="AS11">
            <v>1997</v>
          </cell>
          <cell r="AT11">
            <v>1997</v>
          </cell>
          <cell r="AV11">
            <v>1997</v>
          </cell>
          <cell r="AW11">
            <v>1997</v>
          </cell>
          <cell r="AX11" t="str">
            <v>SALE</v>
          </cell>
          <cell r="AZ11" t="str">
            <v>TOTAL</v>
          </cell>
          <cell r="BA11" t="str">
            <v>USE</v>
          </cell>
          <cell r="BB11" t="str">
            <v>USE</v>
          </cell>
          <cell r="BC11" t="str">
            <v>USE</v>
          </cell>
          <cell r="BD11" t="str">
            <v>USE</v>
          </cell>
          <cell r="BE11" t="str">
            <v>RETAIL</v>
          </cell>
          <cell r="BF11" t="str">
            <v>USE</v>
          </cell>
          <cell r="BG11" t="str">
            <v>EST</v>
          </cell>
          <cell r="BH11" t="str">
            <v>USE</v>
          </cell>
          <cell r="BI11" t="str">
            <v>USE</v>
          </cell>
          <cell r="BJ11" t="str">
            <v>USE</v>
          </cell>
          <cell r="BK11" t="str">
            <v>USE</v>
          </cell>
          <cell r="BL11" t="str">
            <v>USE</v>
          </cell>
          <cell r="BM11" t="str">
            <v>S=STEADY</v>
          </cell>
          <cell r="BN11" t="str">
            <v>G=GROWING</v>
          </cell>
          <cell r="BP11">
            <v>2</v>
          </cell>
          <cell r="BQ11">
            <v>1.4</v>
          </cell>
          <cell r="BR11" t="str">
            <v>1998</v>
          </cell>
          <cell r="BT11" t="str">
            <v>or</v>
          </cell>
          <cell r="BU11" t="str">
            <v>REA - R. Johnson</v>
          </cell>
          <cell r="BW11" t="str">
            <v>Can be</v>
          </cell>
          <cell r="BX11" t="str">
            <v>Can be</v>
          </cell>
          <cell r="BY11" t="str">
            <v>Can be</v>
          </cell>
          <cell r="BZ11" t="str">
            <v>Can be</v>
          </cell>
          <cell r="CA11" t="str">
            <v>Can be</v>
          </cell>
          <cell r="CB11" t="str">
            <v>to</v>
          </cell>
          <cell r="CC11" t="str">
            <v>INV</v>
          </cell>
          <cell r="CD11" t="str">
            <v>C/O</v>
          </cell>
          <cell r="CE11" t="str">
            <v>C/O</v>
          </cell>
          <cell r="CF11" t="str">
            <v>C/O</v>
          </cell>
          <cell r="CG11" t="str">
            <v>INV</v>
          </cell>
          <cell r="CH11" t="str">
            <v>UNITS</v>
          </cell>
          <cell r="CI11" t="str">
            <v>SUPPLY</v>
          </cell>
          <cell r="CJ11" t="str">
            <v>USE</v>
          </cell>
          <cell r="CK11" t="str">
            <v>USE</v>
          </cell>
          <cell r="CL11" t="str">
            <v>USE</v>
          </cell>
          <cell r="CM11" t="str">
            <v>USE</v>
          </cell>
          <cell r="CN11" t="str">
            <v>EST</v>
          </cell>
          <cell r="CO11" t="str">
            <v>USE</v>
          </cell>
          <cell r="CP11" t="str">
            <v>USE</v>
          </cell>
          <cell r="CQ11" t="str">
            <v>USE</v>
          </cell>
          <cell r="CR11" t="str">
            <v>USE</v>
          </cell>
          <cell r="CS11" t="str">
            <v>USE</v>
          </cell>
          <cell r="CT11" t="str">
            <v>S=STEADY</v>
          </cell>
          <cell r="CU11">
            <v>1.5</v>
          </cell>
          <cell r="CV11">
            <v>1.4</v>
          </cell>
          <cell r="CW11" t="str">
            <v>BEG.</v>
          </cell>
          <cell r="CY11" t="str">
            <v>S=Steady</v>
          </cell>
          <cell r="CZ11">
            <v>1.25</v>
          </cell>
          <cell r="DA11" t="str">
            <v>NEEDED</v>
          </cell>
          <cell r="DB11" t="str">
            <v>25</v>
          </cell>
          <cell r="DC11" t="str">
            <v>26</v>
          </cell>
          <cell r="DD11" t="str">
            <v>27</v>
          </cell>
          <cell r="DE11" t="str">
            <v>28</v>
          </cell>
          <cell r="DF11" t="str">
            <v>37</v>
          </cell>
          <cell r="DG11" t="str">
            <v>29</v>
          </cell>
          <cell r="DH11" t="str">
            <v>30</v>
          </cell>
          <cell r="DI11" t="str">
            <v>31</v>
          </cell>
          <cell r="DK11" t="str">
            <v>35</v>
          </cell>
          <cell r="DL11" t="str">
            <v>36</v>
          </cell>
          <cell r="DQ11">
            <v>90.684836148274272</v>
          </cell>
          <cell r="DR11">
            <v>1.0000000000000002</v>
          </cell>
          <cell r="DS11">
            <v>733.32009782238117</v>
          </cell>
          <cell r="DT11">
            <v>66501.012915259096</v>
          </cell>
          <cell r="DU11">
            <v>62563</v>
          </cell>
          <cell r="DV11">
            <v>3938.0129152590962</v>
          </cell>
          <cell r="ED11" t="str">
            <v>Avg Price with early price</v>
          </cell>
          <cell r="EF11">
            <v>91.271173676871555</v>
          </cell>
          <cell r="EG11" t="e">
            <v>#REF!</v>
          </cell>
          <cell r="EH11">
            <v>587.85556120000012</v>
          </cell>
          <cell r="EI11">
            <v>53654.267023200009</v>
          </cell>
          <cell r="EJ11">
            <v>62563</v>
          </cell>
          <cell r="EK11">
            <v>-8908.7329767999909</v>
          </cell>
        </row>
        <row r="12">
          <cell r="J12" t="str">
            <v>C/O</v>
          </cell>
          <cell r="K12" t="str">
            <v>1997 Crop</v>
          </cell>
          <cell r="L12" t="str">
            <v>12/29/97</v>
          </cell>
          <cell r="R12" t="str">
            <v>BAGS</v>
          </cell>
          <cell r="W12" t="str">
            <v>Virgil</v>
          </cell>
          <cell r="X12" t="str">
            <v>Virgil</v>
          </cell>
          <cell r="Y12" t="str">
            <v>Virgil</v>
          </cell>
          <cell r="Z12" t="str">
            <v>Virgil</v>
          </cell>
          <cell r="AA12" t="str">
            <v>Virgil</v>
          </cell>
          <cell r="AB12" t="str">
            <v>Virgil</v>
          </cell>
          <cell r="AC12" t="str">
            <v>Virgil</v>
          </cell>
          <cell r="AD12" t="str">
            <v>Virgil</v>
          </cell>
          <cell r="AE12" t="str">
            <v>Virgil</v>
          </cell>
          <cell r="AF12" t="str">
            <v>Virgil</v>
          </cell>
          <cell r="AH12" t="str">
            <v>Virgil</v>
          </cell>
          <cell r="AI12" t="str">
            <v>Virgil</v>
          </cell>
          <cell r="AJ12" t="str">
            <v>Virgil</v>
          </cell>
          <cell r="AK12" t="str">
            <v>Virgil</v>
          </cell>
          <cell r="AL12" t="str">
            <v>Virgil</v>
          </cell>
          <cell r="AM12" t="str">
            <v>Virgil</v>
          </cell>
          <cell r="AN12" t="str">
            <v>Virgil</v>
          </cell>
          <cell r="AO12" t="str">
            <v>Virgil</v>
          </cell>
          <cell r="AP12" t="str">
            <v>Virgil</v>
          </cell>
          <cell r="AQ12" t="str">
            <v>Virgil</v>
          </cell>
          <cell r="AS12" t="str">
            <v>CROP</v>
          </cell>
          <cell r="AT12" t="str">
            <v>CROP</v>
          </cell>
          <cell r="AU12" t="str">
            <v>VAR.</v>
          </cell>
          <cell r="AV12" t="str">
            <v>CROP</v>
          </cell>
          <cell r="AW12" t="str">
            <v>CROP</v>
          </cell>
          <cell r="AZ12" t="str">
            <v>SUPPLY</v>
          </cell>
          <cell r="BE12" t="str">
            <v>SUPPLY</v>
          </cell>
          <cell r="BF12" t="str">
            <v xml:space="preserve"> </v>
          </cell>
          <cell r="BJ12">
            <v>0.80861242671069422</v>
          </cell>
          <cell r="BM12" t="str">
            <v>D=DECLINING</v>
          </cell>
          <cell r="BN12" t="str">
            <v>S=STEADY</v>
          </cell>
          <cell r="BP12">
            <v>1.5</v>
          </cell>
          <cell r="BQ12">
            <v>1.2</v>
          </cell>
          <cell r="BR12" t="str">
            <v>BEG.</v>
          </cell>
          <cell r="BT12" t="str">
            <v>Prop.</v>
          </cell>
          <cell r="BU12" t="str">
            <v>MRI - Trade</v>
          </cell>
          <cell r="BV12" t="str">
            <v>Price</v>
          </cell>
          <cell r="BW12" t="str">
            <v>Sold</v>
          </cell>
          <cell r="BX12" t="str">
            <v>Sold</v>
          </cell>
          <cell r="BY12" t="str">
            <v>Sold</v>
          </cell>
          <cell r="BZ12" t="str">
            <v>Sold</v>
          </cell>
          <cell r="CA12" t="str">
            <v>Sold</v>
          </cell>
          <cell r="CB12" t="str">
            <v>Potentially</v>
          </cell>
          <cell r="CC12" t="str">
            <v>(Marcy's</v>
          </cell>
          <cell r="CD12">
            <v>0.1</v>
          </cell>
          <cell r="CE12" t="str">
            <v>%</v>
          </cell>
          <cell r="CM12" t="str">
            <v xml:space="preserve"> </v>
          </cell>
          <cell r="CP12">
            <v>1.0218726156305638</v>
          </cell>
          <cell r="CQ12">
            <v>0.98040000000000005</v>
          </cell>
          <cell r="CT12" t="str">
            <v>D=DECLINING</v>
          </cell>
          <cell r="CU12">
            <v>1.3</v>
          </cell>
          <cell r="CV12">
            <v>1.2</v>
          </cell>
          <cell r="CW12" t="str">
            <v>SUPPLY</v>
          </cell>
          <cell r="CY12" t="str">
            <v>D=Decline</v>
          </cell>
          <cell r="CZ12">
            <v>1.1000000000000001</v>
          </cell>
          <cell r="DF12" t="str">
            <v>(28*27)/(25*26)</v>
          </cell>
          <cell r="DG12" t="str">
            <v>(24/(25*26))/(27*28)</v>
          </cell>
          <cell r="DH12" t="str">
            <v>(19+24-20-21)</v>
          </cell>
          <cell r="DI12" t="str">
            <v>((33+34)*35-30*.9)</v>
          </cell>
          <cell r="DQ12">
            <v>78.682836841756156</v>
          </cell>
          <cell r="ED12" t="str">
            <v>Avg Price w/o early price</v>
          </cell>
          <cell r="EF12">
            <v>62.104225417125086</v>
          </cell>
          <cell r="FR12" t="str">
            <v>CR</v>
          </cell>
          <cell r="FS12" t="str">
            <v>MU</v>
          </cell>
          <cell r="FT12" t="str">
            <v>KE</v>
          </cell>
          <cell r="FX12" t="str">
            <v>CR</v>
          </cell>
          <cell r="FY12" t="str">
            <v>MU</v>
          </cell>
          <cell r="FZ12" t="str">
            <v>KE</v>
          </cell>
        </row>
        <row r="13">
          <cell r="C13" t="str">
            <v>------</v>
          </cell>
          <cell r="D13" t="str">
            <v>------</v>
          </cell>
          <cell r="E13" t="str">
            <v>------</v>
          </cell>
          <cell r="F13" t="str">
            <v>------</v>
          </cell>
          <cell r="G13" t="str">
            <v>------</v>
          </cell>
          <cell r="M13" t="str">
            <v>------</v>
          </cell>
          <cell r="O13" t="str">
            <v>------</v>
          </cell>
          <cell r="Q13" t="str">
            <v>------</v>
          </cell>
          <cell r="R13" t="str">
            <v>------</v>
          </cell>
          <cell r="W13" t="str">
            <v>------</v>
          </cell>
          <cell r="AE13" t="str">
            <v>------</v>
          </cell>
          <cell r="AF13" t="str">
            <v>------</v>
          </cell>
          <cell r="AH13" t="str">
            <v>------</v>
          </cell>
          <cell r="AP13" t="str">
            <v>------</v>
          </cell>
          <cell r="AQ13" t="str">
            <v>------</v>
          </cell>
          <cell r="AV13">
            <v>0</v>
          </cell>
          <cell r="BJ13">
            <v>861</v>
          </cell>
          <cell r="BN13" t="str">
            <v>D=DECLINING</v>
          </cell>
          <cell r="BP13">
            <v>1.3</v>
          </cell>
          <cell r="BR13" t="str">
            <v>SUPPLY</v>
          </cell>
          <cell r="BU13" t="str">
            <v>TW - Tradewell</v>
          </cell>
          <cell r="BW13">
            <v>1998</v>
          </cell>
          <cell r="BX13">
            <v>1998</v>
          </cell>
          <cell r="BY13" t="str">
            <v>after 1998</v>
          </cell>
          <cell r="BZ13" t="str">
            <v>after 1998</v>
          </cell>
          <cell r="CA13" t="str">
            <v>after 1998</v>
          </cell>
          <cell r="CB13" t="str">
            <v>Discard</v>
          </cell>
          <cell r="CC13" t="str">
            <v>SALES #)</v>
          </cell>
          <cell r="CP13">
            <v>900</v>
          </cell>
          <cell r="CQ13">
            <v>765</v>
          </cell>
          <cell r="CT13" t="str">
            <v>------</v>
          </cell>
          <cell r="CU13" t="str">
            <v/>
          </cell>
          <cell r="CY13" t="str">
            <v>O=Out</v>
          </cell>
          <cell r="CZ13">
            <v>1</v>
          </cell>
          <cell r="DA13" t="str">
            <v xml:space="preserve"> </v>
          </cell>
          <cell r="DB13" t="str">
            <v>------</v>
          </cell>
          <cell r="DC13" t="str">
            <v>------</v>
          </cell>
          <cell r="DD13" t="str">
            <v>------</v>
          </cell>
          <cell r="DE13" t="str">
            <v>------</v>
          </cell>
          <cell r="DF13" t="str">
            <v>-</v>
          </cell>
          <cell r="DG13" t="str">
            <v>------</v>
          </cell>
          <cell r="DH13" t="str">
            <v>------</v>
          </cell>
          <cell r="DI13" t="str">
            <v>------</v>
          </cell>
          <cell r="DJ13" t="str">
            <v>------</v>
          </cell>
          <cell r="DK13" t="str">
            <v>------</v>
          </cell>
          <cell r="DL13" t="str">
            <v>------</v>
          </cell>
          <cell r="DM13" t="str">
            <v xml:space="preserve">    </v>
          </cell>
          <cell r="DQ13" t="str">
            <v>Sales</v>
          </cell>
          <cell r="DR13" t="str">
            <v>TOTAL</v>
          </cell>
          <cell r="DS13" t="str">
            <v>ST</v>
          </cell>
          <cell r="DT13" t="str">
            <v>PREM</v>
          </cell>
          <cell r="DU13" t="str">
            <v>ELITE</v>
          </cell>
          <cell r="DV13" t="str">
            <v>GRP I</v>
          </cell>
          <cell r="DW13" t="str">
            <v>GRP II</v>
          </cell>
          <cell r="DX13" t="str">
            <v>GRP III</v>
          </cell>
          <cell r="DY13" t="str">
            <v>GRP IV</v>
          </cell>
          <cell r="EA13" t="str">
            <v xml:space="preserve">    </v>
          </cell>
          <cell r="EC13" t="str">
            <v>new</v>
          </cell>
          <cell r="EG13" t="str">
            <v>TOTAL</v>
          </cell>
          <cell r="EH13" t="str">
            <v>ST</v>
          </cell>
          <cell r="EI13" t="str">
            <v>PREM</v>
          </cell>
          <cell r="EJ13" t="str">
            <v>ELITE</v>
          </cell>
          <cell r="EK13" t="str">
            <v>GRP I</v>
          </cell>
          <cell r="EL13" t="str">
            <v>GRP II</v>
          </cell>
          <cell r="EM13" t="str">
            <v>GRP III</v>
          </cell>
          <cell r="EN13" t="str">
            <v>GRP IV</v>
          </cell>
        </row>
        <row r="14">
          <cell r="C14">
            <v>0</v>
          </cell>
          <cell r="E14">
            <v>0</v>
          </cell>
          <cell r="F14">
            <v>0.8</v>
          </cell>
          <cell r="G14">
            <v>0.2</v>
          </cell>
          <cell r="J14">
            <v>0.39100000000000001</v>
          </cell>
          <cell r="L14">
            <v>0.39100000000000001</v>
          </cell>
          <cell r="P14" t="str">
            <v>UAP</v>
          </cell>
          <cell r="Q14">
            <v>-0.39100000000000001</v>
          </cell>
          <cell r="R14">
            <v>0</v>
          </cell>
          <cell r="V14">
            <v>0</v>
          </cell>
          <cell r="AG14">
            <v>0</v>
          </cell>
          <cell r="AR14">
            <v>0</v>
          </cell>
          <cell r="AS14">
            <v>0</v>
          </cell>
          <cell r="AT14">
            <v>0</v>
          </cell>
          <cell r="AU14">
            <v>0</v>
          </cell>
          <cell r="AV14">
            <v>0</v>
          </cell>
          <cell r="AW14">
            <v>0</v>
          </cell>
          <cell r="AX14">
            <v>0</v>
          </cell>
          <cell r="AY14">
            <v>0</v>
          </cell>
          <cell r="AZ14">
            <v>0</v>
          </cell>
        </row>
        <row r="15">
          <cell r="C15">
            <v>3.8149999999999999</v>
          </cell>
          <cell r="D15">
            <v>11.700000000000001</v>
          </cell>
          <cell r="E15">
            <v>7.7</v>
          </cell>
          <cell r="F15">
            <v>6.6</v>
          </cell>
          <cell r="G15">
            <v>0.1</v>
          </cell>
          <cell r="H15">
            <v>0.222</v>
          </cell>
          <cell r="J15">
            <v>0.30099999999999999</v>
          </cell>
          <cell r="L15">
            <v>0.30099999999999999</v>
          </cell>
          <cell r="O15">
            <v>0</v>
          </cell>
          <cell r="P15" t="str">
            <v>UAP</v>
          </cell>
          <cell r="Q15">
            <v>-0.30099999999999999</v>
          </cell>
          <cell r="R15">
            <v>0</v>
          </cell>
          <cell r="V15">
            <v>0</v>
          </cell>
          <cell r="AG15">
            <v>0</v>
          </cell>
          <cell r="AR15">
            <v>0</v>
          </cell>
          <cell r="AS15">
            <v>0</v>
          </cell>
          <cell r="AT15">
            <v>0</v>
          </cell>
          <cell r="AU15">
            <v>0</v>
          </cell>
          <cell r="AV15">
            <v>0</v>
          </cell>
          <cell r="AW15">
            <v>0</v>
          </cell>
          <cell r="AX15">
            <v>0</v>
          </cell>
          <cell r="AY15">
            <v>0</v>
          </cell>
          <cell r="AZ15">
            <v>0</v>
          </cell>
        </row>
        <row r="16">
          <cell r="C16">
            <v>7.2270000000000003</v>
          </cell>
          <cell r="D16">
            <v>10.400000000000002</v>
          </cell>
          <cell r="E16">
            <v>4.8</v>
          </cell>
          <cell r="F16">
            <v>2.5</v>
          </cell>
          <cell r="L16">
            <v>0</v>
          </cell>
          <cell r="R16">
            <v>0</v>
          </cell>
          <cell r="V16">
            <v>0</v>
          </cell>
          <cell r="AG16">
            <v>0</v>
          </cell>
          <cell r="AR16">
            <v>0</v>
          </cell>
          <cell r="AS16">
            <v>0</v>
          </cell>
          <cell r="AT16">
            <v>0</v>
          </cell>
          <cell r="AU16">
            <v>0</v>
          </cell>
          <cell r="AV16">
            <v>0</v>
          </cell>
          <cell r="AW16">
            <v>0</v>
          </cell>
          <cell r="AX16">
            <v>0</v>
          </cell>
          <cell r="AY16">
            <v>0</v>
          </cell>
          <cell r="AZ16">
            <v>0</v>
          </cell>
        </row>
        <row r="17">
          <cell r="C17">
            <v>1.208</v>
          </cell>
          <cell r="D17">
            <v>1.3</v>
          </cell>
          <cell r="E17">
            <v>1</v>
          </cell>
          <cell r="F17">
            <v>1.1000000000000001</v>
          </cell>
          <cell r="L17">
            <v>0</v>
          </cell>
          <cell r="R17">
            <v>0</v>
          </cell>
          <cell r="V17">
            <v>0</v>
          </cell>
          <cell r="AG17">
            <v>0</v>
          </cell>
          <cell r="AR17">
            <v>0</v>
          </cell>
          <cell r="AS17">
            <v>0</v>
          </cell>
          <cell r="AT17">
            <v>0</v>
          </cell>
          <cell r="AU17">
            <v>0</v>
          </cell>
          <cell r="AV17">
            <v>0</v>
          </cell>
          <cell r="AW17">
            <v>0</v>
          </cell>
          <cell r="AX17">
            <v>0</v>
          </cell>
          <cell r="AY17">
            <v>0</v>
          </cell>
          <cell r="AZ17">
            <v>0</v>
          </cell>
        </row>
        <row r="18">
          <cell r="C18">
            <v>3.5249999999999999</v>
          </cell>
          <cell r="D18">
            <v>4.2</v>
          </cell>
          <cell r="E18">
            <v>1.3</v>
          </cell>
          <cell r="F18">
            <v>0.2</v>
          </cell>
          <cell r="J18">
            <v>0.73799999999999999</v>
          </cell>
          <cell r="L18">
            <v>0.73799999999999999</v>
          </cell>
          <cell r="P18" t="str">
            <v>UAP</v>
          </cell>
          <cell r="Q18">
            <v>-0.73799999999999999</v>
          </cell>
          <cell r="R18">
            <v>0</v>
          </cell>
          <cell r="V18">
            <v>0</v>
          </cell>
          <cell r="AG18">
            <v>0</v>
          </cell>
          <cell r="AR18">
            <v>0</v>
          </cell>
          <cell r="AS18">
            <v>0</v>
          </cell>
          <cell r="AT18">
            <v>0</v>
          </cell>
          <cell r="AU18">
            <v>0</v>
          </cell>
          <cell r="AV18">
            <v>0</v>
          </cell>
          <cell r="AW18">
            <v>0</v>
          </cell>
          <cell r="AX18">
            <v>0</v>
          </cell>
          <cell r="AY18">
            <v>0</v>
          </cell>
          <cell r="AZ18">
            <v>0</v>
          </cell>
        </row>
        <row r="19">
          <cell r="C19">
            <v>2.2669999999999999</v>
          </cell>
          <cell r="D19">
            <v>3.4</v>
          </cell>
          <cell r="E19">
            <v>0.6</v>
          </cell>
          <cell r="F19">
            <v>0.2</v>
          </cell>
          <cell r="J19">
            <v>1.07</v>
          </cell>
          <cell r="L19">
            <v>1.07</v>
          </cell>
          <cell r="P19" t="str">
            <v>UAP</v>
          </cell>
          <cell r="Q19">
            <v>-1.07</v>
          </cell>
          <cell r="R19">
            <v>0</v>
          </cell>
          <cell r="V19">
            <v>0</v>
          </cell>
          <cell r="AG19">
            <v>0</v>
          </cell>
          <cell r="AR19">
            <v>0</v>
          </cell>
          <cell r="AS19">
            <v>0</v>
          </cell>
          <cell r="AT19">
            <v>0</v>
          </cell>
          <cell r="AU19">
            <v>0</v>
          </cell>
          <cell r="AV19">
            <v>0</v>
          </cell>
          <cell r="AW19">
            <v>0</v>
          </cell>
          <cell r="AX19">
            <v>0</v>
          </cell>
          <cell r="AY19">
            <v>0</v>
          </cell>
          <cell r="AZ19">
            <v>0</v>
          </cell>
        </row>
        <row r="20">
          <cell r="C20">
            <v>5.17</v>
          </cell>
          <cell r="D20">
            <v>5.2</v>
          </cell>
          <cell r="E20">
            <v>3.2</v>
          </cell>
          <cell r="F20">
            <v>5.2</v>
          </cell>
          <cell r="G20">
            <v>0.8</v>
          </cell>
          <cell r="H20">
            <v>0.874</v>
          </cell>
          <cell r="I20">
            <v>0.60299999999999998</v>
          </cell>
          <cell r="J20">
            <v>3.56</v>
          </cell>
          <cell r="L20">
            <v>3.56</v>
          </cell>
          <cell r="O20">
            <v>0.123</v>
          </cell>
          <cell r="P20" t="str">
            <v>UAP</v>
          </cell>
          <cell r="Q20">
            <v>-2.4340000000000002</v>
          </cell>
          <cell r="R20">
            <v>1.0030000000000001</v>
          </cell>
          <cell r="V20">
            <v>1.0030000000000001</v>
          </cell>
          <cell r="AG20">
            <v>0</v>
          </cell>
          <cell r="AR20">
            <v>0</v>
          </cell>
          <cell r="AS20">
            <v>0</v>
          </cell>
          <cell r="AT20">
            <v>0</v>
          </cell>
          <cell r="AU20">
            <v>0</v>
          </cell>
          <cell r="AV20">
            <v>0</v>
          </cell>
          <cell r="AW20">
            <v>0</v>
          </cell>
          <cell r="AX20">
            <v>0</v>
          </cell>
          <cell r="AY20">
            <v>0</v>
          </cell>
          <cell r="AZ20">
            <v>1.0030000000000001</v>
          </cell>
        </row>
        <row r="21">
          <cell r="C21">
            <v>6.7439999999999998</v>
          </cell>
          <cell r="D21">
            <v>10.199999999999999</v>
          </cell>
          <cell r="E21">
            <v>6.8</v>
          </cell>
          <cell r="F21">
            <v>4.3</v>
          </cell>
          <cell r="G21">
            <v>0.2</v>
          </cell>
          <cell r="H21">
            <v>0.13600000000000001</v>
          </cell>
          <cell r="J21">
            <v>1.282</v>
          </cell>
          <cell r="L21">
            <v>1.282</v>
          </cell>
          <cell r="P21" t="str">
            <v>UAP</v>
          </cell>
          <cell r="Q21">
            <v>-1.282</v>
          </cell>
          <cell r="R21">
            <v>0</v>
          </cell>
          <cell r="V21">
            <v>0</v>
          </cell>
          <cell r="AG21">
            <v>0</v>
          </cell>
          <cell r="AR21">
            <v>0</v>
          </cell>
          <cell r="AS21">
            <v>0</v>
          </cell>
          <cell r="AT21">
            <v>0</v>
          </cell>
          <cell r="AU21">
            <v>0</v>
          </cell>
          <cell r="AV21">
            <v>0</v>
          </cell>
          <cell r="AW21">
            <v>0</v>
          </cell>
          <cell r="AX21">
            <v>0</v>
          </cell>
          <cell r="AY21">
            <v>0</v>
          </cell>
          <cell r="AZ21">
            <v>0</v>
          </cell>
        </row>
        <row r="23">
          <cell r="C23">
            <v>29.956000000000003</v>
          </cell>
          <cell r="D23">
            <v>46.400000000000006</v>
          </cell>
          <cell r="E23">
            <v>25.400000000000002</v>
          </cell>
          <cell r="F23">
            <v>20.9</v>
          </cell>
          <cell r="G23">
            <v>1.3</v>
          </cell>
          <cell r="H23">
            <v>1.2320000000000002</v>
          </cell>
          <cell r="I23">
            <v>0.60299999999999998</v>
          </cell>
          <cell r="J23">
            <v>7.3420000000000005</v>
          </cell>
          <cell r="K23">
            <v>0</v>
          </cell>
          <cell r="L23">
            <v>7.3420000000000005</v>
          </cell>
          <cell r="M23">
            <v>0</v>
          </cell>
          <cell r="N23">
            <v>0</v>
          </cell>
          <cell r="O23">
            <v>0.123</v>
          </cell>
          <cell r="P23">
            <v>0</v>
          </cell>
          <cell r="Q23">
            <v>-6.2160000000000002</v>
          </cell>
          <cell r="R23">
            <v>1.0030000000000001</v>
          </cell>
          <cell r="S23">
            <v>0</v>
          </cell>
          <cell r="T23">
            <v>0</v>
          </cell>
          <cell r="U23">
            <v>0</v>
          </cell>
          <cell r="V23">
            <v>1.0030000000000001</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1.0030000000000001</v>
          </cell>
        </row>
        <row r="25">
          <cell r="L25">
            <v>0</v>
          </cell>
          <cell r="R25">
            <v>0</v>
          </cell>
          <cell r="V25">
            <v>0</v>
          </cell>
          <cell r="AG25">
            <v>0</v>
          </cell>
          <cell r="AR25">
            <v>0</v>
          </cell>
          <cell r="AS25">
            <v>0</v>
          </cell>
          <cell r="AU25">
            <v>0</v>
          </cell>
          <cell r="AV25">
            <v>0</v>
          </cell>
          <cell r="AW25">
            <v>0</v>
          </cell>
          <cell r="AX25">
            <v>0</v>
          </cell>
          <cell r="AY25">
            <v>0</v>
          </cell>
          <cell r="AZ25">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row>
        <row r="29">
          <cell r="C29">
            <v>29.956000000000003</v>
          </cell>
          <cell r="D29">
            <v>46.400000000000006</v>
          </cell>
          <cell r="E29">
            <v>25.400000000000002</v>
          </cell>
          <cell r="F29">
            <v>20.9</v>
          </cell>
          <cell r="G29">
            <v>1.3</v>
          </cell>
          <cell r="H29">
            <v>1.2320000000000002</v>
          </cell>
          <cell r="I29">
            <v>0.60299999999999998</v>
          </cell>
          <cell r="J29">
            <v>7.3420000000000005</v>
          </cell>
          <cell r="K29">
            <v>0</v>
          </cell>
          <cell r="L29">
            <v>7.3420000000000005</v>
          </cell>
          <cell r="M29">
            <v>0</v>
          </cell>
          <cell r="N29">
            <v>0</v>
          </cell>
          <cell r="O29">
            <v>0.123</v>
          </cell>
          <cell r="P29">
            <v>0</v>
          </cell>
          <cell r="Q29">
            <v>-6.2160000000000002</v>
          </cell>
          <cell r="R29">
            <v>1.0030000000000001</v>
          </cell>
          <cell r="S29">
            <v>0</v>
          </cell>
          <cell r="T29">
            <v>0</v>
          </cell>
          <cell r="U29">
            <v>0</v>
          </cell>
          <cell r="V29">
            <v>1.0030000000000001</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X29">
            <v>0</v>
          </cell>
          <cell r="AY29">
            <v>0</v>
          </cell>
          <cell r="AZ29">
            <v>1.0030000000000001</v>
          </cell>
        </row>
        <row r="31">
          <cell r="C31">
            <v>0</v>
          </cell>
          <cell r="E31">
            <v>0</v>
          </cell>
          <cell r="L31">
            <v>0</v>
          </cell>
          <cell r="R31">
            <v>0</v>
          </cell>
          <cell r="V31">
            <v>0</v>
          </cell>
          <cell r="AG31">
            <v>0</v>
          </cell>
          <cell r="AR31">
            <v>0</v>
          </cell>
          <cell r="AS31">
            <v>0</v>
          </cell>
          <cell r="AT31">
            <v>0</v>
          </cell>
          <cell r="AU31">
            <v>0</v>
          </cell>
          <cell r="AV31">
            <v>0</v>
          </cell>
          <cell r="AW31">
            <v>0</v>
          </cell>
          <cell r="AX31">
            <v>0</v>
          </cell>
          <cell r="AY31">
            <v>0</v>
          </cell>
          <cell r="AZ31">
            <v>0</v>
          </cell>
        </row>
        <row r="32">
          <cell r="I32">
            <v>0.38200000000000001</v>
          </cell>
          <cell r="J32">
            <v>3.3370000000000002</v>
          </cell>
          <cell r="L32">
            <v>3.3370000000000002</v>
          </cell>
          <cell r="R32">
            <v>3.3370000000000002</v>
          </cell>
          <cell r="V32">
            <v>3.3370000000000002</v>
          </cell>
          <cell r="AG32">
            <v>0</v>
          </cell>
          <cell r="AR32">
            <v>0</v>
          </cell>
          <cell r="AS32">
            <v>0</v>
          </cell>
          <cell r="AT32">
            <v>0</v>
          </cell>
          <cell r="AU32">
            <v>0</v>
          </cell>
          <cell r="AV32">
            <v>0</v>
          </cell>
          <cell r="AW32">
            <v>0</v>
          </cell>
          <cell r="AX32">
            <v>0</v>
          </cell>
          <cell r="AY32">
            <v>0</v>
          </cell>
          <cell r="AZ32">
            <v>3.3370000000000002</v>
          </cell>
        </row>
        <row r="33">
          <cell r="C33">
            <v>0</v>
          </cell>
          <cell r="E33">
            <v>0</v>
          </cell>
          <cell r="F33">
            <v>1.6</v>
          </cell>
          <cell r="G33">
            <v>4.7</v>
          </cell>
          <cell r="H33">
            <v>4.391</v>
          </cell>
          <cell r="I33">
            <v>8.7309999999999999</v>
          </cell>
          <cell r="J33">
            <v>4.1109999999999998</v>
          </cell>
          <cell r="K33">
            <v>6.4269999999999996</v>
          </cell>
          <cell r="L33">
            <v>10.538</v>
          </cell>
          <cell r="M33">
            <v>7.0000000000000007E-2</v>
          </cell>
          <cell r="O33">
            <v>0.498</v>
          </cell>
          <cell r="P33">
            <v>1.0999999999999999E-2</v>
          </cell>
          <cell r="R33">
            <v>9.9589999999999996</v>
          </cell>
          <cell r="S33">
            <v>1.887</v>
          </cell>
          <cell r="V33">
            <v>11.846</v>
          </cell>
          <cell r="W33">
            <v>0</v>
          </cell>
          <cell r="X33">
            <v>13.217000000000001</v>
          </cell>
          <cell r="Y33" t="str">
            <v>mu</v>
          </cell>
          <cell r="AG33">
            <v>13.217000000000001</v>
          </cell>
          <cell r="AH33">
            <v>3.1629999999999998</v>
          </cell>
          <cell r="AR33">
            <v>3.1629999999999998</v>
          </cell>
          <cell r="AS33">
            <v>8.3140000000000001</v>
          </cell>
          <cell r="AT33">
            <v>19.8</v>
          </cell>
          <cell r="AU33">
            <v>-11.486000000000001</v>
          </cell>
          <cell r="AV33">
            <v>0</v>
          </cell>
          <cell r="AW33">
            <v>8.3140000000000001</v>
          </cell>
          <cell r="AX33">
            <v>0</v>
          </cell>
          <cell r="AY33">
            <v>0</v>
          </cell>
          <cell r="AZ33">
            <v>11.846</v>
          </cell>
        </row>
        <row r="34">
          <cell r="C34">
            <v>37.902000000000001</v>
          </cell>
          <cell r="D34">
            <v>18.3</v>
          </cell>
          <cell r="E34">
            <v>7.3</v>
          </cell>
          <cell r="F34">
            <v>4.5999999999999996</v>
          </cell>
          <cell r="G34">
            <v>2</v>
          </cell>
          <cell r="H34">
            <v>0.82</v>
          </cell>
          <cell r="L34">
            <v>0</v>
          </cell>
          <cell r="R34">
            <v>0</v>
          </cell>
          <cell r="V34">
            <v>0</v>
          </cell>
          <cell r="AG34">
            <v>0</v>
          </cell>
          <cell r="AR34">
            <v>0</v>
          </cell>
          <cell r="AS34">
            <v>0</v>
          </cell>
          <cell r="AT34">
            <v>0</v>
          </cell>
          <cell r="AU34">
            <v>0</v>
          </cell>
          <cell r="AV34">
            <v>0</v>
          </cell>
          <cell r="AW34">
            <v>0</v>
          </cell>
          <cell r="AX34">
            <v>0</v>
          </cell>
          <cell r="AY34">
            <v>0</v>
          </cell>
          <cell r="AZ34">
            <v>0</v>
          </cell>
        </row>
        <row r="35">
          <cell r="C35">
            <v>0</v>
          </cell>
          <cell r="D35">
            <v>3.7</v>
          </cell>
          <cell r="E35">
            <v>14</v>
          </cell>
          <cell r="F35">
            <v>11.6</v>
          </cell>
          <cell r="G35">
            <v>3.4</v>
          </cell>
          <cell r="H35">
            <v>1.9430000000000001</v>
          </cell>
          <cell r="I35">
            <v>0.46899999999999997</v>
          </cell>
          <cell r="J35">
            <v>0.41699999999999998</v>
          </cell>
          <cell r="L35">
            <v>0.41699999999999998</v>
          </cell>
          <cell r="R35">
            <v>0.41699999999999998</v>
          </cell>
          <cell r="V35">
            <v>0.41699999999999998</v>
          </cell>
          <cell r="AG35">
            <v>0</v>
          </cell>
          <cell r="AR35">
            <v>0</v>
          </cell>
          <cell r="AS35">
            <v>0</v>
          </cell>
          <cell r="AT35">
            <v>0</v>
          </cell>
          <cell r="AU35">
            <v>0</v>
          </cell>
          <cell r="AV35">
            <v>0</v>
          </cell>
          <cell r="AW35">
            <v>0</v>
          </cell>
          <cell r="AX35">
            <v>0</v>
          </cell>
          <cell r="AY35">
            <v>0</v>
          </cell>
          <cell r="AZ35">
            <v>0.41699999999999998</v>
          </cell>
        </row>
        <row r="36">
          <cell r="C36">
            <v>3.65</v>
          </cell>
          <cell r="D36">
            <v>25.5</v>
          </cell>
          <cell r="E36">
            <v>37.1</v>
          </cell>
          <cell r="F36">
            <v>19</v>
          </cell>
          <cell r="G36">
            <v>4.9000000000000004</v>
          </cell>
          <cell r="H36">
            <v>2.1019999999999999</v>
          </cell>
          <cell r="J36">
            <v>0.22600000000000001</v>
          </cell>
          <cell r="L36">
            <v>0.22600000000000001</v>
          </cell>
          <cell r="P36" t="str">
            <v>UAP</v>
          </cell>
          <cell r="Q36">
            <v>-0.22600000000000001</v>
          </cell>
          <cell r="R36">
            <v>0</v>
          </cell>
          <cell r="V36">
            <v>0</v>
          </cell>
          <cell r="AG36">
            <v>0</v>
          </cell>
          <cell r="AR36">
            <v>0</v>
          </cell>
          <cell r="AS36">
            <v>0</v>
          </cell>
          <cell r="AT36">
            <v>0</v>
          </cell>
          <cell r="AU36">
            <v>0</v>
          </cell>
          <cell r="AV36">
            <v>0</v>
          </cell>
          <cell r="AW36">
            <v>0</v>
          </cell>
          <cell r="AX36">
            <v>0</v>
          </cell>
          <cell r="AY36">
            <v>0</v>
          </cell>
          <cell r="AZ36">
            <v>0</v>
          </cell>
        </row>
        <row r="37">
          <cell r="C37">
            <v>0</v>
          </cell>
          <cell r="E37">
            <v>0</v>
          </cell>
          <cell r="F37">
            <v>3.2</v>
          </cell>
          <cell r="G37">
            <v>11.3</v>
          </cell>
          <cell r="H37">
            <v>10.422000000000001</v>
          </cell>
          <cell r="I37">
            <v>6.0190000000000001</v>
          </cell>
          <cell r="J37">
            <v>12.006</v>
          </cell>
          <cell r="L37">
            <v>12.006</v>
          </cell>
          <cell r="M37">
            <v>0.19800000000000001</v>
          </cell>
          <cell r="O37">
            <v>1.613</v>
          </cell>
          <cell r="R37">
            <v>10.195</v>
          </cell>
          <cell r="T37">
            <v>6.2E-2</v>
          </cell>
          <cell r="V37">
            <v>10.257</v>
          </cell>
          <cell r="AG37">
            <v>0</v>
          </cell>
          <cell r="AR37">
            <v>0</v>
          </cell>
          <cell r="AS37">
            <v>0</v>
          </cell>
          <cell r="AT37">
            <v>0</v>
          </cell>
          <cell r="AU37">
            <v>0</v>
          </cell>
          <cell r="AV37">
            <v>0</v>
          </cell>
          <cell r="AW37">
            <v>0</v>
          </cell>
          <cell r="AX37">
            <v>0</v>
          </cell>
          <cell r="AY37">
            <v>0</v>
          </cell>
          <cell r="AZ37">
            <v>10.257</v>
          </cell>
        </row>
        <row r="38">
          <cell r="C38">
            <v>0</v>
          </cell>
          <cell r="E38">
            <v>0.9</v>
          </cell>
          <cell r="F38">
            <v>9.6</v>
          </cell>
          <cell r="G38">
            <v>17.600000000000001</v>
          </cell>
          <cell r="H38">
            <v>28.077000000000002</v>
          </cell>
          <cell r="I38">
            <v>23.335999999999999</v>
          </cell>
          <cell r="J38">
            <v>6.2720000000000002</v>
          </cell>
          <cell r="K38">
            <v>25.137</v>
          </cell>
          <cell r="L38">
            <v>31.408999999999999</v>
          </cell>
          <cell r="M38">
            <v>0.95699999999999996</v>
          </cell>
          <cell r="O38">
            <v>0.67900000000000005</v>
          </cell>
          <cell r="R38">
            <v>29.773</v>
          </cell>
          <cell r="U38">
            <v>0.99</v>
          </cell>
          <cell r="V38">
            <v>30.762999999999998</v>
          </cell>
          <cell r="W38">
            <v>25.728999999999999</v>
          </cell>
          <cell r="X38">
            <v>4.8769999999999998</v>
          </cell>
          <cell r="Y38" t="str">
            <v>mu</v>
          </cell>
          <cell r="AG38">
            <v>30.605999999999998</v>
          </cell>
          <cell r="AR38">
            <v>0</v>
          </cell>
          <cell r="AS38">
            <v>26.126999999999999</v>
          </cell>
          <cell r="AT38">
            <v>30.605999999999998</v>
          </cell>
          <cell r="AU38">
            <v>-4.4789999999999992</v>
          </cell>
          <cell r="AV38">
            <v>0</v>
          </cell>
          <cell r="AW38">
            <v>26.126999999999999</v>
          </cell>
          <cell r="AX38">
            <v>0</v>
          </cell>
          <cell r="AY38">
            <v>0</v>
          </cell>
          <cell r="AZ38">
            <v>30.762999999999998</v>
          </cell>
        </row>
        <row r="39">
          <cell r="C39">
            <v>21.66</v>
          </cell>
          <cell r="D39">
            <v>23.7</v>
          </cell>
          <cell r="E39">
            <v>21.2</v>
          </cell>
          <cell r="F39">
            <v>16.399999999999999</v>
          </cell>
          <cell r="G39">
            <v>10</v>
          </cell>
          <cell r="H39">
            <v>8.1430000000000007</v>
          </cell>
          <cell r="I39">
            <v>10.776999999999999</v>
          </cell>
          <cell r="J39">
            <v>3.5129999999999999</v>
          </cell>
          <cell r="K39">
            <v>2.2730000000000001</v>
          </cell>
          <cell r="L39">
            <v>5.7859999999999996</v>
          </cell>
          <cell r="O39">
            <v>0.01</v>
          </cell>
          <cell r="P39" t="str">
            <v>UAP</v>
          </cell>
          <cell r="Q39">
            <v>-0.52900000000000003</v>
          </cell>
          <cell r="R39">
            <v>5.2469999999999999</v>
          </cell>
          <cell r="T39">
            <v>8.7999999999999995E-2</v>
          </cell>
          <cell r="U39">
            <v>3.3000000000000002E-2</v>
          </cell>
          <cell r="V39">
            <v>5.3680000000000003</v>
          </cell>
          <cell r="W39">
            <v>2.1379999999999999</v>
          </cell>
          <cell r="AG39">
            <v>2.1379999999999999</v>
          </cell>
          <cell r="AR39">
            <v>0</v>
          </cell>
          <cell r="AS39">
            <v>2.306</v>
          </cell>
          <cell r="AT39">
            <v>2.1379999999999999</v>
          </cell>
          <cell r="AU39">
            <v>0.16800000000000015</v>
          </cell>
          <cell r="AV39">
            <v>0</v>
          </cell>
          <cell r="AW39">
            <v>2.306</v>
          </cell>
          <cell r="AX39">
            <v>0</v>
          </cell>
          <cell r="AY39">
            <v>0</v>
          </cell>
          <cell r="AZ39">
            <v>5.3680000000000003</v>
          </cell>
        </row>
        <row r="40">
          <cell r="H40">
            <v>1.631</v>
          </cell>
          <cell r="I40">
            <v>6.7119999999999997</v>
          </cell>
          <cell r="J40">
            <v>17.084</v>
          </cell>
          <cell r="L40">
            <v>17.084</v>
          </cell>
          <cell r="M40">
            <v>0.192</v>
          </cell>
          <cell r="O40">
            <v>8.6999999999999994E-2</v>
          </cell>
          <cell r="R40">
            <v>16.805</v>
          </cell>
          <cell r="T40">
            <v>0.35899999999999999</v>
          </cell>
          <cell r="V40">
            <v>17.164000000000001</v>
          </cell>
          <cell r="AG40">
            <v>0</v>
          </cell>
          <cell r="AR40">
            <v>0</v>
          </cell>
          <cell r="AS40">
            <v>0</v>
          </cell>
          <cell r="AT40">
            <v>0</v>
          </cell>
          <cell r="AU40">
            <v>0</v>
          </cell>
          <cell r="AV40">
            <v>0</v>
          </cell>
          <cell r="AW40">
            <v>0</v>
          </cell>
          <cell r="AX40">
            <v>0</v>
          </cell>
          <cell r="AY40">
            <v>0</v>
          </cell>
          <cell r="AZ40">
            <v>17.164000000000001</v>
          </cell>
        </row>
        <row r="42">
          <cell r="C42">
            <v>63.212000000000003</v>
          </cell>
          <cell r="D42">
            <v>71.2</v>
          </cell>
          <cell r="E42">
            <v>80.5</v>
          </cell>
          <cell r="F42">
            <v>66</v>
          </cell>
          <cell r="G42">
            <v>53.900000000000006</v>
          </cell>
          <cell r="H42">
            <v>57.529000000000003</v>
          </cell>
          <cell r="I42">
            <v>56.426000000000002</v>
          </cell>
          <cell r="J42">
            <v>46.965999999999994</v>
          </cell>
          <cell r="K42">
            <v>33.837000000000003</v>
          </cell>
          <cell r="L42">
            <v>80.802999999999997</v>
          </cell>
          <cell r="M42">
            <v>1.417</v>
          </cell>
          <cell r="N42">
            <v>0</v>
          </cell>
          <cell r="O42">
            <v>2.887</v>
          </cell>
          <cell r="P42">
            <v>1.0999999999999999E-2</v>
          </cell>
          <cell r="Q42">
            <v>-0.755</v>
          </cell>
          <cell r="R42">
            <v>75.733000000000004</v>
          </cell>
          <cell r="S42">
            <v>1.887</v>
          </cell>
          <cell r="T42">
            <v>0.50900000000000001</v>
          </cell>
          <cell r="U42">
            <v>1.0229999999999999</v>
          </cell>
          <cell r="V42">
            <v>79.152000000000001</v>
          </cell>
          <cell r="W42">
            <v>27.866999999999997</v>
          </cell>
          <cell r="X42">
            <v>18.094000000000001</v>
          </cell>
          <cell r="Y42">
            <v>0</v>
          </cell>
          <cell r="Z42">
            <v>0</v>
          </cell>
          <cell r="AA42">
            <v>0</v>
          </cell>
          <cell r="AB42">
            <v>0</v>
          </cell>
          <cell r="AC42">
            <v>0</v>
          </cell>
          <cell r="AD42">
            <v>0</v>
          </cell>
          <cell r="AE42">
            <v>0</v>
          </cell>
          <cell r="AF42">
            <v>0</v>
          </cell>
          <cell r="AG42">
            <v>45.960999999999999</v>
          </cell>
          <cell r="AH42">
            <v>3.1629999999999998</v>
          </cell>
          <cell r="AI42">
            <v>0</v>
          </cell>
          <cell r="AJ42">
            <v>0</v>
          </cell>
          <cell r="AK42">
            <v>0</v>
          </cell>
          <cell r="AL42">
            <v>0</v>
          </cell>
          <cell r="AM42">
            <v>0</v>
          </cell>
          <cell r="AN42">
            <v>0</v>
          </cell>
          <cell r="AO42">
            <v>0</v>
          </cell>
          <cell r="AP42">
            <v>0</v>
          </cell>
          <cell r="AQ42">
            <v>0</v>
          </cell>
          <cell r="AR42">
            <v>3.1629999999999998</v>
          </cell>
          <cell r="AS42">
            <v>36.747</v>
          </cell>
          <cell r="AT42">
            <v>52.543999999999997</v>
          </cell>
          <cell r="AU42">
            <v>-15.797000000000001</v>
          </cell>
          <cell r="AV42">
            <v>0</v>
          </cell>
          <cell r="AW42">
            <v>36.747</v>
          </cell>
          <cell r="AX42">
            <v>0</v>
          </cell>
          <cell r="AY42">
            <v>0</v>
          </cell>
          <cell r="AZ42">
            <v>79.152000000000001</v>
          </cell>
        </row>
        <row r="44">
          <cell r="L44">
            <v>0</v>
          </cell>
          <cell r="R44">
            <v>0</v>
          </cell>
          <cell r="V44">
            <v>0</v>
          </cell>
          <cell r="AG44">
            <v>0</v>
          </cell>
          <cell r="AR44">
            <v>0</v>
          </cell>
          <cell r="AS44">
            <v>0</v>
          </cell>
          <cell r="AT44">
            <v>0</v>
          </cell>
          <cell r="AU44">
            <v>0</v>
          </cell>
          <cell r="AV44">
            <v>0</v>
          </cell>
          <cell r="AW44">
            <v>0</v>
          </cell>
          <cell r="AX44">
            <v>0</v>
          </cell>
          <cell r="AY44">
            <v>0</v>
          </cell>
          <cell r="AZ44">
            <v>0</v>
          </cell>
        </row>
        <row r="45">
          <cell r="L45">
            <v>0</v>
          </cell>
          <cell r="Q45">
            <v>2.5</v>
          </cell>
          <cell r="R45">
            <v>2.5</v>
          </cell>
          <cell r="V45">
            <v>2.5</v>
          </cell>
          <cell r="AF45">
            <v>0</v>
          </cell>
          <cell r="AG45">
            <v>0</v>
          </cell>
          <cell r="AR45">
            <v>0</v>
          </cell>
          <cell r="AS45">
            <v>0</v>
          </cell>
          <cell r="AT45">
            <v>2.5</v>
          </cell>
          <cell r="AU45">
            <v>-2.5</v>
          </cell>
          <cell r="AV45">
            <v>0</v>
          </cell>
          <cell r="AW45">
            <v>0</v>
          </cell>
          <cell r="AX45">
            <v>0</v>
          </cell>
          <cell r="AY45">
            <v>0</v>
          </cell>
          <cell r="AZ45">
            <v>2.5</v>
          </cell>
        </row>
        <row r="46">
          <cell r="K46">
            <v>3.2719999999999998</v>
          </cell>
          <cell r="L46">
            <v>3.2719999999999998</v>
          </cell>
          <cell r="P46">
            <v>6.3E-2</v>
          </cell>
          <cell r="R46">
            <v>3.2089999999999996</v>
          </cell>
          <cell r="V46">
            <v>3.2089999999999996</v>
          </cell>
          <cell r="W46">
            <v>4.32</v>
          </cell>
          <cell r="AG46">
            <v>4.32</v>
          </cell>
          <cell r="AR46">
            <v>0</v>
          </cell>
          <cell r="AS46">
            <v>3.2719999999999998</v>
          </cell>
          <cell r="AT46">
            <v>4.32</v>
          </cell>
          <cell r="AU46">
            <v>-1.0480000000000005</v>
          </cell>
          <cell r="AV46">
            <v>0</v>
          </cell>
          <cell r="AW46">
            <v>3.2719999999999998</v>
          </cell>
          <cell r="AX46">
            <v>0</v>
          </cell>
          <cell r="AY46">
            <v>0</v>
          </cell>
          <cell r="AZ46">
            <v>3.2089999999999996</v>
          </cell>
        </row>
        <row r="48">
          <cell r="C48">
            <v>0</v>
          </cell>
          <cell r="D48">
            <v>0</v>
          </cell>
          <cell r="E48">
            <v>0</v>
          </cell>
          <cell r="F48">
            <v>0</v>
          </cell>
          <cell r="G48">
            <v>0</v>
          </cell>
          <cell r="H48">
            <v>0</v>
          </cell>
          <cell r="I48">
            <v>0</v>
          </cell>
          <cell r="J48">
            <v>0</v>
          </cell>
          <cell r="K48">
            <v>3.2719999999999998</v>
          </cell>
          <cell r="L48">
            <v>3.2719999999999998</v>
          </cell>
          <cell r="M48">
            <v>0</v>
          </cell>
          <cell r="N48">
            <v>0</v>
          </cell>
          <cell r="O48">
            <v>0</v>
          </cell>
          <cell r="P48">
            <v>6.3E-2</v>
          </cell>
          <cell r="Q48">
            <v>2.5</v>
          </cell>
          <cell r="R48">
            <v>5.7089999999999996</v>
          </cell>
          <cell r="S48">
            <v>0</v>
          </cell>
          <cell r="T48">
            <v>0</v>
          </cell>
          <cell r="U48">
            <v>0</v>
          </cell>
          <cell r="V48">
            <v>5.7089999999999996</v>
          </cell>
          <cell r="W48">
            <v>4.32</v>
          </cell>
          <cell r="X48">
            <v>0</v>
          </cell>
          <cell r="Y48">
            <v>0</v>
          </cell>
          <cell r="Z48">
            <v>0</v>
          </cell>
          <cell r="AA48">
            <v>0</v>
          </cell>
          <cell r="AB48">
            <v>0</v>
          </cell>
          <cell r="AC48">
            <v>0</v>
          </cell>
          <cell r="AD48">
            <v>0</v>
          </cell>
          <cell r="AE48">
            <v>0</v>
          </cell>
          <cell r="AF48">
            <v>0</v>
          </cell>
          <cell r="AG48">
            <v>4.32</v>
          </cell>
          <cell r="AH48">
            <v>0</v>
          </cell>
          <cell r="AI48">
            <v>0</v>
          </cell>
          <cell r="AJ48">
            <v>0</v>
          </cell>
          <cell r="AK48">
            <v>0</v>
          </cell>
          <cell r="AL48">
            <v>0</v>
          </cell>
          <cell r="AM48">
            <v>0</v>
          </cell>
          <cell r="AN48">
            <v>0</v>
          </cell>
          <cell r="AO48">
            <v>0</v>
          </cell>
          <cell r="AP48">
            <v>0</v>
          </cell>
          <cell r="AQ48">
            <v>0</v>
          </cell>
          <cell r="AR48">
            <v>0</v>
          </cell>
          <cell r="AS48">
            <v>3.2719999999999998</v>
          </cell>
          <cell r="AT48">
            <v>6.82</v>
          </cell>
          <cell r="AU48">
            <v>-3.5480000000000005</v>
          </cell>
          <cell r="AV48">
            <v>0</v>
          </cell>
          <cell r="AW48">
            <v>3.2719999999999998</v>
          </cell>
          <cell r="AX48">
            <v>0</v>
          </cell>
          <cell r="AY48">
            <v>0</v>
          </cell>
          <cell r="AZ48">
            <v>5.7089999999999996</v>
          </cell>
        </row>
        <row r="50">
          <cell r="C50">
            <v>63.212000000000003</v>
          </cell>
          <cell r="D50">
            <v>71.2</v>
          </cell>
          <cell r="E50">
            <v>80.5</v>
          </cell>
          <cell r="F50">
            <v>66</v>
          </cell>
          <cell r="G50">
            <v>53.900000000000006</v>
          </cell>
          <cell r="H50">
            <v>57.529000000000003</v>
          </cell>
          <cell r="I50">
            <v>56.426000000000002</v>
          </cell>
          <cell r="J50">
            <v>46.965999999999994</v>
          </cell>
          <cell r="K50">
            <v>37.109000000000002</v>
          </cell>
          <cell r="L50">
            <v>84.075000000000003</v>
          </cell>
          <cell r="M50">
            <v>1.417</v>
          </cell>
          <cell r="N50">
            <v>0</v>
          </cell>
          <cell r="O50">
            <v>2.887</v>
          </cell>
          <cell r="P50">
            <v>7.3999999999999996E-2</v>
          </cell>
          <cell r="Q50">
            <v>1.7450000000000001</v>
          </cell>
          <cell r="R50">
            <v>81.442000000000007</v>
          </cell>
          <cell r="S50">
            <v>1.887</v>
          </cell>
          <cell r="T50">
            <v>0.50900000000000001</v>
          </cell>
          <cell r="U50">
            <v>1.0229999999999999</v>
          </cell>
          <cell r="V50">
            <v>84.861000000000004</v>
          </cell>
          <cell r="W50">
            <v>32.186999999999998</v>
          </cell>
          <cell r="X50">
            <v>18.094000000000001</v>
          </cell>
          <cell r="Y50">
            <v>0</v>
          </cell>
          <cell r="Z50">
            <v>0</v>
          </cell>
          <cell r="AA50">
            <v>0</v>
          </cell>
          <cell r="AB50">
            <v>0</v>
          </cell>
          <cell r="AC50">
            <v>0</v>
          </cell>
          <cell r="AD50">
            <v>0</v>
          </cell>
          <cell r="AE50">
            <v>0</v>
          </cell>
          <cell r="AF50">
            <v>0</v>
          </cell>
          <cell r="AG50">
            <v>50.280999999999999</v>
          </cell>
          <cell r="AH50">
            <v>3.1629999999999998</v>
          </cell>
          <cell r="AI50">
            <v>0</v>
          </cell>
          <cell r="AJ50">
            <v>0</v>
          </cell>
          <cell r="AK50">
            <v>0</v>
          </cell>
          <cell r="AL50">
            <v>0</v>
          </cell>
          <cell r="AM50">
            <v>0</v>
          </cell>
          <cell r="AN50">
            <v>0</v>
          </cell>
          <cell r="AO50">
            <v>0</v>
          </cell>
          <cell r="AP50">
            <v>0</v>
          </cell>
          <cell r="AQ50">
            <v>0</v>
          </cell>
          <cell r="AR50">
            <v>3.1629999999999998</v>
          </cell>
          <cell r="AS50">
            <v>40.018999999999998</v>
          </cell>
          <cell r="AT50">
            <v>59.363999999999997</v>
          </cell>
          <cell r="AU50">
            <v>-19.345000000000002</v>
          </cell>
          <cell r="AV50">
            <v>0</v>
          </cell>
          <cell r="AW50">
            <v>40.018999999999998</v>
          </cell>
          <cell r="AX50">
            <v>0</v>
          </cell>
          <cell r="AY50">
            <v>0</v>
          </cell>
          <cell r="AZ50">
            <v>84.861000000000004</v>
          </cell>
        </row>
        <row r="52">
          <cell r="C52">
            <v>0</v>
          </cell>
          <cell r="D52">
            <v>3.5</v>
          </cell>
          <cell r="E52">
            <v>24</v>
          </cell>
          <cell r="F52">
            <v>20.3</v>
          </cell>
          <cell r="G52">
            <v>6.9</v>
          </cell>
          <cell r="H52">
            <v>1.7529999999999999</v>
          </cell>
          <cell r="I52">
            <v>0.17399999999999999</v>
          </cell>
          <cell r="L52">
            <v>0</v>
          </cell>
          <cell r="R52">
            <v>0</v>
          </cell>
          <cell r="V52">
            <v>0</v>
          </cell>
          <cell r="AG52">
            <v>0</v>
          </cell>
          <cell r="AR52">
            <v>0</v>
          </cell>
          <cell r="AS52">
            <v>0</v>
          </cell>
          <cell r="AT52">
            <v>0</v>
          </cell>
          <cell r="AU52">
            <v>0</v>
          </cell>
          <cell r="AV52">
            <v>0</v>
          </cell>
          <cell r="AW52">
            <v>0</v>
          </cell>
          <cell r="AX52">
            <v>0</v>
          </cell>
          <cell r="AY52">
            <v>0</v>
          </cell>
          <cell r="AZ52">
            <v>0</v>
          </cell>
        </row>
        <row r="53">
          <cell r="C53">
            <v>0</v>
          </cell>
          <cell r="D53">
            <v>0</v>
          </cell>
          <cell r="E53">
            <v>0</v>
          </cell>
          <cell r="G53">
            <v>10</v>
          </cell>
          <cell r="H53">
            <v>17.34</v>
          </cell>
          <cell r="I53">
            <v>12.141999999999999</v>
          </cell>
          <cell r="J53">
            <v>4.335</v>
          </cell>
          <cell r="K53">
            <v>7.7869999999999999</v>
          </cell>
          <cell r="L53">
            <v>12.122</v>
          </cell>
          <cell r="M53">
            <v>0.126</v>
          </cell>
          <cell r="O53">
            <v>0.05</v>
          </cell>
          <cell r="R53">
            <v>11.946</v>
          </cell>
          <cell r="T53">
            <v>0.48699999999999999</v>
          </cell>
          <cell r="V53">
            <v>12.433</v>
          </cell>
          <cell r="W53">
            <v>8.1159999999999997</v>
          </cell>
          <cell r="AG53">
            <v>8.1159999999999997</v>
          </cell>
          <cell r="AR53">
            <v>0</v>
          </cell>
          <cell r="AS53">
            <v>7.7869999999999999</v>
          </cell>
          <cell r="AT53">
            <v>8.1159999999999997</v>
          </cell>
          <cell r="AU53">
            <v>-0.32899999999999974</v>
          </cell>
          <cell r="AV53">
            <v>0</v>
          </cell>
          <cell r="AW53">
            <v>7.7869999999999999</v>
          </cell>
          <cell r="AX53">
            <v>0</v>
          </cell>
          <cell r="AY53">
            <v>0</v>
          </cell>
          <cell r="AZ53">
            <v>12.433</v>
          </cell>
        </row>
        <row r="54">
          <cell r="C54">
            <v>0</v>
          </cell>
          <cell r="E54">
            <v>0</v>
          </cell>
          <cell r="F54">
            <v>5.4</v>
          </cell>
          <cell r="G54">
            <v>10.7</v>
          </cell>
          <cell r="H54">
            <v>5.7679999999999998</v>
          </cell>
          <cell r="I54">
            <v>0.93700000000000006</v>
          </cell>
          <cell r="J54">
            <v>3.052</v>
          </cell>
          <cell r="L54">
            <v>3.052</v>
          </cell>
          <cell r="M54">
            <v>0.02</v>
          </cell>
          <cell r="O54">
            <v>7.5999999999999998E-2</v>
          </cell>
          <cell r="R54">
            <v>2.956</v>
          </cell>
          <cell r="T54">
            <v>4.0000000000000001E-3</v>
          </cell>
          <cell r="V54">
            <v>2.96</v>
          </cell>
          <cell r="AG54">
            <v>0</v>
          </cell>
          <cell r="AR54">
            <v>0</v>
          </cell>
          <cell r="AS54">
            <v>0</v>
          </cell>
          <cell r="AT54">
            <v>0</v>
          </cell>
          <cell r="AU54">
            <v>0</v>
          </cell>
          <cell r="AV54">
            <v>0</v>
          </cell>
          <cell r="AW54">
            <v>0</v>
          </cell>
          <cell r="AX54">
            <v>0</v>
          </cell>
          <cell r="AY54">
            <v>0</v>
          </cell>
          <cell r="AZ54">
            <v>2.96</v>
          </cell>
        </row>
        <row r="55">
          <cell r="C55">
            <v>0</v>
          </cell>
          <cell r="D55">
            <v>2.7</v>
          </cell>
          <cell r="E55">
            <v>25.4</v>
          </cell>
          <cell r="F55">
            <v>25.9</v>
          </cell>
          <cell r="G55">
            <v>12.6</v>
          </cell>
          <cell r="H55">
            <v>17.280999999999999</v>
          </cell>
          <cell r="I55">
            <v>3.26</v>
          </cell>
          <cell r="J55">
            <v>1.35</v>
          </cell>
          <cell r="L55">
            <v>1.35</v>
          </cell>
          <cell r="O55">
            <v>4.3999999999999997E-2</v>
          </cell>
          <cell r="R55">
            <v>1.306</v>
          </cell>
          <cell r="V55">
            <v>1.306</v>
          </cell>
          <cell r="AG55">
            <v>0</v>
          </cell>
          <cell r="AR55">
            <v>0</v>
          </cell>
          <cell r="AS55">
            <v>0</v>
          </cell>
          <cell r="AT55">
            <v>0</v>
          </cell>
          <cell r="AU55">
            <v>0</v>
          </cell>
          <cell r="AV55">
            <v>0</v>
          </cell>
          <cell r="AW55">
            <v>0</v>
          </cell>
          <cell r="AX55">
            <v>0</v>
          </cell>
          <cell r="AY55">
            <v>0</v>
          </cell>
          <cell r="AZ55">
            <v>1.306</v>
          </cell>
        </row>
        <row r="56">
          <cell r="C56">
            <v>0</v>
          </cell>
          <cell r="D56">
            <v>0</v>
          </cell>
          <cell r="E56">
            <v>0</v>
          </cell>
          <cell r="F56">
            <v>0.9</v>
          </cell>
          <cell r="G56">
            <v>6.8</v>
          </cell>
          <cell r="H56">
            <v>8.2629999999999999</v>
          </cell>
          <cell r="I56">
            <v>9.0579999999999998</v>
          </cell>
          <cell r="J56">
            <v>2.863</v>
          </cell>
          <cell r="K56">
            <v>6.3380000000000001</v>
          </cell>
          <cell r="L56">
            <v>9.2010000000000005</v>
          </cell>
          <cell r="O56">
            <v>0.22800000000000001</v>
          </cell>
          <cell r="P56">
            <v>1.9E-2</v>
          </cell>
          <cell r="R56">
            <v>8.9540000000000006</v>
          </cell>
          <cell r="T56">
            <v>0.06</v>
          </cell>
          <cell r="V56">
            <v>9.0140000000000011</v>
          </cell>
          <cell r="W56">
            <v>0</v>
          </cell>
          <cell r="AG56">
            <v>0</v>
          </cell>
          <cell r="AH56">
            <v>7.84</v>
          </cell>
          <cell r="AR56">
            <v>7.84</v>
          </cell>
          <cell r="AS56">
            <v>6.3380000000000001</v>
          </cell>
          <cell r="AT56">
            <v>8.6910000000000007</v>
          </cell>
          <cell r="AU56">
            <v>-2.3530000000000006</v>
          </cell>
          <cell r="AV56">
            <v>0</v>
          </cell>
          <cell r="AW56">
            <v>6.3380000000000001</v>
          </cell>
          <cell r="AX56">
            <v>0</v>
          </cell>
          <cell r="AY56">
            <v>0</v>
          </cell>
          <cell r="AZ56">
            <v>9.0140000000000011</v>
          </cell>
        </row>
        <row r="57">
          <cell r="C57">
            <v>0</v>
          </cell>
          <cell r="D57">
            <v>0</v>
          </cell>
          <cell r="E57">
            <v>0</v>
          </cell>
          <cell r="G57">
            <v>5.2</v>
          </cell>
          <cell r="H57">
            <v>12.199</v>
          </cell>
          <cell r="I57">
            <v>4.7380000000000004</v>
          </cell>
          <cell r="J57">
            <v>8.3569999999999993</v>
          </cell>
          <cell r="L57">
            <v>8.3569999999999993</v>
          </cell>
          <cell r="M57">
            <v>1.7999999999999999E-2</v>
          </cell>
          <cell r="O57">
            <v>0.84699999999999998</v>
          </cell>
          <cell r="R57">
            <v>7.4919999999999991</v>
          </cell>
          <cell r="T57">
            <v>4.0000000000000001E-3</v>
          </cell>
          <cell r="V57">
            <v>7.4959999999999987</v>
          </cell>
          <cell r="AG57">
            <v>0</v>
          </cell>
          <cell r="AR57">
            <v>0</v>
          </cell>
          <cell r="AS57">
            <v>0</v>
          </cell>
          <cell r="AT57">
            <v>0</v>
          </cell>
          <cell r="AU57">
            <v>0</v>
          </cell>
          <cell r="AV57">
            <v>0</v>
          </cell>
          <cell r="AW57">
            <v>0</v>
          </cell>
          <cell r="AX57">
            <v>0</v>
          </cell>
          <cell r="AY57">
            <v>0</v>
          </cell>
          <cell r="AZ57">
            <v>7.4959999999999987</v>
          </cell>
        </row>
        <row r="58">
          <cell r="C58">
            <v>0</v>
          </cell>
          <cell r="D58">
            <v>0</v>
          </cell>
          <cell r="E58">
            <v>0</v>
          </cell>
          <cell r="H58">
            <v>10.028</v>
          </cell>
          <cell r="I58">
            <v>67.296999999999997</v>
          </cell>
          <cell r="J58">
            <v>10.914999999999999</v>
          </cell>
          <cell r="K58">
            <v>101.42100000000001</v>
          </cell>
          <cell r="L58">
            <v>112.33600000000001</v>
          </cell>
          <cell r="M58">
            <v>0.63200000000000001</v>
          </cell>
          <cell r="N58">
            <v>0.107</v>
          </cell>
          <cell r="O58">
            <v>2.5999999999999999E-2</v>
          </cell>
          <cell r="R58">
            <v>111.57100000000001</v>
          </cell>
          <cell r="T58">
            <v>4.2010000000000005</v>
          </cell>
          <cell r="V58">
            <v>115.77200000000002</v>
          </cell>
          <cell r="W58">
            <v>0</v>
          </cell>
          <cell r="X58">
            <v>32.408999999999999</v>
          </cell>
          <cell r="Y58" t="str">
            <v>both</v>
          </cell>
          <cell r="AG58">
            <v>32.408999999999999</v>
          </cell>
          <cell r="AH58">
            <v>59.073</v>
          </cell>
          <cell r="AR58">
            <v>59.073</v>
          </cell>
          <cell r="AS58">
            <v>101.42100000000001</v>
          </cell>
          <cell r="AT58">
            <v>97.932999999999993</v>
          </cell>
          <cell r="AU58">
            <v>3.4880000000000138</v>
          </cell>
          <cell r="AV58">
            <v>0</v>
          </cell>
          <cell r="AW58">
            <v>101.42100000000001</v>
          </cell>
          <cell r="AX58">
            <v>0</v>
          </cell>
          <cell r="AY58">
            <v>0</v>
          </cell>
          <cell r="AZ58">
            <v>115.77200000000002</v>
          </cell>
        </row>
        <row r="59">
          <cell r="C59">
            <v>180.596</v>
          </cell>
          <cell r="D59">
            <v>106.5</v>
          </cell>
          <cell r="E59">
            <v>42.1</v>
          </cell>
          <cell r="F59">
            <v>34.400000000000006</v>
          </cell>
          <cell r="G59">
            <v>8.6999999999999993</v>
          </cell>
          <cell r="H59">
            <v>4.359</v>
          </cell>
          <cell r="I59">
            <v>0.33800000000000002</v>
          </cell>
          <cell r="J59">
            <v>0.06</v>
          </cell>
          <cell r="L59">
            <v>0.06</v>
          </cell>
          <cell r="O59">
            <v>0</v>
          </cell>
          <cell r="R59">
            <v>0.06</v>
          </cell>
          <cell r="V59">
            <v>0.06</v>
          </cell>
          <cell r="AG59">
            <v>0</v>
          </cell>
          <cell r="AR59">
            <v>0</v>
          </cell>
          <cell r="AS59">
            <v>0</v>
          </cell>
          <cell r="AT59">
            <v>0</v>
          </cell>
          <cell r="AU59">
            <v>0</v>
          </cell>
          <cell r="AV59">
            <v>0</v>
          </cell>
          <cell r="AW59">
            <v>0</v>
          </cell>
          <cell r="AX59">
            <v>0</v>
          </cell>
          <cell r="AY59">
            <v>0</v>
          </cell>
          <cell r="AZ59">
            <v>0.06</v>
          </cell>
        </row>
        <row r="60">
          <cell r="C60">
            <v>55.985999999999997</v>
          </cell>
          <cell r="D60">
            <v>26</v>
          </cell>
          <cell r="E60">
            <v>7.5</v>
          </cell>
          <cell r="F60">
            <v>4.9000000000000004</v>
          </cell>
          <cell r="G60">
            <v>0.8</v>
          </cell>
          <cell r="L60">
            <v>0</v>
          </cell>
          <cell r="R60">
            <v>0</v>
          </cell>
          <cell r="V60">
            <v>0</v>
          </cell>
          <cell r="AG60">
            <v>0</v>
          </cell>
          <cell r="AR60">
            <v>0</v>
          </cell>
          <cell r="AS60">
            <v>0</v>
          </cell>
          <cell r="AT60">
            <v>0</v>
          </cell>
          <cell r="AU60">
            <v>0</v>
          </cell>
          <cell r="AV60">
            <v>0</v>
          </cell>
          <cell r="AW60">
            <v>0</v>
          </cell>
          <cell r="AX60">
            <v>0</v>
          </cell>
          <cell r="AY60">
            <v>0</v>
          </cell>
          <cell r="AZ60">
            <v>0</v>
          </cell>
        </row>
        <row r="61">
          <cell r="C61">
            <v>0</v>
          </cell>
          <cell r="D61">
            <v>0</v>
          </cell>
          <cell r="E61">
            <v>0</v>
          </cell>
          <cell r="G61">
            <v>3.1</v>
          </cell>
          <cell r="H61">
            <v>7.0439999999999996</v>
          </cell>
          <cell r="I61">
            <v>3.4340000000000002</v>
          </cell>
          <cell r="J61">
            <v>1.865</v>
          </cell>
          <cell r="K61">
            <v>0</v>
          </cell>
          <cell r="L61">
            <v>1.865</v>
          </cell>
          <cell r="M61">
            <v>0.17599999999999999</v>
          </cell>
          <cell r="O61">
            <v>0.36899999999999999</v>
          </cell>
          <cell r="R61">
            <v>1.32</v>
          </cell>
          <cell r="T61">
            <v>1.4999999999999999E-2</v>
          </cell>
          <cell r="V61">
            <v>1.335</v>
          </cell>
          <cell r="AG61">
            <v>0</v>
          </cell>
          <cell r="AR61">
            <v>0</v>
          </cell>
          <cell r="AS61">
            <v>0</v>
          </cell>
          <cell r="AT61">
            <v>0</v>
          </cell>
          <cell r="AU61">
            <v>0</v>
          </cell>
          <cell r="AV61">
            <v>0</v>
          </cell>
          <cell r="AW61">
            <v>0</v>
          </cell>
          <cell r="AX61">
            <v>0</v>
          </cell>
          <cell r="AY61">
            <v>0</v>
          </cell>
          <cell r="AZ61">
            <v>1.335</v>
          </cell>
        </row>
        <row r="62">
          <cell r="C62">
            <v>0</v>
          </cell>
          <cell r="D62">
            <v>0</v>
          </cell>
          <cell r="E62">
            <v>0</v>
          </cell>
          <cell r="G62">
            <v>0.1</v>
          </cell>
          <cell r="H62">
            <v>4.7E-2</v>
          </cell>
          <cell r="I62">
            <v>18.471999999999998</v>
          </cell>
          <cell r="J62">
            <v>12.532</v>
          </cell>
          <cell r="K62">
            <v>11.041</v>
          </cell>
          <cell r="L62">
            <v>23.573</v>
          </cell>
          <cell r="N62">
            <v>4.5999999999999999E-2</v>
          </cell>
          <cell r="O62">
            <v>0.9910000000000001</v>
          </cell>
          <cell r="P62">
            <v>0.10100000000000001</v>
          </cell>
          <cell r="R62">
            <v>22.434999999999999</v>
          </cell>
          <cell r="S62">
            <v>8.6</v>
          </cell>
          <cell r="T62">
            <v>0.94500000000000006</v>
          </cell>
          <cell r="U62">
            <v>0.19</v>
          </cell>
          <cell r="V62">
            <v>32.169999999999995</v>
          </cell>
          <cell r="W62">
            <v>4.1529999999999996</v>
          </cell>
          <cell r="X62">
            <v>9.2929999999999993</v>
          </cell>
          <cell r="Y62" t="str">
            <v>mu</v>
          </cell>
          <cell r="AG62">
            <v>13.445999999999998</v>
          </cell>
          <cell r="AH62">
            <v>11.481999999999999</v>
          </cell>
          <cell r="AR62">
            <v>11.481999999999999</v>
          </cell>
          <cell r="AS62">
            <v>19.831</v>
          </cell>
          <cell r="AT62">
            <v>20.745000000000001</v>
          </cell>
          <cell r="AU62">
            <v>-0.91400000000000148</v>
          </cell>
          <cell r="AV62">
            <v>0</v>
          </cell>
          <cell r="AW62">
            <v>19.831</v>
          </cell>
          <cell r="AX62">
            <v>0</v>
          </cell>
          <cell r="AY62">
            <v>0</v>
          </cell>
          <cell r="AZ62">
            <v>32.169999999999995</v>
          </cell>
        </row>
        <row r="63">
          <cell r="I63">
            <v>1.595</v>
          </cell>
          <cell r="J63">
            <v>0.25</v>
          </cell>
          <cell r="K63">
            <v>8.9770000000000003</v>
          </cell>
          <cell r="L63">
            <v>9.2270000000000003</v>
          </cell>
          <cell r="R63">
            <v>9.2270000000000003</v>
          </cell>
          <cell r="T63">
            <v>1.6E-2</v>
          </cell>
          <cell r="U63">
            <v>1.2270000000000001</v>
          </cell>
          <cell r="V63">
            <v>10.47</v>
          </cell>
          <cell r="W63">
            <v>0</v>
          </cell>
          <cell r="AE63">
            <v>4.25</v>
          </cell>
          <cell r="AG63">
            <v>4.25</v>
          </cell>
          <cell r="AH63">
            <v>9.27</v>
          </cell>
          <cell r="AR63">
            <v>9.27</v>
          </cell>
          <cell r="AS63">
            <v>10.204000000000001</v>
          </cell>
          <cell r="AT63">
            <v>15.881</v>
          </cell>
          <cell r="AU63">
            <v>-5.6769999999999996</v>
          </cell>
          <cell r="AV63">
            <v>0</v>
          </cell>
          <cell r="AW63">
            <v>10.204000000000001</v>
          </cell>
          <cell r="AY63">
            <v>0</v>
          </cell>
          <cell r="AZ63">
            <v>10.47</v>
          </cell>
        </row>
        <row r="64">
          <cell r="L64">
            <v>0</v>
          </cell>
          <cell r="R64">
            <v>0</v>
          </cell>
          <cell r="S64">
            <v>2.125</v>
          </cell>
          <cell r="V64">
            <v>2.125</v>
          </cell>
          <cell r="AE64">
            <v>2.125</v>
          </cell>
          <cell r="AG64">
            <v>2.125</v>
          </cell>
          <cell r="AR64">
            <v>0</v>
          </cell>
          <cell r="AS64">
            <v>2.125</v>
          </cell>
          <cell r="AT64">
            <v>2.125</v>
          </cell>
          <cell r="AU64">
            <v>0</v>
          </cell>
          <cell r="AV64">
            <v>0</v>
          </cell>
          <cell r="AW64">
            <v>2.125</v>
          </cell>
          <cell r="AX64">
            <v>0</v>
          </cell>
          <cell r="AY64">
            <v>0</v>
          </cell>
          <cell r="AZ64">
            <v>2.125</v>
          </cell>
        </row>
        <row r="65">
          <cell r="L65">
            <v>0</v>
          </cell>
          <cell r="R65">
            <v>0</v>
          </cell>
          <cell r="S65">
            <v>4.25</v>
          </cell>
          <cell r="V65">
            <v>4.25</v>
          </cell>
          <cell r="AG65">
            <v>0</v>
          </cell>
          <cell r="AR65">
            <v>0</v>
          </cell>
          <cell r="AS65">
            <v>4.25</v>
          </cell>
          <cell r="AT65">
            <v>0</v>
          </cell>
          <cell r="AU65">
            <v>4.25</v>
          </cell>
          <cell r="AV65">
            <v>0</v>
          </cell>
          <cell r="AW65">
            <v>4.25</v>
          </cell>
          <cell r="AX65">
            <v>0</v>
          </cell>
          <cell r="AY65">
            <v>0</v>
          </cell>
          <cell r="AZ65">
            <v>4.25</v>
          </cell>
        </row>
        <row r="66">
          <cell r="C66">
            <v>8.1259999999999994</v>
          </cell>
          <cell r="D66">
            <v>5.9</v>
          </cell>
          <cell r="E66">
            <v>4.9000000000000004</v>
          </cell>
          <cell r="F66">
            <v>3.6</v>
          </cell>
          <cell r="G66">
            <v>1.9</v>
          </cell>
          <cell r="H66">
            <v>2.2210000000000001</v>
          </cell>
          <cell r="I66">
            <v>2.6579999999999999</v>
          </cell>
          <cell r="J66">
            <v>1.6519999999999999</v>
          </cell>
          <cell r="L66">
            <v>1.6519999999999999</v>
          </cell>
          <cell r="O66">
            <v>0.38900000000000001</v>
          </cell>
          <cell r="R66">
            <v>1.2629999999999999</v>
          </cell>
          <cell r="V66">
            <v>1.2629999999999999</v>
          </cell>
          <cell r="AG66">
            <v>0</v>
          </cell>
          <cell r="AR66">
            <v>0</v>
          </cell>
          <cell r="AS66">
            <v>0</v>
          </cell>
          <cell r="AT66">
            <v>0</v>
          </cell>
          <cell r="AU66">
            <v>0</v>
          </cell>
          <cell r="AV66">
            <v>0</v>
          </cell>
          <cell r="AW66">
            <v>0</v>
          </cell>
          <cell r="AX66">
            <v>0</v>
          </cell>
          <cell r="AY66">
            <v>0</v>
          </cell>
          <cell r="AZ66">
            <v>1.2629999999999999</v>
          </cell>
        </row>
        <row r="67">
          <cell r="C67">
            <v>0</v>
          </cell>
          <cell r="D67">
            <v>0</v>
          </cell>
          <cell r="E67">
            <v>0</v>
          </cell>
          <cell r="I67">
            <v>2.5000000000000001E-2</v>
          </cell>
          <cell r="L67">
            <v>0</v>
          </cell>
          <cell r="R67">
            <v>0</v>
          </cell>
          <cell r="V67">
            <v>0</v>
          </cell>
          <cell r="AG67">
            <v>0</v>
          </cell>
          <cell r="AR67">
            <v>0</v>
          </cell>
          <cell r="AS67">
            <v>0</v>
          </cell>
          <cell r="AT67">
            <v>0</v>
          </cell>
          <cell r="AU67">
            <v>0</v>
          </cell>
          <cell r="AV67">
            <v>0</v>
          </cell>
          <cell r="AW67">
            <v>0</v>
          </cell>
          <cell r="AX67">
            <v>0</v>
          </cell>
          <cell r="AY67">
            <v>0</v>
          </cell>
          <cell r="AZ67">
            <v>0</v>
          </cell>
        </row>
        <row r="68">
          <cell r="C68">
            <v>0</v>
          </cell>
          <cell r="D68">
            <v>40.5</v>
          </cell>
          <cell r="E68">
            <v>35.700000000000003</v>
          </cell>
          <cell r="F68">
            <v>24</v>
          </cell>
          <cell r="G68">
            <v>6.7</v>
          </cell>
          <cell r="H68">
            <v>2.8010000000000002</v>
          </cell>
          <cell r="I68">
            <v>1.137</v>
          </cell>
          <cell r="L68">
            <v>0</v>
          </cell>
          <cell r="R68">
            <v>0</v>
          </cell>
          <cell r="V68">
            <v>0</v>
          </cell>
          <cell r="AG68">
            <v>0</v>
          </cell>
          <cell r="AR68">
            <v>0</v>
          </cell>
          <cell r="AS68">
            <v>0</v>
          </cell>
          <cell r="AT68">
            <v>0</v>
          </cell>
          <cell r="AU68">
            <v>0</v>
          </cell>
          <cell r="AV68">
            <v>0</v>
          </cell>
          <cell r="AW68">
            <v>0</v>
          </cell>
          <cell r="AX68">
            <v>0</v>
          </cell>
          <cell r="AY68">
            <v>0</v>
          </cell>
          <cell r="AZ68">
            <v>0</v>
          </cell>
        </row>
        <row r="70">
          <cell r="C70">
            <v>244.708</v>
          </cell>
          <cell r="D70">
            <v>185.1</v>
          </cell>
          <cell r="E70">
            <v>139.60000000000002</v>
          </cell>
          <cell r="F70">
            <v>119.4</v>
          </cell>
          <cell r="G70">
            <v>73.499999999999986</v>
          </cell>
          <cell r="H70">
            <v>89.103999999999985</v>
          </cell>
          <cell r="I70">
            <v>125.26499999999999</v>
          </cell>
          <cell r="J70">
            <v>47.230999999999995</v>
          </cell>
          <cell r="K70">
            <v>135.56399999999999</v>
          </cell>
          <cell r="L70">
            <v>182.79500000000002</v>
          </cell>
          <cell r="M70">
            <v>0.97199999999999998</v>
          </cell>
          <cell r="N70">
            <v>0.153</v>
          </cell>
          <cell r="O70">
            <v>3.0200000000000005</v>
          </cell>
          <cell r="P70">
            <v>0.12000000000000001</v>
          </cell>
          <cell r="Q70">
            <v>0</v>
          </cell>
          <cell r="R70">
            <v>178.53000000000003</v>
          </cell>
          <cell r="S70">
            <v>14.975</v>
          </cell>
          <cell r="T70">
            <v>5.7320000000000002</v>
          </cell>
          <cell r="U70">
            <v>1.417</v>
          </cell>
          <cell r="V70">
            <v>200.65400000000002</v>
          </cell>
          <cell r="W70">
            <v>12.268999999999998</v>
          </cell>
          <cell r="X70">
            <v>41.701999999999998</v>
          </cell>
          <cell r="Y70">
            <v>0</v>
          </cell>
          <cell r="Z70">
            <v>0</v>
          </cell>
          <cell r="AA70">
            <v>0</v>
          </cell>
          <cell r="AB70">
            <v>0</v>
          </cell>
          <cell r="AC70">
            <v>0</v>
          </cell>
          <cell r="AD70">
            <v>0</v>
          </cell>
          <cell r="AE70">
            <v>6.375</v>
          </cell>
          <cell r="AF70">
            <v>0</v>
          </cell>
          <cell r="AG70">
            <v>60.345999999999997</v>
          </cell>
          <cell r="AH70">
            <v>87.664999999999992</v>
          </cell>
          <cell r="AI70">
            <v>0</v>
          </cell>
          <cell r="AJ70">
            <v>0</v>
          </cell>
          <cell r="AK70">
            <v>0</v>
          </cell>
          <cell r="AL70">
            <v>0</v>
          </cell>
          <cell r="AM70">
            <v>0</v>
          </cell>
          <cell r="AN70">
            <v>0</v>
          </cell>
          <cell r="AO70">
            <v>0</v>
          </cell>
          <cell r="AP70">
            <v>0</v>
          </cell>
          <cell r="AQ70">
            <v>0</v>
          </cell>
          <cell r="AR70">
            <v>87.664999999999992</v>
          </cell>
          <cell r="AS70">
            <v>151.95600000000002</v>
          </cell>
          <cell r="AT70">
            <v>153.49099999999999</v>
          </cell>
          <cell r="AU70">
            <v>-1.5349999999999877</v>
          </cell>
          <cell r="AV70">
            <v>0</v>
          </cell>
          <cell r="AW70">
            <v>151.95600000000002</v>
          </cell>
          <cell r="AX70">
            <v>0</v>
          </cell>
          <cell r="AY70">
            <v>0</v>
          </cell>
          <cell r="AZ70">
            <v>200.65400000000002</v>
          </cell>
        </row>
        <row r="72">
          <cell r="L72">
            <v>0</v>
          </cell>
          <cell r="Q72">
            <v>5.7</v>
          </cell>
          <cell r="R72">
            <v>5.7</v>
          </cell>
          <cell r="V72">
            <v>5.7</v>
          </cell>
          <cell r="AF72">
            <v>0</v>
          </cell>
          <cell r="AG72">
            <v>0</v>
          </cell>
          <cell r="AR72">
            <v>0</v>
          </cell>
          <cell r="AS72">
            <v>0</v>
          </cell>
          <cell r="AT72">
            <v>5.7</v>
          </cell>
          <cell r="AU72">
            <v>-5.7</v>
          </cell>
          <cell r="AV72">
            <v>0</v>
          </cell>
          <cell r="AW72">
            <v>0</v>
          </cell>
          <cell r="AX72">
            <v>0</v>
          </cell>
          <cell r="AY72">
            <v>0</v>
          </cell>
          <cell r="AZ72">
            <v>5.7</v>
          </cell>
        </row>
        <row r="73">
          <cell r="L73">
            <v>0</v>
          </cell>
          <cell r="R73">
            <v>0</v>
          </cell>
          <cell r="S73">
            <v>0.68799999999999994</v>
          </cell>
          <cell r="V73">
            <v>0.68799999999999994</v>
          </cell>
          <cell r="X73">
            <v>0.67900000000000005</v>
          </cell>
          <cell r="AG73">
            <v>0.67900000000000005</v>
          </cell>
          <cell r="AR73">
            <v>0</v>
          </cell>
          <cell r="AS73">
            <v>0.68799999999999994</v>
          </cell>
          <cell r="AT73">
            <v>0.67900000000000005</v>
          </cell>
          <cell r="AU73">
            <v>8.999999999999897E-3</v>
          </cell>
          <cell r="AV73">
            <v>0</v>
          </cell>
          <cell r="AW73">
            <v>0.68799999999999994</v>
          </cell>
          <cell r="AX73">
            <v>0</v>
          </cell>
          <cell r="AY73">
            <v>0</v>
          </cell>
          <cell r="AZ73">
            <v>0.68799999999999994</v>
          </cell>
        </row>
        <row r="74">
          <cell r="L74">
            <v>0</v>
          </cell>
          <cell r="R74">
            <v>0</v>
          </cell>
          <cell r="V74">
            <v>0</v>
          </cell>
          <cell r="AG74">
            <v>0</v>
          </cell>
          <cell r="AR74">
            <v>0</v>
          </cell>
          <cell r="AS74">
            <v>0</v>
          </cell>
          <cell r="AT74">
            <v>0</v>
          </cell>
          <cell r="AU74">
            <v>0</v>
          </cell>
          <cell r="AV74">
            <v>0</v>
          </cell>
          <cell r="AW74">
            <v>0</v>
          </cell>
          <cell r="AX74">
            <v>0</v>
          </cell>
          <cell r="AY74">
            <v>0</v>
          </cell>
          <cell r="AZ74">
            <v>0</v>
          </cell>
        </row>
        <row r="75">
          <cell r="L75">
            <v>0</v>
          </cell>
          <cell r="R75">
            <v>0</v>
          </cell>
          <cell r="V75">
            <v>0</v>
          </cell>
          <cell r="AG75">
            <v>0</v>
          </cell>
          <cell r="AR75">
            <v>0</v>
          </cell>
          <cell r="AS75">
            <v>0</v>
          </cell>
          <cell r="AT75">
            <v>0</v>
          </cell>
          <cell r="AU75">
            <v>0</v>
          </cell>
          <cell r="AV75">
            <v>0</v>
          </cell>
          <cell r="AW75">
            <v>0</v>
          </cell>
          <cell r="AX75">
            <v>0</v>
          </cell>
          <cell r="AY75">
            <v>0</v>
          </cell>
          <cell r="AZ75">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5.7</v>
          </cell>
          <cell r="R77">
            <v>5.7</v>
          </cell>
          <cell r="S77">
            <v>0.68799999999999994</v>
          </cell>
          <cell r="T77">
            <v>0</v>
          </cell>
          <cell r="U77">
            <v>0</v>
          </cell>
          <cell r="V77">
            <v>6.3879999999999999</v>
          </cell>
          <cell r="W77">
            <v>0</v>
          </cell>
          <cell r="X77">
            <v>0.67900000000000005</v>
          </cell>
          <cell r="Y77">
            <v>0</v>
          </cell>
          <cell r="Z77">
            <v>0</v>
          </cell>
          <cell r="AA77">
            <v>0</v>
          </cell>
          <cell r="AB77">
            <v>0</v>
          </cell>
          <cell r="AC77">
            <v>0</v>
          </cell>
          <cell r="AD77">
            <v>0</v>
          </cell>
          <cell r="AE77">
            <v>0</v>
          </cell>
          <cell r="AF77">
            <v>0</v>
          </cell>
          <cell r="AG77">
            <v>0.67900000000000005</v>
          </cell>
          <cell r="AH77">
            <v>0</v>
          </cell>
          <cell r="AI77">
            <v>0</v>
          </cell>
          <cell r="AJ77">
            <v>0</v>
          </cell>
          <cell r="AK77">
            <v>0</v>
          </cell>
          <cell r="AL77">
            <v>0</v>
          </cell>
          <cell r="AM77">
            <v>0</v>
          </cell>
          <cell r="AN77">
            <v>0</v>
          </cell>
          <cell r="AO77">
            <v>0</v>
          </cell>
          <cell r="AP77">
            <v>0</v>
          </cell>
          <cell r="AQ77">
            <v>0</v>
          </cell>
          <cell r="AR77">
            <v>0</v>
          </cell>
          <cell r="AS77">
            <v>0.68799999999999994</v>
          </cell>
          <cell r="AT77">
            <v>6.3790000000000004</v>
          </cell>
          <cell r="AU77">
            <v>-5.6910000000000007</v>
          </cell>
          <cell r="AV77">
            <v>0</v>
          </cell>
          <cell r="AW77">
            <v>0.68799999999999994</v>
          </cell>
          <cell r="AX77">
            <v>0</v>
          </cell>
          <cell r="AY77">
            <v>0</v>
          </cell>
          <cell r="AZ77">
            <v>6.3879999999999999</v>
          </cell>
        </row>
        <row r="79">
          <cell r="C79">
            <v>244.708</v>
          </cell>
          <cell r="D79">
            <v>185.1</v>
          </cell>
          <cell r="E79">
            <v>139.60000000000002</v>
          </cell>
          <cell r="F79">
            <v>119.4</v>
          </cell>
          <cell r="G79">
            <v>73.499999999999986</v>
          </cell>
          <cell r="H79">
            <v>89.103999999999985</v>
          </cell>
          <cell r="I79">
            <v>125.26499999999999</v>
          </cell>
          <cell r="J79">
            <v>47.230999999999995</v>
          </cell>
          <cell r="K79">
            <v>135.56399999999999</v>
          </cell>
          <cell r="L79">
            <v>182.79500000000002</v>
          </cell>
          <cell r="M79">
            <v>0.97199999999999998</v>
          </cell>
          <cell r="N79">
            <v>0.153</v>
          </cell>
          <cell r="O79">
            <v>3.0200000000000005</v>
          </cell>
          <cell r="P79">
            <v>0.12000000000000001</v>
          </cell>
          <cell r="Q79">
            <v>5.7</v>
          </cell>
          <cell r="R79">
            <v>184.23000000000002</v>
          </cell>
          <cell r="S79">
            <v>15.663</v>
          </cell>
          <cell r="T79">
            <v>5.7320000000000002</v>
          </cell>
          <cell r="U79">
            <v>1.417</v>
          </cell>
          <cell r="V79">
            <v>207.04200000000003</v>
          </cell>
          <cell r="W79">
            <v>12.268999999999998</v>
          </cell>
          <cell r="X79">
            <v>42.381</v>
          </cell>
          <cell r="Y79">
            <v>0</v>
          </cell>
          <cell r="Z79">
            <v>0</v>
          </cell>
          <cell r="AA79">
            <v>0</v>
          </cell>
          <cell r="AB79">
            <v>0</v>
          </cell>
          <cell r="AC79">
            <v>0</v>
          </cell>
          <cell r="AD79">
            <v>0</v>
          </cell>
          <cell r="AE79">
            <v>6.375</v>
          </cell>
          <cell r="AF79">
            <v>0</v>
          </cell>
          <cell r="AG79">
            <v>61.024999999999999</v>
          </cell>
          <cell r="AH79">
            <v>87.664999999999992</v>
          </cell>
          <cell r="AI79">
            <v>0</v>
          </cell>
          <cell r="AJ79">
            <v>0</v>
          </cell>
          <cell r="AK79">
            <v>0</v>
          </cell>
          <cell r="AL79">
            <v>0</v>
          </cell>
          <cell r="AM79">
            <v>0</v>
          </cell>
          <cell r="AN79">
            <v>0</v>
          </cell>
          <cell r="AO79">
            <v>0</v>
          </cell>
          <cell r="AP79">
            <v>0</v>
          </cell>
          <cell r="AQ79">
            <v>0</v>
          </cell>
          <cell r="AR79">
            <v>87.664999999999992</v>
          </cell>
          <cell r="AS79">
            <v>152.64400000000001</v>
          </cell>
          <cell r="AT79">
            <v>159.86999999999998</v>
          </cell>
          <cell r="AU79">
            <v>-7.2259999999999884</v>
          </cell>
          <cell r="AV79">
            <v>0</v>
          </cell>
          <cell r="AW79">
            <v>152.64400000000001</v>
          </cell>
          <cell r="AX79">
            <v>0</v>
          </cell>
          <cell r="AY79">
            <v>0</v>
          </cell>
          <cell r="AZ79">
            <v>207.04200000000003</v>
          </cell>
        </row>
        <row r="81">
          <cell r="L81">
            <v>0</v>
          </cell>
          <cell r="R81">
            <v>0</v>
          </cell>
          <cell r="V81">
            <v>0</v>
          </cell>
          <cell r="AG81">
            <v>0</v>
          </cell>
          <cell r="AR81">
            <v>0</v>
          </cell>
          <cell r="AS81">
            <v>0</v>
          </cell>
          <cell r="AT81">
            <v>0</v>
          </cell>
          <cell r="AU81">
            <v>0</v>
          </cell>
          <cell r="AV81">
            <v>0</v>
          </cell>
          <cell r="AW81">
            <v>0</v>
          </cell>
          <cell r="AX81">
            <v>0</v>
          </cell>
          <cell r="AY81">
            <v>0</v>
          </cell>
          <cell r="AZ81">
            <v>0</v>
          </cell>
        </row>
        <row r="82">
          <cell r="C82">
            <v>0</v>
          </cell>
          <cell r="D82">
            <v>2.2000000000000002</v>
          </cell>
          <cell r="E82">
            <v>9.3000000000000007</v>
          </cell>
          <cell r="F82">
            <v>12.1</v>
          </cell>
          <cell r="G82">
            <v>6.4</v>
          </cell>
          <cell r="H82">
            <v>1.948</v>
          </cell>
          <cell r="I82">
            <v>0.27600000000000002</v>
          </cell>
          <cell r="J82">
            <v>0.44</v>
          </cell>
          <cell r="L82">
            <v>0.44</v>
          </cell>
          <cell r="O82">
            <v>0.34</v>
          </cell>
          <cell r="R82">
            <v>9.9999999999999978E-2</v>
          </cell>
          <cell r="V82">
            <v>9.9999999999999978E-2</v>
          </cell>
          <cell r="AG82">
            <v>0</v>
          </cell>
          <cell r="AR82">
            <v>0</v>
          </cell>
          <cell r="AS82">
            <v>0</v>
          </cell>
          <cell r="AT82">
            <v>0</v>
          </cell>
          <cell r="AU82">
            <v>0</v>
          </cell>
          <cell r="AV82">
            <v>0</v>
          </cell>
          <cell r="AW82">
            <v>0</v>
          </cell>
          <cell r="AX82">
            <v>0</v>
          </cell>
          <cell r="AY82">
            <v>0</v>
          </cell>
          <cell r="AZ82">
            <v>9.9999999999999978E-2</v>
          </cell>
        </row>
        <row r="83">
          <cell r="C83">
            <v>0</v>
          </cell>
          <cell r="E83">
            <v>0</v>
          </cell>
          <cell r="F83">
            <v>3.3</v>
          </cell>
          <cell r="G83">
            <v>32</v>
          </cell>
          <cell r="H83">
            <v>42.923999999999999</v>
          </cell>
          <cell r="I83">
            <v>21.286000000000001</v>
          </cell>
          <cell r="J83">
            <v>34.393999999999998</v>
          </cell>
          <cell r="L83">
            <v>34.393999999999998</v>
          </cell>
          <cell r="M83">
            <v>1.7669999999999999</v>
          </cell>
          <cell r="O83">
            <v>0.35299999999999998</v>
          </cell>
          <cell r="Q83">
            <v>0</v>
          </cell>
          <cell r="R83">
            <v>32.274000000000001</v>
          </cell>
          <cell r="T83">
            <v>0.16900000000000001</v>
          </cell>
          <cell r="V83">
            <v>32.442999999999998</v>
          </cell>
          <cell r="W83">
            <v>0</v>
          </cell>
          <cell r="X83">
            <v>0</v>
          </cell>
          <cell r="Y83">
            <v>0</v>
          </cell>
          <cell r="Z83">
            <v>0</v>
          </cell>
          <cell r="AA83">
            <v>0</v>
          </cell>
          <cell r="AB83">
            <v>0</v>
          </cell>
          <cell r="AC83">
            <v>0</v>
          </cell>
          <cell r="AD83">
            <v>0</v>
          </cell>
          <cell r="AE83">
            <v>0</v>
          </cell>
          <cell r="AF83">
            <v>0</v>
          </cell>
          <cell r="AG83">
            <v>0</v>
          </cell>
          <cell r="AR83">
            <v>0</v>
          </cell>
          <cell r="AS83">
            <v>0</v>
          </cell>
          <cell r="AT83">
            <v>0</v>
          </cell>
          <cell r="AU83">
            <v>0</v>
          </cell>
          <cell r="AV83">
            <v>0</v>
          </cell>
          <cell r="AW83">
            <v>0</v>
          </cell>
          <cell r="AX83">
            <v>0</v>
          </cell>
          <cell r="AY83">
            <v>0</v>
          </cell>
          <cell r="AZ83">
            <v>32.442999999999998</v>
          </cell>
        </row>
        <row r="84">
          <cell r="I84">
            <v>0.40100000000000002</v>
          </cell>
          <cell r="J84">
            <v>6.4930000000000003</v>
          </cell>
          <cell r="L84">
            <v>6.4930000000000003</v>
          </cell>
          <cell r="O84">
            <v>6.0000000000000001E-3</v>
          </cell>
          <cell r="R84">
            <v>6.4870000000000001</v>
          </cell>
          <cell r="V84">
            <v>6.4870000000000001</v>
          </cell>
          <cell r="AG84">
            <v>0</v>
          </cell>
          <cell r="AR84">
            <v>0</v>
          </cell>
          <cell r="AS84">
            <v>0</v>
          </cell>
          <cell r="AT84">
            <v>0</v>
          </cell>
          <cell r="AU84">
            <v>0</v>
          </cell>
          <cell r="AV84">
            <v>0</v>
          </cell>
          <cell r="AW84">
            <v>0</v>
          </cell>
          <cell r="AX84">
            <v>0</v>
          </cell>
          <cell r="AY84">
            <v>0</v>
          </cell>
          <cell r="AZ84">
            <v>6.4870000000000001</v>
          </cell>
        </row>
        <row r="85">
          <cell r="I85">
            <v>6.8959999999999999</v>
          </cell>
          <cell r="J85">
            <v>0.64100000000000001</v>
          </cell>
          <cell r="K85">
            <v>94.972999999999999</v>
          </cell>
          <cell r="L85">
            <v>95.614000000000004</v>
          </cell>
          <cell r="O85">
            <v>9.2000000000000082E-2</v>
          </cell>
          <cell r="P85">
            <v>2.0030000000000001</v>
          </cell>
          <cell r="Q85">
            <v>0</v>
          </cell>
          <cell r="R85">
            <v>93.519000000000005</v>
          </cell>
          <cell r="S85">
            <v>2.125</v>
          </cell>
          <cell r="T85">
            <v>0.33200000000000002</v>
          </cell>
          <cell r="U85">
            <v>2.1660000000000004</v>
          </cell>
          <cell r="V85">
            <v>98.141999999999996</v>
          </cell>
          <cell r="W85">
            <v>0</v>
          </cell>
          <cell r="X85">
            <v>10.045</v>
          </cell>
          <cell r="Y85" t="str">
            <v>both</v>
          </cell>
          <cell r="Z85">
            <v>0</v>
          </cell>
          <cell r="AA85">
            <v>0</v>
          </cell>
          <cell r="AB85">
            <v>0</v>
          </cell>
          <cell r="AC85">
            <v>0</v>
          </cell>
          <cell r="AD85">
            <v>0</v>
          </cell>
          <cell r="AE85">
            <v>2.125</v>
          </cell>
          <cell r="AF85">
            <v>0</v>
          </cell>
          <cell r="AG85">
            <v>12.17</v>
          </cell>
          <cell r="AH85">
            <v>56.37</v>
          </cell>
          <cell r="AI85">
            <v>33.402999999999999</v>
          </cell>
          <cell r="AR85">
            <v>89.772999999999996</v>
          </cell>
          <cell r="AS85">
            <v>99.263999999999996</v>
          </cell>
          <cell r="AT85">
            <v>117.834</v>
          </cell>
          <cell r="AU85">
            <v>-18.570000000000007</v>
          </cell>
          <cell r="AV85">
            <v>0</v>
          </cell>
          <cell r="AW85">
            <v>99.263999999999996</v>
          </cell>
          <cell r="AX85">
            <v>0</v>
          </cell>
          <cell r="AY85">
            <v>0</v>
          </cell>
          <cell r="AZ85">
            <v>98.141999999999996</v>
          </cell>
        </row>
        <row r="86">
          <cell r="L86">
            <v>0</v>
          </cell>
          <cell r="R86">
            <v>0</v>
          </cell>
          <cell r="V86">
            <v>0</v>
          </cell>
          <cell r="W86">
            <v>2.335</v>
          </cell>
          <cell r="AG86">
            <v>2.335</v>
          </cell>
          <cell r="AR86">
            <v>0</v>
          </cell>
          <cell r="AS86">
            <v>0</v>
          </cell>
          <cell r="AT86">
            <v>2.335</v>
          </cell>
          <cell r="AU86">
            <v>-2.335</v>
          </cell>
          <cell r="AV86">
            <v>0</v>
          </cell>
          <cell r="AW86">
            <v>0</v>
          </cell>
          <cell r="AX86">
            <v>0</v>
          </cell>
          <cell r="AY86">
            <v>0</v>
          </cell>
          <cell r="AZ86">
            <v>0</v>
          </cell>
        </row>
        <row r="87">
          <cell r="H87">
            <v>2.75</v>
          </cell>
          <cell r="I87">
            <v>4.4850000000000003</v>
          </cell>
          <cell r="J87">
            <v>10.093999999999999</v>
          </cell>
          <cell r="L87">
            <v>10.093999999999999</v>
          </cell>
          <cell r="M87">
            <v>1E-3</v>
          </cell>
          <cell r="O87">
            <v>0.06</v>
          </cell>
          <cell r="R87">
            <v>10.032999999999999</v>
          </cell>
          <cell r="V87">
            <v>10.032999999999999</v>
          </cell>
          <cell r="AG87">
            <v>0</v>
          </cell>
          <cell r="AR87">
            <v>0</v>
          </cell>
          <cell r="AS87">
            <v>0</v>
          </cell>
          <cell r="AT87">
            <v>0</v>
          </cell>
          <cell r="AU87">
            <v>0</v>
          </cell>
          <cell r="AV87">
            <v>0</v>
          </cell>
          <cell r="AW87">
            <v>0</v>
          </cell>
          <cell r="AX87">
            <v>0</v>
          </cell>
          <cell r="AY87">
            <v>0</v>
          </cell>
          <cell r="AZ87">
            <v>10.032999999999999</v>
          </cell>
        </row>
        <row r="88">
          <cell r="C88">
            <v>0</v>
          </cell>
          <cell r="D88">
            <v>0</v>
          </cell>
          <cell r="E88">
            <v>0</v>
          </cell>
          <cell r="G88">
            <v>5.5</v>
          </cell>
          <cell r="H88">
            <v>9.093</v>
          </cell>
          <cell r="I88">
            <v>3.855</v>
          </cell>
          <cell r="J88">
            <v>2.2810000000000001</v>
          </cell>
          <cell r="L88">
            <v>2.2810000000000001</v>
          </cell>
          <cell r="O88">
            <v>1.1220000000000001</v>
          </cell>
          <cell r="R88">
            <v>1.159</v>
          </cell>
          <cell r="V88">
            <v>1.159</v>
          </cell>
          <cell r="AG88">
            <v>0</v>
          </cell>
          <cell r="AR88">
            <v>0</v>
          </cell>
          <cell r="AS88">
            <v>0</v>
          </cell>
          <cell r="AT88">
            <v>0</v>
          </cell>
          <cell r="AU88">
            <v>0</v>
          </cell>
          <cell r="AV88">
            <v>0</v>
          </cell>
          <cell r="AW88">
            <v>0</v>
          </cell>
          <cell r="AX88">
            <v>0</v>
          </cell>
          <cell r="AY88">
            <v>0</v>
          </cell>
          <cell r="AZ88">
            <v>1.159</v>
          </cell>
        </row>
        <row r="89">
          <cell r="C89">
            <v>0</v>
          </cell>
          <cell r="E89">
            <v>2.8</v>
          </cell>
          <cell r="F89">
            <v>22.3</v>
          </cell>
          <cell r="G89">
            <v>0.3</v>
          </cell>
          <cell r="I89">
            <v>3.6999999999999998E-2</v>
          </cell>
          <cell r="L89">
            <v>0</v>
          </cell>
          <cell r="R89">
            <v>0</v>
          </cell>
          <cell r="V89">
            <v>0</v>
          </cell>
          <cell r="AG89">
            <v>0</v>
          </cell>
          <cell r="AR89">
            <v>0</v>
          </cell>
          <cell r="AS89">
            <v>0</v>
          </cell>
          <cell r="AT89">
            <v>0</v>
          </cell>
          <cell r="AU89">
            <v>0</v>
          </cell>
          <cell r="AV89">
            <v>0</v>
          </cell>
          <cell r="AW89">
            <v>0</v>
          </cell>
          <cell r="AX89">
            <v>0</v>
          </cell>
          <cell r="AY89">
            <v>0</v>
          </cell>
          <cell r="AZ89">
            <v>0</v>
          </cell>
        </row>
        <row r="90">
          <cell r="C90">
            <v>0</v>
          </cell>
          <cell r="E90">
            <v>0</v>
          </cell>
          <cell r="G90">
            <v>64.400000000000006</v>
          </cell>
          <cell r="H90">
            <v>102.255</v>
          </cell>
          <cell r="I90">
            <v>96.663999999999987</v>
          </cell>
          <cell r="J90">
            <v>3.0089999999999999</v>
          </cell>
          <cell r="K90">
            <v>18.792000000000002</v>
          </cell>
          <cell r="L90">
            <v>21.801000000000002</v>
          </cell>
          <cell r="M90">
            <v>0.24299999999999999</v>
          </cell>
          <cell r="O90">
            <v>0.14699999999999999</v>
          </cell>
          <cell r="R90">
            <v>21.411000000000001</v>
          </cell>
          <cell r="S90">
            <v>87.281999999999996</v>
          </cell>
          <cell r="T90">
            <v>3.729000000000001</v>
          </cell>
          <cell r="U90">
            <v>6.9489999999999998</v>
          </cell>
          <cell r="V90">
            <v>119.371</v>
          </cell>
          <cell r="W90">
            <v>79.171000000000006</v>
          </cell>
          <cell r="X90">
            <v>21.46</v>
          </cell>
          <cell r="Y90" t="str">
            <v>mu</v>
          </cell>
          <cell r="AG90">
            <v>100.631</v>
          </cell>
          <cell r="AI90">
            <v>11.846</v>
          </cell>
          <cell r="AJ90" t="str">
            <v>mu</v>
          </cell>
          <cell r="AR90">
            <v>11.846</v>
          </cell>
          <cell r="AS90">
            <v>113.023</v>
          </cell>
          <cell r="AT90">
            <v>116.754</v>
          </cell>
          <cell r="AU90">
            <v>-3.7310000000000088</v>
          </cell>
          <cell r="AV90">
            <v>0</v>
          </cell>
          <cell r="AW90">
            <v>113.023</v>
          </cell>
          <cell r="AX90">
            <v>0</v>
          </cell>
          <cell r="AY90">
            <v>0</v>
          </cell>
          <cell r="AZ90">
            <v>119.371</v>
          </cell>
        </row>
        <row r="91">
          <cell r="K91">
            <v>8.4019999999999992</v>
          </cell>
          <cell r="L91">
            <v>8.4019999999999992</v>
          </cell>
          <cell r="R91">
            <v>8.4019999999999992</v>
          </cell>
          <cell r="V91">
            <v>8.4019999999999992</v>
          </cell>
          <cell r="W91">
            <v>7.2969999999999997</v>
          </cell>
          <cell r="AG91">
            <v>7.2969999999999997</v>
          </cell>
          <cell r="AR91">
            <v>0</v>
          </cell>
          <cell r="AS91">
            <v>8.4019999999999992</v>
          </cell>
          <cell r="AT91">
            <v>7.2969999999999997</v>
          </cell>
          <cell r="AU91">
            <v>1.1049999999999995</v>
          </cell>
          <cell r="AV91">
            <v>0</v>
          </cell>
          <cell r="AW91">
            <v>8.4019999999999992</v>
          </cell>
          <cell r="AX91">
            <v>0</v>
          </cell>
          <cell r="AY91">
            <v>0</v>
          </cell>
          <cell r="AZ91">
            <v>8.4019999999999992</v>
          </cell>
        </row>
        <row r="92">
          <cell r="C92">
            <v>0</v>
          </cell>
          <cell r="D92">
            <v>0</v>
          </cell>
          <cell r="E92">
            <v>19.899999999999999</v>
          </cell>
          <cell r="F92">
            <v>21.8</v>
          </cell>
          <cell r="G92">
            <v>11.1</v>
          </cell>
          <cell r="H92">
            <v>3.1720000000000002</v>
          </cell>
          <cell r="I92">
            <v>1.2769999999999999</v>
          </cell>
          <cell r="J92">
            <v>20.692</v>
          </cell>
          <cell r="L92">
            <v>20.692</v>
          </cell>
          <cell r="O92">
            <v>1.2999999999999999E-2</v>
          </cell>
          <cell r="R92">
            <v>20.678999999999998</v>
          </cell>
          <cell r="V92">
            <v>20.678999999999998</v>
          </cell>
          <cell r="AG92">
            <v>0</v>
          </cell>
          <cell r="AR92">
            <v>0</v>
          </cell>
          <cell r="AS92">
            <v>0</v>
          </cell>
          <cell r="AT92">
            <v>0</v>
          </cell>
          <cell r="AU92">
            <v>0</v>
          </cell>
          <cell r="AV92">
            <v>0</v>
          </cell>
          <cell r="AW92">
            <v>0</v>
          </cell>
          <cell r="AX92">
            <v>0</v>
          </cell>
          <cell r="AY92">
            <v>0</v>
          </cell>
          <cell r="AZ92">
            <v>20.678999999999998</v>
          </cell>
        </row>
        <row r="93">
          <cell r="C93">
            <v>2.871</v>
          </cell>
          <cell r="D93">
            <v>33.700000000000003</v>
          </cell>
          <cell r="E93">
            <v>84.5</v>
          </cell>
          <cell r="F93">
            <v>63</v>
          </cell>
          <cell r="G93">
            <v>29</v>
          </cell>
          <cell r="H93">
            <v>14.03</v>
          </cell>
          <cell r="I93">
            <v>4.5049999999999999</v>
          </cell>
          <cell r="J93">
            <v>1.8049999999999999</v>
          </cell>
          <cell r="L93">
            <v>1.8049999999999999</v>
          </cell>
          <cell r="O93">
            <v>0.105</v>
          </cell>
          <cell r="P93" t="str">
            <v>UAP</v>
          </cell>
          <cell r="Q93">
            <v>-1.2E-2</v>
          </cell>
          <cell r="R93">
            <v>1.6879999999999999</v>
          </cell>
          <cell r="T93">
            <v>0.03</v>
          </cell>
          <cell r="V93">
            <v>1.718</v>
          </cell>
          <cell r="AG93">
            <v>0</v>
          </cell>
          <cell r="AR93">
            <v>0</v>
          </cell>
          <cell r="AS93">
            <v>0</v>
          </cell>
          <cell r="AT93">
            <v>0</v>
          </cell>
          <cell r="AU93">
            <v>0</v>
          </cell>
          <cell r="AV93">
            <v>0</v>
          </cell>
          <cell r="AW93">
            <v>0</v>
          </cell>
          <cell r="AX93">
            <v>0</v>
          </cell>
          <cell r="AY93">
            <v>0</v>
          </cell>
          <cell r="AZ93">
            <v>1.718</v>
          </cell>
        </row>
        <row r="94">
          <cell r="K94">
            <v>2.8460000000000001</v>
          </cell>
          <cell r="L94">
            <v>2.8460000000000001</v>
          </cell>
          <cell r="P94">
            <v>1.4E-2</v>
          </cell>
          <cell r="R94">
            <v>2.8320000000000003</v>
          </cell>
          <cell r="S94">
            <v>10.909000000000001</v>
          </cell>
          <cell r="V94">
            <v>13.741000000000001</v>
          </cell>
          <cell r="X94">
            <v>12.302</v>
          </cell>
          <cell r="Y94" t="str">
            <v>both</v>
          </cell>
          <cell r="AG94">
            <v>12.302</v>
          </cell>
          <cell r="AR94">
            <v>0</v>
          </cell>
          <cell r="AS94">
            <v>13.755000000000001</v>
          </cell>
          <cell r="AT94">
            <v>12.302</v>
          </cell>
          <cell r="AU94">
            <v>1.4530000000000012</v>
          </cell>
          <cell r="AV94">
            <v>0</v>
          </cell>
          <cell r="AW94">
            <v>13.755000000000001</v>
          </cell>
          <cell r="AX94">
            <v>0</v>
          </cell>
          <cell r="AY94">
            <v>0</v>
          </cell>
          <cell r="AZ94">
            <v>13.741000000000001</v>
          </cell>
        </row>
        <row r="95">
          <cell r="C95">
            <v>201.92400000000001</v>
          </cell>
          <cell r="D95">
            <v>129</v>
          </cell>
          <cell r="E95">
            <v>42</v>
          </cell>
          <cell r="F95">
            <v>18.8</v>
          </cell>
          <cell r="G95">
            <v>1.9</v>
          </cell>
          <cell r="H95">
            <v>0.16900000000000001</v>
          </cell>
          <cell r="L95">
            <v>0</v>
          </cell>
          <cell r="R95">
            <v>0</v>
          </cell>
          <cell r="V95">
            <v>0</v>
          </cell>
          <cell r="AG95">
            <v>0</v>
          </cell>
          <cell r="AR95">
            <v>0</v>
          </cell>
          <cell r="AS95">
            <v>0</v>
          </cell>
          <cell r="AT95">
            <v>0</v>
          </cell>
          <cell r="AU95">
            <v>0</v>
          </cell>
          <cell r="AV95">
            <v>0</v>
          </cell>
          <cell r="AW95">
            <v>0</v>
          </cell>
          <cell r="AX95">
            <v>0</v>
          </cell>
          <cell r="AY95">
            <v>0</v>
          </cell>
          <cell r="AZ95">
            <v>0</v>
          </cell>
        </row>
        <row r="96">
          <cell r="C96">
            <v>4.8029999999999999</v>
          </cell>
          <cell r="D96">
            <v>37.700000000000003</v>
          </cell>
          <cell r="E96">
            <v>16.2</v>
          </cell>
          <cell r="F96">
            <v>19</v>
          </cell>
          <cell r="G96">
            <v>7.8</v>
          </cell>
          <cell r="H96">
            <v>0.48399999999999999</v>
          </cell>
          <cell r="L96">
            <v>0</v>
          </cell>
          <cell r="R96">
            <v>0</v>
          </cell>
          <cell r="V96">
            <v>0</v>
          </cell>
          <cell r="AG96">
            <v>0</v>
          </cell>
          <cell r="AR96">
            <v>0</v>
          </cell>
          <cell r="AS96">
            <v>0</v>
          </cell>
          <cell r="AT96">
            <v>0</v>
          </cell>
          <cell r="AU96">
            <v>0</v>
          </cell>
          <cell r="AV96">
            <v>0</v>
          </cell>
          <cell r="AW96">
            <v>0</v>
          </cell>
          <cell r="AX96">
            <v>0</v>
          </cell>
          <cell r="AY96">
            <v>0</v>
          </cell>
          <cell r="AZ96">
            <v>0</v>
          </cell>
        </row>
        <row r="97">
          <cell r="C97">
            <v>91.460999999999999</v>
          </cell>
          <cell r="D97">
            <v>52.5</v>
          </cell>
          <cell r="E97">
            <v>17</v>
          </cell>
          <cell r="F97">
            <v>10.1</v>
          </cell>
          <cell r="G97">
            <v>1.6</v>
          </cell>
          <cell r="H97">
            <v>0.28599999999999998</v>
          </cell>
          <cell r="I97">
            <v>0.128</v>
          </cell>
          <cell r="L97">
            <v>0</v>
          </cell>
          <cell r="O97">
            <v>0</v>
          </cell>
          <cell r="Q97">
            <v>0</v>
          </cell>
          <cell r="R97">
            <v>0</v>
          </cell>
          <cell r="V97">
            <v>0</v>
          </cell>
          <cell r="W97">
            <v>0</v>
          </cell>
          <cell r="X97">
            <v>0</v>
          </cell>
          <cell r="Y97">
            <v>0</v>
          </cell>
          <cell r="Z97">
            <v>0</v>
          </cell>
          <cell r="AA97">
            <v>0</v>
          </cell>
          <cell r="AB97">
            <v>0</v>
          </cell>
          <cell r="AC97">
            <v>0</v>
          </cell>
          <cell r="AD97">
            <v>0</v>
          </cell>
          <cell r="AE97">
            <v>0</v>
          </cell>
          <cell r="AF97">
            <v>0</v>
          </cell>
          <cell r="AG97">
            <v>0</v>
          </cell>
          <cell r="AR97">
            <v>0</v>
          </cell>
          <cell r="AS97">
            <v>0</v>
          </cell>
          <cell r="AT97">
            <v>0</v>
          </cell>
          <cell r="AU97">
            <v>0</v>
          </cell>
          <cell r="AV97">
            <v>0</v>
          </cell>
          <cell r="AW97">
            <v>0</v>
          </cell>
          <cell r="AX97">
            <v>0</v>
          </cell>
          <cell r="AY97">
            <v>0</v>
          </cell>
          <cell r="AZ97">
            <v>0</v>
          </cell>
        </row>
        <row r="98">
          <cell r="L98">
            <v>0</v>
          </cell>
          <cell r="R98">
            <v>0</v>
          </cell>
          <cell r="S98">
            <v>19</v>
          </cell>
          <cell r="V98">
            <v>19</v>
          </cell>
          <cell r="AE98">
            <v>19</v>
          </cell>
          <cell r="AG98">
            <v>19</v>
          </cell>
          <cell r="AR98">
            <v>0</v>
          </cell>
          <cell r="AS98">
            <v>19</v>
          </cell>
          <cell r="AT98">
            <v>19</v>
          </cell>
          <cell r="AU98">
            <v>0</v>
          </cell>
          <cell r="AV98">
            <v>0</v>
          </cell>
          <cell r="AW98">
            <v>19</v>
          </cell>
          <cell r="AX98">
            <v>0</v>
          </cell>
          <cell r="AY98">
            <v>0</v>
          </cell>
          <cell r="AZ98">
            <v>19</v>
          </cell>
        </row>
        <row r="99">
          <cell r="C99">
            <v>12.435</v>
          </cell>
          <cell r="D99">
            <v>46.6</v>
          </cell>
          <cell r="E99">
            <v>39.200000000000003</v>
          </cell>
          <cell r="F99">
            <v>48.7</v>
          </cell>
          <cell r="G99">
            <v>16.8</v>
          </cell>
          <cell r="H99">
            <v>0.21260000000000001</v>
          </cell>
          <cell r="I99">
            <v>0.128</v>
          </cell>
          <cell r="J99">
            <v>0.10299999999999999</v>
          </cell>
          <cell r="L99">
            <v>0.10299999999999999</v>
          </cell>
          <cell r="R99">
            <v>0.10299999999999999</v>
          </cell>
          <cell r="V99">
            <v>0.10299999999999999</v>
          </cell>
          <cell r="AG99">
            <v>0</v>
          </cell>
          <cell r="AR99">
            <v>0</v>
          </cell>
          <cell r="AS99">
            <v>0</v>
          </cell>
          <cell r="AT99">
            <v>0</v>
          </cell>
          <cell r="AU99">
            <v>0</v>
          </cell>
          <cell r="AV99">
            <v>0</v>
          </cell>
          <cell r="AW99">
            <v>0</v>
          </cell>
          <cell r="AX99">
            <v>0</v>
          </cell>
          <cell r="AY99">
            <v>0</v>
          </cell>
          <cell r="AZ99">
            <v>0.10299999999999999</v>
          </cell>
        </row>
        <row r="100">
          <cell r="C100">
            <v>0</v>
          </cell>
          <cell r="D100">
            <v>1.4</v>
          </cell>
          <cell r="E100">
            <v>9.5</v>
          </cell>
          <cell r="F100">
            <v>22.3</v>
          </cell>
          <cell r="G100">
            <v>24</v>
          </cell>
          <cell r="H100">
            <v>40.268999999999998</v>
          </cell>
          <cell r="I100">
            <v>28.730999999999998</v>
          </cell>
          <cell r="J100">
            <v>7.18</v>
          </cell>
          <cell r="K100">
            <v>20.323</v>
          </cell>
          <cell r="L100">
            <v>27.503</v>
          </cell>
          <cell r="M100">
            <v>1.4709999999999999</v>
          </cell>
          <cell r="N100">
            <v>1.2470000000000001</v>
          </cell>
          <cell r="O100">
            <v>0.28199999999999997</v>
          </cell>
          <cell r="R100">
            <v>24.503</v>
          </cell>
          <cell r="T100">
            <v>1.69</v>
          </cell>
          <cell r="U100">
            <v>0.75300000000000011</v>
          </cell>
          <cell r="V100">
            <v>26.946000000000002</v>
          </cell>
          <cell r="W100">
            <v>0</v>
          </cell>
          <cell r="X100">
            <v>7.867</v>
          </cell>
          <cell r="Y100" t="str">
            <v>ke</v>
          </cell>
          <cell r="AG100">
            <v>7.867</v>
          </cell>
          <cell r="AH100">
            <v>11.84</v>
          </cell>
          <cell r="AR100">
            <v>11.84</v>
          </cell>
          <cell r="AS100">
            <v>21.076000000000001</v>
          </cell>
          <cell r="AT100">
            <v>21.177</v>
          </cell>
          <cell r="AU100">
            <v>-0.10099999999999909</v>
          </cell>
          <cell r="AV100">
            <v>0</v>
          </cell>
          <cell r="AW100">
            <v>21.076000000000001</v>
          </cell>
          <cell r="AX100">
            <v>0</v>
          </cell>
          <cell r="AY100">
            <v>0</v>
          </cell>
          <cell r="AZ100">
            <v>26.946000000000002</v>
          </cell>
        </row>
        <row r="101">
          <cell r="K101">
            <v>7.24</v>
          </cell>
          <cell r="L101">
            <v>7.24</v>
          </cell>
          <cell r="R101">
            <v>7.24</v>
          </cell>
          <cell r="V101">
            <v>7.24</v>
          </cell>
          <cell r="W101">
            <v>6.3230000000000004</v>
          </cell>
          <cell r="AG101">
            <v>6.3230000000000004</v>
          </cell>
          <cell r="AR101">
            <v>0</v>
          </cell>
          <cell r="AS101">
            <v>7.24</v>
          </cell>
          <cell r="AT101">
            <v>6.3230000000000004</v>
          </cell>
          <cell r="AU101">
            <v>0.91699999999999982</v>
          </cell>
          <cell r="AV101">
            <v>0</v>
          </cell>
          <cell r="AW101">
            <v>7.24</v>
          </cell>
          <cell r="AX101">
            <v>0</v>
          </cell>
          <cell r="AY101">
            <v>0</v>
          </cell>
          <cell r="AZ101">
            <v>7.24</v>
          </cell>
        </row>
        <row r="102">
          <cell r="L102">
            <v>0</v>
          </cell>
          <cell r="R102">
            <v>0</v>
          </cell>
          <cell r="S102">
            <v>2</v>
          </cell>
          <cell r="V102">
            <v>2</v>
          </cell>
          <cell r="AG102">
            <v>0</v>
          </cell>
          <cell r="AR102">
            <v>0</v>
          </cell>
          <cell r="AS102">
            <v>2</v>
          </cell>
          <cell r="AT102">
            <v>0</v>
          </cell>
          <cell r="AU102">
            <v>2</v>
          </cell>
          <cell r="AV102">
            <v>0</v>
          </cell>
          <cell r="AW102">
            <v>2</v>
          </cell>
          <cell r="AX102">
            <v>0</v>
          </cell>
          <cell r="AY102">
            <v>0</v>
          </cell>
          <cell r="AZ102">
            <v>2</v>
          </cell>
        </row>
        <row r="103">
          <cell r="C103">
            <v>0</v>
          </cell>
          <cell r="D103">
            <v>0</v>
          </cell>
          <cell r="E103">
            <v>0</v>
          </cell>
          <cell r="G103">
            <v>39.700000000000003</v>
          </cell>
          <cell r="H103">
            <v>129.59</v>
          </cell>
          <cell r="I103">
            <v>4.2969999999999997</v>
          </cell>
          <cell r="J103">
            <v>3.8860000000000001</v>
          </cell>
          <cell r="L103">
            <v>3.8860000000000001</v>
          </cell>
          <cell r="R103">
            <v>3.8860000000000001</v>
          </cell>
          <cell r="T103">
            <v>2E-3</v>
          </cell>
          <cell r="V103">
            <v>3.8879999999999999</v>
          </cell>
          <cell r="W103" t="str">
            <v>N</v>
          </cell>
          <cell r="AG103">
            <v>0</v>
          </cell>
          <cell r="AR103">
            <v>0</v>
          </cell>
          <cell r="AS103">
            <v>0</v>
          </cell>
          <cell r="AT103">
            <v>0</v>
          </cell>
          <cell r="AU103">
            <v>0</v>
          </cell>
          <cell r="AV103">
            <v>0</v>
          </cell>
          <cell r="AW103">
            <v>0</v>
          </cell>
          <cell r="AX103">
            <v>0</v>
          </cell>
          <cell r="AY103">
            <v>0</v>
          </cell>
          <cell r="AZ103">
            <v>3.8879999999999999</v>
          </cell>
        </row>
        <row r="104">
          <cell r="I104">
            <v>142.661</v>
          </cell>
          <cell r="J104">
            <v>44.101999999999997</v>
          </cell>
          <cell r="K104">
            <v>94.313000000000002</v>
          </cell>
          <cell r="L104">
            <v>138.41499999999999</v>
          </cell>
          <cell r="M104">
            <v>0.32200000000000001</v>
          </cell>
          <cell r="O104">
            <v>11.563000000000001</v>
          </cell>
          <cell r="Q104">
            <v>0</v>
          </cell>
          <cell r="R104">
            <v>126.52999999999999</v>
          </cell>
          <cell r="S104">
            <v>20.593</v>
          </cell>
          <cell r="T104">
            <v>5.41</v>
          </cell>
          <cell r="U104">
            <v>1.6659999999999999</v>
          </cell>
          <cell r="V104">
            <v>154.19899999999998</v>
          </cell>
          <cell r="W104">
            <v>20.949000000000002</v>
          </cell>
          <cell r="X104">
            <v>5.2850000000000001</v>
          </cell>
          <cell r="Y104" t="str">
            <v>mu</v>
          </cell>
          <cell r="Z104">
            <v>0</v>
          </cell>
          <cell r="AA104">
            <v>0</v>
          </cell>
          <cell r="AB104">
            <v>0</v>
          </cell>
          <cell r="AC104">
            <v>0</v>
          </cell>
          <cell r="AD104">
            <v>0</v>
          </cell>
          <cell r="AE104">
            <v>0</v>
          </cell>
          <cell r="AF104">
            <v>0</v>
          </cell>
          <cell r="AG104">
            <v>26.234000000000002</v>
          </cell>
          <cell r="AH104">
            <v>35.468000000000004</v>
          </cell>
          <cell r="AI104">
            <v>60.511000000000003</v>
          </cell>
          <cell r="AR104">
            <v>95.979000000000013</v>
          </cell>
          <cell r="AS104">
            <v>116.572</v>
          </cell>
          <cell r="AT104">
            <v>147.24</v>
          </cell>
          <cell r="AU104">
            <v>-30.668000000000006</v>
          </cell>
          <cell r="AV104">
            <v>0</v>
          </cell>
          <cell r="AW104">
            <v>116.572</v>
          </cell>
          <cell r="AX104">
            <v>0</v>
          </cell>
          <cell r="AY104">
            <v>0</v>
          </cell>
          <cell r="AZ104">
            <v>154.19899999999998</v>
          </cell>
        </row>
        <row r="105">
          <cell r="C105">
            <v>3.464</v>
          </cell>
          <cell r="D105">
            <v>96.9</v>
          </cell>
          <cell r="E105">
            <v>156.80000000000001</v>
          </cell>
          <cell r="F105">
            <v>114.7</v>
          </cell>
          <cell r="G105">
            <v>59.3</v>
          </cell>
          <cell r="H105">
            <v>28.891999999999999</v>
          </cell>
          <cell r="I105">
            <v>1.5269999999999999</v>
          </cell>
          <cell r="J105">
            <v>0.61699999999999999</v>
          </cell>
          <cell r="L105">
            <v>0.61699999999999999</v>
          </cell>
          <cell r="M105">
            <v>0.107</v>
          </cell>
          <cell r="O105">
            <v>8.9999999999999993E-3</v>
          </cell>
          <cell r="R105">
            <v>0.501</v>
          </cell>
          <cell r="V105">
            <v>0.501</v>
          </cell>
          <cell r="AG105">
            <v>0</v>
          </cell>
          <cell r="AR105">
            <v>0</v>
          </cell>
          <cell r="AS105">
            <v>0</v>
          </cell>
          <cell r="AT105">
            <v>0</v>
          </cell>
          <cell r="AU105">
            <v>0</v>
          </cell>
          <cell r="AV105">
            <v>0</v>
          </cell>
          <cell r="AW105">
            <v>0</v>
          </cell>
          <cell r="AX105">
            <v>0</v>
          </cell>
          <cell r="AY105">
            <v>0</v>
          </cell>
          <cell r="AZ105">
            <v>0.501</v>
          </cell>
        </row>
        <row r="106">
          <cell r="I106">
            <v>14.909000000000001</v>
          </cell>
          <cell r="J106">
            <v>1.9470000000000001</v>
          </cell>
          <cell r="K106">
            <v>13.680999999999999</v>
          </cell>
          <cell r="L106">
            <v>15.628</v>
          </cell>
          <cell r="M106">
            <v>0.30299999999999999</v>
          </cell>
          <cell r="R106">
            <v>15.324999999999999</v>
          </cell>
          <cell r="T106">
            <v>0.29400000000000004</v>
          </cell>
          <cell r="U106">
            <v>1.1910000000000001</v>
          </cell>
          <cell r="V106">
            <v>16.809999999999999</v>
          </cell>
          <cell r="AG106">
            <v>0</v>
          </cell>
          <cell r="AH106">
            <v>15.135999999999999</v>
          </cell>
          <cell r="AR106">
            <v>15.135999999999999</v>
          </cell>
          <cell r="AS106">
            <v>14.872</v>
          </cell>
          <cell r="AT106">
            <v>16.274999999999999</v>
          </cell>
          <cell r="AU106">
            <v>-1.4029999999999987</v>
          </cell>
          <cell r="AV106">
            <v>0</v>
          </cell>
          <cell r="AW106">
            <v>14.872</v>
          </cell>
          <cell r="AX106">
            <v>0</v>
          </cell>
          <cell r="AY106">
            <v>0</v>
          </cell>
          <cell r="AZ106">
            <v>16.809999999999999</v>
          </cell>
        </row>
        <row r="107">
          <cell r="I107">
            <v>0.83899999999999997</v>
          </cell>
          <cell r="J107">
            <v>3.5230000000000001</v>
          </cell>
          <cell r="K107">
            <v>6.8490000000000002</v>
          </cell>
          <cell r="L107">
            <v>10.372</v>
          </cell>
          <cell r="M107">
            <v>2.1000000000000001E-2</v>
          </cell>
          <cell r="R107">
            <v>10.350999999999999</v>
          </cell>
          <cell r="S107">
            <v>22.164999999999999</v>
          </cell>
          <cell r="T107">
            <v>0.52700000000000002</v>
          </cell>
          <cell r="U107">
            <v>0.223</v>
          </cell>
          <cell r="V107">
            <v>33.265999999999998</v>
          </cell>
          <cell r="W107">
            <v>8.2850000000000001</v>
          </cell>
          <cell r="X107">
            <v>20.161999999999999</v>
          </cell>
          <cell r="Y107" t="str">
            <v>?</v>
          </cell>
          <cell r="AG107">
            <v>28.446999999999999</v>
          </cell>
          <cell r="AR107">
            <v>0</v>
          </cell>
          <cell r="AS107">
            <v>29.236999999999998</v>
          </cell>
          <cell r="AT107">
            <v>28.446999999999999</v>
          </cell>
          <cell r="AU107">
            <v>0.78999999999999915</v>
          </cell>
          <cell r="AV107">
            <v>0</v>
          </cell>
          <cell r="AW107">
            <v>29.236999999999998</v>
          </cell>
          <cell r="AZ107">
            <v>33.265999999999998</v>
          </cell>
        </row>
        <row r="108">
          <cell r="I108">
            <v>2.8730000000000002</v>
          </cell>
          <cell r="J108">
            <v>3.2120000000000002</v>
          </cell>
          <cell r="L108">
            <v>3.2120000000000002</v>
          </cell>
          <cell r="R108">
            <v>3.2120000000000002</v>
          </cell>
          <cell r="T108">
            <v>0.35</v>
          </cell>
          <cell r="V108">
            <v>3.5620000000000003</v>
          </cell>
          <cell r="AG108">
            <v>0</v>
          </cell>
          <cell r="AR108">
            <v>0</v>
          </cell>
          <cell r="AS108">
            <v>0</v>
          </cell>
          <cell r="AT108">
            <v>0</v>
          </cell>
          <cell r="AU108">
            <v>0</v>
          </cell>
          <cell r="AV108">
            <v>0</v>
          </cell>
          <cell r="AW108">
            <v>0</v>
          </cell>
          <cell r="AX108">
            <v>0</v>
          </cell>
          <cell r="AY108">
            <v>0</v>
          </cell>
          <cell r="AZ108">
            <v>3.5620000000000003</v>
          </cell>
        </row>
        <row r="109">
          <cell r="L109">
            <v>0</v>
          </cell>
          <cell r="R109">
            <v>0</v>
          </cell>
          <cell r="V109">
            <v>0</v>
          </cell>
          <cell r="AG109">
            <v>0</v>
          </cell>
          <cell r="AR109">
            <v>0</v>
          </cell>
          <cell r="AS109">
            <v>0</v>
          </cell>
          <cell r="AT109">
            <v>0</v>
          </cell>
          <cell r="AU109">
            <v>0</v>
          </cell>
          <cell r="AV109">
            <v>0</v>
          </cell>
          <cell r="AW109">
            <v>0</v>
          </cell>
          <cell r="AX109">
            <v>0</v>
          </cell>
          <cell r="AY109">
            <v>0</v>
          </cell>
          <cell r="AZ109">
            <v>0</v>
          </cell>
        </row>
        <row r="110">
          <cell r="H110">
            <v>1.6259999999999999</v>
          </cell>
          <cell r="I110">
            <v>48.796999999999997</v>
          </cell>
          <cell r="J110">
            <v>3.6459999999999999</v>
          </cell>
          <cell r="K110">
            <v>67.754000000000005</v>
          </cell>
          <cell r="L110">
            <v>71.400000000000006</v>
          </cell>
          <cell r="M110">
            <v>0.45900000000000002</v>
          </cell>
          <cell r="O110">
            <v>0.60199999999999998</v>
          </cell>
          <cell r="R110">
            <v>70.338999999999999</v>
          </cell>
          <cell r="S110">
            <v>47.988</v>
          </cell>
          <cell r="T110">
            <v>3.2889999999999997</v>
          </cell>
          <cell r="U110">
            <v>2.2949999999999999</v>
          </cell>
          <cell r="V110">
            <v>123.911</v>
          </cell>
          <cell r="W110">
            <v>46.942999999999998</v>
          </cell>
          <cell r="X110">
            <v>49.448999999999998</v>
          </cell>
          <cell r="Y110" t="str">
            <v>both</v>
          </cell>
          <cell r="AG110">
            <v>96.391999999999996</v>
          </cell>
          <cell r="AR110">
            <v>0</v>
          </cell>
          <cell r="AS110">
            <v>118.03700000000001</v>
          </cell>
          <cell r="AT110">
            <v>96.391999999999996</v>
          </cell>
          <cell r="AU110">
            <v>21.64500000000001</v>
          </cell>
          <cell r="AV110">
            <v>0</v>
          </cell>
          <cell r="AW110">
            <v>118.03700000000001</v>
          </cell>
          <cell r="AX110">
            <v>0</v>
          </cell>
          <cell r="AY110">
            <v>0</v>
          </cell>
          <cell r="AZ110">
            <v>123.911</v>
          </cell>
        </row>
        <row r="112">
          <cell r="C112">
            <v>316.95800000000003</v>
          </cell>
          <cell r="D112">
            <v>400</v>
          </cell>
          <cell r="E112">
            <v>397.2</v>
          </cell>
          <cell r="F112">
            <v>356.1</v>
          </cell>
          <cell r="G112">
            <v>299.8</v>
          </cell>
          <cell r="H112">
            <v>377.70060000000001</v>
          </cell>
          <cell r="I112">
            <v>384.57199999999989</v>
          </cell>
          <cell r="J112">
            <v>148.06499999999997</v>
          </cell>
          <cell r="K112">
            <v>335.173</v>
          </cell>
          <cell r="L112">
            <v>483.23800000000006</v>
          </cell>
          <cell r="M112">
            <v>4.6939999999999991</v>
          </cell>
          <cell r="N112">
            <v>1.2470000000000001</v>
          </cell>
          <cell r="O112">
            <v>14.694000000000001</v>
          </cell>
          <cell r="P112">
            <v>2.0169999999999999</v>
          </cell>
          <cell r="Q112">
            <v>-1.2E-2</v>
          </cell>
          <cell r="R112">
            <v>460.5739999999999</v>
          </cell>
          <cell r="S112">
            <v>212.06199999999998</v>
          </cell>
          <cell r="T112">
            <v>15.822000000000001</v>
          </cell>
          <cell r="U112">
            <v>15.243000000000002</v>
          </cell>
          <cell r="V112">
            <v>703.70099999999979</v>
          </cell>
          <cell r="W112">
            <v>171.303</v>
          </cell>
          <cell r="X112">
            <v>126.57000000000001</v>
          </cell>
          <cell r="Y112">
            <v>0</v>
          </cell>
          <cell r="Z112">
            <v>0</v>
          </cell>
          <cell r="AA112">
            <v>0</v>
          </cell>
          <cell r="AB112">
            <v>0</v>
          </cell>
          <cell r="AC112">
            <v>0</v>
          </cell>
          <cell r="AD112">
            <v>0</v>
          </cell>
          <cell r="AE112">
            <v>21.125</v>
          </cell>
          <cell r="AF112">
            <v>0</v>
          </cell>
          <cell r="AG112">
            <v>318.99799999999999</v>
          </cell>
          <cell r="AH112">
            <v>118.81399999999999</v>
          </cell>
          <cell r="AI112">
            <v>105.75999999999999</v>
          </cell>
          <cell r="AJ112">
            <v>0</v>
          </cell>
          <cell r="AK112">
            <v>0</v>
          </cell>
          <cell r="AL112">
            <v>0</v>
          </cell>
          <cell r="AM112">
            <v>0</v>
          </cell>
          <cell r="AN112">
            <v>0</v>
          </cell>
          <cell r="AO112">
            <v>0</v>
          </cell>
          <cell r="AP112">
            <v>0</v>
          </cell>
          <cell r="AQ112">
            <v>0</v>
          </cell>
          <cell r="AR112">
            <v>224.57400000000001</v>
          </cell>
          <cell r="AS112">
            <v>562.47800000000007</v>
          </cell>
          <cell r="AT112">
            <v>591.37599999999998</v>
          </cell>
          <cell r="AU112">
            <v>-28.89800000000001</v>
          </cell>
          <cell r="AV112">
            <v>0</v>
          </cell>
          <cell r="AW112">
            <v>562.47800000000007</v>
          </cell>
          <cell r="AX112">
            <v>0</v>
          </cell>
          <cell r="AY112">
            <v>0</v>
          </cell>
          <cell r="AZ112">
            <v>703.70099999999979</v>
          </cell>
        </row>
        <row r="114">
          <cell r="L114">
            <v>0</v>
          </cell>
          <cell r="R114">
            <v>0</v>
          </cell>
          <cell r="S114">
            <v>7.1289999999999996</v>
          </cell>
          <cell r="V114">
            <v>7.1289999999999996</v>
          </cell>
          <cell r="AG114">
            <v>0</v>
          </cell>
          <cell r="AR114">
            <v>0</v>
          </cell>
          <cell r="AS114">
            <v>7.1289999999999996</v>
          </cell>
          <cell r="AT114">
            <v>0</v>
          </cell>
          <cell r="AU114">
            <v>7.1289999999999996</v>
          </cell>
          <cell r="AV114">
            <v>0</v>
          </cell>
          <cell r="AW114">
            <v>7.1289999999999996</v>
          </cell>
          <cell r="AX114">
            <v>0</v>
          </cell>
          <cell r="AY114">
            <v>0</v>
          </cell>
          <cell r="AZ114">
            <v>7.1289999999999996</v>
          </cell>
        </row>
        <row r="115">
          <cell r="L115">
            <v>0</v>
          </cell>
          <cell r="R115">
            <v>0</v>
          </cell>
          <cell r="S115">
            <v>3.6539999999999999</v>
          </cell>
          <cell r="V115">
            <v>3.6539999999999999</v>
          </cell>
          <cell r="W115">
            <v>3.6539999999999999</v>
          </cell>
          <cell r="AG115">
            <v>3.6539999999999999</v>
          </cell>
          <cell r="AR115">
            <v>0</v>
          </cell>
          <cell r="AS115">
            <v>3.6539999999999999</v>
          </cell>
          <cell r="AT115">
            <v>3.6539999999999999</v>
          </cell>
          <cell r="AU115">
            <v>0</v>
          </cell>
          <cell r="AV115">
            <v>0</v>
          </cell>
          <cell r="AW115">
            <v>3.6539999999999999</v>
          </cell>
          <cell r="AX115">
            <v>0</v>
          </cell>
          <cell r="AY115">
            <v>0</v>
          </cell>
          <cell r="AZ115">
            <v>3.6539999999999999</v>
          </cell>
        </row>
        <row r="116">
          <cell r="L116">
            <v>0</v>
          </cell>
          <cell r="R116">
            <v>0</v>
          </cell>
          <cell r="S116">
            <v>13.781000000000001</v>
          </cell>
          <cell r="V116">
            <v>13.781000000000001</v>
          </cell>
          <cell r="W116">
            <v>13.781000000000001</v>
          </cell>
          <cell r="AG116">
            <v>13.781000000000001</v>
          </cell>
          <cell r="AR116">
            <v>0</v>
          </cell>
          <cell r="AS116">
            <v>13.781000000000001</v>
          </cell>
          <cell r="AT116">
            <v>13.781000000000001</v>
          </cell>
          <cell r="AU116">
            <v>0</v>
          </cell>
          <cell r="AV116">
            <v>0</v>
          </cell>
          <cell r="AW116">
            <v>13.781000000000001</v>
          </cell>
          <cell r="AX116">
            <v>0</v>
          </cell>
          <cell r="AY116">
            <v>0</v>
          </cell>
          <cell r="AZ116">
            <v>13.781000000000001</v>
          </cell>
        </row>
        <row r="117">
          <cell r="L117">
            <v>0</v>
          </cell>
          <cell r="R117">
            <v>0</v>
          </cell>
          <cell r="V117">
            <v>0</v>
          </cell>
          <cell r="X117">
            <v>0</v>
          </cell>
          <cell r="AG117">
            <v>0</v>
          </cell>
          <cell r="AR117">
            <v>0</v>
          </cell>
          <cell r="AS117">
            <v>0</v>
          </cell>
          <cell r="AT117">
            <v>5.8819999999999997</v>
          </cell>
          <cell r="AU117">
            <v>-5.8819999999999997</v>
          </cell>
          <cell r="AV117">
            <v>0</v>
          </cell>
          <cell r="AW117">
            <v>0</v>
          </cell>
          <cell r="AX117">
            <v>0</v>
          </cell>
          <cell r="AY117">
            <v>0</v>
          </cell>
          <cell r="AZ117">
            <v>0</v>
          </cell>
        </row>
        <row r="118">
          <cell r="L118">
            <v>0</v>
          </cell>
          <cell r="R118">
            <v>0</v>
          </cell>
          <cell r="V118">
            <v>0</v>
          </cell>
          <cell r="AG118">
            <v>0</v>
          </cell>
          <cell r="AR118">
            <v>0</v>
          </cell>
          <cell r="AS118">
            <v>0</v>
          </cell>
          <cell r="AT118">
            <v>0</v>
          </cell>
          <cell r="AU118">
            <v>0</v>
          </cell>
          <cell r="AV118">
            <v>0</v>
          </cell>
          <cell r="AW118">
            <v>0</v>
          </cell>
          <cell r="AX118">
            <v>0</v>
          </cell>
          <cell r="AY118">
            <v>0</v>
          </cell>
          <cell r="AZ118">
            <v>0</v>
          </cell>
        </row>
        <row r="119">
          <cell r="L119">
            <v>0</v>
          </cell>
          <cell r="R119">
            <v>0</v>
          </cell>
          <cell r="V119">
            <v>0</v>
          </cell>
          <cell r="AG119">
            <v>0</v>
          </cell>
          <cell r="AR119">
            <v>0</v>
          </cell>
          <cell r="AS119">
            <v>0</v>
          </cell>
          <cell r="AT119">
            <v>0</v>
          </cell>
          <cell r="AU119">
            <v>0</v>
          </cell>
          <cell r="AV119">
            <v>0</v>
          </cell>
          <cell r="AW119">
            <v>0</v>
          </cell>
          <cell r="AX119">
            <v>0</v>
          </cell>
          <cell r="AY119">
            <v>0</v>
          </cell>
          <cell r="AZ119">
            <v>0</v>
          </cell>
        </row>
        <row r="121">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24.564</v>
          </cell>
          <cell r="T121">
            <v>0</v>
          </cell>
          <cell r="U121">
            <v>0</v>
          </cell>
          <cell r="V121">
            <v>24.564</v>
          </cell>
          <cell r="W121">
            <v>17.435000000000002</v>
          </cell>
          <cell r="X121">
            <v>0</v>
          </cell>
          <cell r="Y121">
            <v>0</v>
          </cell>
          <cell r="Z121">
            <v>0</v>
          </cell>
          <cell r="AA121">
            <v>0</v>
          </cell>
          <cell r="AB121">
            <v>0</v>
          </cell>
          <cell r="AC121">
            <v>0</v>
          </cell>
          <cell r="AD121">
            <v>0</v>
          </cell>
          <cell r="AE121">
            <v>0</v>
          </cell>
          <cell r="AF121">
            <v>0</v>
          </cell>
          <cell r="AG121">
            <v>17.435000000000002</v>
          </cell>
          <cell r="AH121">
            <v>0</v>
          </cell>
          <cell r="AI121">
            <v>0</v>
          </cell>
          <cell r="AJ121">
            <v>0</v>
          </cell>
          <cell r="AK121">
            <v>0</v>
          </cell>
          <cell r="AL121">
            <v>0</v>
          </cell>
          <cell r="AM121">
            <v>0</v>
          </cell>
          <cell r="AN121">
            <v>0</v>
          </cell>
          <cell r="AO121">
            <v>0</v>
          </cell>
          <cell r="AP121">
            <v>0</v>
          </cell>
          <cell r="AQ121">
            <v>0</v>
          </cell>
          <cell r="AR121">
            <v>0</v>
          </cell>
          <cell r="AS121">
            <v>24.564</v>
          </cell>
          <cell r="AT121">
            <v>23.317</v>
          </cell>
          <cell r="AU121">
            <v>1.2469999999999999</v>
          </cell>
          <cell r="AV121">
            <v>0</v>
          </cell>
          <cell r="AW121">
            <v>24.564</v>
          </cell>
          <cell r="AX121">
            <v>0</v>
          </cell>
          <cell r="AY121">
            <v>0</v>
          </cell>
          <cell r="AZ121">
            <v>24.564</v>
          </cell>
        </row>
        <row r="123">
          <cell r="C123">
            <v>316.95800000000003</v>
          </cell>
          <cell r="D123">
            <v>400</v>
          </cell>
          <cell r="E123">
            <v>397.2</v>
          </cell>
          <cell r="F123">
            <v>356.1</v>
          </cell>
          <cell r="G123">
            <v>299.8</v>
          </cell>
          <cell r="H123">
            <v>377.70060000000001</v>
          </cell>
          <cell r="I123">
            <v>384.57199999999989</v>
          </cell>
          <cell r="J123">
            <v>148.06499999999997</v>
          </cell>
          <cell r="K123">
            <v>335.173</v>
          </cell>
          <cell r="L123">
            <v>483.23800000000006</v>
          </cell>
          <cell r="M123">
            <v>4.6939999999999991</v>
          </cell>
          <cell r="N123">
            <v>1.2470000000000001</v>
          </cell>
          <cell r="O123">
            <v>14.694000000000001</v>
          </cell>
          <cell r="P123">
            <v>2.0169999999999999</v>
          </cell>
          <cell r="Q123">
            <v>-1.2E-2</v>
          </cell>
          <cell r="R123">
            <v>460.5739999999999</v>
          </cell>
          <cell r="S123">
            <v>236.62599999999998</v>
          </cell>
          <cell r="T123">
            <v>15.822000000000001</v>
          </cell>
          <cell r="U123">
            <v>15.243000000000002</v>
          </cell>
          <cell r="V123">
            <v>728.26499999999976</v>
          </cell>
          <cell r="W123">
            <v>188.738</v>
          </cell>
          <cell r="X123">
            <v>126.57000000000001</v>
          </cell>
          <cell r="Y123">
            <v>0</v>
          </cell>
          <cell r="Z123">
            <v>0</v>
          </cell>
          <cell r="AA123">
            <v>0</v>
          </cell>
          <cell r="AB123">
            <v>0</v>
          </cell>
          <cell r="AC123">
            <v>0</v>
          </cell>
          <cell r="AD123">
            <v>0</v>
          </cell>
          <cell r="AE123">
            <v>21.125</v>
          </cell>
          <cell r="AF123">
            <v>0</v>
          </cell>
          <cell r="AG123">
            <v>336.43299999999999</v>
          </cell>
          <cell r="AH123">
            <v>118.81399999999999</v>
          </cell>
          <cell r="AI123">
            <v>105.75999999999999</v>
          </cell>
          <cell r="AJ123">
            <v>0</v>
          </cell>
          <cell r="AK123">
            <v>0</v>
          </cell>
          <cell r="AL123">
            <v>0</v>
          </cell>
          <cell r="AM123">
            <v>0</v>
          </cell>
          <cell r="AN123">
            <v>0</v>
          </cell>
          <cell r="AO123">
            <v>0</v>
          </cell>
          <cell r="AP123">
            <v>0</v>
          </cell>
          <cell r="AQ123">
            <v>0</v>
          </cell>
          <cell r="AR123">
            <v>224.57400000000001</v>
          </cell>
          <cell r="AS123">
            <v>587.04200000000003</v>
          </cell>
          <cell r="AT123">
            <v>614.69299999999998</v>
          </cell>
          <cell r="AU123">
            <v>-27.65100000000001</v>
          </cell>
          <cell r="AV123">
            <v>0</v>
          </cell>
          <cell r="AW123">
            <v>587.04200000000003</v>
          </cell>
          <cell r="AX123">
            <v>0</v>
          </cell>
          <cell r="AY123">
            <v>0</v>
          </cell>
          <cell r="AZ123">
            <v>728.26499999999976</v>
          </cell>
        </row>
        <row r="125">
          <cell r="C125">
            <v>25.056999999999999</v>
          </cell>
          <cell r="D125">
            <v>15.3</v>
          </cell>
          <cell r="E125">
            <v>6.3</v>
          </cell>
          <cell r="F125">
            <v>4.3000000000000007</v>
          </cell>
          <cell r="G125">
            <v>2.2000000000000002</v>
          </cell>
          <cell r="H125">
            <v>1.327</v>
          </cell>
          <cell r="I125">
            <v>0.33900000000000002</v>
          </cell>
          <cell r="J125">
            <v>0.53800000000000003</v>
          </cell>
          <cell r="L125">
            <v>0.53800000000000003</v>
          </cell>
          <cell r="O125">
            <v>8.0000000000000002E-3</v>
          </cell>
          <cell r="R125">
            <v>0.53</v>
          </cell>
          <cell r="V125">
            <v>0.53</v>
          </cell>
          <cell r="AG125">
            <v>0</v>
          </cell>
          <cell r="AR125">
            <v>0</v>
          </cell>
          <cell r="AS125">
            <v>0</v>
          </cell>
          <cell r="AT125">
            <v>0</v>
          </cell>
          <cell r="AU125">
            <v>0</v>
          </cell>
          <cell r="AV125">
            <v>0</v>
          </cell>
          <cell r="AW125">
            <v>0</v>
          </cell>
          <cell r="AX125">
            <v>0</v>
          </cell>
          <cell r="AY125">
            <v>0</v>
          </cell>
          <cell r="AZ125">
            <v>0.53</v>
          </cell>
        </row>
        <row r="126">
          <cell r="I126">
            <v>0.52800000000000002</v>
          </cell>
          <cell r="J126">
            <v>7.9000000000000001E-2</v>
          </cell>
          <cell r="K126">
            <v>5.827</v>
          </cell>
          <cell r="L126">
            <v>5.9059999999999997</v>
          </cell>
          <cell r="P126">
            <v>8.9999999999999993E-3</v>
          </cell>
          <cell r="R126">
            <v>5.8969999999999994</v>
          </cell>
          <cell r="V126">
            <v>5.8969999999999994</v>
          </cell>
          <cell r="W126">
            <v>0.997</v>
          </cell>
          <cell r="AG126">
            <v>0.997</v>
          </cell>
          <cell r="AH126">
            <v>5.827</v>
          </cell>
          <cell r="AR126">
            <v>5.827</v>
          </cell>
          <cell r="AS126">
            <v>5.827</v>
          </cell>
          <cell r="AT126">
            <v>4.8620000000000001</v>
          </cell>
          <cell r="AU126">
            <v>0.96499999999999986</v>
          </cell>
          <cell r="AV126">
            <v>0</v>
          </cell>
          <cell r="AW126">
            <v>5.827</v>
          </cell>
          <cell r="AX126">
            <v>0</v>
          </cell>
          <cell r="AY126">
            <v>0</v>
          </cell>
          <cell r="AZ126">
            <v>5.8969999999999994</v>
          </cell>
        </row>
        <row r="127">
          <cell r="C127">
            <v>0</v>
          </cell>
          <cell r="D127">
            <v>0</v>
          </cell>
          <cell r="E127">
            <v>0</v>
          </cell>
          <cell r="G127">
            <v>7.5</v>
          </cell>
          <cell r="H127">
            <v>4.7329999999999997</v>
          </cell>
          <cell r="I127">
            <v>2.6739999999999999</v>
          </cell>
          <cell r="J127">
            <v>1.381</v>
          </cell>
          <cell r="L127">
            <v>1.381</v>
          </cell>
          <cell r="O127">
            <v>5.0999999999999997E-2</v>
          </cell>
          <cell r="R127">
            <v>1.33</v>
          </cell>
          <cell r="T127">
            <v>0.32</v>
          </cell>
          <cell r="V127">
            <v>1.6500000000000001</v>
          </cell>
          <cell r="AG127">
            <v>0</v>
          </cell>
          <cell r="AR127">
            <v>0</v>
          </cell>
          <cell r="AS127">
            <v>0</v>
          </cell>
          <cell r="AT127">
            <v>0</v>
          </cell>
          <cell r="AU127">
            <v>0</v>
          </cell>
          <cell r="AV127">
            <v>0</v>
          </cell>
          <cell r="AW127">
            <v>0</v>
          </cell>
          <cell r="AX127">
            <v>0</v>
          </cell>
          <cell r="AY127">
            <v>0</v>
          </cell>
          <cell r="AZ127">
            <v>1.6500000000000001</v>
          </cell>
        </row>
        <row r="128">
          <cell r="C128">
            <v>0</v>
          </cell>
          <cell r="D128">
            <v>0</v>
          </cell>
          <cell r="E128">
            <v>0</v>
          </cell>
          <cell r="G128">
            <v>12.5</v>
          </cell>
          <cell r="H128">
            <v>14.196</v>
          </cell>
          <cell r="I128">
            <v>9.2409999999999997</v>
          </cell>
          <cell r="J128">
            <v>9.8019999999999996</v>
          </cell>
          <cell r="L128">
            <v>9.8019999999999996</v>
          </cell>
          <cell r="O128">
            <v>6.6000000000000003E-2</v>
          </cell>
          <cell r="R128">
            <v>9.7359999999999989</v>
          </cell>
          <cell r="T128">
            <v>0.41499999999999998</v>
          </cell>
          <cell r="V128">
            <v>10.150999999999998</v>
          </cell>
          <cell r="AG128">
            <v>0</v>
          </cell>
          <cell r="AR128">
            <v>0</v>
          </cell>
          <cell r="AS128">
            <v>0</v>
          </cell>
          <cell r="AT128">
            <v>0</v>
          </cell>
          <cell r="AU128">
            <v>0</v>
          </cell>
          <cell r="AV128">
            <v>0</v>
          </cell>
          <cell r="AW128">
            <v>0</v>
          </cell>
          <cell r="AX128">
            <v>0</v>
          </cell>
          <cell r="AY128">
            <v>0</v>
          </cell>
          <cell r="AZ128">
            <v>10.150999999999998</v>
          </cell>
        </row>
        <row r="129">
          <cell r="I129">
            <v>1.1599999999999999</v>
          </cell>
          <cell r="J129">
            <v>2.2949999999999999</v>
          </cell>
          <cell r="L129">
            <v>2.2949999999999999</v>
          </cell>
          <cell r="M129">
            <v>1.1399999999999999</v>
          </cell>
          <cell r="R129">
            <v>1.155</v>
          </cell>
          <cell r="V129">
            <v>1.155</v>
          </cell>
          <cell r="AG129">
            <v>0</v>
          </cell>
          <cell r="AR129">
            <v>0</v>
          </cell>
          <cell r="AS129">
            <v>0</v>
          </cell>
          <cell r="AT129">
            <v>0</v>
          </cell>
          <cell r="AU129">
            <v>0</v>
          </cell>
          <cell r="AV129">
            <v>0</v>
          </cell>
          <cell r="AW129">
            <v>0</v>
          </cell>
          <cell r="AX129">
            <v>0</v>
          </cell>
          <cell r="AY129">
            <v>0</v>
          </cell>
          <cell r="AZ129">
            <v>1.155</v>
          </cell>
        </row>
        <row r="130">
          <cell r="C130">
            <v>0</v>
          </cell>
          <cell r="E130">
            <v>0</v>
          </cell>
          <cell r="F130">
            <v>12.8</v>
          </cell>
          <cell r="G130">
            <v>30.7</v>
          </cell>
          <cell r="H130">
            <v>0.86699999999999999</v>
          </cell>
          <cell r="I130">
            <v>0.48199999999999998</v>
          </cell>
          <cell r="J130">
            <v>8.4000000000000005E-2</v>
          </cell>
          <cell r="L130">
            <v>8.4000000000000005E-2</v>
          </cell>
          <cell r="Q130">
            <v>-8.4000000000000005E-2</v>
          </cell>
          <cell r="R130">
            <v>0</v>
          </cell>
          <cell r="V130">
            <v>0</v>
          </cell>
          <cell r="AG130">
            <v>0</v>
          </cell>
          <cell r="AR130">
            <v>0</v>
          </cell>
          <cell r="AS130">
            <v>0</v>
          </cell>
          <cell r="AT130">
            <v>0</v>
          </cell>
          <cell r="AU130">
            <v>0</v>
          </cell>
          <cell r="AV130">
            <v>0</v>
          </cell>
          <cell r="AW130">
            <v>0</v>
          </cell>
          <cell r="AX130">
            <v>0</v>
          </cell>
          <cell r="AY130">
            <v>0</v>
          </cell>
          <cell r="AZ130">
            <v>0</v>
          </cell>
        </row>
        <row r="131">
          <cell r="C131">
            <v>0</v>
          </cell>
          <cell r="E131">
            <v>0</v>
          </cell>
          <cell r="F131">
            <v>12.8</v>
          </cell>
          <cell r="H131">
            <v>39.380000000000003</v>
          </cell>
          <cell r="I131">
            <v>14.487</v>
          </cell>
          <cell r="J131">
            <v>23.706</v>
          </cell>
          <cell r="L131">
            <v>23.706</v>
          </cell>
          <cell r="M131">
            <v>0.06</v>
          </cell>
          <cell r="O131">
            <v>1.6439999999999999</v>
          </cell>
          <cell r="Q131">
            <v>-7.1999999999999995E-2</v>
          </cell>
          <cell r="R131">
            <v>21.93</v>
          </cell>
          <cell r="V131">
            <v>21.93</v>
          </cell>
          <cell r="AG131">
            <v>0</v>
          </cell>
          <cell r="AR131">
            <v>0</v>
          </cell>
          <cell r="AS131">
            <v>0</v>
          </cell>
          <cell r="AT131">
            <v>0</v>
          </cell>
          <cell r="AU131">
            <v>0</v>
          </cell>
          <cell r="AV131">
            <v>0</v>
          </cell>
          <cell r="AW131">
            <v>0</v>
          </cell>
          <cell r="AX131">
            <v>0</v>
          </cell>
          <cell r="AY131">
            <v>0</v>
          </cell>
          <cell r="AZ131">
            <v>21.93</v>
          </cell>
        </row>
        <row r="132">
          <cell r="L132">
            <v>0</v>
          </cell>
          <cell r="R132">
            <v>0</v>
          </cell>
          <cell r="S132">
            <v>15.225</v>
          </cell>
          <cell r="V132">
            <v>15.225</v>
          </cell>
          <cell r="AD132">
            <v>15.225</v>
          </cell>
          <cell r="AG132">
            <v>15.225</v>
          </cell>
          <cell r="AR132">
            <v>0</v>
          </cell>
          <cell r="AS132">
            <v>15.225</v>
          </cell>
          <cell r="AT132">
            <v>15.225</v>
          </cell>
          <cell r="AU132">
            <v>0</v>
          </cell>
          <cell r="AV132">
            <v>0</v>
          </cell>
          <cell r="AW132">
            <v>15.225</v>
          </cell>
          <cell r="AX132">
            <v>0</v>
          </cell>
          <cell r="AY132">
            <v>0</v>
          </cell>
          <cell r="AZ132">
            <v>15.225</v>
          </cell>
        </row>
        <row r="133">
          <cell r="C133">
            <v>26.167999999999999</v>
          </cell>
          <cell r="D133">
            <v>23.9</v>
          </cell>
          <cell r="E133">
            <v>14.8</v>
          </cell>
          <cell r="F133">
            <v>7.9</v>
          </cell>
          <cell r="G133">
            <v>4.7</v>
          </cell>
          <cell r="H133">
            <v>3.7490000000000001</v>
          </cell>
          <cell r="I133">
            <v>0.72399999999999998</v>
          </cell>
          <cell r="J133">
            <v>0.185</v>
          </cell>
          <cell r="L133">
            <v>0.185</v>
          </cell>
          <cell r="O133">
            <v>8.0000000000000002E-3</v>
          </cell>
          <cell r="R133">
            <v>0.17699999999999999</v>
          </cell>
          <cell r="V133">
            <v>0.17699999999999999</v>
          </cell>
          <cell r="AG133">
            <v>0</v>
          </cell>
          <cell r="AR133">
            <v>0</v>
          </cell>
          <cell r="AS133">
            <v>0</v>
          </cell>
          <cell r="AT133">
            <v>0</v>
          </cell>
          <cell r="AU133">
            <v>0</v>
          </cell>
          <cell r="AV133">
            <v>0</v>
          </cell>
          <cell r="AW133">
            <v>0</v>
          </cell>
          <cell r="AX133">
            <v>0</v>
          </cell>
          <cell r="AY133">
            <v>0</v>
          </cell>
          <cell r="AZ133">
            <v>0.17699999999999999</v>
          </cell>
        </row>
        <row r="134">
          <cell r="I134">
            <v>3.8530000000000002</v>
          </cell>
          <cell r="J134">
            <v>0.872</v>
          </cell>
          <cell r="K134">
            <v>2.5990000000000002</v>
          </cell>
          <cell r="L134">
            <v>3.4710000000000001</v>
          </cell>
          <cell r="P134">
            <v>1.0999999999999999E-2</v>
          </cell>
          <cell r="R134">
            <v>3.46</v>
          </cell>
          <cell r="T134">
            <v>0.10099999999999998</v>
          </cell>
          <cell r="U134">
            <v>0.41400000000000003</v>
          </cell>
          <cell r="V134">
            <v>3.9750000000000001</v>
          </cell>
          <cell r="W134">
            <v>0</v>
          </cell>
          <cell r="AG134">
            <v>0</v>
          </cell>
          <cell r="AH134">
            <v>3.0129999999999999</v>
          </cell>
          <cell r="AR134">
            <v>3.0129999999999999</v>
          </cell>
          <cell r="AS134">
            <v>3.0130000000000003</v>
          </cell>
          <cell r="AT134">
            <v>2.8450000000000002</v>
          </cell>
          <cell r="AU134">
            <v>0.16800000000000015</v>
          </cell>
          <cell r="AV134">
            <v>0</v>
          </cell>
          <cell r="AW134">
            <v>3.0130000000000003</v>
          </cell>
          <cell r="AX134">
            <v>0</v>
          </cell>
          <cell r="AY134">
            <v>0</v>
          </cell>
          <cell r="AZ134">
            <v>3.9750000000000001</v>
          </cell>
        </row>
        <row r="135">
          <cell r="C135">
            <v>2.5</v>
          </cell>
          <cell r="D135">
            <v>2.1</v>
          </cell>
          <cell r="E135">
            <v>1.9</v>
          </cell>
          <cell r="F135">
            <v>2.1</v>
          </cell>
          <cell r="G135">
            <v>1.4</v>
          </cell>
          <cell r="H135">
            <v>1.329</v>
          </cell>
          <cell r="I135">
            <v>1.94</v>
          </cell>
          <cell r="J135">
            <v>0.77300000000000002</v>
          </cell>
          <cell r="L135">
            <v>0.77300000000000002</v>
          </cell>
          <cell r="O135">
            <v>8.9999999999999993E-3</v>
          </cell>
          <cell r="R135">
            <v>0.76400000000000001</v>
          </cell>
          <cell r="V135">
            <v>0.76400000000000001</v>
          </cell>
          <cell r="AG135">
            <v>0</v>
          </cell>
          <cell r="AR135">
            <v>0</v>
          </cell>
          <cell r="AS135">
            <v>0</v>
          </cell>
          <cell r="AT135">
            <v>0</v>
          </cell>
          <cell r="AU135">
            <v>0</v>
          </cell>
          <cell r="AV135">
            <v>0</v>
          </cell>
          <cell r="AW135">
            <v>0</v>
          </cell>
          <cell r="AX135">
            <v>0</v>
          </cell>
          <cell r="AY135">
            <v>0</v>
          </cell>
          <cell r="AZ135">
            <v>0.76400000000000001</v>
          </cell>
        </row>
        <row r="137">
          <cell r="C137">
            <v>53.724999999999994</v>
          </cell>
          <cell r="D137">
            <v>41.300000000000004</v>
          </cell>
          <cell r="E137">
            <v>23</v>
          </cell>
          <cell r="F137">
            <v>39.900000000000006</v>
          </cell>
          <cell r="G137">
            <v>59</v>
          </cell>
          <cell r="H137">
            <v>65.580999999999989</v>
          </cell>
          <cell r="I137">
            <v>35.427999999999997</v>
          </cell>
          <cell r="J137">
            <v>39.715000000000003</v>
          </cell>
          <cell r="K137">
            <v>8.4260000000000002</v>
          </cell>
          <cell r="L137">
            <v>48.140999999999998</v>
          </cell>
          <cell r="M137">
            <v>1.2</v>
          </cell>
          <cell r="N137">
            <v>0</v>
          </cell>
          <cell r="O137">
            <v>1.7859999999999998</v>
          </cell>
          <cell r="P137">
            <v>1.9999999999999997E-2</v>
          </cell>
          <cell r="Q137">
            <v>-0.156</v>
          </cell>
          <cell r="R137">
            <v>44.979000000000006</v>
          </cell>
          <cell r="S137">
            <v>15.225</v>
          </cell>
          <cell r="T137">
            <v>0.83599999999999997</v>
          </cell>
          <cell r="U137">
            <v>0.41400000000000003</v>
          </cell>
          <cell r="V137">
            <v>61.454000000000008</v>
          </cell>
          <cell r="W137">
            <v>0.997</v>
          </cell>
          <cell r="X137">
            <v>0</v>
          </cell>
          <cell r="Y137">
            <v>0</v>
          </cell>
          <cell r="Z137">
            <v>0</v>
          </cell>
          <cell r="AA137">
            <v>0</v>
          </cell>
          <cell r="AB137">
            <v>0</v>
          </cell>
          <cell r="AC137">
            <v>0</v>
          </cell>
          <cell r="AD137">
            <v>15.225</v>
          </cell>
          <cell r="AE137">
            <v>0</v>
          </cell>
          <cell r="AF137">
            <v>0</v>
          </cell>
          <cell r="AG137">
            <v>16.222000000000001</v>
          </cell>
          <cell r="AH137">
            <v>8.84</v>
          </cell>
          <cell r="AI137">
            <v>0</v>
          </cell>
          <cell r="AJ137">
            <v>0</v>
          </cell>
          <cell r="AK137">
            <v>0</v>
          </cell>
          <cell r="AL137">
            <v>0</v>
          </cell>
          <cell r="AM137">
            <v>0</v>
          </cell>
          <cell r="AN137">
            <v>0</v>
          </cell>
          <cell r="AO137">
            <v>0</v>
          </cell>
          <cell r="AP137">
            <v>0</v>
          </cell>
          <cell r="AQ137">
            <v>0</v>
          </cell>
          <cell r="AR137">
            <v>8.84</v>
          </cell>
          <cell r="AS137">
            <v>24.065000000000001</v>
          </cell>
          <cell r="AT137">
            <v>22.931999999999999</v>
          </cell>
          <cell r="AU137">
            <v>1.133</v>
          </cell>
          <cell r="AV137">
            <v>0</v>
          </cell>
          <cell r="AW137">
            <v>24.065000000000001</v>
          </cell>
          <cell r="AX137">
            <v>0</v>
          </cell>
          <cell r="AY137">
            <v>0</v>
          </cell>
          <cell r="AZ137">
            <v>61.454000000000008</v>
          </cell>
        </row>
        <row r="139">
          <cell r="K139">
            <v>3.1549999999999998</v>
          </cell>
          <cell r="L139">
            <v>3.1549999999999998</v>
          </cell>
          <cell r="P139">
            <v>6.5000000000000002E-2</v>
          </cell>
          <cell r="R139">
            <v>3.09</v>
          </cell>
          <cell r="V139">
            <v>3.09</v>
          </cell>
          <cell r="W139">
            <v>3.5449999999999999</v>
          </cell>
          <cell r="AG139">
            <v>3.5449999999999999</v>
          </cell>
          <cell r="AR139">
            <v>0</v>
          </cell>
          <cell r="AS139">
            <v>3.1549999999999998</v>
          </cell>
          <cell r="AT139">
            <v>3.5449999999999999</v>
          </cell>
          <cell r="AU139">
            <v>-0.39000000000000012</v>
          </cell>
          <cell r="AV139">
            <v>0</v>
          </cell>
          <cell r="AW139">
            <v>3.1549999999999998</v>
          </cell>
          <cell r="AX139">
            <v>0</v>
          </cell>
          <cell r="AY139">
            <v>0</v>
          </cell>
          <cell r="AZ139">
            <v>3.09</v>
          </cell>
        </row>
        <row r="140">
          <cell r="L140">
            <v>0</v>
          </cell>
          <cell r="R140">
            <v>0</v>
          </cell>
          <cell r="S140">
            <v>1.39</v>
          </cell>
          <cell r="V140">
            <v>1.39</v>
          </cell>
          <cell r="W140">
            <v>1.6</v>
          </cell>
          <cell r="X140" t="str">
            <v>??</v>
          </cell>
          <cell r="AG140">
            <v>1.6</v>
          </cell>
          <cell r="AR140">
            <v>0</v>
          </cell>
          <cell r="AS140">
            <v>1.39</v>
          </cell>
          <cell r="AT140">
            <v>1.633</v>
          </cell>
          <cell r="AU140">
            <v>-0.2430000000000001</v>
          </cell>
          <cell r="AV140">
            <v>0</v>
          </cell>
          <cell r="AW140">
            <v>1.39</v>
          </cell>
          <cell r="AX140">
            <v>0</v>
          </cell>
          <cell r="AY140">
            <v>0</v>
          </cell>
          <cell r="AZ140">
            <v>1.39</v>
          </cell>
        </row>
        <row r="141">
          <cell r="J141" t="str">
            <v>IN BOTH PLACES</v>
          </cell>
          <cell r="K141">
            <v>16.789000000000001</v>
          </cell>
          <cell r="L141">
            <v>16.789000000000001</v>
          </cell>
          <cell r="P141">
            <v>0.14499999999999999</v>
          </cell>
          <cell r="R141">
            <v>16.644000000000002</v>
          </cell>
          <cell r="S141">
            <v>7.2539999999999996</v>
          </cell>
          <cell r="V141">
            <v>23.898000000000003</v>
          </cell>
          <cell r="W141">
            <v>8.8230000000000004</v>
          </cell>
          <cell r="X141">
            <v>9.1769999999999996</v>
          </cell>
          <cell r="Y141" t="str">
            <v>ke</v>
          </cell>
          <cell r="AG141">
            <v>18</v>
          </cell>
          <cell r="AR141">
            <v>0</v>
          </cell>
          <cell r="AS141">
            <v>24.042999999999999</v>
          </cell>
          <cell r="AT141">
            <v>18</v>
          </cell>
          <cell r="AU141">
            <v>6.0429999999999993</v>
          </cell>
          <cell r="AV141">
            <v>0</v>
          </cell>
          <cell r="AW141">
            <v>24.042999999999999</v>
          </cell>
          <cell r="AX141">
            <v>0</v>
          </cell>
          <cell r="AY141">
            <v>0</v>
          </cell>
          <cell r="AZ141">
            <v>23.898000000000003</v>
          </cell>
        </row>
        <row r="142">
          <cell r="L142">
            <v>0</v>
          </cell>
          <cell r="Q142">
            <v>3</v>
          </cell>
          <cell r="R142">
            <v>3</v>
          </cell>
          <cell r="V142">
            <v>3</v>
          </cell>
          <cell r="AF142">
            <v>0</v>
          </cell>
          <cell r="AG142">
            <v>0</v>
          </cell>
          <cell r="AR142">
            <v>0</v>
          </cell>
          <cell r="AS142">
            <v>0</v>
          </cell>
          <cell r="AT142">
            <v>3</v>
          </cell>
          <cell r="AU142">
            <v>-3</v>
          </cell>
          <cell r="AV142">
            <v>0</v>
          </cell>
          <cell r="AW142">
            <v>0</v>
          </cell>
          <cell r="AX142">
            <v>0</v>
          </cell>
          <cell r="AY142">
            <v>0</v>
          </cell>
          <cell r="AZ142">
            <v>3</v>
          </cell>
        </row>
        <row r="143">
          <cell r="J143" t="str">
            <v>above</v>
          </cell>
          <cell r="L143">
            <v>0</v>
          </cell>
          <cell r="R143">
            <v>0</v>
          </cell>
          <cell r="V143">
            <v>0</v>
          </cell>
          <cell r="AD143">
            <v>15</v>
          </cell>
          <cell r="AG143">
            <v>15</v>
          </cell>
          <cell r="AR143">
            <v>0</v>
          </cell>
          <cell r="AS143">
            <v>0</v>
          </cell>
          <cell r="AT143">
            <v>0</v>
          </cell>
          <cell r="AU143">
            <v>0</v>
          </cell>
          <cell r="AV143">
            <v>0</v>
          </cell>
          <cell r="AW143">
            <v>0</v>
          </cell>
          <cell r="AX143">
            <v>0</v>
          </cell>
          <cell r="AY143">
            <v>0</v>
          </cell>
          <cell r="AZ143">
            <v>0</v>
          </cell>
        </row>
        <row r="145">
          <cell r="C145">
            <v>0</v>
          </cell>
          <cell r="D145">
            <v>0</v>
          </cell>
          <cell r="E145">
            <v>0</v>
          </cell>
          <cell r="F145">
            <v>0</v>
          </cell>
          <cell r="G145">
            <v>0</v>
          </cell>
          <cell r="H145">
            <v>0</v>
          </cell>
          <cell r="I145">
            <v>0</v>
          </cell>
          <cell r="J145">
            <v>0</v>
          </cell>
          <cell r="K145">
            <v>19.944000000000003</v>
          </cell>
          <cell r="L145">
            <v>19.944000000000003</v>
          </cell>
          <cell r="M145">
            <v>0</v>
          </cell>
          <cell r="N145">
            <v>0</v>
          </cell>
          <cell r="O145">
            <v>0</v>
          </cell>
          <cell r="P145">
            <v>0.21</v>
          </cell>
          <cell r="Q145">
            <v>3</v>
          </cell>
          <cell r="R145">
            <v>22.734000000000002</v>
          </cell>
          <cell r="S145">
            <v>8.6440000000000001</v>
          </cell>
          <cell r="T145">
            <v>0</v>
          </cell>
          <cell r="U145">
            <v>0</v>
          </cell>
          <cell r="V145">
            <v>31.378000000000004</v>
          </cell>
          <cell r="W145">
            <v>13.968</v>
          </cell>
          <cell r="X145">
            <v>9.1769999999999996</v>
          </cell>
          <cell r="Y145">
            <v>0</v>
          </cell>
          <cell r="Z145">
            <v>0</v>
          </cell>
          <cell r="AA145">
            <v>0</v>
          </cell>
          <cell r="AB145">
            <v>0</v>
          </cell>
          <cell r="AC145">
            <v>0</v>
          </cell>
          <cell r="AD145">
            <v>15</v>
          </cell>
          <cell r="AE145">
            <v>0</v>
          </cell>
          <cell r="AF145">
            <v>0</v>
          </cell>
          <cell r="AG145">
            <v>38.144999999999996</v>
          </cell>
          <cell r="AH145">
            <v>0</v>
          </cell>
          <cell r="AI145">
            <v>0</v>
          </cell>
          <cell r="AJ145">
            <v>0</v>
          </cell>
          <cell r="AK145">
            <v>0</v>
          </cell>
          <cell r="AL145">
            <v>0</v>
          </cell>
          <cell r="AM145">
            <v>0</v>
          </cell>
          <cell r="AN145">
            <v>0</v>
          </cell>
          <cell r="AO145">
            <v>0</v>
          </cell>
          <cell r="AP145">
            <v>0</v>
          </cell>
          <cell r="AQ145">
            <v>0</v>
          </cell>
          <cell r="AR145">
            <v>0</v>
          </cell>
          <cell r="AS145">
            <v>28.588000000000001</v>
          </cell>
          <cell r="AT145">
            <v>26.178000000000001</v>
          </cell>
          <cell r="AU145">
            <v>2.4099999999999993</v>
          </cell>
          <cell r="AV145">
            <v>0</v>
          </cell>
          <cell r="AW145">
            <v>28.588000000000001</v>
          </cell>
          <cell r="AX145">
            <v>0</v>
          </cell>
          <cell r="AY145">
            <v>0</v>
          </cell>
          <cell r="AZ145">
            <v>31.378000000000004</v>
          </cell>
        </row>
        <row r="147">
          <cell r="C147">
            <v>53.724999999999994</v>
          </cell>
          <cell r="D147">
            <v>41.300000000000004</v>
          </cell>
          <cell r="E147">
            <v>23</v>
          </cell>
          <cell r="F147">
            <v>39.900000000000006</v>
          </cell>
          <cell r="G147">
            <v>59</v>
          </cell>
          <cell r="H147">
            <v>65.580999999999989</v>
          </cell>
          <cell r="I147">
            <v>35.427999999999997</v>
          </cell>
          <cell r="J147">
            <v>39.715000000000003</v>
          </cell>
          <cell r="K147">
            <v>28.370000000000005</v>
          </cell>
          <cell r="L147">
            <v>68.085000000000008</v>
          </cell>
          <cell r="M147">
            <v>1.2</v>
          </cell>
          <cell r="N147">
            <v>0</v>
          </cell>
          <cell r="O147">
            <v>1.7859999999999998</v>
          </cell>
          <cell r="P147">
            <v>0.22999999999999998</v>
          </cell>
          <cell r="Q147">
            <v>2.8439999999999999</v>
          </cell>
          <cell r="R147">
            <v>67.713000000000008</v>
          </cell>
          <cell r="S147">
            <v>23.869</v>
          </cell>
          <cell r="T147">
            <v>0.83599999999999997</v>
          </cell>
          <cell r="U147">
            <v>0.41400000000000003</v>
          </cell>
          <cell r="V147">
            <v>92.832000000000008</v>
          </cell>
          <cell r="W147">
            <v>14.965</v>
          </cell>
          <cell r="X147">
            <v>9.1769999999999996</v>
          </cell>
          <cell r="Y147">
            <v>0</v>
          </cell>
          <cell r="Z147">
            <v>0</v>
          </cell>
          <cell r="AA147">
            <v>0</v>
          </cell>
          <cell r="AB147">
            <v>0</v>
          </cell>
          <cell r="AC147">
            <v>0</v>
          </cell>
          <cell r="AD147">
            <v>30.225000000000001</v>
          </cell>
          <cell r="AE147">
            <v>0</v>
          </cell>
          <cell r="AF147">
            <v>0</v>
          </cell>
          <cell r="AG147">
            <v>54.366999999999997</v>
          </cell>
          <cell r="AH147">
            <v>8.84</v>
          </cell>
          <cell r="AI147">
            <v>0</v>
          </cell>
          <cell r="AJ147">
            <v>0</v>
          </cell>
          <cell r="AK147">
            <v>0</v>
          </cell>
          <cell r="AL147">
            <v>0</v>
          </cell>
          <cell r="AM147">
            <v>0</v>
          </cell>
          <cell r="AN147">
            <v>0</v>
          </cell>
          <cell r="AO147">
            <v>0</v>
          </cell>
          <cell r="AP147">
            <v>0</v>
          </cell>
          <cell r="AQ147">
            <v>0</v>
          </cell>
          <cell r="AR147">
            <v>8.84</v>
          </cell>
          <cell r="AS147">
            <v>52.653000000000006</v>
          </cell>
          <cell r="AT147">
            <v>49.11</v>
          </cell>
          <cell r="AU147">
            <v>3.5429999999999993</v>
          </cell>
          <cell r="AV147">
            <v>0</v>
          </cell>
          <cell r="AW147">
            <v>52.653000000000006</v>
          </cell>
          <cell r="AX147">
            <v>0</v>
          </cell>
          <cell r="AY147">
            <v>0</v>
          </cell>
          <cell r="AZ147">
            <v>92.832000000000008</v>
          </cell>
        </row>
        <row r="149">
          <cell r="C149">
            <v>0</v>
          </cell>
          <cell r="E149">
            <v>0</v>
          </cell>
          <cell r="F149">
            <v>4.7</v>
          </cell>
          <cell r="G149">
            <v>5.3</v>
          </cell>
          <cell r="H149">
            <v>0.80400000000000005</v>
          </cell>
          <cell r="I149">
            <v>8.5999999999999993E-2</v>
          </cell>
          <cell r="J149">
            <v>5.48</v>
          </cell>
          <cell r="L149">
            <v>5.48</v>
          </cell>
          <cell r="O149">
            <v>1.8480000000000001</v>
          </cell>
          <cell r="R149">
            <v>3.6320000000000006</v>
          </cell>
          <cell r="V149">
            <v>3.6320000000000006</v>
          </cell>
          <cell r="AG149">
            <v>0</v>
          </cell>
          <cell r="AR149">
            <v>0</v>
          </cell>
          <cell r="AS149">
            <v>0</v>
          </cell>
          <cell r="AT149">
            <v>0</v>
          </cell>
          <cell r="AU149">
            <v>0</v>
          </cell>
          <cell r="AV149">
            <v>0</v>
          </cell>
          <cell r="AW149">
            <v>0</v>
          </cell>
          <cell r="AX149">
            <v>0</v>
          </cell>
          <cell r="AY149">
            <v>0</v>
          </cell>
          <cell r="AZ149">
            <v>3.6320000000000006</v>
          </cell>
        </row>
        <row r="150">
          <cell r="I150">
            <v>0.41199999999999998</v>
          </cell>
          <cell r="J150">
            <v>0.13600000000000001</v>
          </cell>
          <cell r="K150">
            <v>19.378</v>
          </cell>
          <cell r="L150">
            <v>19.513999999999999</v>
          </cell>
          <cell r="P150">
            <v>0.14699999999999999</v>
          </cell>
          <cell r="R150">
            <v>19.367000000000001</v>
          </cell>
          <cell r="S150">
            <v>0.29899999999999999</v>
          </cell>
          <cell r="U150">
            <v>0.13500000000000001</v>
          </cell>
          <cell r="V150">
            <v>19.801000000000002</v>
          </cell>
          <cell r="W150">
            <v>0</v>
          </cell>
          <cell r="Z150">
            <v>13.202999999999999</v>
          </cell>
          <cell r="AG150">
            <v>13.202999999999999</v>
          </cell>
          <cell r="AH150">
            <v>5.7729999999999997</v>
          </cell>
          <cell r="AR150">
            <v>5.7729999999999997</v>
          </cell>
          <cell r="AS150">
            <v>19.812000000000001</v>
          </cell>
          <cell r="AT150">
            <v>19.108999999999998</v>
          </cell>
          <cell r="AU150">
            <v>0.70300000000000296</v>
          </cell>
          <cell r="AV150">
            <v>0</v>
          </cell>
          <cell r="AW150">
            <v>19.812000000000001</v>
          </cell>
          <cell r="AX150">
            <v>0</v>
          </cell>
          <cell r="AY150">
            <v>0</v>
          </cell>
          <cell r="AZ150">
            <v>19.801000000000002</v>
          </cell>
        </row>
        <row r="151">
          <cell r="I151">
            <v>6.1070000000000002</v>
          </cell>
          <cell r="J151">
            <v>2.468</v>
          </cell>
          <cell r="K151">
            <v>23.382000000000001</v>
          </cell>
          <cell r="L151">
            <v>25.85</v>
          </cell>
          <cell r="N151">
            <v>6.6000000000000003E-2</v>
          </cell>
          <cell r="O151">
            <v>0.33600000000000008</v>
          </cell>
          <cell r="P151">
            <v>0.21099999999999999</v>
          </cell>
          <cell r="Q151">
            <v>0</v>
          </cell>
          <cell r="R151">
            <v>25.237000000000002</v>
          </cell>
          <cell r="U151">
            <v>0.24399999999999999</v>
          </cell>
          <cell r="V151">
            <v>25.481000000000002</v>
          </cell>
          <cell r="W151">
            <v>0</v>
          </cell>
          <cell r="X151">
            <v>8.6620000000000008</v>
          </cell>
          <cell r="Y151" t="str">
            <v>ke</v>
          </cell>
          <cell r="Z151">
            <v>0</v>
          </cell>
          <cell r="AA151">
            <v>0</v>
          </cell>
          <cell r="AB151">
            <v>0</v>
          </cell>
          <cell r="AC151">
            <v>0</v>
          </cell>
          <cell r="AD151">
            <v>0</v>
          </cell>
          <cell r="AE151">
            <v>0</v>
          </cell>
          <cell r="AF151">
            <v>0</v>
          </cell>
          <cell r="AG151">
            <v>8.6620000000000008</v>
          </cell>
          <cell r="AH151">
            <v>18.132999999999999</v>
          </cell>
          <cell r="AR151">
            <v>18.132999999999999</v>
          </cell>
          <cell r="AS151">
            <v>23.626000000000001</v>
          </cell>
          <cell r="AT151">
            <v>30.085999999999999</v>
          </cell>
          <cell r="AU151">
            <v>-6.4599999999999973</v>
          </cell>
          <cell r="AV151">
            <v>0</v>
          </cell>
          <cell r="AW151">
            <v>23.626000000000001</v>
          </cell>
          <cell r="AX151">
            <v>0</v>
          </cell>
          <cell r="AY151">
            <v>0</v>
          </cell>
          <cell r="AZ151">
            <v>25.481000000000002</v>
          </cell>
        </row>
        <row r="152">
          <cell r="H152">
            <v>2.1059999999999999</v>
          </cell>
          <cell r="I152">
            <v>4.2069999999999999</v>
          </cell>
          <cell r="J152">
            <v>5.4889999999999999</v>
          </cell>
          <cell r="L152">
            <v>5.4889999999999999</v>
          </cell>
          <cell r="M152">
            <v>0.36399999999999999</v>
          </cell>
          <cell r="O152">
            <v>0.26700000000000002</v>
          </cell>
          <cell r="R152">
            <v>4.8579999999999997</v>
          </cell>
          <cell r="T152">
            <v>0.29499999999999998</v>
          </cell>
          <cell r="V152">
            <v>5.1529999999999996</v>
          </cell>
          <cell r="AG152">
            <v>0</v>
          </cell>
          <cell r="AR152">
            <v>0</v>
          </cell>
          <cell r="AS152">
            <v>0</v>
          </cell>
          <cell r="AT152">
            <v>0</v>
          </cell>
          <cell r="AU152">
            <v>0</v>
          </cell>
          <cell r="AV152">
            <v>0</v>
          </cell>
          <cell r="AW152">
            <v>0</v>
          </cell>
          <cell r="AX152">
            <v>0</v>
          </cell>
          <cell r="AY152">
            <v>0</v>
          </cell>
          <cell r="AZ152">
            <v>5.1529999999999996</v>
          </cell>
        </row>
        <row r="153">
          <cell r="H153">
            <v>1.528</v>
          </cell>
          <cell r="I153">
            <v>1.536</v>
          </cell>
          <cell r="J153">
            <v>0.124</v>
          </cell>
          <cell r="L153">
            <v>0.124</v>
          </cell>
          <cell r="M153">
            <v>0.02</v>
          </cell>
          <cell r="O153">
            <v>6.0000000000000001E-3</v>
          </cell>
          <cell r="R153">
            <v>9.8000000000000004E-2</v>
          </cell>
          <cell r="S153">
            <v>3.0950000000000002</v>
          </cell>
          <cell r="V153">
            <v>3.1930000000000001</v>
          </cell>
          <cell r="AD153">
            <v>1.75</v>
          </cell>
          <cell r="AG153">
            <v>1.75</v>
          </cell>
          <cell r="AR153">
            <v>0</v>
          </cell>
          <cell r="AS153">
            <v>3.0950000000000002</v>
          </cell>
          <cell r="AT153">
            <v>1.75</v>
          </cell>
          <cell r="AU153">
            <v>1.3450000000000002</v>
          </cell>
          <cell r="AV153">
            <v>0</v>
          </cell>
          <cell r="AW153">
            <v>3.0950000000000002</v>
          </cell>
          <cell r="AX153">
            <v>0</v>
          </cell>
          <cell r="AY153">
            <v>0</v>
          </cell>
          <cell r="AZ153">
            <v>3.1930000000000001</v>
          </cell>
        </row>
        <row r="154">
          <cell r="C154">
            <v>0</v>
          </cell>
          <cell r="E154">
            <v>0</v>
          </cell>
          <cell r="G154">
            <v>1.3</v>
          </cell>
          <cell r="H154">
            <v>6.8639999999999999</v>
          </cell>
          <cell r="I154">
            <v>1.2929999999999999</v>
          </cell>
          <cell r="J154">
            <v>1.1739999999999999</v>
          </cell>
          <cell r="L154">
            <v>1.1739999999999999</v>
          </cell>
          <cell r="O154">
            <v>0.309</v>
          </cell>
          <cell r="R154">
            <v>0.86499999999999999</v>
          </cell>
          <cell r="V154">
            <v>0.86499999999999999</v>
          </cell>
          <cell r="AG154">
            <v>0</v>
          </cell>
          <cell r="AR154">
            <v>0</v>
          </cell>
          <cell r="AS154">
            <v>0</v>
          </cell>
          <cell r="AT154">
            <v>0</v>
          </cell>
          <cell r="AU154">
            <v>0</v>
          </cell>
          <cell r="AV154">
            <v>0</v>
          </cell>
          <cell r="AW154">
            <v>0</v>
          </cell>
          <cell r="AX154">
            <v>0</v>
          </cell>
          <cell r="AY154">
            <v>0</v>
          </cell>
          <cell r="AZ154">
            <v>0.86499999999999999</v>
          </cell>
        </row>
        <row r="155">
          <cell r="L155">
            <v>0</v>
          </cell>
          <cell r="R155">
            <v>0</v>
          </cell>
          <cell r="S155">
            <v>1.925</v>
          </cell>
          <cell r="V155">
            <v>1.925</v>
          </cell>
          <cell r="AD155">
            <v>1.925</v>
          </cell>
          <cell r="AG155">
            <v>1.925</v>
          </cell>
          <cell r="AR155">
            <v>0</v>
          </cell>
          <cell r="AS155">
            <v>1.925</v>
          </cell>
          <cell r="AT155">
            <v>1.925</v>
          </cell>
          <cell r="AU155">
            <v>0</v>
          </cell>
          <cell r="AV155">
            <v>0</v>
          </cell>
          <cell r="AW155">
            <v>1.925</v>
          </cell>
          <cell r="AX155">
            <v>0</v>
          </cell>
          <cell r="AY155">
            <v>0</v>
          </cell>
          <cell r="AZ155">
            <v>1.925</v>
          </cell>
        </row>
        <row r="156">
          <cell r="C156">
            <v>0</v>
          </cell>
          <cell r="E156">
            <v>7</v>
          </cell>
          <cell r="F156">
            <v>14.2</v>
          </cell>
          <cell r="G156">
            <v>29.6</v>
          </cell>
          <cell r="H156">
            <v>14.97</v>
          </cell>
          <cell r="I156">
            <v>0.20799999999999999</v>
          </cell>
          <cell r="J156">
            <v>1.0820000000000001</v>
          </cell>
          <cell r="K156">
            <v>2.6920000000000002</v>
          </cell>
          <cell r="L156">
            <v>3.774</v>
          </cell>
          <cell r="M156">
            <v>0.72599999999999998</v>
          </cell>
          <cell r="O156">
            <v>0.10100000000000001</v>
          </cell>
          <cell r="R156">
            <v>2.9470000000000001</v>
          </cell>
          <cell r="V156">
            <v>2.9470000000000001</v>
          </cell>
          <cell r="W156">
            <v>2.8109999999999999</v>
          </cell>
          <cell r="AG156">
            <v>2.8109999999999999</v>
          </cell>
          <cell r="AR156">
            <v>0</v>
          </cell>
          <cell r="AS156">
            <v>2.6920000000000002</v>
          </cell>
          <cell r="AT156">
            <v>2.8109999999999999</v>
          </cell>
          <cell r="AU156">
            <v>-0.11899999999999977</v>
          </cell>
          <cell r="AV156">
            <v>0</v>
          </cell>
          <cell r="AW156">
            <v>2.6920000000000002</v>
          </cell>
          <cell r="AX156">
            <v>0</v>
          </cell>
          <cell r="AY156">
            <v>0</v>
          </cell>
          <cell r="AZ156">
            <v>2.9470000000000001</v>
          </cell>
        </row>
        <row r="157">
          <cell r="C157">
            <v>0</v>
          </cell>
          <cell r="E157">
            <v>7</v>
          </cell>
          <cell r="F157">
            <v>14.2</v>
          </cell>
          <cell r="G157">
            <v>29.6</v>
          </cell>
          <cell r="H157">
            <v>14.97</v>
          </cell>
          <cell r="I157">
            <v>29.863999999999997</v>
          </cell>
          <cell r="J157">
            <v>2.8969999999999998</v>
          </cell>
          <cell r="K157">
            <v>51.938000000000002</v>
          </cell>
          <cell r="L157">
            <v>54.835000000000001</v>
          </cell>
          <cell r="M157">
            <v>0.39300000000000013</v>
          </cell>
          <cell r="N157">
            <v>0.95699999999999996</v>
          </cell>
          <cell r="O157">
            <v>1.2949999999999999</v>
          </cell>
          <cell r="R157">
            <v>52.19</v>
          </cell>
          <cell r="S157">
            <v>17.468</v>
          </cell>
          <cell r="T157">
            <v>1.2130000000000001</v>
          </cell>
          <cell r="U157">
            <v>2.4E-2</v>
          </cell>
          <cell r="V157">
            <v>70.894999999999996</v>
          </cell>
          <cell r="W157">
            <v>33.764000000000003</v>
          </cell>
          <cell r="X157">
            <v>14.493</v>
          </cell>
          <cell r="Y157" t="str">
            <v>ke</v>
          </cell>
          <cell r="Z157">
            <v>10.381</v>
          </cell>
          <cell r="AG157">
            <v>58.638000000000005</v>
          </cell>
          <cell r="AR157">
            <v>0</v>
          </cell>
          <cell r="AS157">
            <v>69.430000000000007</v>
          </cell>
          <cell r="AT157">
            <v>58.638000000000005</v>
          </cell>
          <cell r="AU157">
            <v>10.792000000000002</v>
          </cell>
          <cell r="AV157">
            <v>0</v>
          </cell>
          <cell r="AW157">
            <v>69.430000000000007</v>
          </cell>
          <cell r="AX157">
            <v>0</v>
          </cell>
          <cell r="AY157">
            <v>0</v>
          </cell>
          <cell r="AZ157">
            <v>70.894999999999996</v>
          </cell>
        </row>
        <row r="159">
          <cell r="C159">
            <v>0</v>
          </cell>
          <cell r="D159">
            <v>0</v>
          </cell>
          <cell r="E159">
            <v>14</v>
          </cell>
          <cell r="F159">
            <v>33.099999999999994</v>
          </cell>
          <cell r="G159">
            <v>65.800000000000011</v>
          </cell>
          <cell r="H159">
            <v>41.241999999999997</v>
          </cell>
          <cell r="I159">
            <v>43.712999999999994</v>
          </cell>
          <cell r="J159">
            <v>18.850000000000001</v>
          </cell>
          <cell r="K159">
            <v>97.390000000000015</v>
          </cell>
          <cell r="L159">
            <v>116.24000000000001</v>
          </cell>
          <cell r="M159">
            <v>1.5030000000000001</v>
          </cell>
          <cell r="N159">
            <v>1.0229999999999999</v>
          </cell>
          <cell r="O159">
            <v>4.1619999999999999</v>
          </cell>
          <cell r="P159">
            <v>0.35799999999999998</v>
          </cell>
          <cell r="Q159">
            <v>0</v>
          </cell>
          <cell r="R159">
            <v>109.194</v>
          </cell>
          <cell r="S159">
            <v>22.786999999999999</v>
          </cell>
          <cell r="T159">
            <v>1.508</v>
          </cell>
          <cell r="U159">
            <v>0.40300000000000002</v>
          </cell>
          <cell r="V159">
            <v>133.892</v>
          </cell>
          <cell r="W159">
            <v>36.575000000000003</v>
          </cell>
          <cell r="X159">
            <v>23.155000000000001</v>
          </cell>
          <cell r="Y159">
            <v>0</v>
          </cell>
          <cell r="Z159">
            <v>23.584</v>
          </cell>
          <cell r="AA159">
            <v>0</v>
          </cell>
          <cell r="AB159">
            <v>0</v>
          </cell>
          <cell r="AC159">
            <v>0</v>
          </cell>
          <cell r="AD159">
            <v>3.6749999999999998</v>
          </cell>
          <cell r="AE159">
            <v>0</v>
          </cell>
          <cell r="AF159">
            <v>0</v>
          </cell>
          <cell r="AG159">
            <v>86.989000000000004</v>
          </cell>
          <cell r="AH159">
            <v>23.905999999999999</v>
          </cell>
          <cell r="AI159">
            <v>0</v>
          </cell>
          <cell r="AJ159">
            <v>0</v>
          </cell>
          <cell r="AK159">
            <v>0</v>
          </cell>
          <cell r="AL159">
            <v>0</v>
          </cell>
          <cell r="AM159">
            <v>0</v>
          </cell>
          <cell r="AN159">
            <v>0</v>
          </cell>
          <cell r="AO159">
            <v>0</v>
          </cell>
          <cell r="AP159">
            <v>0</v>
          </cell>
          <cell r="AQ159">
            <v>0</v>
          </cell>
          <cell r="AR159">
            <v>23.905999999999999</v>
          </cell>
          <cell r="AS159">
            <v>120.58000000000001</v>
          </cell>
          <cell r="AT159">
            <v>114.31899999999999</v>
          </cell>
          <cell r="AU159">
            <v>6.2610000000000081</v>
          </cell>
          <cell r="AV159">
            <v>0</v>
          </cell>
          <cell r="AW159">
            <v>120.58000000000001</v>
          </cell>
          <cell r="AX159">
            <v>0</v>
          </cell>
          <cell r="AY159">
            <v>0</v>
          </cell>
          <cell r="AZ159">
            <v>133.892</v>
          </cell>
        </row>
        <row r="161">
          <cell r="L161">
            <v>0</v>
          </cell>
          <cell r="R161">
            <v>0</v>
          </cell>
          <cell r="S161">
            <v>2.492</v>
          </cell>
          <cell r="V161">
            <v>2.492</v>
          </cell>
          <cell r="W161">
            <v>0</v>
          </cell>
          <cell r="X161">
            <v>2.2829999999999999</v>
          </cell>
          <cell r="Y161" t="str">
            <v>mu</v>
          </cell>
          <cell r="AG161">
            <v>2.2829999999999999</v>
          </cell>
          <cell r="AR161">
            <v>0</v>
          </cell>
          <cell r="AS161">
            <v>2.492</v>
          </cell>
          <cell r="AT161">
            <v>2.2829999999999999</v>
          </cell>
          <cell r="AU161">
            <v>0.20900000000000007</v>
          </cell>
          <cell r="AV161">
            <v>0</v>
          </cell>
          <cell r="AW161">
            <v>2.492</v>
          </cell>
          <cell r="AX161">
            <v>0</v>
          </cell>
          <cell r="AY161">
            <v>0</v>
          </cell>
          <cell r="AZ161">
            <v>2.492</v>
          </cell>
        </row>
        <row r="162">
          <cell r="L162">
            <v>0</v>
          </cell>
          <cell r="R162">
            <v>0</v>
          </cell>
          <cell r="S162">
            <v>3.633</v>
          </cell>
          <cell r="V162">
            <v>3.633</v>
          </cell>
          <cell r="W162">
            <v>3.633</v>
          </cell>
          <cell r="AG162">
            <v>3.633</v>
          </cell>
          <cell r="AR162">
            <v>0</v>
          </cell>
          <cell r="AS162">
            <v>3.633</v>
          </cell>
          <cell r="AT162">
            <v>3.633</v>
          </cell>
          <cell r="AU162">
            <v>0</v>
          </cell>
          <cell r="AV162">
            <v>0</v>
          </cell>
          <cell r="AW162">
            <v>3.633</v>
          </cell>
          <cell r="AX162">
            <v>0</v>
          </cell>
          <cell r="AY162">
            <v>0</v>
          </cell>
          <cell r="AZ162">
            <v>3.633</v>
          </cell>
        </row>
        <row r="163">
          <cell r="L163">
            <v>0</v>
          </cell>
          <cell r="Q163">
            <v>1.25</v>
          </cell>
          <cell r="R163">
            <v>1.25</v>
          </cell>
          <cell r="V163">
            <v>1.25</v>
          </cell>
          <cell r="AF163">
            <v>0</v>
          </cell>
          <cell r="AG163">
            <v>0</v>
          </cell>
          <cell r="AR163">
            <v>0</v>
          </cell>
          <cell r="AS163">
            <v>0</v>
          </cell>
          <cell r="AT163">
            <v>1.25</v>
          </cell>
          <cell r="AU163">
            <v>-1.25</v>
          </cell>
          <cell r="AV163">
            <v>0</v>
          </cell>
          <cell r="AW163">
            <v>0</v>
          </cell>
          <cell r="AX163">
            <v>0</v>
          </cell>
          <cell r="AY163">
            <v>0</v>
          </cell>
          <cell r="AZ163">
            <v>1.25</v>
          </cell>
        </row>
        <row r="164">
          <cell r="L164">
            <v>0</v>
          </cell>
          <cell r="R164">
            <v>0</v>
          </cell>
          <cell r="V164">
            <v>0</v>
          </cell>
          <cell r="AG164">
            <v>0</v>
          </cell>
          <cell r="AR164">
            <v>0</v>
          </cell>
          <cell r="AS164">
            <v>0</v>
          </cell>
          <cell r="AT164">
            <v>0</v>
          </cell>
          <cell r="AU164">
            <v>0</v>
          </cell>
          <cell r="AV164">
            <v>0</v>
          </cell>
          <cell r="AW164">
            <v>0</v>
          </cell>
          <cell r="AX164">
            <v>0</v>
          </cell>
          <cell r="AY164">
            <v>0</v>
          </cell>
          <cell r="AZ164">
            <v>0</v>
          </cell>
        </row>
        <row r="166">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1.25</v>
          </cell>
          <cell r="R166">
            <v>1.25</v>
          </cell>
          <cell r="S166">
            <v>6.125</v>
          </cell>
          <cell r="T166">
            <v>0</v>
          </cell>
          <cell r="U166">
            <v>0</v>
          </cell>
          <cell r="V166">
            <v>7.375</v>
          </cell>
          <cell r="W166">
            <v>3.633</v>
          </cell>
          <cell r="X166">
            <v>2.2829999999999999</v>
          </cell>
          <cell r="Y166">
            <v>0</v>
          </cell>
          <cell r="Z166">
            <v>0</v>
          </cell>
          <cell r="AA166">
            <v>0</v>
          </cell>
          <cell r="AB166">
            <v>0</v>
          </cell>
          <cell r="AC166">
            <v>0</v>
          </cell>
          <cell r="AD166">
            <v>0</v>
          </cell>
          <cell r="AE166">
            <v>0</v>
          </cell>
          <cell r="AF166">
            <v>0</v>
          </cell>
          <cell r="AG166">
            <v>5.9160000000000004</v>
          </cell>
          <cell r="AH166">
            <v>0</v>
          </cell>
          <cell r="AI166">
            <v>0</v>
          </cell>
          <cell r="AJ166">
            <v>0</v>
          </cell>
          <cell r="AK166">
            <v>0</v>
          </cell>
          <cell r="AL166">
            <v>0</v>
          </cell>
          <cell r="AM166">
            <v>0</v>
          </cell>
          <cell r="AN166">
            <v>0</v>
          </cell>
          <cell r="AO166">
            <v>0</v>
          </cell>
          <cell r="AP166">
            <v>0</v>
          </cell>
          <cell r="AQ166">
            <v>0</v>
          </cell>
          <cell r="AR166">
            <v>0</v>
          </cell>
          <cell r="AS166">
            <v>6.125</v>
          </cell>
          <cell r="AT166">
            <v>7.1660000000000004</v>
          </cell>
          <cell r="AU166">
            <v>-1.0409999999999999</v>
          </cell>
          <cell r="AV166">
            <v>0</v>
          </cell>
          <cell r="AW166">
            <v>6.125</v>
          </cell>
          <cell r="AX166">
            <v>0</v>
          </cell>
          <cell r="AY166">
            <v>0</v>
          </cell>
          <cell r="AZ166">
            <v>7.375</v>
          </cell>
        </row>
        <row r="168">
          <cell r="C168">
            <v>0</v>
          </cell>
          <cell r="D168">
            <v>0</v>
          </cell>
          <cell r="E168">
            <v>14</v>
          </cell>
          <cell r="F168">
            <v>33.099999999999994</v>
          </cell>
          <cell r="G168">
            <v>65.800000000000011</v>
          </cell>
          <cell r="H168">
            <v>41.241999999999997</v>
          </cell>
          <cell r="I168">
            <v>43.712999999999994</v>
          </cell>
          <cell r="J168">
            <v>18.850000000000001</v>
          </cell>
          <cell r="K168">
            <v>97.390000000000015</v>
          </cell>
          <cell r="L168">
            <v>116.24000000000001</v>
          </cell>
          <cell r="M168">
            <v>1.5030000000000001</v>
          </cell>
          <cell r="N168">
            <v>1.0229999999999999</v>
          </cell>
          <cell r="O168">
            <v>4.1619999999999999</v>
          </cell>
          <cell r="P168">
            <v>0.35799999999999998</v>
          </cell>
          <cell r="Q168">
            <v>1.25</v>
          </cell>
          <cell r="R168">
            <v>110.444</v>
          </cell>
          <cell r="S168">
            <v>28.911999999999999</v>
          </cell>
          <cell r="T168">
            <v>1.508</v>
          </cell>
          <cell r="U168">
            <v>0.40300000000000002</v>
          </cell>
          <cell r="V168">
            <v>141.267</v>
          </cell>
          <cell r="W168">
            <v>40.208000000000006</v>
          </cell>
          <cell r="X168">
            <v>25.438000000000002</v>
          </cell>
          <cell r="Y168">
            <v>0</v>
          </cell>
          <cell r="Z168">
            <v>23.584</v>
          </cell>
          <cell r="AA168">
            <v>0</v>
          </cell>
          <cell r="AB168">
            <v>0</v>
          </cell>
          <cell r="AC168">
            <v>0</v>
          </cell>
          <cell r="AD168">
            <v>3.6749999999999998</v>
          </cell>
          <cell r="AE168">
            <v>0</v>
          </cell>
          <cell r="AF168">
            <v>0</v>
          </cell>
          <cell r="AG168">
            <v>92.905000000000001</v>
          </cell>
          <cell r="AH168">
            <v>23.905999999999999</v>
          </cell>
          <cell r="AI168">
            <v>0</v>
          </cell>
          <cell r="AJ168">
            <v>0</v>
          </cell>
          <cell r="AK168">
            <v>0</v>
          </cell>
          <cell r="AL168">
            <v>0</v>
          </cell>
          <cell r="AM168">
            <v>0</v>
          </cell>
          <cell r="AN168">
            <v>0</v>
          </cell>
          <cell r="AO168">
            <v>0</v>
          </cell>
          <cell r="AP168">
            <v>0</v>
          </cell>
          <cell r="AQ168">
            <v>0</v>
          </cell>
          <cell r="AR168">
            <v>23.905999999999999</v>
          </cell>
          <cell r="AS168">
            <v>126.70500000000001</v>
          </cell>
          <cell r="AT168">
            <v>121.48499999999999</v>
          </cell>
          <cell r="AU168">
            <v>5.2200000000000077</v>
          </cell>
          <cell r="AV168">
            <v>0</v>
          </cell>
          <cell r="AW168">
            <v>126.70500000000001</v>
          </cell>
          <cell r="AX168">
            <v>0</v>
          </cell>
          <cell r="AY168">
            <v>0</v>
          </cell>
          <cell r="AZ168">
            <v>141.267</v>
          </cell>
        </row>
        <row r="170">
          <cell r="C170">
            <v>0</v>
          </cell>
          <cell r="E170">
            <v>0</v>
          </cell>
          <cell r="H170">
            <v>1.079</v>
          </cell>
          <cell r="L170">
            <v>0</v>
          </cell>
          <cell r="R170">
            <v>0</v>
          </cell>
          <cell r="V170">
            <v>0</v>
          </cell>
          <cell r="AG170">
            <v>0</v>
          </cell>
          <cell r="AR170">
            <v>0</v>
          </cell>
          <cell r="AS170">
            <v>0</v>
          </cell>
          <cell r="AT170">
            <v>0</v>
          </cell>
          <cell r="AU170">
            <v>0</v>
          </cell>
          <cell r="AV170">
            <v>0</v>
          </cell>
          <cell r="AW170">
            <v>0</v>
          </cell>
          <cell r="AX170">
            <v>0</v>
          </cell>
          <cell r="AY170">
            <v>0</v>
          </cell>
          <cell r="AZ170">
            <v>0</v>
          </cell>
        </row>
        <row r="171">
          <cell r="C171">
            <v>0</v>
          </cell>
          <cell r="D171">
            <v>12.2</v>
          </cell>
          <cell r="E171">
            <v>43.2</v>
          </cell>
          <cell r="F171">
            <v>46.800000000000004</v>
          </cell>
          <cell r="G171">
            <v>33.9</v>
          </cell>
          <cell r="H171">
            <v>14.531000000000001</v>
          </cell>
          <cell r="I171">
            <v>5.6610000000000005</v>
          </cell>
          <cell r="J171">
            <v>12.355</v>
          </cell>
          <cell r="L171">
            <v>12.355</v>
          </cell>
          <cell r="O171">
            <v>0.33</v>
          </cell>
          <cell r="R171">
            <v>12.025</v>
          </cell>
          <cell r="V171">
            <v>12.025</v>
          </cell>
          <cell r="AG171">
            <v>0</v>
          </cell>
          <cell r="AR171">
            <v>0</v>
          </cell>
          <cell r="AS171">
            <v>0</v>
          </cell>
          <cell r="AT171">
            <v>0</v>
          </cell>
          <cell r="AU171">
            <v>0</v>
          </cell>
          <cell r="AV171">
            <v>0</v>
          </cell>
          <cell r="AW171">
            <v>0</v>
          </cell>
          <cell r="AX171">
            <v>0</v>
          </cell>
          <cell r="AY171">
            <v>0</v>
          </cell>
          <cell r="AZ171">
            <v>12.025</v>
          </cell>
        </row>
        <row r="172">
          <cell r="C172">
            <v>0</v>
          </cell>
          <cell r="E172">
            <v>1</v>
          </cell>
          <cell r="F172">
            <v>8.4</v>
          </cell>
          <cell r="G172">
            <v>17.600000000000001</v>
          </cell>
          <cell r="H172">
            <v>17.158000000000001</v>
          </cell>
          <cell r="I172">
            <v>6.8170000000000002</v>
          </cell>
          <cell r="J172">
            <v>1.0469999999999999</v>
          </cell>
          <cell r="K172">
            <v>5.7930000000000001</v>
          </cell>
          <cell r="L172">
            <v>6.84</v>
          </cell>
          <cell r="P172">
            <v>2E-3</v>
          </cell>
          <cell r="R172">
            <v>6.8380000000000001</v>
          </cell>
          <cell r="T172">
            <v>0.14599999999999999</v>
          </cell>
          <cell r="V172">
            <v>6.984</v>
          </cell>
          <cell r="X172">
            <v>5.383</v>
          </cell>
          <cell r="Y172" t="str">
            <v>ke</v>
          </cell>
          <cell r="AG172">
            <v>5.383</v>
          </cell>
          <cell r="AR172">
            <v>0</v>
          </cell>
          <cell r="AS172">
            <v>5.7930000000000001</v>
          </cell>
          <cell r="AT172">
            <v>5.383</v>
          </cell>
          <cell r="AU172">
            <v>0.41000000000000014</v>
          </cell>
          <cell r="AV172">
            <v>0</v>
          </cell>
          <cell r="AW172">
            <v>5.7930000000000001</v>
          </cell>
          <cell r="AX172">
            <v>0</v>
          </cell>
          <cell r="AY172">
            <v>0</v>
          </cell>
          <cell r="AZ172">
            <v>6.984</v>
          </cell>
        </row>
        <row r="173">
          <cell r="C173">
            <v>14.176</v>
          </cell>
          <cell r="D173">
            <v>17.700000000000003</v>
          </cell>
          <cell r="E173">
            <v>14.9</v>
          </cell>
          <cell r="F173">
            <v>10.1</v>
          </cell>
          <cell r="G173">
            <v>4.7</v>
          </cell>
          <cell r="H173">
            <v>3.34</v>
          </cell>
          <cell r="I173">
            <v>2.2730000000000001</v>
          </cell>
          <cell r="J173">
            <v>1.5129999999999999</v>
          </cell>
          <cell r="L173">
            <v>1.5129999999999999</v>
          </cell>
          <cell r="M173">
            <v>9.6000000000000002E-2</v>
          </cell>
          <cell r="O173">
            <v>1.4E-2</v>
          </cell>
          <cell r="R173">
            <v>1.4029999999999998</v>
          </cell>
          <cell r="T173">
            <v>0.315</v>
          </cell>
          <cell r="V173">
            <v>1.7179999999999997</v>
          </cell>
          <cell r="AG173">
            <v>0</v>
          </cell>
          <cell r="AR173">
            <v>0</v>
          </cell>
          <cell r="AS173">
            <v>0</v>
          </cell>
          <cell r="AT173">
            <v>0</v>
          </cell>
          <cell r="AU173">
            <v>0</v>
          </cell>
          <cell r="AV173">
            <v>0</v>
          </cell>
          <cell r="AW173">
            <v>0</v>
          </cell>
          <cell r="AX173">
            <v>0</v>
          </cell>
          <cell r="AY173">
            <v>0</v>
          </cell>
          <cell r="AZ173">
            <v>1.7179999999999997</v>
          </cell>
        </row>
        <row r="174">
          <cell r="I174">
            <v>1.9530000000000001</v>
          </cell>
          <cell r="J174">
            <v>7.5890000000000004</v>
          </cell>
          <cell r="L174">
            <v>7.5890000000000004</v>
          </cell>
          <cell r="O174">
            <v>1.6E-2</v>
          </cell>
          <cell r="R174">
            <v>7.5730000000000004</v>
          </cell>
          <cell r="V174">
            <v>7.5730000000000004</v>
          </cell>
          <cell r="AG174">
            <v>0</v>
          </cell>
          <cell r="AR174">
            <v>0</v>
          </cell>
          <cell r="AS174">
            <v>0</v>
          </cell>
          <cell r="AT174">
            <v>0</v>
          </cell>
          <cell r="AU174">
            <v>0</v>
          </cell>
          <cell r="AV174">
            <v>0</v>
          </cell>
          <cell r="AW174">
            <v>0</v>
          </cell>
          <cell r="AX174">
            <v>0</v>
          </cell>
          <cell r="AY174">
            <v>0</v>
          </cell>
          <cell r="AZ174">
            <v>7.5730000000000004</v>
          </cell>
        </row>
        <row r="175">
          <cell r="C175">
            <v>0</v>
          </cell>
          <cell r="D175">
            <v>6.9</v>
          </cell>
          <cell r="E175">
            <v>12.3</v>
          </cell>
          <cell r="F175">
            <v>5</v>
          </cell>
          <cell r="G175">
            <v>1.2</v>
          </cell>
          <cell r="H175">
            <v>7.9000000000000001E-2</v>
          </cell>
          <cell r="L175">
            <v>0</v>
          </cell>
          <cell r="R175">
            <v>0</v>
          </cell>
          <cell r="V175">
            <v>0</v>
          </cell>
          <cell r="AG175">
            <v>0</v>
          </cell>
          <cell r="AR175">
            <v>0</v>
          </cell>
          <cell r="AS175">
            <v>0</v>
          </cell>
          <cell r="AT175">
            <v>0</v>
          </cell>
          <cell r="AU175">
            <v>0</v>
          </cell>
          <cell r="AV175">
            <v>0</v>
          </cell>
          <cell r="AW175">
            <v>0</v>
          </cell>
          <cell r="AX175">
            <v>0</v>
          </cell>
          <cell r="AY175">
            <v>0</v>
          </cell>
          <cell r="AZ175">
            <v>0</v>
          </cell>
        </row>
        <row r="176">
          <cell r="C176">
            <v>0</v>
          </cell>
          <cell r="E176">
            <v>0</v>
          </cell>
          <cell r="F176">
            <v>4.3</v>
          </cell>
          <cell r="G176">
            <v>20.8</v>
          </cell>
          <cell r="H176">
            <v>25.289000000000001</v>
          </cell>
          <cell r="I176">
            <v>15.092000000000001</v>
          </cell>
          <cell r="J176">
            <v>31.094999999999999</v>
          </cell>
          <cell r="L176">
            <v>31.094999999999999</v>
          </cell>
          <cell r="M176">
            <v>0.26700000000000002</v>
          </cell>
          <cell r="O176">
            <v>1.415</v>
          </cell>
          <cell r="Q176">
            <v>0</v>
          </cell>
          <cell r="R176">
            <v>29.413</v>
          </cell>
          <cell r="T176">
            <v>8.0000000000000002E-3</v>
          </cell>
          <cell r="V176">
            <v>29.420999999999999</v>
          </cell>
          <cell r="W176">
            <v>0</v>
          </cell>
          <cell r="X176">
            <v>0</v>
          </cell>
          <cell r="Y176">
            <v>0</v>
          </cell>
          <cell r="Z176">
            <v>0</v>
          </cell>
          <cell r="AA176">
            <v>0</v>
          </cell>
          <cell r="AB176">
            <v>0</v>
          </cell>
          <cell r="AC176">
            <v>0</v>
          </cell>
          <cell r="AD176">
            <v>0</v>
          </cell>
          <cell r="AE176">
            <v>0</v>
          </cell>
          <cell r="AF176">
            <v>0</v>
          </cell>
          <cell r="AG176">
            <v>0</v>
          </cell>
          <cell r="AR176">
            <v>0</v>
          </cell>
          <cell r="AS176">
            <v>0</v>
          </cell>
          <cell r="AT176">
            <v>0</v>
          </cell>
          <cell r="AU176">
            <v>0</v>
          </cell>
          <cell r="AV176">
            <v>0</v>
          </cell>
          <cell r="AW176">
            <v>0</v>
          </cell>
          <cell r="AX176">
            <v>0</v>
          </cell>
          <cell r="AY176">
            <v>0</v>
          </cell>
          <cell r="AZ176">
            <v>29.420999999999999</v>
          </cell>
        </row>
        <row r="177">
          <cell r="C177">
            <v>0</v>
          </cell>
          <cell r="E177">
            <v>0</v>
          </cell>
          <cell r="F177">
            <v>10.8</v>
          </cell>
          <cell r="G177">
            <v>25.7</v>
          </cell>
          <cell r="H177">
            <v>15.576000000000001</v>
          </cell>
          <cell r="I177">
            <v>7.4619999999999997</v>
          </cell>
          <cell r="J177">
            <v>4.9619999999999997</v>
          </cell>
          <cell r="K177">
            <v>0.10299999999999999</v>
          </cell>
          <cell r="L177">
            <v>5.0649999999999995</v>
          </cell>
          <cell r="O177">
            <v>0.47299999999999998</v>
          </cell>
          <cell r="R177">
            <v>4.5919999999999996</v>
          </cell>
          <cell r="V177">
            <v>4.5919999999999996</v>
          </cell>
          <cell r="Z177">
            <v>2.9430000000000001</v>
          </cell>
          <cell r="AG177">
            <v>2.9430000000000001</v>
          </cell>
          <cell r="AR177">
            <v>0</v>
          </cell>
          <cell r="AS177">
            <v>0.10299999999999999</v>
          </cell>
          <cell r="AT177">
            <v>2.9430000000000001</v>
          </cell>
          <cell r="AU177">
            <v>-2.84</v>
          </cell>
          <cell r="AV177">
            <v>0</v>
          </cell>
          <cell r="AW177">
            <v>0.10299999999999999</v>
          </cell>
          <cell r="AX177">
            <v>0</v>
          </cell>
          <cell r="AY177">
            <v>0</v>
          </cell>
          <cell r="AZ177">
            <v>4.5919999999999996</v>
          </cell>
        </row>
        <row r="178">
          <cell r="C178">
            <v>0</v>
          </cell>
          <cell r="E178">
            <v>0</v>
          </cell>
          <cell r="H178">
            <v>3.0430000000000001</v>
          </cell>
          <cell r="I178">
            <v>14.978999999999999</v>
          </cell>
          <cell r="J178">
            <v>9.9629999999999992</v>
          </cell>
          <cell r="K178">
            <v>14.537000000000001</v>
          </cell>
          <cell r="L178">
            <v>24.5</v>
          </cell>
          <cell r="M178">
            <v>0.42</v>
          </cell>
          <cell r="O178">
            <v>2.0999999999999998E-2</v>
          </cell>
          <cell r="P178">
            <v>2E-3</v>
          </cell>
          <cell r="R178">
            <v>24.056999999999999</v>
          </cell>
          <cell r="S178">
            <v>3.7269999999999999</v>
          </cell>
          <cell r="T178">
            <v>0.185</v>
          </cell>
          <cell r="V178">
            <v>27.968999999999998</v>
          </cell>
          <cell r="X178">
            <v>6.7720000000000002</v>
          </cell>
          <cell r="Y178" t="str">
            <v>ke</v>
          </cell>
          <cell r="Z178">
            <v>12.343999999999999</v>
          </cell>
          <cell r="AG178">
            <v>19.116</v>
          </cell>
          <cell r="AR178">
            <v>0</v>
          </cell>
          <cell r="AS178">
            <v>18.263999999999999</v>
          </cell>
          <cell r="AT178">
            <v>19.116</v>
          </cell>
          <cell r="AU178">
            <v>-0.85200000000000031</v>
          </cell>
          <cell r="AV178">
            <v>0</v>
          </cell>
          <cell r="AW178">
            <v>18.263999999999999</v>
          </cell>
          <cell r="AX178">
            <v>0</v>
          </cell>
          <cell r="AY178">
            <v>0</v>
          </cell>
          <cell r="AZ178">
            <v>27.968999999999998</v>
          </cell>
        </row>
        <row r="179">
          <cell r="L179">
            <v>0</v>
          </cell>
          <cell r="R179">
            <v>0</v>
          </cell>
          <cell r="S179">
            <v>2.4060000000000001</v>
          </cell>
          <cell r="V179">
            <v>2.4060000000000001</v>
          </cell>
          <cell r="AD179">
            <v>2.4060000000000001</v>
          </cell>
          <cell r="AG179">
            <v>2.4060000000000001</v>
          </cell>
          <cell r="AR179">
            <v>0</v>
          </cell>
          <cell r="AS179">
            <v>2.4060000000000001</v>
          </cell>
          <cell r="AT179">
            <v>2.4060000000000001</v>
          </cell>
          <cell r="AU179">
            <v>0</v>
          </cell>
          <cell r="AV179">
            <v>0</v>
          </cell>
          <cell r="AW179">
            <v>2.4060000000000001</v>
          </cell>
          <cell r="AX179">
            <v>0</v>
          </cell>
          <cell r="AY179">
            <v>0</v>
          </cell>
          <cell r="AZ179">
            <v>2.4060000000000001</v>
          </cell>
        </row>
        <row r="180">
          <cell r="L180">
            <v>0</v>
          </cell>
          <cell r="R180">
            <v>0</v>
          </cell>
          <cell r="S180">
            <v>3.5</v>
          </cell>
          <cell r="V180">
            <v>3.5</v>
          </cell>
          <cell r="AD180">
            <v>3.5</v>
          </cell>
          <cell r="AG180">
            <v>3.5</v>
          </cell>
          <cell r="AR180">
            <v>0</v>
          </cell>
          <cell r="AS180">
            <v>3.5</v>
          </cell>
          <cell r="AT180">
            <v>3.5</v>
          </cell>
          <cell r="AU180">
            <v>0</v>
          </cell>
          <cell r="AV180">
            <v>0</v>
          </cell>
          <cell r="AW180">
            <v>3.5</v>
          </cell>
          <cell r="AX180">
            <v>0</v>
          </cell>
          <cell r="AY180">
            <v>0</v>
          </cell>
          <cell r="AZ180">
            <v>3.5</v>
          </cell>
        </row>
        <row r="181">
          <cell r="C181">
            <v>0</v>
          </cell>
          <cell r="E181">
            <v>0</v>
          </cell>
          <cell r="G181">
            <v>6.4</v>
          </cell>
          <cell r="H181">
            <v>13.244999999999999</v>
          </cell>
          <cell r="I181">
            <v>13.487</v>
          </cell>
          <cell r="J181">
            <v>1.5069999999999999</v>
          </cell>
          <cell r="K181">
            <v>8.9580000000000002</v>
          </cell>
          <cell r="L181">
            <v>10.465</v>
          </cell>
          <cell r="M181">
            <v>1.0999999999999999E-2</v>
          </cell>
          <cell r="O181">
            <v>1.0999999999999999E-2</v>
          </cell>
          <cell r="Q181">
            <v>-2.9319999999999999</v>
          </cell>
          <cell r="R181">
            <v>7.5109999999999992</v>
          </cell>
          <cell r="S181">
            <v>16.489999999999998</v>
          </cell>
          <cell r="T181">
            <v>8.5000000000000006E-2</v>
          </cell>
          <cell r="V181">
            <v>24.085999999999999</v>
          </cell>
          <cell r="W181">
            <v>12.154</v>
          </cell>
          <cell r="X181">
            <v>2.5310000000000001</v>
          </cell>
          <cell r="Y181" t="str">
            <v>ke</v>
          </cell>
          <cell r="Z181">
            <v>4.1740000000000004</v>
          </cell>
          <cell r="AD181">
            <v>10.762</v>
          </cell>
          <cell r="AG181">
            <v>29.621000000000002</v>
          </cell>
          <cell r="AR181">
            <v>0</v>
          </cell>
          <cell r="AS181">
            <v>25.448</v>
          </cell>
          <cell r="AT181">
            <v>29.621000000000002</v>
          </cell>
          <cell r="AU181">
            <v>-4.1730000000000018</v>
          </cell>
          <cell r="AV181">
            <v>0</v>
          </cell>
          <cell r="AW181">
            <v>25.448</v>
          </cell>
          <cell r="AX181">
            <v>0</v>
          </cell>
          <cell r="AY181">
            <v>0</v>
          </cell>
          <cell r="AZ181">
            <v>24.085999999999999</v>
          </cell>
        </row>
        <row r="182">
          <cell r="L182">
            <v>0</v>
          </cell>
          <cell r="R182">
            <v>0</v>
          </cell>
          <cell r="V182">
            <v>0</v>
          </cell>
          <cell r="AG182">
            <v>0</v>
          </cell>
          <cell r="AR182">
            <v>0</v>
          </cell>
          <cell r="AS182">
            <v>0</v>
          </cell>
          <cell r="AT182">
            <v>0</v>
          </cell>
          <cell r="AU182">
            <v>0</v>
          </cell>
          <cell r="AV182">
            <v>0</v>
          </cell>
          <cell r="AW182">
            <v>0</v>
          </cell>
          <cell r="AX182">
            <v>0</v>
          </cell>
          <cell r="AY182">
            <v>0</v>
          </cell>
          <cell r="AZ182">
            <v>0</v>
          </cell>
        </row>
        <row r="183">
          <cell r="L183">
            <v>0</v>
          </cell>
          <cell r="R183">
            <v>0</v>
          </cell>
          <cell r="V183">
            <v>0</v>
          </cell>
          <cell r="AG183">
            <v>0</v>
          </cell>
          <cell r="AR183">
            <v>0</v>
          </cell>
          <cell r="AS183">
            <v>0</v>
          </cell>
          <cell r="AT183">
            <v>0</v>
          </cell>
          <cell r="AU183">
            <v>0</v>
          </cell>
          <cell r="AV183">
            <v>0</v>
          </cell>
          <cell r="AW183">
            <v>0</v>
          </cell>
          <cell r="AZ183">
            <v>0</v>
          </cell>
        </row>
        <row r="184">
          <cell r="C184">
            <v>22.381</v>
          </cell>
          <cell r="D184">
            <v>48.6</v>
          </cell>
          <cell r="E184">
            <v>46.8</v>
          </cell>
          <cell r="F184">
            <v>28.900000000000002</v>
          </cell>
          <cell r="G184">
            <v>8.6999999999999993</v>
          </cell>
          <cell r="H184">
            <v>3.4049999999999998</v>
          </cell>
          <cell r="I184">
            <v>0.39100000000000001</v>
          </cell>
          <cell r="J184">
            <v>0.621</v>
          </cell>
          <cell r="L184">
            <v>0.621</v>
          </cell>
          <cell r="O184">
            <v>0.19700000000000001</v>
          </cell>
          <cell r="R184">
            <v>0.42399999999999999</v>
          </cell>
          <cell r="V184">
            <v>0.42399999999999999</v>
          </cell>
          <cell r="AG184">
            <v>0</v>
          </cell>
          <cell r="AR184">
            <v>0</v>
          </cell>
          <cell r="AS184">
            <v>0</v>
          </cell>
          <cell r="AT184">
            <v>0</v>
          </cell>
          <cell r="AU184">
            <v>0</v>
          </cell>
          <cell r="AV184">
            <v>0</v>
          </cell>
          <cell r="AW184">
            <v>0</v>
          </cell>
          <cell r="AX184">
            <v>0</v>
          </cell>
          <cell r="AY184">
            <v>0</v>
          </cell>
          <cell r="AZ184">
            <v>0.42399999999999999</v>
          </cell>
        </row>
        <row r="185">
          <cell r="I185">
            <v>2.218</v>
          </cell>
          <cell r="J185">
            <v>0.441</v>
          </cell>
          <cell r="L185">
            <v>0.441</v>
          </cell>
          <cell r="O185">
            <v>2.5999999999999999E-2</v>
          </cell>
          <cell r="R185">
            <v>0.41499999999999998</v>
          </cell>
          <cell r="S185">
            <v>13.103</v>
          </cell>
          <cell r="V185">
            <v>13.517999999999999</v>
          </cell>
          <cell r="X185">
            <v>6.78</v>
          </cell>
          <cell r="Y185" t="str">
            <v>ke</v>
          </cell>
          <cell r="AD185">
            <v>7</v>
          </cell>
          <cell r="AG185">
            <v>13.780000000000001</v>
          </cell>
          <cell r="AR185">
            <v>0</v>
          </cell>
          <cell r="AS185">
            <v>13.103</v>
          </cell>
          <cell r="AT185">
            <v>13.78</v>
          </cell>
          <cell r="AU185">
            <v>-0.6769999999999996</v>
          </cell>
          <cell r="AV185">
            <v>0</v>
          </cell>
          <cell r="AW185">
            <v>13.103</v>
          </cell>
          <cell r="AX185">
            <v>0</v>
          </cell>
          <cell r="AY185">
            <v>0</v>
          </cell>
          <cell r="AZ185">
            <v>13.517999999999999</v>
          </cell>
        </row>
        <row r="186">
          <cell r="I186">
            <v>1.7410000000000001</v>
          </cell>
          <cell r="J186">
            <v>1.0640000000000001</v>
          </cell>
          <cell r="K186">
            <v>4.4809999999999999</v>
          </cell>
          <cell r="L186">
            <v>5.5449999999999999</v>
          </cell>
          <cell r="M186">
            <v>1.2999999999999999E-2</v>
          </cell>
          <cell r="O186">
            <v>0.73</v>
          </cell>
          <cell r="R186">
            <v>4.8019999999999996</v>
          </cell>
          <cell r="U186">
            <v>6.6000000000000003E-2</v>
          </cell>
          <cell r="V186">
            <v>4.8679999999999994</v>
          </cell>
          <cell r="W186">
            <v>4.774</v>
          </cell>
          <cell r="AG186">
            <v>4.774</v>
          </cell>
          <cell r="AR186">
            <v>0</v>
          </cell>
          <cell r="AS186">
            <v>4.5469999999999997</v>
          </cell>
          <cell r="AT186">
            <v>4.774</v>
          </cell>
          <cell r="AU186">
            <v>-0.22700000000000031</v>
          </cell>
          <cell r="AV186">
            <v>0</v>
          </cell>
          <cell r="AW186">
            <v>4.5469999999999997</v>
          </cell>
          <cell r="AX186">
            <v>0</v>
          </cell>
          <cell r="AY186">
            <v>0</v>
          </cell>
          <cell r="AZ186">
            <v>4.8679999999999994</v>
          </cell>
        </row>
        <row r="187">
          <cell r="C187">
            <v>3.9380000000000002</v>
          </cell>
          <cell r="D187">
            <v>3</v>
          </cell>
          <cell r="E187">
            <v>3.9</v>
          </cell>
          <cell r="F187">
            <v>3.1</v>
          </cell>
          <cell r="G187">
            <v>2.1</v>
          </cell>
          <cell r="H187">
            <v>1.847</v>
          </cell>
          <cell r="I187">
            <v>1.43</v>
          </cell>
          <cell r="J187">
            <v>1.4530000000000001</v>
          </cell>
          <cell r="L187">
            <v>1.4530000000000001</v>
          </cell>
          <cell r="O187">
            <v>0.218</v>
          </cell>
          <cell r="R187">
            <v>1.2350000000000001</v>
          </cell>
          <cell r="V187">
            <v>1.2350000000000001</v>
          </cell>
          <cell r="AG187">
            <v>0</v>
          </cell>
          <cell r="AR187">
            <v>0</v>
          </cell>
          <cell r="AS187">
            <v>0</v>
          </cell>
          <cell r="AT187">
            <v>0</v>
          </cell>
          <cell r="AU187">
            <v>0</v>
          </cell>
          <cell r="AV187">
            <v>0</v>
          </cell>
          <cell r="AW187">
            <v>0</v>
          </cell>
          <cell r="AX187">
            <v>0</v>
          </cell>
          <cell r="AY187">
            <v>0</v>
          </cell>
          <cell r="AZ187">
            <v>1.2350000000000001</v>
          </cell>
        </row>
        <row r="189">
          <cell r="C189">
            <v>40.495000000000005</v>
          </cell>
          <cell r="D189">
            <v>88.4</v>
          </cell>
          <cell r="E189">
            <v>122.10000000000001</v>
          </cell>
          <cell r="F189">
            <v>117.39999999999999</v>
          </cell>
          <cell r="G189">
            <v>121.10000000000001</v>
          </cell>
          <cell r="H189">
            <v>98.592000000000013</v>
          </cell>
          <cell r="I189">
            <v>73.504000000000005</v>
          </cell>
          <cell r="J189">
            <v>73.610000000000014</v>
          </cell>
          <cell r="K189">
            <v>33.872</v>
          </cell>
          <cell r="L189">
            <v>107.482</v>
          </cell>
          <cell r="M189">
            <v>0.80699999999999994</v>
          </cell>
          <cell r="N189">
            <v>0</v>
          </cell>
          <cell r="O189">
            <v>3.4510000000000001</v>
          </cell>
          <cell r="P189">
            <v>4.0000000000000001E-3</v>
          </cell>
          <cell r="Q189">
            <v>-2.9319999999999999</v>
          </cell>
          <cell r="R189">
            <v>100.288</v>
          </cell>
          <cell r="S189">
            <v>39.225999999999999</v>
          </cell>
          <cell r="T189">
            <v>0.73899999999999988</v>
          </cell>
          <cell r="U189">
            <v>6.6000000000000003E-2</v>
          </cell>
          <cell r="V189">
            <v>140.31900000000002</v>
          </cell>
          <cell r="W189">
            <v>16.928000000000001</v>
          </cell>
          <cell r="X189">
            <v>21.466000000000001</v>
          </cell>
          <cell r="Y189">
            <v>0</v>
          </cell>
          <cell r="Z189">
            <v>19.460999999999999</v>
          </cell>
          <cell r="AA189">
            <v>0</v>
          </cell>
          <cell r="AB189">
            <v>0</v>
          </cell>
          <cell r="AC189">
            <v>0</v>
          </cell>
          <cell r="AD189">
            <v>23.667999999999999</v>
          </cell>
          <cell r="AE189">
            <v>0</v>
          </cell>
          <cell r="AF189">
            <v>0</v>
          </cell>
          <cell r="AG189">
            <v>81.522999999999996</v>
          </cell>
          <cell r="AH189">
            <v>0</v>
          </cell>
          <cell r="AI189">
            <v>0</v>
          </cell>
          <cell r="AJ189">
            <v>0</v>
          </cell>
          <cell r="AK189">
            <v>0</v>
          </cell>
          <cell r="AL189">
            <v>0</v>
          </cell>
          <cell r="AM189">
            <v>0</v>
          </cell>
          <cell r="AN189">
            <v>0</v>
          </cell>
          <cell r="AO189">
            <v>0</v>
          </cell>
          <cell r="AP189">
            <v>0</v>
          </cell>
          <cell r="AQ189">
            <v>0</v>
          </cell>
          <cell r="AR189">
            <v>0</v>
          </cell>
          <cell r="AS189">
            <v>73.163999999999987</v>
          </cell>
          <cell r="AT189">
            <v>81.522999999999996</v>
          </cell>
          <cell r="AU189">
            <v>-8.3590000000000018</v>
          </cell>
          <cell r="AV189">
            <v>0</v>
          </cell>
          <cell r="AW189">
            <v>73.163999999999987</v>
          </cell>
          <cell r="AX189">
            <v>0</v>
          </cell>
          <cell r="AY189">
            <v>0</v>
          </cell>
          <cell r="AZ189">
            <v>140.31900000000002</v>
          </cell>
        </row>
        <row r="191">
          <cell r="L191">
            <v>0</v>
          </cell>
          <cell r="R191">
            <v>0</v>
          </cell>
          <cell r="V191">
            <v>0</v>
          </cell>
          <cell r="AG191">
            <v>0</v>
          </cell>
          <cell r="AR191">
            <v>0</v>
          </cell>
          <cell r="AS191">
            <v>0</v>
          </cell>
          <cell r="AT191">
            <v>0</v>
          </cell>
          <cell r="AU191">
            <v>0</v>
          </cell>
          <cell r="AV191">
            <v>0</v>
          </cell>
          <cell r="AW191">
            <v>0</v>
          </cell>
          <cell r="AX191">
            <v>0</v>
          </cell>
          <cell r="AY191">
            <v>0</v>
          </cell>
          <cell r="AZ191">
            <v>0</v>
          </cell>
        </row>
        <row r="192">
          <cell r="L192">
            <v>0</v>
          </cell>
          <cell r="Q192">
            <v>3</v>
          </cell>
          <cell r="R192">
            <v>3</v>
          </cell>
          <cell r="V192">
            <v>3</v>
          </cell>
          <cell r="AA192">
            <v>3</v>
          </cell>
          <cell r="AG192">
            <v>3</v>
          </cell>
          <cell r="AR192">
            <v>0</v>
          </cell>
          <cell r="AS192">
            <v>0</v>
          </cell>
          <cell r="AT192">
            <v>3</v>
          </cell>
          <cell r="AU192">
            <v>-3</v>
          </cell>
          <cell r="AV192">
            <v>0</v>
          </cell>
          <cell r="AW192">
            <v>0</v>
          </cell>
          <cell r="AX192">
            <v>0</v>
          </cell>
          <cell r="AY192">
            <v>0</v>
          </cell>
          <cell r="AZ192">
            <v>3</v>
          </cell>
        </row>
        <row r="193">
          <cell r="L193">
            <v>0</v>
          </cell>
          <cell r="R193">
            <v>0</v>
          </cell>
          <cell r="V193">
            <v>0</v>
          </cell>
          <cell r="AG193">
            <v>0</v>
          </cell>
          <cell r="AR193">
            <v>0</v>
          </cell>
          <cell r="AS193">
            <v>0</v>
          </cell>
          <cell r="AT193">
            <v>0</v>
          </cell>
          <cell r="AU193">
            <v>0</v>
          </cell>
          <cell r="AV193">
            <v>0</v>
          </cell>
          <cell r="AW193">
            <v>0</v>
          </cell>
          <cell r="AX193">
            <v>0</v>
          </cell>
          <cell r="AY193">
            <v>0</v>
          </cell>
          <cell r="AZ193">
            <v>0</v>
          </cell>
        </row>
        <row r="195">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3</v>
          </cell>
          <cell r="R195">
            <v>3</v>
          </cell>
          <cell r="S195">
            <v>0</v>
          </cell>
          <cell r="T195">
            <v>0</v>
          </cell>
          <cell r="U195">
            <v>0</v>
          </cell>
          <cell r="V195">
            <v>3</v>
          </cell>
          <cell r="W195">
            <v>0</v>
          </cell>
          <cell r="X195">
            <v>0</v>
          </cell>
          <cell r="Y195">
            <v>0</v>
          </cell>
          <cell r="Z195">
            <v>0</v>
          </cell>
          <cell r="AA195">
            <v>3</v>
          </cell>
          <cell r="AB195">
            <v>0</v>
          </cell>
          <cell r="AC195">
            <v>0</v>
          </cell>
          <cell r="AD195">
            <v>0</v>
          </cell>
          <cell r="AE195">
            <v>0</v>
          </cell>
          <cell r="AF195">
            <v>0</v>
          </cell>
          <cell r="AG195">
            <v>3</v>
          </cell>
          <cell r="AH195">
            <v>0</v>
          </cell>
          <cell r="AI195">
            <v>0</v>
          </cell>
          <cell r="AJ195">
            <v>0</v>
          </cell>
          <cell r="AK195">
            <v>0</v>
          </cell>
          <cell r="AL195">
            <v>0</v>
          </cell>
          <cell r="AM195">
            <v>0</v>
          </cell>
          <cell r="AN195">
            <v>0</v>
          </cell>
          <cell r="AO195">
            <v>0</v>
          </cell>
          <cell r="AP195">
            <v>0</v>
          </cell>
          <cell r="AQ195">
            <v>0</v>
          </cell>
          <cell r="AR195">
            <v>0</v>
          </cell>
          <cell r="AS195">
            <v>0</v>
          </cell>
          <cell r="AT195">
            <v>3</v>
          </cell>
          <cell r="AU195">
            <v>-3</v>
          </cell>
          <cell r="AV195">
            <v>0</v>
          </cell>
          <cell r="AW195">
            <v>0</v>
          </cell>
          <cell r="AX195">
            <v>0</v>
          </cell>
          <cell r="AY195">
            <v>0</v>
          </cell>
          <cell r="AZ195">
            <v>3</v>
          </cell>
        </row>
        <row r="197">
          <cell r="C197">
            <v>40.495000000000005</v>
          </cell>
          <cell r="D197">
            <v>88.4</v>
          </cell>
          <cell r="E197">
            <v>122.10000000000001</v>
          </cell>
          <cell r="F197">
            <v>117.39999999999999</v>
          </cell>
          <cell r="G197">
            <v>121.10000000000001</v>
          </cell>
          <cell r="H197">
            <v>98.592000000000013</v>
          </cell>
          <cell r="I197">
            <v>73.504000000000005</v>
          </cell>
          <cell r="J197">
            <v>73.610000000000014</v>
          </cell>
          <cell r="K197">
            <v>33.872</v>
          </cell>
          <cell r="L197">
            <v>107.482</v>
          </cell>
          <cell r="M197">
            <v>0.80699999999999994</v>
          </cell>
          <cell r="N197">
            <v>0</v>
          </cell>
          <cell r="O197">
            <v>3.4510000000000001</v>
          </cell>
          <cell r="P197">
            <v>4.0000000000000001E-3</v>
          </cell>
          <cell r="Q197">
            <v>6.800000000000006E-2</v>
          </cell>
          <cell r="R197">
            <v>103.288</v>
          </cell>
          <cell r="S197">
            <v>39.225999999999999</v>
          </cell>
          <cell r="T197">
            <v>0.73899999999999988</v>
          </cell>
          <cell r="U197">
            <v>6.6000000000000003E-2</v>
          </cell>
          <cell r="V197">
            <v>143.31900000000002</v>
          </cell>
          <cell r="W197">
            <v>16.928000000000001</v>
          </cell>
          <cell r="X197">
            <v>21.466000000000001</v>
          </cell>
          <cell r="Y197">
            <v>0</v>
          </cell>
          <cell r="Z197">
            <v>19.460999999999999</v>
          </cell>
          <cell r="AA197">
            <v>3</v>
          </cell>
          <cell r="AB197">
            <v>0</v>
          </cell>
          <cell r="AC197">
            <v>0</v>
          </cell>
          <cell r="AD197">
            <v>23.667999999999999</v>
          </cell>
          <cell r="AE197">
            <v>0</v>
          </cell>
          <cell r="AF197">
            <v>0</v>
          </cell>
          <cell r="AG197">
            <v>84.522999999999996</v>
          </cell>
          <cell r="AH197">
            <v>0</v>
          </cell>
          <cell r="AI197">
            <v>0</v>
          </cell>
          <cell r="AJ197">
            <v>0</v>
          </cell>
          <cell r="AK197">
            <v>0</v>
          </cell>
          <cell r="AL197">
            <v>0</v>
          </cell>
          <cell r="AM197">
            <v>0</v>
          </cell>
          <cell r="AN197">
            <v>0</v>
          </cell>
          <cell r="AO197">
            <v>0</v>
          </cell>
          <cell r="AP197">
            <v>0</v>
          </cell>
          <cell r="AQ197">
            <v>0</v>
          </cell>
          <cell r="AR197">
            <v>0</v>
          </cell>
          <cell r="AS197">
            <v>73.163999999999987</v>
          </cell>
          <cell r="AT197">
            <v>84.522999999999996</v>
          </cell>
          <cell r="AU197">
            <v>-11.359000000000002</v>
          </cell>
          <cell r="AV197">
            <v>0</v>
          </cell>
          <cell r="AW197">
            <v>73.163999999999987</v>
          </cell>
          <cell r="AX197">
            <v>0</v>
          </cell>
          <cell r="AY197">
            <v>0</v>
          </cell>
          <cell r="AZ197">
            <v>143.31900000000002</v>
          </cell>
        </row>
        <row r="199">
          <cell r="C199">
            <v>0</v>
          </cell>
          <cell r="E199">
            <v>0</v>
          </cell>
          <cell r="G199">
            <v>4</v>
          </cell>
          <cell r="H199">
            <v>5.1920000000000002</v>
          </cell>
          <cell r="I199">
            <v>1.2689999999999999</v>
          </cell>
          <cell r="J199">
            <v>0.26500000000000001</v>
          </cell>
          <cell r="K199">
            <v>4.5259999999999998</v>
          </cell>
          <cell r="L199">
            <v>4.7909999999999995</v>
          </cell>
          <cell r="O199">
            <v>9.0000000000000011E-3</v>
          </cell>
          <cell r="P199">
            <v>5.0000000000000001E-3</v>
          </cell>
          <cell r="R199">
            <v>4.7769999999999992</v>
          </cell>
          <cell r="V199">
            <v>4.7769999999999992</v>
          </cell>
          <cell r="W199">
            <v>0</v>
          </cell>
          <cell r="AG199">
            <v>0</v>
          </cell>
          <cell r="AH199">
            <v>6.2839999999999998</v>
          </cell>
          <cell r="AR199">
            <v>6.2839999999999998</v>
          </cell>
          <cell r="AS199">
            <v>4.5259999999999998</v>
          </cell>
          <cell r="AT199">
            <v>5.8719999999999999</v>
          </cell>
          <cell r="AU199">
            <v>-1.3460000000000001</v>
          </cell>
          <cell r="AV199">
            <v>0</v>
          </cell>
          <cell r="AW199">
            <v>4.5259999999999998</v>
          </cell>
          <cell r="AX199">
            <v>0</v>
          </cell>
          <cell r="AY199">
            <v>0</v>
          </cell>
          <cell r="AZ199">
            <v>4.7769999999999992</v>
          </cell>
        </row>
        <row r="200">
          <cell r="C200">
            <v>0</v>
          </cell>
          <cell r="E200">
            <v>0</v>
          </cell>
          <cell r="G200">
            <v>4.4000000000000004</v>
          </cell>
          <cell r="H200">
            <v>11.782</v>
          </cell>
          <cell r="I200">
            <v>15.889999999999999</v>
          </cell>
          <cell r="J200">
            <v>45.256999999999998</v>
          </cell>
          <cell r="L200">
            <v>45.256999999999998</v>
          </cell>
          <cell r="M200">
            <v>5.0000000000000001E-3</v>
          </cell>
          <cell r="O200">
            <v>0.218</v>
          </cell>
          <cell r="Q200">
            <v>0</v>
          </cell>
          <cell r="R200">
            <v>45.033999999999999</v>
          </cell>
          <cell r="V200">
            <v>45.033999999999999</v>
          </cell>
          <cell r="W200">
            <v>0</v>
          </cell>
          <cell r="X200">
            <v>0</v>
          </cell>
          <cell r="Y200">
            <v>0</v>
          </cell>
          <cell r="Z200">
            <v>0</v>
          </cell>
          <cell r="AA200">
            <v>0</v>
          </cell>
          <cell r="AB200">
            <v>0</v>
          </cell>
          <cell r="AC200">
            <v>0</v>
          </cell>
          <cell r="AD200">
            <v>0</v>
          </cell>
          <cell r="AE200">
            <v>0</v>
          </cell>
          <cell r="AF200">
            <v>0</v>
          </cell>
          <cell r="AG200">
            <v>0</v>
          </cell>
          <cell r="AR200">
            <v>0</v>
          </cell>
          <cell r="AS200">
            <v>0</v>
          </cell>
          <cell r="AT200">
            <v>0</v>
          </cell>
          <cell r="AU200">
            <v>0</v>
          </cell>
          <cell r="AV200">
            <v>0</v>
          </cell>
          <cell r="AW200">
            <v>0</v>
          </cell>
          <cell r="AX200">
            <v>0</v>
          </cell>
          <cell r="AY200">
            <v>0</v>
          </cell>
          <cell r="AZ200">
            <v>45.033999999999999</v>
          </cell>
        </row>
        <row r="201">
          <cell r="I201">
            <v>0.78600000000000003</v>
          </cell>
          <cell r="J201">
            <v>0.10199999999999999</v>
          </cell>
          <cell r="K201">
            <v>11.226000000000001</v>
          </cell>
          <cell r="L201">
            <v>11.328000000000001</v>
          </cell>
          <cell r="N201">
            <v>7.3999999999999996E-2</v>
          </cell>
          <cell r="P201">
            <v>0.105</v>
          </cell>
          <cell r="Q201">
            <v>-2.1549999999999998</v>
          </cell>
          <cell r="R201">
            <v>8.9940000000000015</v>
          </cell>
          <cell r="S201">
            <v>3.0630000000000002</v>
          </cell>
          <cell r="V201">
            <v>12.057000000000002</v>
          </cell>
          <cell r="W201">
            <v>0</v>
          </cell>
          <cell r="X201">
            <v>2.802</v>
          </cell>
          <cell r="Y201" t="str">
            <v>ke</v>
          </cell>
          <cell r="Z201">
            <v>0</v>
          </cell>
          <cell r="AA201">
            <v>1.6</v>
          </cell>
          <cell r="AB201">
            <v>0</v>
          </cell>
          <cell r="AC201">
            <v>0</v>
          </cell>
          <cell r="AD201">
            <v>0</v>
          </cell>
          <cell r="AE201">
            <v>0</v>
          </cell>
          <cell r="AF201">
            <v>0</v>
          </cell>
          <cell r="AG201">
            <v>4.4020000000000001</v>
          </cell>
          <cell r="AH201">
            <v>5.2729999999999997</v>
          </cell>
          <cell r="AK201">
            <v>5.9530000000000003</v>
          </cell>
          <cell r="AR201">
            <v>11.225999999999999</v>
          </cell>
          <cell r="AS201">
            <v>14.289000000000001</v>
          </cell>
          <cell r="AT201">
            <v>13.954000000000001</v>
          </cell>
          <cell r="AU201">
            <v>0.33500000000000085</v>
          </cell>
          <cell r="AV201">
            <v>0</v>
          </cell>
          <cell r="AW201">
            <v>14.289000000000001</v>
          </cell>
          <cell r="AX201">
            <v>0</v>
          </cell>
          <cell r="AY201">
            <v>0</v>
          </cell>
          <cell r="AZ201">
            <v>12.057000000000002</v>
          </cell>
        </row>
        <row r="202">
          <cell r="I202">
            <v>8.3000000000000004E-2</v>
          </cell>
          <cell r="J202">
            <v>1.359</v>
          </cell>
          <cell r="L202">
            <v>1.359</v>
          </cell>
          <cell r="M202">
            <v>0.105</v>
          </cell>
          <cell r="R202">
            <v>1.254</v>
          </cell>
          <cell r="V202">
            <v>1.254</v>
          </cell>
          <cell r="AG202">
            <v>0</v>
          </cell>
          <cell r="AR202">
            <v>0</v>
          </cell>
          <cell r="AS202">
            <v>0</v>
          </cell>
          <cell r="AT202">
            <v>0</v>
          </cell>
          <cell r="AU202">
            <v>0</v>
          </cell>
          <cell r="AV202">
            <v>0</v>
          </cell>
          <cell r="AW202">
            <v>0</v>
          </cell>
          <cell r="AX202">
            <v>0</v>
          </cell>
          <cell r="AY202">
            <v>0</v>
          </cell>
          <cell r="AZ202">
            <v>1.254</v>
          </cell>
        </row>
        <row r="203">
          <cell r="C203">
            <v>0</v>
          </cell>
          <cell r="D203">
            <v>7.3</v>
          </cell>
          <cell r="E203">
            <v>18.8</v>
          </cell>
          <cell r="F203">
            <v>15.7</v>
          </cell>
          <cell r="G203">
            <v>6.5</v>
          </cell>
          <cell r="H203">
            <v>3.8839999999999999</v>
          </cell>
          <cell r="I203">
            <v>1.306</v>
          </cell>
          <cell r="J203">
            <v>0.61899999999999999</v>
          </cell>
          <cell r="L203">
            <v>0.61899999999999999</v>
          </cell>
          <cell r="M203">
            <v>5.0000000000000001E-3</v>
          </cell>
          <cell r="O203">
            <v>3.0000000000000001E-3</v>
          </cell>
          <cell r="R203">
            <v>0.61099999999999999</v>
          </cell>
          <cell r="V203">
            <v>0.61099999999999999</v>
          </cell>
          <cell r="AG203">
            <v>0</v>
          </cell>
          <cell r="AR203">
            <v>0</v>
          </cell>
          <cell r="AS203">
            <v>0</v>
          </cell>
          <cell r="AT203">
            <v>0</v>
          </cell>
          <cell r="AU203">
            <v>0</v>
          </cell>
          <cell r="AV203">
            <v>0</v>
          </cell>
          <cell r="AW203">
            <v>0</v>
          </cell>
          <cell r="AX203">
            <v>0</v>
          </cell>
          <cell r="AY203">
            <v>0</v>
          </cell>
          <cell r="AZ203">
            <v>0.61099999999999999</v>
          </cell>
        </row>
        <row r="204">
          <cell r="C204">
            <v>0</v>
          </cell>
          <cell r="D204">
            <v>0.6</v>
          </cell>
          <cell r="E204">
            <v>1.9</v>
          </cell>
          <cell r="F204">
            <v>2.4</v>
          </cell>
          <cell r="G204">
            <v>2.1</v>
          </cell>
          <cell r="H204">
            <v>2.077</v>
          </cell>
          <cell r="I204">
            <v>1.679</v>
          </cell>
          <cell r="J204">
            <v>2.129</v>
          </cell>
          <cell r="K204">
            <v>2E-3</v>
          </cell>
          <cell r="L204">
            <v>2.1309999999999998</v>
          </cell>
          <cell r="O204">
            <v>7.8E-2</v>
          </cell>
          <cell r="R204">
            <v>2.0529999999999999</v>
          </cell>
          <cell r="V204">
            <v>2.0529999999999999</v>
          </cell>
          <cell r="AG204">
            <v>0</v>
          </cell>
          <cell r="AR204">
            <v>0</v>
          </cell>
          <cell r="AS204">
            <v>2E-3</v>
          </cell>
          <cell r="AT204">
            <v>0</v>
          </cell>
          <cell r="AU204">
            <v>2E-3</v>
          </cell>
          <cell r="AV204">
            <v>0</v>
          </cell>
          <cell r="AW204">
            <v>2E-3</v>
          </cell>
          <cell r="AX204">
            <v>0</v>
          </cell>
          <cell r="AY204">
            <v>0</v>
          </cell>
          <cell r="AZ204">
            <v>2.0529999999999999</v>
          </cell>
        </row>
        <row r="205">
          <cell r="C205">
            <v>0</v>
          </cell>
          <cell r="D205">
            <v>0</v>
          </cell>
          <cell r="E205">
            <v>0</v>
          </cell>
          <cell r="F205">
            <v>0</v>
          </cell>
          <cell r="L205">
            <v>0</v>
          </cell>
          <cell r="R205">
            <v>0</v>
          </cell>
          <cell r="V205">
            <v>0</v>
          </cell>
          <cell r="AG205">
            <v>0</v>
          </cell>
          <cell r="AR205">
            <v>0</v>
          </cell>
          <cell r="AS205">
            <v>0</v>
          </cell>
          <cell r="AT205">
            <v>0</v>
          </cell>
          <cell r="AU205">
            <v>0</v>
          </cell>
          <cell r="AV205">
            <v>0</v>
          </cell>
          <cell r="AW205">
            <v>0</v>
          </cell>
          <cell r="AX205">
            <v>0</v>
          </cell>
          <cell r="AY205">
            <v>0</v>
          </cell>
          <cell r="AZ205">
            <v>0</v>
          </cell>
        </row>
        <row r="207">
          <cell r="C207">
            <v>0</v>
          </cell>
          <cell r="D207">
            <v>7.8999999999999995</v>
          </cell>
          <cell r="E207">
            <v>20.7</v>
          </cell>
          <cell r="F207">
            <v>18.099999999999998</v>
          </cell>
          <cell r="G207">
            <v>17</v>
          </cell>
          <cell r="H207">
            <v>22.935000000000002</v>
          </cell>
          <cell r="I207">
            <v>21.012999999999998</v>
          </cell>
          <cell r="J207">
            <v>49.730999999999995</v>
          </cell>
          <cell r="K207">
            <v>15.754000000000001</v>
          </cell>
          <cell r="L207">
            <v>65.484999999999999</v>
          </cell>
          <cell r="M207">
            <v>0.115</v>
          </cell>
          <cell r="N207">
            <v>7.3999999999999996E-2</v>
          </cell>
          <cell r="O207">
            <v>0.308</v>
          </cell>
          <cell r="P207">
            <v>0.11</v>
          </cell>
          <cell r="Q207">
            <v>-2.1549999999999998</v>
          </cell>
          <cell r="R207">
            <v>62.722999999999992</v>
          </cell>
          <cell r="S207">
            <v>3.0630000000000002</v>
          </cell>
          <cell r="T207">
            <v>0</v>
          </cell>
          <cell r="U207">
            <v>0</v>
          </cell>
          <cell r="V207">
            <v>65.786000000000001</v>
          </cell>
          <cell r="W207">
            <v>0</v>
          </cell>
          <cell r="X207">
            <v>2.802</v>
          </cell>
          <cell r="Y207">
            <v>0</v>
          </cell>
          <cell r="Z207">
            <v>0</v>
          </cell>
          <cell r="AA207">
            <v>1.6</v>
          </cell>
          <cell r="AB207">
            <v>0</v>
          </cell>
          <cell r="AC207">
            <v>0</v>
          </cell>
          <cell r="AD207">
            <v>0</v>
          </cell>
          <cell r="AE207">
            <v>0</v>
          </cell>
          <cell r="AF207">
            <v>0</v>
          </cell>
          <cell r="AG207">
            <v>4.4020000000000001</v>
          </cell>
          <cell r="AH207">
            <v>11.556999999999999</v>
          </cell>
          <cell r="AI207">
            <v>0</v>
          </cell>
          <cell r="AJ207">
            <v>0</v>
          </cell>
          <cell r="AK207">
            <v>5.9530000000000003</v>
          </cell>
          <cell r="AL207">
            <v>0</v>
          </cell>
          <cell r="AM207">
            <v>0</v>
          </cell>
          <cell r="AN207">
            <v>0</v>
          </cell>
          <cell r="AO207">
            <v>0</v>
          </cell>
          <cell r="AP207">
            <v>0</v>
          </cell>
          <cell r="AQ207">
            <v>0</v>
          </cell>
          <cell r="AR207">
            <v>17.509999999999998</v>
          </cell>
          <cell r="AS207">
            <v>18.817</v>
          </cell>
          <cell r="AT207">
            <v>19.826000000000001</v>
          </cell>
          <cell r="AU207">
            <v>-1.0089999999999992</v>
          </cell>
          <cell r="AV207">
            <v>0</v>
          </cell>
          <cell r="AW207">
            <v>18.817</v>
          </cell>
          <cell r="AX207">
            <v>0</v>
          </cell>
          <cell r="AY207">
            <v>0</v>
          </cell>
          <cell r="AZ207">
            <v>65.786000000000001</v>
          </cell>
        </row>
        <row r="209">
          <cell r="L209">
            <v>0</v>
          </cell>
          <cell r="R209">
            <v>0</v>
          </cell>
          <cell r="S209">
            <v>3.4889999999999999</v>
          </cell>
          <cell r="V209">
            <v>3.4889999999999999</v>
          </cell>
          <cell r="X209">
            <v>3.1139999999999999</v>
          </cell>
          <cell r="Y209" t="str">
            <v>mu</v>
          </cell>
          <cell r="AG209">
            <v>3.1139999999999999</v>
          </cell>
          <cell r="AR209">
            <v>0</v>
          </cell>
          <cell r="AS209">
            <v>3.4889999999999999</v>
          </cell>
          <cell r="AT209">
            <v>3.1139999999999999</v>
          </cell>
          <cell r="AU209">
            <v>0.375</v>
          </cell>
          <cell r="AV209">
            <v>0</v>
          </cell>
          <cell r="AW209">
            <v>3.4889999999999999</v>
          </cell>
          <cell r="AX209">
            <v>0</v>
          </cell>
          <cell r="AY209">
            <v>0</v>
          </cell>
          <cell r="AZ209">
            <v>3.4889999999999999</v>
          </cell>
        </row>
        <row r="210">
          <cell r="K210">
            <v>6.7690000000000001</v>
          </cell>
          <cell r="L210">
            <v>6.7690000000000001</v>
          </cell>
          <cell r="R210">
            <v>6.7690000000000001</v>
          </cell>
          <cell r="V210">
            <v>6.7690000000000001</v>
          </cell>
          <cell r="Z210">
            <v>5.53</v>
          </cell>
          <cell r="AG210">
            <v>5.53</v>
          </cell>
          <cell r="AR210">
            <v>0</v>
          </cell>
          <cell r="AS210">
            <v>6.7690000000000001</v>
          </cell>
          <cell r="AT210">
            <v>5.53</v>
          </cell>
          <cell r="AU210">
            <v>1.2389999999999999</v>
          </cell>
          <cell r="AV210">
            <v>0</v>
          </cell>
          <cell r="AW210">
            <v>6.7690000000000001</v>
          </cell>
          <cell r="AX210">
            <v>0</v>
          </cell>
          <cell r="AY210">
            <v>0</v>
          </cell>
          <cell r="AZ210">
            <v>6.7690000000000001</v>
          </cell>
        </row>
        <row r="212">
          <cell r="C212">
            <v>0</v>
          </cell>
          <cell r="D212">
            <v>0</v>
          </cell>
          <cell r="E212">
            <v>0</v>
          </cell>
          <cell r="F212">
            <v>0</v>
          </cell>
          <cell r="G212">
            <v>0</v>
          </cell>
          <cell r="H212">
            <v>0</v>
          </cell>
          <cell r="I212">
            <v>0</v>
          </cell>
          <cell r="J212">
            <v>0</v>
          </cell>
          <cell r="K212">
            <v>6.7690000000000001</v>
          </cell>
          <cell r="L212">
            <v>6.7690000000000001</v>
          </cell>
          <cell r="M212">
            <v>0</v>
          </cell>
          <cell r="N212">
            <v>0</v>
          </cell>
          <cell r="O212">
            <v>0</v>
          </cell>
          <cell r="P212">
            <v>0</v>
          </cell>
          <cell r="Q212">
            <v>0</v>
          </cell>
          <cell r="R212">
            <v>6.7690000000000001</v>
          </cell>
          <cell r="S212">
            <v>3.4889999999999999</v>
          </cell>
          <cell r="T212">
            <v>0</v>
          </cell>
          <cell r="U212">
            <v>0</v>
          </cell>
          <cell r="V212">
            <v>10.257999999999999</v>
          </cell>
          <cell r="W212">
            <v>0</v>
          </cell>
          <cell r="X212">
            <v>3.1139999999999999</v>
          </cell>
          <cell r="Y212">
            <v>0</v>
          </cell>
          <cell r="Z212">
            <v>5.53</v>
          </cell>
          <cell r="AA212">
            <v>0</v>
          </cell>
          <cell r="AB212">
            <v>0</v>
          </cell>
          <cell r="AC212">
            <v>0</v>
          </cell>
          <cell r="AD212">
            <v>0</v>
          </cell>
          <cell r="AE212">
            <v>0</v>
          </cell>
          <cell r="AF212">
            <v>0</v>
          </cell>
          <cell r="AG212">
            <v>8.6440000000000001</v>
          </cell>
          <cell r="AH212">
            <v>0</v>
          </cell>
          <cell r="AI212">
            <v>0</v>
          </cell>
          <cell r="AJ212">
            <v>0</v>
          </cell>
          <cell r="AK212">
            <v>0</v>
          </cell>
          <cell r="AL212">
            <v>0</v>
          </cell>
          <cell r="AM212">
            <v>0</v>
          </cell>
          <cell r="AN212">
            <v>0</v>
          </cell>
          <cell r="AO212">
            <v>0</v>
          </cell>
          <cell r="AP212">
            <v>0</v>
          </cell>
          <cell r="AQ212">
            <v>0</v>
          </cell>
          <cell r="AR212">
            <v>0</v>
          </cell>
          <cell r="AS212">
            <v>10.257999999999999</v>
          </cell>
          <cell r="AT212">
            <v>8.6440000000000001</v>
          </cell>
          <cell r="AU212">
            <v>1.6139999999999999</v>
          </cell>
          <cell r="AV212">
            <v>0</v>
          </cell>
          <cell r="AW212">
            <v>10.257999999999999</v>
          </cell>
          <cell r="AX212">
            <v>0</v>
          </cell>
          <cell r="AY212">
            <v>0</v>
          </cell>
          <cell r="AZ212">
            <v>10.257999999999999</v>
          </cell>
        </row>
        <row r="214">
          <cell r="C214">
            <v>0</v>
          </cell>
          <cell r="D214">
            <v>7.8999999999999995</v>
          </cell>
          <cell r="E214">
            <v>20.7</v>
          </cell>
          <cell r="F214">
            <v>18.099999999999998</v>
          </cell>
          <cell r="G214">
            <v>17</v>
          </cell>
          <cell r="H214">
            <v>22.935000000000002</v>
          </cell>
          <cell r="I214">
            <v>21.012999999999998</v>
          </cell>
          <cell r="J214">
            <v>49.730999999999995</v>
          </cell>
          <cell r="K214">
            <v>22.523000000000003</v>
          </cell>
          <cell r="L214">
            <v>72.254000000000005</v>
          </cell>
          <cell r="M214">
            <v>0.115</v>
          </cell>
          <cell r="N214">
            <v>7.3999999999999996E-2</v>
          </cell>
          <cell r="O214">
            <v>0.308</v>
          </cell>
          <cell r="P214">
            <v>0.11</v>
          </cell>
          <cell r="Q214">
            <v>-2.1549999999999998</v>
          </cell>
          <cell r="R214">
            <v>69.49199999999999</v>
          </cell>
          <cell r="S214">
            <v>6.5519999999999996</v>
          </cell>
          <cell r="T214">
            <v>0</v>
          </cell>
          <cell r="U214">
            <v>0</v>
          </cell>
          <cell r="V214">
            <v>76.043999999999997</v>
          </cell>
          <cell r="W214">
            <v>0</v>
          </cell>
          <cell r="X214">
            <v>5.9160000000000004</v>
          </cell>
          <cell r="Y214">
            <v>0</v>
          </cell>
          <cell r="Z214">
            <v>5.53</v>
          </cell>
          <cell r="AA214">
            <v>1.6</v>
          </cell>
          <cell r="AB214">
            <v>0</v>
          </cell>
          <cell r="AC214">
            <v>0</v>
          </cell>
          <cell r="AD214">
            <v>0</v>
          </cell>
          <cell r="AE214">
            <v>0</v>
          </cell>
          <cell r="AF214">
            <v>0</v>
          </cell>
          <cell r="AG214">
            <v>13.045999999999999</v>
          </cell>
          <cell r="AH214">
            <v>11.556999999999999</v>
          </cell>
          <cell r="AI214">
            <v>0</v>
          </cell>
          <cell r="AJ214">
            <v>0</v>
          </cell>
          <cell r="AK214">
            <v>5.9530000000000003</v>
          </cell>
          <cell r="AL214">
            <v>0</v>
          </cell>
          <cell r="AM214">
            <v>0</v>
          </cell>
          <cell r="AN214">
            <v>0</v>
          </cell>
          <cell r="AO214">
            <v>0</v>
          </cell>
          <cell r="AP214">
            <v>0</v>
          </cell>
          <cell r="AQ214">
            <v>0</v>
          </cell>
          <cell r="AR214">
            <v>17.509999999999998</v>
          </cell>
          <cell r="AS214">
            <v>29.074999999999999</v>
          </cell>
          <cell r="AT214">
            <v>28.47</v>
          </cell>
          <cell r="AU214">
            <v>0.60500000000000065</v>
          </cell>
          <cell r="AV214">
            <v>0</v>
          </cell>
          <cell r="AW214">
            <v>29.074999999999999</v>
          </cell>
          <cell r="AX214">
            <v>0</v>
          </cell>
          <cell r="AY214">
            <v>0</v>
          </cell>
          <cell r="AZ214">
            <v>76.043999999999997</v>
          </cell>
        </row>
        <row r="216">
          <cell r="C216">
            <v>3.0640000000000001</v>
          </cell>
          <cell r="D216">
            <v>2.5</v>
          </cell>
          <cell r="E216">
            <v>3</v>
          </cell>
          <cell r="F216">
            <v>2.9</v>
          </cell>
          <cell r="G216">
            <v>1.2</v>
          </cell>
          <cell r="H216">
            <v>0.36</v>
          </cell>
          <cell r="L216">
            <v>0</v>
          </cell>
          <cell r="O216">
            <v>0</v>
          </cell>
          <cell r="Q216">
            <v>0</v>
          </cell>
          <cell r="R216">
            <v>0</v>
          </cell>
          <cell r="V216">
            <v>0</v>
          </cell>
          <cell r="W216">
            <v>0</v>
          </cell>
          <cell r="X216">
            <v>0</v>
          </cell>
          <cell r="Y216">
            <v>0</v>
          </cell>
          <cell r="Z216">
            <v>0</v>
          </cell>
          <cell r="AA216">
            <v>0</v>
          </cell>
          <cell r="AB216">
            <v>0</v>
          </cell>
          <cell r="AC216">
            <v>0</v>
          </cell>
          <cell r="AD216">
            <v>0</v>
          </cell>
          <cell r="AE216">
            <v>0</v>
          </cell>
          <cell r="AF216">
            <v>0</v>
          </cell>
          <cell r="AG216">
            <v>0</v>
          </cell>
          <cell r="AR216">
            <v>0</v>
          </cell>
          <cell r="AS216">
            <v>0</v>
          </cell>
          <cell r="AT216">
            <v>0</v>
          </cell>
          <cell r="AU216">
            <v>0</v>
          </cell>
          <cell r="AV216">
            <v>0</v>
          </cell>
          <cell r="AW216">
            <v>0</v>
          </cell>
          <cell r="AX216">
            <v>0</v>
          </cell>
          <cell r="AY216">
            <v>0</v>
          </cell>
          <cell r="AZ216">
            <v>0</v>
          </cell>
        </row>
        <row r="217">
          <cell r="C217">
            <v>2.911</v>
          </cell>
          <cell r="D217">
            <v>2.2000000000000002</v>
          </cell>
          <cell r="E217">
            <v>2.7</v>
          </cell>
          <cell r="F217">
            <v>1.8</v>
          </cell>
          <cell r="G217">
            <v>0.3</v>
          </cell>
          <cell r="L217">
            <v>0</v>
          </cell>
          <cell r="O217">
            <v>0</v>
          </cell>
          <cell r="Q217">
            <v>0</v>
          </cell>
          <cell r="R217">
            <v>0</v>
          </cell>
          <cell r="V217">
            <v>0</v>
          </cell>
          <cell r="W217">
            <v>0</v>
          </cell>
          <cell r="X217">
            <v>0</v>
          </cell>
          <cell r="Y217">
            <v>0</v>
          </cell>
          <cell r="Z217">
            <v>0</v>
          </cell>
          <cell r="AA217">
            <v>0</v>
          </cell>
          <cell r="AB217">
            <v>0</v>
          </cell>
          <cell r="AC217">
            <v>0</v>
          </cell>
          <cell r="AD217">
            <v>0</v>
          </cell>
          <cell r="AE217">
            <v>0</v>
          </cell>
          <cell r="AF217">
            <v>0</v>
          </cell>
          <cell r="AG217">
            <v>0</v>
          </cell>
          <cell r="AR217">
            <v>0</v>
          </cell>
          <cell r="AS217">
            <v>0</v>
          </cell>
          <cell r="AT217">
            <v>0</v>
          </cell>
          <cell r="AU217">
            <v>0</v>
          </cell>
          <cell r="AV217">
            <v>0</v>
          </cell>
          <cell r="AW217">
            <v>0</v>
          </cell>
          <cell r="AX217">
            <v>0</v>
          </cell>
          <cell r="AY217">
            <v>0</v>
          </cell>
          <cell r="AZ217">
            <v>0</v>
          </cell>
        </row>
        <row r="218">
          <cell r="C218">
            <v>9.3659999999999997</v>
          </cell>
          <cell r="D218">
            <v>10.8</v>
          </cell>
          <cell r="E218">
            <v>8.1999999999999993</v>
          </cell>
          <cell r="F218">
            <v>6.8</v>
          </cell>
          <cell r="G218">
            <v>4.5999999999999996</v>
          </cell>
          <cell r="H218">
            <v>2.27</v>
          </cell>
          <cell r="I218">
            <v>1.794</v>
          </cell>
          <cell r="J218">
            <v>1.9359999999999999</v>
          </cell>
          <cell r="L218">
            <v>1.9359999999999999</v>
          </cell>
          <cell r="O218">
            <v>0</v>
          </cell>
          <cell r="Q218">
            <v>0</v>
          </cell>
          <cell r="R218">
            <v>1.9359999999999999</v>
          </cell>
          <cell r="S218">
            <v>0.64500000000000002</v>
          </cell>
          <cell r="V218">
            <v>2.581</v>
          </cell>
          <cell r="W218">
            <v>0</v>
          </cell>
          <cell r="X218">
            <v>0</v>
          </cell>
          <cell r="Y218">
            <v>0</v>
          </cell>
          <cell r="Z218">
            <v>0.75900000000000001</v>
          </cell>
          <cell r="AA218">
            <v>0</v>
          </cell>
          <cell r="AB218">
            <v>0</v>
          </cell>
          <cell r="AC218">
            <v>0</v>
          </cell>
          <cell r="AD218">
            <v>0</v>
          </cell>
          <cell r="AE218">
            <v>0</v>
          </cell>
          <cell r="AF218">
            <v>0</v>
          </cell>
          <cell r="AG218">
            <v>0.75900000000000001</v>
          </cell>
          <cell r="AR218">
            <v>0</v>
          </cell>
          <cell r="AS218">
            <v>0.64500000000000002</v>
          </cell>
          <cell r="AT218">
            <v>0.75900000000000001</v>
          </cell>
          <cell r="AU218">
            <v>-0.11399999999999999</v>
          </cell>
          <cell r="AV218">
            <v>0</v>
          </cell>
          <cell r="AW218">
            <v>0.64500000000000002</v>
          </cell>
          <cell r="AX218">
            <v>0</v>
          </cell>
          <cell r="AY218">
            <v>0</v>
          </cell>
          <cell r="AZ218">
            <v>2.581</v>
          </cell>
        </row>
        <row r="219">
          <cell r="C219">
            <v>0</v>
          </cell>
          <cell r="D219">
            <v>2.2999999999999998</v>
          </cell>
          <cell r="E219">
            <v>3.9</v>
          </cell>
          <cell r="F219">
            <v>4</v>
          </cell>
          <cell r="G219">
            <v>2.1</v>
          </cell>
          <cell r="H219">
            <v>2.601</v>
          </cell>
          <cell r="I219">
            <v>0.61</v>
          </cell>
          <cell r="J219">
            <v>0.66800000000000004</v>
          </cell>
          <cell r="L219">
            <v>0.66800000000000004</v>
          </cell>
          <cell r="M219">
            <v>2.1000000000000001E-2</v>
          </cell>
          <cell r="R219">
            <v>0.64700000000000002</v>
          </cell>
          <cell r="V219">
            <v>0.64700000000000002</v>
          </cell>
          <cell r="AG219">
            <v>0</v>
          </cell>
          <cell r="AR219">
            <v>0</v>
          </cell>
          <cell r="AS219">
            <v>0</v>
          </cell>
          <cell r="AT219">
            <v>0</v>
          </cell>
          <cell r="AU219">
            <v>0</v>
          </cell>
          <cell r="AV219">
            <v>0</v>
          </cell>
          <cell r="AW219">
            <v>0</v>
          </cell>
          <cell r="AX219">
            <v>0</v>
          </cell>
          <cell r="AY219">
            <v>0</v>
          </cell>
          <cell r="AZ219">
            <v>0.64700000000000002</v>
          </cell>
        </row>
        <row r="220">
          <cell r="C220">
            <v>0</v>
          </cell>
          <cell r="E220">
            <v>7.9</v>
          </cell>
          <cell r="F220">
            <v>9.6</v>
          </cell>
          <cell r="G220">
            <v>8.1</v>
          </cell>
          <cell r="H220">
            <v>8.0310000000000006</v>
          </cell>
          <cell r="I220">
            <v>5.149</v>
          </cell>
          <cell r="J220">
            <v>2.593</v>
          </cell>
          <cell r="K220">
            <v>4.6669999999999998</v>
          </cell>
          <cell r="L220">
            <v>7.26</v>
          </cell>
          <cell r="O220">
            <v>6.5000000000000002E-2</v>
          </cell>
          <cell r="R220">
            <v>7.1949999999999994</v>
          </cell>
          <cell r="V220">
            <v>7.1949999999999994</v>
          </cell>
          <cell r="Z220">
            <v>0</v>
          </cell>
          <cell r="AG220">
            <v>0</v>
          </cell>
          <cell r="AK220">
            <v>4.6669999999999998</v>
          </cell>
          <cell r="AR220">
            <v>4.6669999999999998</v>
          </cell>
          <cell r="AS220">
            <v>4.6669999999999998</v>
          </cell>
          <cell r="AT220">
            <v>3.8290000000000002</v>
          </cell>
          <cell r="AU220">
            <v>0.83799999999999963</v>
          </cell>
          <cell r="AV220">
            <v>0</v>
          </cell>
          <cell r="AW220">
            <v>4.6669999999999998</v>
          </cell>
          <cell r="AX220">
            <v>0</v>
          </cell>
          <cell r="AY220">
            <v>0</v>
          </cell>
          <cell r="AZ220">
            <v>7.1949999999999994</v>
          </cell>
        </row>
        <row r="221">
          <cell r="I221">
            <v>0.85</v>
          </cell>
          <cell r="J221">
            <v>0.29099999999999998</v>
          </cell>
          <cell r="L221">
            <v>0.29099999999999998</v>
          </cell>
          <cell r="O221">
            <v>1E-3</v>
          </cell>
          <cell r="R221">
            <v>0.28999999999999998</v>
          </cell>
          <cell r="S221">
            <v>9.1630000000000003</v>
          </cell>
          <cell r="V221">
            <v>9.4529999999999994</v>
          </cell>
          <cell r="X221">
            <v>8.2850000000000001</v>
          </cell>
          <cell r="Y221" t="str">
            <v>ke</v>
          </cell>
          <cell r="AG221">
            <v>8.2850000000000001</v>
          </cell>
          <cell r="AR221">
            <v>0</v>
          </cell>
          <cell r="AS221">
            <v>9.1630000000000003</v>
          </cell>
          <cell r="AT221">
            <v>8.2850000000000001</v>
          </cell>
          <cell r="AU221">
            <v>0.87800000000000011</v>
          </cell>
          <cell r="AV221">
            <v>0</v>
          </cell>
          <cell r="AW221">
            <v>9.1630000000000003</v>
          </cell>
          <cell r="AX221">
            <v>0</v>
          </cell>
          <cell r="AY221">
            <v>0</v>
          </cell>
          <cell r="AZ221">
            <v>9.4529999999999994</v>
          </cell>
        </row>
        <row r="222">
          <cell r="I222">
            <v>0.60599999999999998</v>
          </cell>
          <cell r="J222">
            <v>0.26600000000000001</v>
          </cell>
          <cell r="K222">
            <v>3.6819999999999999</v>
          </cell>
          <cell r="L222">
            <v>3.948</v>
          </cell>
          <cell r="O222">
            <v>1.4999999999999999E-2</v>
          </cell>
          <cell r="R222">
            <v>3.9329999999999998</v>
          </cell>
          <cell r="S222">
            <v>1.204</v>
          </cell>
          <cell r="V222">
            <v>5.1369999999999996</v>
          </cell>
          <cell r="Y222">
            <v>1.204</v>
          </cell>
          <cell r="Z222">
            <v>0.85299999999999998</v>
          </cell>
          <cell r="AG222">
            <v>2.0569999999999999</v>
          </cell>
          <cell r="AK222">
            <v>3.6819999999999999</v>
          </cell>
          <cell r="AR222">
            <v>3.6819999999999999</v>
          </cell>
          <cell r="AS222">
            <v>4.8860000000000001</v>
          </cell>
          <cell r="AT222">
            <v>8.6020000000000003</v>
          </cell>
          <cell r="AU222">
            <v>-3.7160000000000002</v>
          </cell>
          <cell r="AV222">
            <v>0</v>
          </cell>
          <cell r="AW222">
            <v>4.8860000000000001</v>
          </cell>
          <cell r="AY222">
            <v>0</v>
          </cell>
          <cell r="AZ222">
            <v>5.1369999999999996</v>
          </cell>
        </row>
        <row r="223">
          <cell r="C223">
            <v>0</v>
          </cell>
          <cell r="D223">
            <v>0</v>
          </cell>
          <cell r="E223">
            <v>0</v>
          </cell>
          <cell r="G223">
            <v>2.2000000000000002</v>
          </cell>
          <cell r="H223">
            <v>2.9129999999999998</v>
          </cell>
          <cell r="I223">
            <v>2.548</v>
          </cell>
          <cell r="J223">
            <v>1.8260000000000001</v>
          </cell>
          <cell r="L223">
            <v>1.8260000000000001</v>
          </cell>
          <cell r="O223">
            <v>0.01</v>
          </cell>
          <cell r="R223">
            <v>1.8160000000000001</v>
          </cell>
          <cell r="V223">
            <v>1.8160000000000001</v>
          </cell>
          <cell r="AG223">
            <v>0</v>
          </cell>
          <cell r="AR223">
            <v>0</v>
          </cell>
          <cell r="AS223">
            <v>0</v>
          </cell>
          <cell r="AT223">
            <v>0</v>
          </cell>
          <cell r="AU223">
            <v>0</v>
          </cell>
          <cell r="AV223">
            <v>0</v>
          </cell>
          <cell r="AW223">
            <v>0</v>
          </cell>
          <cell r="AX223">
            <v>0</v>
          </cell>
          <cell r="AY223">
            <v>0</v>
          </cell>
          <cell r="AZ223">
            <v>1.8160000000000001</v>
          </cell>
        </row>
        <row r="224">
          <cell r="L224">
            <v>0</v>
          </cell>
          <cell r="R224">
            <v>0</v>
          </cell>
          <cell r="S224">
            <v>10.513999999999999</v>
          </cell>
          <cell r="V224">
            <v>10.513999999999999</v>
          </cell>
          <cell r="Y224">
            <v>6.1390000000000002</v>
          </cell>
          <cell r="AD224">
            <v>4.375</v>
          </cell>
          <cell r="AG224">
            <v>10.513999999999999</v>
          </cell>
          <cell r="AR224">
            <v>0</v>
          </cell>
          <cell r="AS224">
            <v>10.513999999999999</v>
          </cell>
          <cell r="AT224">
            <v>10.513999999999999</v>
          </cell>
          <cell r="AU224">
            <v>0</v>
          </cell>
          <cell r="AV224">
            <v>0</v>
          </cell>
          <cell r="AW224">
            <v>10.513999999999999</v>
          </cell>
          <cell r="AX224">
            <v>0</v>
          </cell>
          <cell r="AY224">
            <v>0</v>
          </cell>
          <cell r="AZ224">
            <v>10.513999999999999</v>
          </cell>
        </row>
        <row r="225">
          <cell r="C225">
            <v>0</v>
          </cell>
          <cell r="E225">
            <v>0</v>
          </cell>
          <cell r="F225">
            <v>2.1</v>
          </cell>
          <cell r="G225">
            <v>3.5</v>
          </cell>
          <cell r="H225">
            <v>3.371</v>
          </cell>
          <cell r="I225">
            <v>1.212</v>
          </cell>
          <cell r="J225">
            <v>1.633</v>
          </cell>
          <cell r="L225">
            <v>1.633</v>
          </cell>
          <cell r="O225">
            <v>6.0000000000000001E-3</v>
          </cell>
          <cell r="R225">
            <v>1.627</v>
          </cell>
          <cell r="S225">
            <v>1.458</v>
          </cell>
          <cell r="V225">
            <v>3.085</v>
          </cell>
          <cell r="Y225">
            <v>1.5169999999999999</v>
          </cell>
          <cell r="AG225">
            <v>1.5169999999999999</v>
          </cell>
          <cell r="AR225">
            <v>0</v>
          </cell>
          <cell r="AS225">
            <v>1.458</v>
          </cell>
          <cell r="AT225">
            <v>1.5169999999999999</v>
          </cell>
          <cell r="AU225">
            <v>-5.8999999999999941E-2</v>
          </cell>
          <cell r="AV225">
            <v>0</v>
          </cell>
          <cell r="AW225">
            <v>1.458</v>
          </cell>
          <cell r="AX225">
            <v>0</v>
          </cell>
          <cell r="AY225">
            <v>0</v>
          </cell>
          <cell r="AZ225">
            <v>3.085</v>
          </cell>
        </row>
        <row r="226">
          <cell r="C226">
            <v>0</v>
          </cell>
          <cell r="E226">
            <v>0</v>
          </cell>
          <cell r="F226">
            <v>0.4</v>
          </cell>
          <cell r="G226">
            <v>1.8</v>
          </cell>
          <cell r="H226">
            <v>1.466</v>
          </cell>
          <cell r="I226">
            <v>0.01</v>
          </cell>
          <cell r="J226">
            <v>0.16</v>
          </cell>
          <cell r="L226">
            <v>0.16</v>
          </cell>
          <cell r="O226">
            <v>0.16</v>
          </cell>
          <cell r="R226">
            <v>0</v>
          </cell>
          <cell r="V226">
            <v>0</v>
          </cell>
          <cell r="AG226">
            <v>0</v>
          </cell>
          <cell r="AR226">
            <v>0</v>
          </cell>
          <cell r="AS226">
            <v>0</v>
          </cell>
          <cell r="AT226">
            <v>0</v>
          </cell>
          <cell r="AU226">
            <v>0</v>
          </cell>
          <cell r="AV226">
            <v>0</v>
          </cell>
          <cell r="AW226">
            <v>0</v>
          </cell>
          <cell r="AX226">
            <v>0</v>
          </cell>
          <cell r="AY226">
            <v>0</v>
          </cell>
          <cell r="AZ226">
            <v>0</v>
          </cell>
        </row>
        <row r="227">
          <cell r="C227">
            <v>6.7060000000000004</v>
          </cell>
          <cell r="D227">
            <v>4.9000000000000004</v>
          </cell>
          <cell r="E227">
            <v>6</v>
          </cell>
          <cell r="F227">
            <v>4.2</v>
          </cell>
          <cell r="G227">
            <v>3.7</v>
          </cell>
          <cell r="H227">
            <v>2.9769999999999999</v>
          </cell>
          <cell r="I227">
            <v>2.5019999999999998</v>
          </cell>
          <cell r="J227">
            <v>1.2110000000000001</v>
          </cell>
          <cell r="L227">
            <v>1.2110000000000001</v>
          </cell>
          <cell r="O227">
            <v>1.9E-2</v>
          </cell>
          <cell r="R227">
            <v>1.1920000000000002</v>
          </cell>
          <cell r="V227">
            <v>1.1920000000000002</v>
          </cell>
          <cell r="AG227">
            <v>0</v>
          </cell>
          <cell r="AR227">
            <v>0</v>
          </cell>
          <cell r="AS227">
            <v>0</v>
          </cell>
          <cell r="AT227">
            <v>0</v>
          </cell>
          <cell r="AU227">
            <v>0</v>
          </cell>
          <cell r="AV227">
            <v>0</v>
          </cell>
          <cell r="AW227">
            <v>0</v>
          </cell>
          <cell r="AX227">
            <v>0</v>
          </cell>
          <cell r="AY227">
            <v>0</v>
          </cell>
          <cell r="AZ227">
            <v>1.1920000000000002</v>
          </cell>
        </row>
        <row r="228">
          <cell r="C228">
            <v>0</v>
          </cell>
          <cell r="E228">
            <v>0</v>
          </cell>
          <cell r="L228">
            <v>0</v>
          </cell>
          <cell r="R228">
            <v>0</v>
          </cell>
          <cell r="V228">
            <v>0</v>
          </cell>
          <cell r="AG228">
            <v>0</v>
          </cell>
          <cell r="AR228">
            <v>0</v>
          </cell>
          <cell r="AS228">
            <v>0</v>
          </cell>
          <cell r="AT228">
            <v>0</v>
          </cell>
          <cell r="AU228">
            <v>0</v>
          </cell>
          <cell r="AV228">
            <v>0</v>
          </cell>
          <cell r="AW228">
            <v>0</v>
          </cell>
          <cell r="AX228">
            <v>0</v>
          </cell>
          <cell r="AY228">
            <v>0</v>
          </cell>
          <cell r="AZ228">
            <v>0</v>
          </cell>
        </row>
        <row r="230">
          <cell r="C230">
            <v>22.047000000000001</v>
          </cell>
          <cell r="D230">
            <v>22.700000000000003</v>
          </cell>
          <cell r="E230">
            <v>31.699999999999996</v>
          </cell>
          <cell r="F230">
            <v>31.8</v>
          </cell>
          <cell r="G230">
            <v>27.499999999999996</v>
          </cell>
          <cell r="H230">
            <v>23.989000000000001</v>
          </cell>
          <cell r="I230">
            <v>15.280999999999999</v>
          </cell>
          <cell r="J230">
            <v>10.584000000000001</v>
          </cell>
          <cell r="K230">
            <v>8.3490000000000002</v>
          </cell>
          <cell r="L230">
            <v>18.933</v>
          </cell>
          <cell r="M230">
            <v>2.1000000000000001E-2</v>
          </cell>
          <cell r="N230">
            <v>0</v>
          </cell>
          <cell r="O230">
            <v>0.27600000000000002</v>
          </cell>
          <cell r="P230">
            <v>0</v>
          </cell>
          <cell r="Q230">
            <v>0</v>
          </cell>
          <cell r="R230">
            <v>18.635999999999999</v>
          </cell>
          <cell r="S230">
            <v>22.983999999999998</v>
          </cell>
          <cell r="T230">
            <v>0</v>
          </cell>
          <cell r="U230">
            <v>0</v>
          </cell>
          <cell r="V230">
            <v>41.62</v>
          </cell>
          <cell r="W230">
            <v>0</v>
          </cell>
          <cell r="X230">
            <v>8.2850000000000001</v>
          </cell>
          <cell r="Y230">
            <v>8.86</v>
          </cell>
          <cell r="Z230">
            <v>1.6120000000000001</v>
          </cell>
          <cell r="AA230">
            <v>0</v>
          </cell>
          <cell r="AB230">
            <v>0</v>
          </cell>
          <cell r="AC230">
            <v>0</v>
          </cell>
          <cell r="AD230">
            <v>4.375</v>
          </cell>
          <cell r="AE230">
            <v>0</v>
          </cell>
          <cell r="AF230">
            <v>0</v>
          </cell>
          <cell r="AG230">
            <v>23.132000000000001</v>
          </cell>
          <cell r="AH230">
            <v>0</v>
          </cell>
          <cell r="AI230">
            <v>0</v>
          </cell>
          <cell r="AJ230">
            <v>0</v>
          </cell>
          <cell r="AK230">
            <v>8.3490000000000002</v>
          </cell>
          <cell r="AL230">
            <v>0</v>
          </cell>
          <cell r="AM230">
            <v>0</v>
          </cell>
          <cell r="AN230">
            <v>0</v>
          </cell>
          <cell r="AO230">
            <v>0</v>
          </cell>
          <cell r="AP230">
            <v>0</v>
          </cell>
          <cell r="AQ230">
            <v>0</v>
          </cell>
          <cell r="AR230">
            <v>8.3490000000000002</v>
          </cell>
          <cell r="AS230">
            <v>31.332999999999998</v>
          </cell>
          <cell r="AT230">
            <v>33.506</v>
          </cell>
          <cell r="AU230">
            <v>-2.173</v>
          </cell>
          <cell r="AV230">
            <v>0</v>
          </cell>
          <cell r="AW230">
            <v>31.332999999999998</v>
          </cell>
          <cell r="AX230">
            <v>0</v>
          </cell>
          <cell r="AY230">
            <v>0</v>
          </cell>
          <cell r="AZ230">
            <v>41.62</v>
          </cell>
        </row>
        <row r="232">
          <cell r="L232">
            <v>0</v>
          </cell>
          <cell r="R232">
            <v>0</v>
          </cell>
          <cell r="S232">
            <v>2.5099999999999998</v>
          </cell>
          <cell r="V232">
            <v>2.5099999999999998</v>
          </cell>
          <cell r="Z232">
            <v>2.9529999999999998</v>
          </cell>
          <cell r="AG232">
            <v>2.9529999999999998</v>
          </cell>
          <cell r="AR232">
            <v>0</v>
          </cell>
          <cell r="AS232">
            <v>2.5099999999999998</v>
          </cell>
          <cell r="AT232">
            <v>2.9529999999999998</v>
          </cell>
          <cell r="AU232">
            <v>-0.44300000000000006</v>
          </cell>
          <cell r="AV232">
            <v>0</v>
          </cell>
          <cell r="AW232">
            <v>2.5099999999999998</v>
          </cell>
          <cell r="AX232">
            <v>0</v>
          </cell>
          <cell r="AY232">
            <v>0</v>
          </cell>
          <cell r="AZ232">
            <v>2.5099999999999998</v>
          </cell>
        </row>
        <row r="233">
          <cell r="L233">
            <v>0</v>
          </cell>
          <cell r="R233">
            <v>0</v>
          </cell>
          <cell r="V233">
            <v>0</v>
          </cell>
          <cell r="X233">
            <v>1.4910000000000001</v>
          </cell>
          <cell r="Y233" t="str">
            <v>mu</v>
          </cell>
          <cell r="AG233">
            <v>1.4910000000000001</v>
          </cell>
          <cell r="AR233">
            <v>0</v>
          </cell>
          <cell r="AS233">
            <v>0</v>
          </cell>
          <cell r="AT233">
            <v>1.4910000000000001</v>
          </cell>
          <cell r="AU233">
            <v>-1.4910000000000001</v>
          </cell>
          <cell r="AV233">
            <v>0</v>
          </cell>
          <cell r="AW233">
            <v>0</v>
          </cell>
          <cell r="AX233">
            <v>0</v>
          </cell>
          <cell r="AY233">
            <v>0</v>
          </cell>
          <cell r="AZ233">
            <v>0</v>
          </cell>
        </row>
        <row r="234">
          <cell r="L234">
            <v>0</v>
          </cell>
          <cell r="Q234">
            <v>0.65</v>
          </cell>
          <cell r="R234">
            <v>0.65</v>
          </cell>
          <cell r="V234">
            <v>0.65</v>
          </cell>
          <cell r="AG234">
            <v>0</v>
          </cell>
          <cell r="AR234">
            <v>0</v>
          </cell>
          <cell r="AS234">
            <v>0</v>
          </cell>
          <cell r="AT234">
            <v>0.65</v>
          </cell>
          <cell r="AU234">
            <v>-0.65</v>
          </cell>
          <cell r="AV234">
            <v>0</v>
          </cell>
          <cell r="AW234">
            <v>0</v>
          </cell>
          <cell r="AX234">
            <v>0</v>
          </cell>
          <cell r="AY234">
            <v>0</v>
          </cell>
          <cell r="AZ234">
            <v>0.65</v>
          </cell>
        </row>
        <row r="235">
          <cell r="L235">
            <v>0</v>
          </cell>
          <cell r="R235">
            <v>0</v>
          </cell>
          <cell r="V235">
            <v>0</v>
          </cell>
          <cell r="AG235">
            <v>0</v>
          </cell>
          <cell r="AR235">
            <v>0</v>
          </cell>
          <cell r="AS235">
            <v>0</v>
          </cell>
          <cell r="AT235">
            <v>0</v>
          </cell>
          <cell r="AU235">
            <v>0</v>
          </cell>
          <cell r="AV235">
            <v>0</v>
          </cell>
          <cell r="AW235">
            <v>0</v>
          </cell>
          <cell r="AX235">
            <v>0</v>
          </cell>
          <cell r="AY235">
            <v>0</v>
          </cell>
          <cell r="AZ235">
            <v>0</v>
          </cell>
        </row>
        <row r="236">
          <cell r="L236">
            <v>0</v>
          </cell>
          <cell r="Q236">
            <v>2.2000000000000002</v>
          </cell>
          <cell r="R236">
            <v>2.2000000000000002</v>
          </cell>
          <cell r="V236">
            <v>2.2000000000000002</v>
          </cell>
          <cell r="AA236">
            <v>2.2000000000000002</v>
          </cell>
          <cell r="AG236">
            <v>2.2000000000000002</v>
          </cell>
          <cell r="AR236">
            <v>0</v>
          </cell>
          <cell r="AS236">
            <v>0</v>
          </cell>
          <cell r="AT236">
            <v>2.2000000000000002</v>
          </cell>
          <cell r="AU236">
            <v>-2.2000000000000002</v>
          </cell>
          <cell r="AV236">
            <v>0</v>
          </cell>
          <cell r="AW236">
            <v>0</v>
          </cell>
          <cell r="AX236">
            <v>0</v>
          </cell>
          <cell r="AY236">
            <v>0</v>
          </cell>
          <cell r="AZ236">
            <v>2.2000000000000002</v>
          </cell>
        </row>
        <row r="237">
          <cell r="L237">
            <v>0</v>
          </cell>
          <cell r="Q237">
            <v>2.1</v>
          </cell>
          <cell r="R237">
            <v>2.1</v>
          </cell>
          <cell r="V237">
            <v>2.1</v>
          </cell>
          <cell r="AG237">
            <v>0</v>
          </cell>
          <cell r="AR237">
            <v>0</v>
          </cell>
          <cell r="AS237">
            <v>0</v>
          </cell>
          <cell r="AT237">
            <v>2.1</v>
          </cell>
          <cell r="AU237">
            <v>-2.1</v>
          </cell>
          <cell r="AV237">
            <v>0</v>
          </cell>
          <cell r="AW237">
            <v>0</v>
          </cell>
          <cell r="AX237">
            <v>0</v>
          </cell>
          <cell r="AY237">
            <v>0</v>
          </cell>
          <cell r="AZ237">
            <v>2.1</v>
          </cell>
        </row>
        <row r="238">
          <cell r="L238">
            <v>0</v>
          </cell>
          <cell r="R238">
            <v>0</v>
          </cell>
          <cell r="V238">
            <v>0</v>
          </cell>
          <cell r="AG238">
            <v>0</v>
          </cell>
          <cell r="AR238">
            <v>0</v>
          </cell>
          <cell r="AS238">
            <v>0</v>
          </cell>
          <cell r="AT238">
            <v>0</v>
          </cell>
          <cell r="AU238">
            <v>0</v>
          </cell>
          <cell r="AV238">
            <v>0</v>
          </cell>
          <cell r="AW238">
            <v>0</v>
          </cell>
          <cell r="AX238">
            <v>0</v>
          </cell>
          <cell r="AY238">
            <v>0</v>
          </cell>
          <cell r="AZ238">
            <v>0</v>
          </cell>
        </row>
        <row r="240">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4.95</v>
          </cell>
          <cell r="R240">
            <v>4.95</v>
          </cell>
          <cell r="S240">
            <v>2.5099999999999998</v>
          </cell>
          <cell r="T240">
            <v>0</v>
          </cell>
          <cell r="U240">
            <v>0</v>
          </cell>
          <cell r="V240">
            <v>7.4599999999999991</v>
          </cell>
          <cell r="W240">
            <v>0</v>
          </cell>
          <cell r="X240">
            <v>1.4910000000000001</v>
          </cell>
          <cell r="Y240">
            <v>0</v>
          </cell>
          <cell r="Z240">
            <v>2.9529999999999998</v>
          </cell>
          <cell r="AA240">
            <v>2.2000000000000002</v>
          </cell>
          <cell r="AB240">
            <v>0</v>
          </cell>
          <cell r="AC240">
            <v>0</v>
          </cell>
          <cell r="AD240">
            <v>0</v>
          </cell>
          <cell r="AE240">
            <v>0</v>
          </cell>
          <cell r="AF240">
            <v>0</v>
          </cell>
          <cell r="AG240">
            <v>6.6440000000000001</v>
          </cell>
          <cell r="AH240">
            <v>0</v>
          </cell>
          <cell r="AI240">
            <v>0</v>
          </cell>
          <cell r="AJ240">
            <v>0</v>
          </cell>
          <cell r="AK240">
            <v>0</v>
          </cell>
          <cell r="AL240">
            <v>0</v>
          </cell>
          <cell r="AM240">
            <v>0</v>
          </cell>
          <cell r="AN240">
            <v>0</v>
          </cell>
          <cell r="AO240">
            <v>0</v>
          </cell>
          <cell r="AP240">
            <v>0</v>
          </cell>
          <cell r="AQ240">
            <v>0</v>
          </cell>
          <cell r="AR240">
            <v>0</v>
          </cell>
          <cell r="AS240">
            <v>2.5099999999999998</v>
          </cell>
          <cell r="AT240">
            <v>9.3940000000000001</v>
          </cell>
          <cell r="AU240">
            <v>-6.8840000000000003</v>
          </cell>
          <cell r="AV240">
            <v>0</v>
          </cell>
          <cell r="AW240">
            <v>2.5099999999999998</v>
          </cell>
          <cell r="AX240">
            <v>0</v>
          </cell>
          <cell r="AY240">
            <v>0</v>
          </cell>
          <cell r="AZ240">
            <v>7.4599999999999991</v>
          </cell>
        </row>
        <row r="242">
          <cell r="C242">
            <v>22.047000000000001</v>
          </cell>
          <cell r="D242">
            <v>22.700000000000003</v>
          </cell>
          <cell r="E242">
            <v>31.699999999999996</v>
          </cell>
          <cell r="F242">
            <v>31.8</v>
          </cell>
          <cell r="G242">
            <v>27.499999999999996</v>
          </cell>
          <cell r="H242">
            <v>23.989000000000001</v>
          </cell>
          <cell r="I242">
            <v>15.280999999999999</v>
          </cell>
          <cell r="J242">
            <v>10.584000000000001</v>
          </cell>
          <cell r="K242">
            <v>8.3490000000000002</v>
          </cell>
          <cell r="L242">
            <v>18.933</v>
          </cell>
          <cell r="M242">
            <v>2.1000000000000001E-2</v>
          </cell>
          <cell r="N242">
            <v>0</v>
          </cell>
          <cell r="O242">
            <v>0.27600000000000002</v>
          </cell>
          <cell r="P242">
            <v>0</v>
          </cell>
          <cell r="Q242">
            <v>4.95</v>
          </cell>
          <cell r="R242">
            <v>23.585999999999999</v>
          </cell>
          <cell r="S242">
            <v>25.494</v>
          </cell>
          <cell r="T242">
            <v>0</v>
          </cell>
          <cell r="U242">
            <v>0</v>
          </cell>
          <cell r="V242">
            <v>49.08</v>
          </cell>
          <cell r="W242">
            <v>0</v>
          </cell>
          <cell r="X242">
            <v>9.7759999999999998</v>
          </cell>
          <cell r="Y242">
            <v>8.86</v>
          </cell>
          <cell r="Z242">
            <v>4.5649999999999995</v>
          </cell>
          <cell r="AA242">
            <v>2.2000000000000002</v>
          </cell>
          <cell r="AB242">
            <v>0</v>
          </cell>
          <cell r="AC242">
            <v>0</v>
          </cell>
          <cell r="AD242">
            <v>4.375</v>
          </cell>
          <cell r="AE242">
            <v>0</v>
          </cell>
          <cell r="AF242">
            <v>0</v>
          </cell>
          <cell r="AG242">
            <v>29.776000000000003</v>
          </cell>
          <cell r="AH242">
            <v>0</v>
          </cell>
          <cell r="AI242">
            <v>0</v>
          </cell>
          <cell r="AJ242">
            <v>0</v>
          </cell>
          <cell r="AK242">
            <v>8.3490000000000002</v>
          </cell>
          <cell r="AL242">
            <v>0</v>
          </cell>
          <cell r="AM242">
            <v>0</v>
          </cell>
          <cell r="AN242">
            <v>0</v>
          </cell>
          <cell r="AO242">
            <v>0</v>
          </cell>
          <cell r="AP242">
            <v>0</v>
          </cell>
          <cell r="AQ242">
            <v>0</v>
          </cell>
          <cell r="AR242">
            <v>8.3490000000000002</v>
          </cell>
          <cell r="AS242">
            <v>33.842999999999996</v>
          </cell>
          <cell r="AT242">
            <v>42.9</v>
          </cell>
          <cell r="AU242">
            <v>-9.0570000000000004</v>
          </cell>
          <cell r="AV242">
            <v>0</v>
          </cell>
          <cell r="AW242">
            <v>33.842999999999996</v>
          </cell>
          <cell r="AX242">
            <v>0</v>
          </cell>
          <cell r="AY242">
            <v>0</v>
          </cell>
          <cell r="AZ242">
            <v>49.08</v>
          </cell>
        </row>
        <row r="244">
          <cell r="H244">
            <v>0.84499999999999997</v>
          </cell>
          <cell r="I244">
            <v>3.4550000000000001</v>
          </cell>
          <cell r="J244">
            <v>9.827</v>
          </cell>
          <cell r="L244">
            <v>9.827</v>
          </cell>
          <cell r="O244">
            <v>0.65700000000000003</v>
          </cell>
          <cell r="R244">
            <v>9.17</v>
          </cell>
          <cell r="T244">
            <v>8.0000000000000002E-3</v>
          </cell>
          <cell r="V244">
            <v>9.177999999999999</v>
          </cell>
          <cell r="AG244">
            <v>0</v>
          </cell>
          <cell r="AR244">
            <v>0</v>
          </cell>
          <cell r="AS244">
            <v>0</v>
          </cell>
          <cell r="AT244">
            <v>0</v>
          </cell>
          <cell r="AU244">
            <v>0</v>
          </cell>
          <cell r="AV244">
            <v>0</v>
          </cell>
          <cell r="AW244">
            <v>0</v>
          </cell>
          <cell r="AX244">
            <v>0</v>
          </cell>
          <cell r="AY244">
            <v>0</v>
          </cell>
          <cell r="AZ244">
            <v>9.177999999999999</v>
          </cell>
        </row>
        <row r="245">
          <cell r="I245">
            <v>0.32</v>
          </cell>
          <cell r="J245">
            <v>0.69299999999999995</v>
          </cell>
          <cell r="L245">
            <v>0.69299999999999995</v>
          </cell>
          <cell r="O245">
            <v>4.8000000000000001E-2</v>
          </cell>
          <cell r="R245">
            <v>0.64499999999999991</v>
          </cell>
          <cell r="S245">
            <v>12.83</v>
          </cell>
          <cell r="V245">
            <v>13.475</v>
          </cell>
          <cell r="W245">
            <v>12.83</v>
          </cell>
          <cell r="AG245">
            <v>12.83</v>
          </cell>
          <cell r="AR245">
            <v>0</v>
          </cell>
          <cell r="AS245">
            <v>12.83</v>
          </cell>
          <cell r="AT245">
            <v>12.83</v>
          </cell>
          <cell r="AU245">
            <v>0</v>
          </cell>
          <cell r="AV245">
            <v>0</v>
          </cell>
          <cell r="AW245">
            <v>12.83</v>
          </cell>
          <cell r="AX245">
            <v>0</v>
          </cell>
          <cell r="AY245">
            <v>0</v>
          </cell>
          <cell r="AZ245">
            <v>13.475</v>
          </cell>
        </row>
        <row r="246">
          <cell r="C246">
            <v>0.52600000000000002</v>
          </cell>
          <cell r="D246">
            <v>1.7</v>
          </cell>
          <cell r="E246">
            <v>0.9</v>
          </cell>
          <cell r="G246">
            <v>0.3</v>
          </cell>
          <cell r="H246">
            <v>0.16</v>
          </cell>
          <cell r="I246">
            <v>2.5000000000000001E-2</v>
          </cell>
          <cell r="L246">
            <v>0</v>
          </cell>
          <cell r="R246">
            <v>0</v>
          </cell>
          <cell r="V246">
            <v>0</v>
          </cell>
          <cell r="AG246">
            <v>0</v>
          </cell>
          <cell r="AR246">
            <v>0</v>
          </cell>
          <cell r="AS246">
            <v>0</v>
          </cell>
          <cell r="AT246">
            <v>0</v>
          </cell>
          <cell r="AU246">
            <v>0</v>
          </cell>
          <cell r="AV246">
            <v>0</v>
          </cell>
          <cell r="AW246">
            <v>0</v>
          </cell>
          <cell r="AX246">
            <v>0</v>
          </cell>
          <cell r="AY246">
            <v>0</v>
          </cell>
          <cell r="AZ246">
            <v>0</v>
          </cell>
        </row>
        <row r="247">
          <cell r="H247">
            <v>3.7999999999999999E-2</v>
          </cell>
          <cell r="L247">
            <v>0</v>
          </cell>
          <cell r="O247">
            <v>0</v>
          </cell>
          <cell r="Q247">
            <v>0</v>
          </cell>
          <cell r="R247">
            <v>0</v>
          </cell>
          <cell r="V247">
            <v>0</v>
          </cell>
          <cell r="W247">
            <v>0</v>
          </cell>
          <cell r="X247">
            <v>0</v>
          </cell>
          <cell r="Y247">
            <v>0</v>
          </cell>
          <cell r="Z247">
            <v>0</v>
          </cell>
          <cell r="AA247">
            <v>0</v>
          </cell>
          <cell r="AB247">
            <v>0</v>
          </cell>
          <cell r="AC247">
            <v>0</v>
          </cell>
          <cell r="AD247">
            <v>0</v>
          </cell>
          <cell r="AE247">
            <v>0</v>
          </cell>
          <cell r="AF247">
            <v>0</v>
          </cell>
          <cell r="AG247">
            <v>0</v>
          </cell>
          <cell r="AR247">
            <v>0</v>
          </cell>
          <cell r="AS247">
            <v>0</v>
          </cell>
          <cell r="AT247">
            <v>0</v>
          </cell>
          <cell r="AU247">
            <v>0</v>
          </cell>
          <cell r="AV247">
            <v>0</v>
          </cell>
          <cell r="AW247">
            <v>0</v>
          </cell>
          <cell r="AX247">
            <v>0</v>
          </cell>
          <cell r="AY247">
            <v>0</v>
          </cell>
          <cell r="AZ247">
            <v>0</v>
          </cell>
        </row>
        <row r="248">
          <cell r="H248">
            <v>7.2999999999999995E-2</v>
          </cell>
          <cell r="I248">
            <v>0.128</v>
          </cell>
          <cell r="J248">
            <v>0.84599999999999997</v>
          </cell>
          <cell r="L248">
            <v>0.84599999999999997</v>
          </cell>
          <cell r="O248">
            <v>6.0000000000000001E-3</v>
          </cell>
          <cell r="R248">
            <v>0.84</v>
          </cell>
          <cell r="V248">
            <v>0.84</v>
          </cell>
          <cell r="AG248">
            <v>0</v>
          </cell>
          <cell r="AR248">
            <v>0</v>
          </cell>
          <cell r="AS248">
            <v>0</v>
          </cell>
          <cell r="AT248">
            <v>0</v>
          </cell>
          <cell r="AU248">
            <v>0</v>
          </cell>
          <cell r="AV248">
            <v>0</v>
          </cell>
          <cell r="AW248">
            <v>0</v>
          </cell>
          <cell r="AX248">
            <v>0</v>
          </cell>
          <cell r="AY248">
            <v>0</v>
          </cell>
          <cell r="AZ248">
            <v>0.84</v>
          </cell>
        </row>
        <row r="249">
          <cell r="C249">
            <v>0</v>
          </cell>
          <cell r="E249">
            <v>0.9</v>
          </cell>
          <cell r="F249">
            <v>1.4</v>
          </cell>
          <cell r="G249">
            <v>2.6</v>
          </cell>
          <cell r="H249">
            <v>2.5339999999999998</v>
          </cell>
          <cell r="I249">
            <v>1.6890000000000001</v>
          </cell>
          <cell r="J249">
            <v>0.39900000000000002</v>
          </cell>
          <cell r="L249">
            <v>0.39900000000000002</v>
          </cell>
          <cell r="M249">
            <v>2.9000000000000001E-2</v>
          </cell>
          <cell r="O249">
            <v>0.13600000000000001</v>
          </cell>
          <cell r="Q249">
            <v>1.417</v>
          </cell>
          <cell r="R249">
            <v>1.651</v>
          </cell>
          <cell r="V249">
            <v>1.651</v>
          </cell>
          <cell r="AC249">
            <v>1.504</v>
          </cell>
          <cell r="AG249">
            <v>1.504</v>
          </cell>
          <cell r="AR249">
            <v>0</v>
          </cell>
          <cell r="AS249">
            <v>0</v>
          </cell>
          <cell r="AT249">
            <v>1.504</v>
          </cell>
          <cell r="AU249">
            <v>-1.504</v>
          </cell>
          <cell r="AV249">
            <v>0</v>
          </cell>
          <cell r="AW249">
            <v>0</v>
          </cell>
          <cell r="AX249">
            <v>0</v>
          </cell>
          <cell r="AY249">
            <v>0</v>
          </cell>
          <cell r="AZ249">
            <v>1.651</v>
          </cell>
        </row>
        <row r="250">
          <cell r="C250">
            <v>0</v>
          </cell>
          <cell r="D250">
            <v>0</v>
          </cell>
          <cell r="E250">
            <v>0</v>
          </cell>
          <cell r="G250">
            <v>0.3</v>
          </cell>
          <cell r="H250">
            <v>0.10199999999999999</v>
          </cell>
          <cell r="I250">
            <v>7.0000000000000001E-3</v>
          </cell>
          <cell r="J250">
            <v>6.0999999999999999E-2</v>
          </cell>
          <cell r="L250">
            <v>6.0999999999999999E-2</v>
          </cell>
          <cell r="O250">
            <v>1.7999999999999999E-2</v>
          </cell>
          <cell r="R250">
            <v>4.2999999999999997E-2</v>
          </cell>
          <cell r="V250">
            <v>4.2999999999999997E-2</v>
          </cell>
          <cell r="AG250">
            <v>0</v>
          </cell>
          <cell r="AR250">
            <v>0</v>
          </cell>
          <cell r="AS250">
            <v>0</v>
          </cell>
          <cell r="AT250">
            <v>0</v>
          </cell>
          <cell r="AU250">
            <v>0</v>
          </cell>
          <cell r="AV250">
            <v>0</v>
          </cell>
          <cell r="AW250">
            <v>0</v>
          </cell>
          <cell r="AX250">
            <v>0</v>
          </cell>
          <cell r="AY250">
            <v>0</v>
          </cell>
          <cell r="AZ250">
            <v>4.2999999999999997E-2</v>
          </cell>
        </row>
        <row r="251">
          <cell r="C251">
            <v>0</v>
          </cell>
          <cell r="E251">
            <v>1</v>
          </cell>
          <cell r="F251">
            <v>2.2999999999999998</v>
          </cell>
          <cell r="G251">
            <v>5</v>
          </cell>
          <cell r="H251">
            <v>1.417</v>
          </cell>
          <cell r="I251">
            <v>1.492</v>
          </cell>
          <cell r="J251">
            <v>6.6779999999999999</v>
          </cell>
          <cell r="L251">
            <v>6.6779999999999999</v>
          </cell>
          <cell r="O251">
            <v>3.4000000000000002E-2</v>
          </cell>
          <cell r="R251">
            <v>6.6440000000000001</v>
          </cell>
          <cell r="V251">
            <v>6.6440000000000001</v>
          </cell>
          <cell r="AG251">
            <v>0</v>
          </cell>
          <cell r="AR251">
            <v>0</v>
          </cell>
          <cell r="AS251">
            <v>0</v>
          </cell>
          <cell r="AT251">
            <v>0</v>
          </cell>
          <cell r="AU251">
            <v>0</v>
          </cell>
          <cell r="AV251">
            <v>0</v>
          </cell>
          <cell r="AW251">
            <v>0</v>
          </cell>
          <cell r="AX251">
            <v>0</v>
          </cell>
          <cell r="AY251">
            <v>0</v>
          </cell>
          <cell r="AZ251">
            <v>6.6440000000000001</v>
          </cell>
        </row>
        <row r="252">
          <cell r="I252">
            <v>0.36099999999999999</v>
          </cell>
          <cell r="J252">
            <v>1.4999999999999999E-2</v>
          </cell>
          <cell r="L252">
            <v>1.4999999999999999E-2</v>
          </cell>
          <cell r="O252">
            <v>0</v>
          </cell>
          <cell r="Q252">
            <v>1.93</v>
          </cell>
          <cell r="R252">
            <v>1.9449999999999998</v>
          </cell>
          <cell r="V252">
            <v>1.9449999999999998</v>
          </cell>
          <cell r="W252">
            <v>0</v>
          </cell>
          <cell r="X252">
            <v>0</v>
          </cell>
          <cell r="Y252">
            <v>0</v>
          </cell>
          <cell r="Z252">
            <v>0</v>
          </cell>
          <cell r="AA252">
            <v>0</v>
          </cell>
          <cell r="AB252">
            <v>0</v>
          </cell>
          <cell r="AC252">
            <v>1.93</v>
          </cell>
          <cell r="AD252">
            <v>0</v>
          </cell>
          <cell r="AE252">
            <v>0</v>
          </cell>
          <cell r="AF252">
            <v>0</v>
          </cell>
          <cell r="AG252">
            <v>1.93</v>
          </cell>
          <cell r="AR252">
            <v>0</v>
          </cell>
          <cell r="AS252">
            <v>0</v>
          </cell>
          <cell r="AT252">
            <v>1.93</v>
          </cell>
          <cell r="AU252">
            <v>-1.93</v>
          </cell>
          <cell r="AV252">
            <v>0</v>
          </cell>
          <cell r="AW252">
            <v>0</v>
          </cell>
          <cell r="AX252">
            <v>0</v>
          </cell>
          <cell r="AY252">
            <v>0</v>
          </cell>
          <cell r="AZ252">
            <v>1.9449999999999998</v>
          </cell>
        </row>
        <row r="253">
          <cell r="C253">
            <v>0</v>
          </cell>
          <cell r="D253">
            <v>0</v>
          </cell>
          <cell r="E253">
            <v>0</v>
          </cell>
          <cell r="H253">
            <v>0.40899999999999997</v>
          </cell>
          <cell r="L253">
            <v>0</v>
          </cell>
          <cell r="R253">
            <v>0</v>
          </cell>
          <cell r="V253">
            <v>0</v>
          </cell>
          <cell r="AG253">
            <v>0</v>
          </cell>
          <cell r="AR253">
            <v>0</v>
          </cell>
          <cell r="AS253">
            <v>0</v>
          </cell>
          <cell r="AT253">
            <v>0</v>
          </cell>
          <cell r="AU253">
            <v>0</v>
          </cell>
          <cell r="AV253">
            <v>0</v>
          </cell>
          <cell r="AW253">
            <v>0</v>
          </cell>
          <cell r="AX253">
            <v>0</v>
          </cell>
          <cell r="AY253">
            <v>0</v>
          </cell>
          <cell r="AZ253">
            <v>0</v>
          </cell>
        </row>
        <row r="255">
          <cell r="C255">
            <v>0.52600000000000002</v>
          </cell>
          <cell r="D255">
            <v>1.7</v>
          </cell>
          <cell r="E255">
            <v>2.8</v>
          </cell>
          <cell r="F255">
            <v>3.6999999999999997</v>
          </cell>
          <cell r="G255">
            <v>8.1999999999999993</v>
          </cell>
          <cell r="H255">
            <v>5.5779999999999994</v>
          </cell>
          <cell r="I255">
            <v>7.4769999999999994</v>
          </cell>
          <cell r="J255">
            <v>18.519000000000002</v>
          </cell>
          <cell r="K255">
            <v>0</v>
          </cell>
          <cell r="L255">
            <v>18.519000000000002</v>
          </cell>
          <cell r="M255">
            <v>2.9000000000000001E-2</v>
          </cell>
          <cell r="N255">
            <v>0</v>
          </cell>
          <cell r="O255">
            <v>0.89900000000000013</v>
          </cell>
          <cell r="P255">
            <v>0</v>
          </cell>
          <cell r="Q255">
            <v>3.347</v>
          </cell>
          <cell r="R255">
            <v>20.937999999999999</v>
          </cell>
          <cell r="S255">
            <v>12.83</v>
          </cell>
          <cell r="T255">
            <v>8.0000000000000002E-3</v>
          </cell>
          <cell r="U255">
            <v>0</v>
          </cell>
          <cell r="V255">
            <v>33.775999999999996</v>
          </cell>
          <cell r="W255">
            <v>12.83</v>
          </cell>
          <cell r="X255">
            <v>0</v>
          </cell>
          <cell r="Y255">
            <v>0</v>
          </cell>
          <cell r="Z255">
            <v>0</v>
          </cell>
          <cell r="AA255">
            <v>0</v>
          </cell>
          <cell r="AB255">
            <v>0</v>
          </cell>
          <cell r="AC255">
            <v>3.4340000000000002</v>
          </cell>
          <cell r="AD255">
            <v>0</v>
          </cell>
          <cell r="AE255">
            <v>0</v>
          </cell>
          <cell r="AF255">
            <v>0</v>
          </cell>
          <cell r="AG255">
            <v>16.263999999999999</v>
          </cell>
          <cell r="AH255">
            <v>0</v>
          </cell>
          <cell r="AI255">
            <v>0</v>
          </cell>
          <cell r="AJ255">
            <v>0</v>
          </cell>
          <cell r="AK255">
            <v>0</v>
          </cell>
          <cell r="AL255">
            <v>0</v>
          </cell>
          <cell r="AM255">
            <v>0</v>
          </cell>
          <cell r="AN255">
            <v>0</v>
          </cell>
          <cell r="AO255">
            <v>0</v>
          </cell>
          <cell r="AP255">
            <v>0</v>
          </cell>
          <cell r="AQ255">
            <v>0</v>
          </cell>
          <cell r="AR255">
            <v>0</v>
          </cell>
          <cell r="AS255">
            <v>12.83</v>
          </cell>
          <cell r="AT255">
            <v>16.263999999999999</v>
          </cell>
          <cell r="AU255">
            <v>-3.4340000000000002</v>
          </cell>
          <cell r="AV255">
            <v>0</v>
          </cell>
          <cell r="AW255">
            <v>12.83</v>
          </cell>
          <cell r="AX255">
            <v>0</v>
          </cell>
          <cell r="AY255">
            <v>0</v>
          </cell>
          <cell r="AZ255">
            <v>33.775999999999996</v>
          </cell>
        </row>
        <row r="257">
          <cell r="L257">
            <v>0</v>
          </cell>
          <cell r="R257">
            <v>0</v>
          </cell>
          <cell r="V257">
            <v>0</v>
          </cell>
          <cell r="AG257">
            <v>0</v>
          </cell>
          <cell r="AR257">
            <v>0</v>
          </cell>
          <cell r="AS257">
            <v>0</v>
          </cell>
          <cell r="AU257">
            <v>0</v>
          </cell>
          <cell r="AV257">
            <v>0</v>
          </cell>
          <cell r="AW257">
            <v>0</v>
          </cell>
          <cell r="AX257">
            <v>0</v>
          </cell>
          <cell r="AY257">
            <v>0</v>
          </cell>
          <cell r="AZ257">
            <v>0</v>
          </cell>
        </row>
        <row r="258">
          <cell r="L258">
            <v>0</v>
          </cell>
          <cell r="R258">
            <v>0</v>
          </cell>
          <cell r="V258">
            <v>0</v>
          </cell>
          <cell r="AA258">
            <v>0.5</v>
          </cell>
          <cell r="AG258">
            <v>0.5</v>
          </cell>
          <cell r="AR258">
            <v>0</v>
          </cell>
          <cell r="AS258">
            <v>0</v>
          </cell>
          <cell r="AU258">
            <v>0</v>
          </cell>
          <cell r="AV258">
            <v>0</v>
          </cell>
          <cell r="AW258">
            <v>0</v>
          </cell>
          <cell r="AX258">
            <v>0</v>
          </cell>
          <cell r="AY258">
            <v>0</v>
          </cell>
          <cell r="AZ258">
            <v>0</v>
          </cell>
        </row>
        <row r="259">
          <cell r="L259">
            <v>0</v>
          </cell>
          <cell r="R259">
            <v>0</v>
          </cell>
          <cell r="V259">
            <v>0</v>
          </cell>
          <cell r="AA259">
            <v>0.5</v>
          </cell>
          <cell r="AG259">
            <v>0.5</v>
          </cell>
          <cell r="AR259">
            <v>0</v>
          </cell>
          <cell r="AS259">
            <v>0</v>
          </cell>
          <cell r="AU259">
            <v>0</v>
          </cell>
          <cell r="AV259">
            <v>0</v>
          </cell>
          <cell r="AW259">
            <v>0</v>
          </cell>
          <cell r="AX259">
            <v>0</v>
          </cell>
          <cell r="AY259">
            <v>0</v>
          </cell>
          <cell r="AZ259">
            <v>0</v>
          </cell>
        </row>
        <row r="260">
          <cell r="L260">
            <v>0</v>
          </cell>
          <cell r="R260">
            <v>0</v>
          </cell>
          <cell r="V260">
            <v>0</v>
          </cell>
          <cell r="AA260">
            <v>0.5</v>
          </cell>
          <cell r="AG260">
            <v>0.5</v>
          </cell>
          <cell r="AR260">
            <v>0</v>
          </cell>
          <cell r="AS260">
            <v>0</v>
          </cell>
          <cell r="AU260">
            <v>0</v>
          </cell>
          <cell r="AV260">
            <v>0</v>
          </cell>
          <cell r="AW260">
            <v>0</v>
          </cell>
          <cell r="AX260">
            <v>0</v>
          </cell>
          <cell r="AY260">
            <v>0</v>
          </cell>
          <cell r="AZ260">
            <v>0</v>
          </cell>
        </row>
        <row r="262">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1.5</v>
          </cell>
          <cell r="AB262">
            <v>0</v>
          </cell>
          <cell r="AC262">
            <v>0</v>
          </cell>
          <cell r="AD262">
            <v>0</v>
          </cell>
          <cell r="AE262">
            <v>0</v>
          </cell>
          <cell r="AF262">
            <v>0</v>
          </cell>
          <cell r="AG262">
            <v>1.5</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row>
        <row r="264">
          <cell r="C264">
            <v>0.52600000000000002</v>
          </cell>
          <cell r="D264">
            <v>1.7</v>
          </cell>
          <cell r="E264">
            <v>2.8</v>
          </cell>
          <cell r="F264">
            <v>3.6999999999999997</v>
          </cell>
          <cell r="G264">
            <v>8.1999999999999993</v>
          </cell>
          <cell r="H264">
            <v>5.5779999999999994</v>
          </cell>
          <cell r="I264">
            <v>7.4769999999999994</v>
          </cell>
          <cell r="J264">
            <v>18.519000000000002</v>
          </cell>
          <cell r="K264">
            <v>0</v>
          </cell>
          <cell r="L264">
            <v>18.519000000000002</v>
          </cell>
          <cell r="M264">
            <v>2.9000000000000001E-2</v>
          </cell>
          <cell r="N264">
            <v>0</v>
          </cell>
          <cell r="O264">
            <v>0.89900000000000013</v>
          </cell>
          <cell r="P264">
            <v>0</v>
          </cell>
          <cell r="Q264">
            <v>3.347</v>
          </cell>
          <cell r="R264">
            <v>20.937999999999999</v>
          </cell>
          <cell r="S264">
            <v>12.83</v>
          </cell>
          <cell r="T264">
            <v>8.0000000000000002E-3</v>
          </cell>
          <cell r="U264">
            <v>0</v>
          </cell>
          <cell r="V264">
            <v>33.775999999999996</v>
          </cell>
          <cell r="W264">
            <v>12.83</v>
          </cell>
          <cell r="X264">
            <v>0</v>
          </cell>
          <cell r="Y264">
            <v>0</v>
          </cell>
          <cell r="Z264">
            <v>0</v>
          </cell>
          <cell r="AA264">
            <v>1.5</v>
          </cell>
          <cell r="AB264">
            <v>0</v>
          </cell>
          <cell r="AC264">
            <v>3.4340000000000002</v>
          </cell>
          <cell r="AD264">
            <v>0</v>
          </cell>
          <cell r="AE264">
            <v>0</v>
          </cell>
          <cell r="AF264">
            <v>0</v>
          </cell>
          <cell r="AG264">
            <v>17.763999999999999</v>
          </cell>
          <cell r="AH264">
            <v>0</v>
          </cell>
          <cell r="AI264">
            <v>0</v>
          </cell>
          <cell r="AJ264">
            <v>0</v>
          </cell>
          <cell r="AK264">
            <v>0</v>
          </cell>
          <cell r="AL264">
            <v>0</v>
          </cell>
          <cell r="AM264">
            <v>0</v>
          </cell>
          <cell r="AN264">
            <v>0</v>
          </cell>
          <cell r="AO264">
            <v>0</v>
          </cell>
          <cell r="AP264">
            <v>0</v>
          </cell>
          <cell r="AQ264">
            <v>0</v>
          </cell>
          <cell r="AR264">
            <v>0</v>
          </cell>
          <cell r="AS264">
            <v>12.83</v>
          </cell>
          <cell r="AT264">
            <v>16.263999999999999</v>
          </cell>
          <cell r="AU264">
            <v>-3.4340000000000002</v>
          </cell>
          <cell r="AV264">
            <v>0</v>
          </cell>
          <cell r="AW264">
            <v>12.83</v>
          </cell>
          <cell r="AX264">
            <v>0</v>
          </cell>
          <cell r="AY264">
            <v>0</v>
          </cell>
          <cell r="AZ264">
            <v>33.775999999999996</v>
          </cell>
        </row>
        <row r="265">
          <cell r="X265">
            <v>0</v>
          </cell>
          <cell r="AI265">
            <v>0</v>
          </cell>
        </row>
        <row r="266">
          <cell r="I266">
            <v>18.254000000000001</v>
          </cell>
          <cell r="J266">
            <v>20.032999999999994</v>
          </cell>
          <cell r="K266">
            <v>8.3360000000000003</v>
          </cell>
          <cell r="L266">
            <v>28.368999999999993</v>
          </cell>
          <cell r="M266">
            <v>0.02</v>
          </cell>
          <cell r="N266">
            <v>0</v>
          </cell>
          <cell r="O266">
            <v>0.65200000000000002</v>
          </cell>
          <cell r="P266">
            <v>0</v>
          </cell>
          <cell r="Q266">
            <v>20.399999999999999</v>
          </cell>
          <cell r="R266">
            <v>48.096999999999994</v>
          </cell>
          <cell r="S266">
            <v>18.831999999999997</v>
          </cell>
          <cell r="U266">
            <v>0.34399999999999997</v>
          </cell>
          <cell r="V266">
            <v>67.272999999999982</v>
          </cell>
          <cell r="W266">
            <v>18.423000000000002</v>
          </cell>
          <cell r="X266">
            <v>7.508</v>
          </cell>
          <cell r="Y266">
            <v>20.914000000000001</v>
          </cell>
          <cell r="Z266">
            <v>0</v>
          </cell>
          <cell r="AA266">
            <v>0</v>
          </cell>
          <cell r="AB266">
            <v>20.399999999999999</v>
          </cell>
          <cell r="AC266">
            <v>0</v>
          </cell>
          <cell r="AD266">
            <v>1.2250000000000001</v>
          </cell>
          <cell r="AE266">
            <v>0</v>
          </cell>
          <cell r="AF266">
            <v>0</v>
          </cell>
          <cell r="AG266">
            <v>68.47</v>
          </cell>
          <cell r="AH266">
            <v>0</v>
          </cell>
          <cell r="AI266">
            <v>0</v>
          </cell>
          <cell r="AK266">
            <v>0</v>
          </cell>
          <cell r="AL266">
            <v>0</v>
          </cell>
          <cell r="AM266">
            <v>5</v>
          </cell>
          <cell r="AN266">
            <v>40.781000000000006</v>
          </cell>
          <cell r="AO266">
            <v>0</v>
          </cell>
          <cell r="AP266">
            <v>45.781000000000006</v>
          </cell>
          <cell r="AQ266">
            <v>0</v>
          </cell>
          <cell r="AR266">
            <v>91.562000000000012</v>
          </cell>
          <cell r="AS266">
            <v>27.167999999999999</v>
          </cell>
          <cell r="AT266">
            <v>68.5</v>
          </cell>
          <cell r="AU266">
            <v>-41.332000000000001</v>
          </cell>
          <cell r="AW266">
            <v>27.167999999999999</v>
          </cell>
          <cell r="AX266">
            <v>0</v>
          </cell>
          <cell r="AY266">
            <v>0</v>
          </cell>
          <cell r="AZ266">
            <v>67.272999999999982</v>
          </cell>
        </row>
        <row r="268">
          <cell r="C268">
            <v>48.923000000000002</v>
          </cell>
          <cell r="D268">
            <v>77.5</v>
          </cell>
          <cell r="E268">
            <v>44.5</v>
          </cell>
          <cell r="F268">
            <v>33.5</v>
          </cell>
          <cell r="G268">
            <v>3.8</v>
          </cell>
          <cell r="H268">
            <v>0.72899999999999998</v>
          </cell>
          <cell r="I268">
            <v>0.82000000000000006</v>
          </cell>
          <cell r="J268">
            <v>26.777000000000001</v>
          </cell>
          <cell r="K268">
            <v>23.220000000000002</v>
          </cell>
          <cell r="L268">
            <v>49.997</v>
          </cell>
          <cell r="M268">
            <v>0.16999999999999998</v>
          </cell>
          <cell r="N268">
            <v>0</v>
          </cell>
          <cell r="O268">
            <v>6.1079999999999997</v>
          </cell>
          <cell r="P268">
            <v>4.8369999999999997</v>
          </cell>
          <cell r="Q268">
            <v>-27.437000000000005</v>
          </cell>
          <cell r="R268">
            <v>11.445</v>
          </cell>
          <cell r="S268">
            <v>0.21299999999999999</v>
          </cell>
          <cell r="V268">
            <v>11.657999999999999</v>
          </cell>
          <cell r="W268">
            <v>0</v>
          </cell>
          <cell r="Y268">
            <v>0</v>
          </cell>
          <cell r="Z268">
            <v>0</v>
          </cell>
          <cell r="AA268">
            <v>0</v>
          </cell>
          <cell r="AB268">
            <v>0</v>
          </cell>
          <cell r="AC268">
            <v>0</v>
          </cell>
          <cell r="AD268">
            <v>0</v>
          </cell>
          <cell r="AE268">
            <v>0</v>
          </cell>
          <cell r="AF268">
            <v>0</v>
          </cell>
          <cell r="AG268">
            <v>0</v>
          </cell>
          <cell r="AH268">
            <v>0</v>
          </cell>
          <cell r="AJ268">
            <v>0</v>
          </cell>
          <cell r="AK268">
            <v>0</v>
          </cell>
          <cell r="AL268">
            <v>0</v>
          </cell>
          <cell r="AM268">
            <v>0</v>
          </cell>
          <cell r="AN268">
            <v>0</v>
          </cell>
          <cell r="AO268">
            <v>0</v>
          </cell>
          <cell r="AP268">
            <v>0</v>
          </cell>
          <cell r="AQ268">
            <v>0</v>
          </cell>
          <cell r="AR268">
            <v>0</v>
          </cell>
          <cell r="AS268">
            <v>23.433000000000003</v>
          </cell>
          <cell r="AU268">
            <v>23.433000000000003</v>
          </cell>
          <cell r="AW268">
            <v>23.433000000000003</v>
          </cell>
          <cell r="AX268">
            <v>0</v>
          </cell>
          <cell r="AY268">
            <v>0</v>
          </cell>
          <cell r="AZ268">
            <v>11.657999999999999</v>
          </cell>
        </row>
        <row r="269">
          <cell r="X269">
            <v>0</v>
          </cell>
        </row>
        <row r="270">
          <cell r="C270">
            <v>820.55000000000007</v>
          </cell>
          <cell r="D270">
            <v>942.2</v>
          </cell>
          <cell r="E270">
            <v>901.50000000000011</v>
          </cell>
          <cell r="F270">
            <v>839.90000000000009</v>
          </cell>
          <cell r="G270">
            <v>730.9</v>
          </cell>
          <cell r="H270">
            <v>784.21160000000009</v>
          </cell>
          <cell r="I270">
            <v>782.35599999999988</v>
          </cell>
          <cell r="J270">
            <v>507.423</v>
          </cell>
          <cell r="K270">
            <v>729.90600000000006</v>
          </cell>
          <cell r="L270">
            <v>1237.329</v>
          </cell>
          <cell r="M270">
            <v>10.948</v>
          </cell>
          <cell r="N270">
            <v>2.4969999999999999</v>
          </cell>
          <cell r="O270">
            <v>38.366</v>
          </cell>
          <cell r="P270">
            <v>7.75</v>
          </cell>
          <cell r="Q270">
            <v>4.4839999999999947</v>
          </cell>
          <cell r="R270">
            <v>1182.252</v>
          </cell>
          <cell r="S270">
            <v>410.10399999999993</v>
          </cell>
          <cell r="T270">
            <v>25.154</v>
          </cell>
          <cell r="U270">
            <v>18.910000000000004</v>
          </cell>
          <cell r="V270">
            <v>1636.4199999999998</v>
          </cell>
          <cell r="W270">
            <v>336.548</v>
          </cell>
          <cell r="X270">
            <v>266.32600000000002</v>
          </cell>
          <cell r="Y270">
            <v>29.774000000000001</v>
          </cell>
          <cell r="Z270">
            <v>53.14</v>
          </cell>
          <cell r="AA270">
            <v>8.3000000000000007</v>
          </cell>
          <cell r="AB270">
            <v>20.399999999999999</v>
          </cell>
          <cell r="AC270">
            <v>3.4340000000000002</v>
          </cell>
          <cell r="AD270">
            <v>63.167999999999999</v>
          </cell>
          <cell r="AE270">
            <v>27.5</v>
          </cell>
          <cell r="AF270">
            <v>0</v>
          </cell>
          <cell r="AG270">
            <v>808.59</v>
          </cell>
          <cell r="AH270">
            <v>253.94499999999999</v>
          </cell>
          <cell r="AI270">
            <v>105.75999999999999</v>
          </cell>
          <cell r="AJ270">
            <v>0</v>
          </cell>
          <cell r="AK270">
            <v>14.302</v>
          </cell>
          <cell r="AL270">
            <v>0</v>
          </cell>
          <cell r="AM270">
            <v>5</v>
          </cell>
          <cell r="AN270">
            <v>40.781000000000006</v>
          </cell>
          <cell r="AO270">
            <v>0</v>
          </cell>
          <cell r="AP270">
            <v>45.781000000000006</v>
          </cell>
          <cell r="AQ270">
            <v>0</v>
          </cell>
          <cell r="AR270">
            <v>465.56899999999996</v>
          </cell>
          <cell r="AS270">
            <v>1158.576</v>
          </cell>
          <cell r="AT270">
            <v>1245.1789999999999</v>
          </cell>
          <cell r="AU270">
            <v>-86.602999999999994</v>
          </cell>
          <cell r="AV270">
            <v>0</v>
          </cell>
          <cell r="AW270">
            <v>1158.576</v>
          </cell>
          <cell r="AX270">
            <v>0</v>
          </cell>
          <cell r="AY270">
            <v>0</v>
          </cell>
          <cell r="AZ270">
            <v>1636.4199999999998</v>
          </cell>
        </row>
        <row r="271">
          <cell r="O271">
            <v>-6.0609999999999999</v>
          </cell>
          <cell r="P271">
            <v>-4.04</v>
          </cell>
          <cell r="R271">
            <v>10.100999999999999</v>
          </cell>
          <cell r="V271">
            <v>10.100999999999999</v>
          </cell>
          <cell r="AZ271">
            <v>10.100999999999999</v>
          </cell>
        </row>
        <row r="272">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H272">
            <v>0</v>
          </cell>
          <cell r="AI272">
            <v>0</v>
          </cell>
          <cell r="AJ272">
            <v>0</v>
          </cell>
          <cell r="AK272">
            <v>0</v>
          </cell>
          <cell r="AL272">
            <v>0</v>
          </cell>
          <cell r="AM272">
            <v>0</v>
          </cell>
          <cell r="AN272">
            <v>0</v>
          </cell>
          <cell r="AO272">
            <v>0</v>
          </cell>
          <cell r="AP272">
            <v>0</v>
          </cell>
          <cell r="AQ272">
            <v>0</v>
          </cell>
          <cell r="AZ272">
            <v>0</v>
          </cell>
        </row>
        <row r="273">
          <cell r="C273">
            <v>820.55000000000007</v>
          </cell>
          <cell r="D273">
            <v>942.2</v>
          </cell>
          <cell r="E273">
            <v>901.50000000000011</v>
          </cell>
          <cell r="F273">
            <v>839.90000000000009</v>
          </cell>
          <cell r="G273">
            <v>730.9</v>
          </cell>
          <cell r="H273">
            <v>784.21160000000009</v>
          </cell>
          <cell r="I273">
            <v>782.35599999999988</v>
          </cell>
          <cell r="J273">
            <v>507.423</v>
          </cell>
          <cell r="K273">
            <v>729.90600000000006</v>
          </cell>
          <cell r="L273">
            <v>1237.329</v>
          </cell>
          <cell r="M273">
            <v>10.948</v>
          </cell>
          <cell r="N273">
            <v>2.4969999999999999</v>
          </cell>
          <cell r="O273">
            <v>32.305</v>
          </cell>
          <cell r="P273">
            <v>3.71</v>
          </cell>
          <cell r="Q273">
            <v>4.4839999999999947</v>
          </cell>
          <cell r="R273">
            <v>1192.3530000000001</v>
          </cell>
          <cell r="S273">
            <v>410.10399999999993</v>
          </cell>
          <cell r="T273">
            <v>25.154</v>
          </cell>
          <cell r="U273">
            <v>18.910000000000004</v>
          </cell>
          <cell r="V273">
            <v>1646.5209999999997</v>
          </cell>
          <cell r="W273">
            <v>336.548</v>
          </cell>
          <cell r="X273">
            <v>266.32600000000002</v>
          </cell>
          <cell r="Y273">
            <v>29.774000000000001</v>
          </cell>
          <cell r="Z273">
            <v>53.14</v>
          </cell>
          <cell r="AA273">
            <v>8.3000000000000007</v>
          </cell>
          <cell r="AB273">
            <v>20.399999999999999</v>
          </cell>
          <cell r="AC273">
            <v>3.4340000000000002</v>
          </cell>
          <cell r="AD273">
            <v>63.167999999999999</v>
          </cell>
          <cell r="AE273">
            <v>27.5</v>
          </cell>
          <cell r="AF273">
            <v>0</v>
          </cell>
          <cell r="AG273">
            <v>808.59</v>
          </cell>
          <cell r="AH273">
            <v>253.94499999999999</v>
          </cell>
          <cell r="AI273">
            <v>105.75999999999999</v>
          </cell>
          <cell r="AJ273">
            <v>0</v>
          </cell>
          <cell r="AK273">
            <v>14.302</v>
          </cell>
          <cell r="AL273">
            <v>0</v>
          </cell>
          <cell r="AM273">
            <v>5</v>
          </cell>
          <cell r="AN273">
            <v>40.781000000000006</v>
          </cell>
          <cell r="AO273">
            <v>0</v>
          </cell>
          <cell r="AP273">
            <v>45.781000000000006</v>
          </cell>
          <cell r="AQ273">
            <v>0</v>
          </cell>
          <cell r="AR273">
            <v>465.56899999999996</v>
          </cell>
          <cell r="AS273">
            <v>1158.576</v>
          </cell>
          <cell r="AT273">
            <v>1245.1789999999999</v>
          </cell>
          <cell r="AU273">
            <v>-86.602999999999994</v>
          </cell>
          <cell r="AV273">
            <v>0</v>
          </cell>
          <cell r="AW273">
            <v>1158.576</v>
          </cell>
          <cell r="AX273">
            <v>0</v>
          </cell>
          <cell r="AY273">
            <v>0</v>
          </cell>
          <cell r="AZ273">
            <v>1646.5209999999997</v>
          </cell>
        </row>
        <row r="274">
          <cell r="C274" t="str">
            <v>MARCY</v>
          </cell>
          <cell r="L274">
            <v>1237.329</v>
          </cell>
          <cell r="M274">
            <v>13.445</v>
          </cell>
          <cell r="O274">
            <v>46.116</v>
          </cell>
          <cell r="Q274">
            <v>4.484</v>
          </cell>
          <cell r="S274">
            <v>410.10399999999998</v>
          </cell>
          <cell r="T274">
            <v>44.064</v>
          </cell>
          <cell r="V274">
            <v>1636.42</v>
          </cell>
          <cell r="W274">
            <v>623.35599999999999</v>
          </cell>
          <cell r="X274">
            <v>400.78199999999998</v>
          </cell>
          <cell r="Y274">
            <v>29.774000000000001</v>
          </cell>
          <cell r="Z274">
            <v>68.099999999999994</v>
          </cell>
          <cell r="AA274">
            <v>9.5500000000000007</v>
          </cell>
          <cell r="AB274">
            <v>20.399999999999999</v>
          </cell>
          <cell r="AC274">
            <v>3.4340000000000002</v>
          </cell>
          <cell r="AD274">
            <v>48.168999999999997</v>
          </cell>
          <cell r="AE274">
            <v>27.5</v>
          </cell>
          <cell r="AF274">
            <v>14.082999999999998</v>
          </cell>
          <cell r="AG274">
            <v>1245.1479999999999</v>
          </cell>
          <cell r="AH274">
            <v>623.35599999999999</v>
          </cell>
          <cell r="AI274">
            <v>400.78199999999998</v>
          </cell>
          <cell r="AJ274">
            <v>29.774000000000001</v>
          </cell>
          <cell r="AK274">
            <v>68.099999999999994</v>
          </cell>
          <cell r="AL274">
            <v>9.5500000000000007</v>
          </cell>
          <cell r="AM274">
            <v>20.399999999999999</v>
          </cell>
          <cell r="AN274">
            <v>3.4340000000000002</v>
          </cell>
          <cell r="AO274">
            <v>48.168999999999997</v>
          </cell>
          <cell r="AP274">
            <v>27.5</v>
          </cell>
          <cell r="AQ274">
            <v>14.082999999999998</v>
          </cell>
          <cell r="AS274">
            <v>1245.1789999999999</v>
          </cell>
          <cell r="AZ274">
            <v>1636.42</v>
          </cell>
        </row>
        <row r="275">
          <cell r="L275">
            <v>0</v>
          </cell>
          <cell r="M275">
            <v>2.4969999999999999</v>
          </cell>
          <cell r="O275">
            <v>13.811</v>
          </cell>
          <cell r="Q275">
            <v>5.3290705182007514E-15</v>
          </cell>
          <cell r="S275">
            <v>5.6843418860808015E-14</v>
          </cell>
          <cell r="T275">
            <v>18.91</v>
          </cell>
          <cell r="V275">
            <v>-10.100999999999658</v>
          </cell>
          <cell r="W275">
            <v>286.80799999999999</v>
          </cell>
          <cell r="X275">
            <v>134.45599999999996</v>
          </cell>
          <cell r="Y275">
            <v>0</v>
          </cell>
          <cell r="Z275">
            <v>14.959999999999994</v>
          </cell>
          <cell r="AA275">
            <v>1.25</v>
          </cell>
          <cell r="AB275">
            <v>0</v>
          </cell>
          <cell r="AC275">
            <v>0</v>
          </cell>
          <cell r="AD275">
            <v>-14.999000000000002</v>
          </cell>
          <cell r="AE275">
            <v>0</v>
          </cell>
          <cell r="AF275">
            <v>14.082999999999998</v>
          </cell>
          <cell r="AG275">
            <v>436.55799999999988</v>
          </cell>
          <cell r="AH275">
            <v>369.411</v>
          </cell>
          <cell r="AI275">
            <v>295.02199999999999</v>
          </cell>
          <cell r="AJ275">
            <v>29.774000000000001</v>
          </cell>
          <cell r="AK275">
            <v>53.797999999999995</v>
          </cell>
          <cell r="AL275">
            <v>9.5500000000000007</v>
          </cell>
          <cell r="AM275">
            <v>15.399999999999999</v>
          </cell>
          <cell r="AN275">
            <v>-37.347000000000008</v>
          </cell>
          <cell r="AO275">
            <v>48.168999999999997</v>
          </cell>
          <cell r="AP275">
            <v>-18.281000000000006</v>
          </cell>
          <cell r="AQ275">
            <v>14.082999999999998</v>
          </cell>
          <cell r="AS275">
            <v>86.602999999999838</v>
          </cell>
          <cell r="AZ275">
            <v>-10.100999999999658</v>
          </cell>
        </row>
        <row r="276">
          <cell r="W276">
            <v>317.17700000000002</v>
          </cell>
          <cell r="X276">
            <v>232.37100000000001</v>
          </cell>
          <cell r="Z276">
            <v>53.39</v>
          </cell>
          <cell r="AA276" t="str">
            <v>on bulk inv.</v>
          </cell>
          <cell r="AH276">
            <v>230.48</v>
          </cell>
          <cell r="AI276">
            <v>92.866</v>
          </cell>
          <cell r="AJ276" t="str">
            <v>on bag inv.</v>
          </cell>
          <cell r="AR276">
            <v>0.84315937787501005</v>
          </cell>
        </row>
        <row r="277">
          <cell r="W277">
            <v>19.370999999999981</v>
          </cell>
          <cell r="X277">
            <v>33.955000000000013</v>
          </cell>
          <cell r="Z277">
            <v>-0.25</v>
          </cell>
          <cell r="AH277">
            <v>-23.465000000000003</v>
          </cell>
          <cell r="AI277">
            <v>-12.893999999999991</v>
          </cell>
        </row>
        <row r="278">
          <cell r="H278" t="str">
            <v>Finished 97 Crop @12/31/97:</v>
          </cell>
          <cell r="W278">
            <v>0.94244208849852029</v>
          </cell>
          <cell r="X278">
            <v>0.87250587625691822</v>
          </cell>
          <cell r="Z278">
            <v>1.00470455400828</v>
          </cell>
        </row>
        <row r="279">
          <cell r="J279" t="str">
            <v>Bagged on hand</v>
          </cell>
          <cell r="L279">
            <v>507.423</v>
          </cell>
          <cell r="Q279">
            <v>0</v>
          </cell>
        </row>
        <row r="280">
          <cell r="J280" t="str">
            <v>Bagged &amp; shipped</v>
          </cell>
          <cell r="L280">
            <v>18.910000000000004</v>
          </cell>
          <cell r="Q280">
            <v>0</v>
          </cell>
        </row>
        <row r="281">
          <cell r="L281">
            <v>526.33299999999997</v>
          </cell>
        </row>
        <row r="282">
          <cell r="J282" t="str">
            <v>Fully absorbed cost</v>
          </cell>
          <cell r="L282">
            <v>24.22</v>
          </cell>
        </row>
        <row r="283">
          <cell r="J283" t="str">
            <v>1997 Crop Finished Inventory</v>
          </cell>
          <cell r="L283">
            <v>12747.785259999999</v>
          </cell>
        </row>
        <row r="290">
          <cell r="AY290" t="str">
            <v>"F"</v>
          </cell>
        </row>
      </sheetData>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ettings"/>
      <sheetName val="Index"/>
      <sheetName val="Glossary"/>
      <sheetName val="Latest Changes"/>
      <sheetName val="Validations"/>
      <sheetName val="IS01"/>
      <sheetName val="IS02"/>
      <sheetName val="IS03"/>
      <sheetName val="IS04"/>
      <sheetName val="IS04A"/>
      <sheetName val="IS05"/>
      <sheetName val="IS06"/>
      <sheetName val="IS06A"/>
      <sheetName val="IS07"/>
      <sheetName val="IS07A"/>
      <sheetName val="IS08"/>
      <sheetName val="IS09"/>
      <sheetName val="IS10"/>
      <sheetName val="IS11"/>
      <sheetName val="IS12"/>
      <sheetName val="IS13"/>
      <sheetName val="IS14"/>
      <sheetName val="IS15"/>
      <sheetName val="IS16"/>
      <sheetName val="IS17"/>
      <sheetName val="BS01"/>
      <sheetName val="BS04"/>
      <sheetName val="BS05"/>
      <sheetName val="BS06"/>
      <sheetName val="BS07"/>
      <sheetName val="BS08"/>
      <sheetName val="BS09"/>
      <sheetName val="BS10"/>
      <sheetName val="BS11"/>
      <sheetName val="BS12"/>
      <sheetName val="BS13"/>
      <sheetName val="BS14"/>
      <sheetName val="BS15"/>
      <sheetName val="BS16"/>
      <sheetName val="BS17"/>
      <sheetName val="BS18"/>
      <sheetName val="BS19"/>
      <sheetName val="BS20"/>
      <sheetName val="BS21"/>
      <sheetName val="BS22"/>
      <sheetName val="BS23"/>
      <sheetName val="BS24"/>
      <sheetName val="BS25"/>
      <sheetName val="BS26"/>
      <sheetName val="BS27"/>
      <sheetName val="BS29"/>
      <sheetName val="BS30"/>
      <sheetName val="BS31"/>
      <sheetName val="BS32"/>
      <sheetName val="CF01"/>
      <sheetName val="CF02"/>
      <sheetName val="CF03"/>
      <sheetName val="CF04"/>
      <sheetName val="CF05"/>
      <sheetName val="CF02 LOGIC"/>
      <sheetName val="TX01"/>
      <sheetName val="TX05"/>
      <sheetName val="Appendix 1"/>
      <sheetName val="Appendix 2"/>
      <sheetName val="Appendix 3"/>
      <sheetName val="Appendix 4"/>
      <sheetName val="Appendix 5"/>
      <sheetName val="Appendix 6"/>
      <sheetName val="DataSheet"/>
    </sheetNames>
    <sheetDataSet>
      <sheetData sheetId="0" refreshError="1"/>
      <sheetData sheetId="1" refreshError="1">
        <row r="17">
          <cell r="F17" t="str">
            <v>XX011</v>
          </cell>
        </row>
        <row r="29">
          <cell r="F29">
            <v>1000000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page"/>
      <sheetName val="overview"/>
      <sheetName val="charts"/>
      <sheetName val="Garst.C+S"/>
      <sheetName val="GH.C+S"/>
      <sheetName val="GH.C+S.budget"/>
      <sheetName val="NK.C+S"/>
      <sheetName val="x-brand.C+S"/>
      <sheetName val="x-brand.C+S (No E or S)"/>
      <sheetName val="x-brand.C+S.side-by-side"/>
      <sheetName val="x-brand.corn"/>
      <sheetName val="x-brand.sb"/>
      <sheetName val="master"/>
      <sheetName val="Garst Corn Disc"/>
      <sheetName val="Garst SB Disc"/>
      <sheetName val="GH Corn Disc"/>
      <sheetName val="GH SB Disc"/>
      <sheetName val="NK Corn Disc"/>
      <sheetName val="NK SB Disc"/>
      <sheetName val="NK Corn Prog"/>
      <sheetName val="PricePivot"/>
      <sheetName val="Hybrid List.NK"/>
      <sheetName val="Variety List.Garst"/>
      <sheetName val="Variety List.GH"/>
      <sheetName val="Variety List.GH.budget"/>
      <sheetName val="Variety List.NK"/>
      <sheetName val="Hybrid List.Garst"/>
      <sheetName val="Hybrid List.GH"/>
      <sheetName val="Hybrid List.GH.budget"/>
      <sheetName val="raw.corn"/>
      <sheetName val="raw.corn (2)"/>
      <sheetName val="raw.S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Brand</v>
          </cell>
          <cell r="C1" t="str">
            <v>SYT</v>
          </cell>
          <cell r="D1" t="str">
            <v>SYT</v>
          </cell>
          <cell r="E1" t="str">
            <v>SYT</v>
          </cell>
          <cell r="F1" t="str">
            <v>SYT</v>
          </cell>
          <cell r="G1" t="str">
            <v>SYT</v>
          </cell>
          <cell r="H1" t="str">
            <v>SYT</v>
          </cell>
          <cell r="I1" t="str">
            <v>SYT</v>
          </cell>
          <cell r="J1" t="str">
            <v>SYT</v>
          </cell>
          <cell r="K1" t="str">
            <v>SYT</v>
          </cell>
          <cell r="M1" t="str">
            <v>Garst</v>
          </cell>
          <cell r="N1" t="str">
            <v>Garst</v>
          </cell>
          <cell r="O1" t="str">
            <v>Garst</v>
          </cell>
          <cell r="P1" t="str">
            <v>Garst</v>
          </cell>
          <cell r="Q1" t="str">
            <v>Garst</v>
          </cell>
          <cell r="R1" t="str">
            <v>Garst</v>
          </cell>
          <cell r="S1" t="str">
            <v>Garst</v>
          </cell>
          <cell r="T1" t="str">
            <v>Garst</v>
          </cell>
          <cell r="U1" t="str">
            <v>Garst</v>
          </cell>
          <cell r="W1" t="str">
            <v>GH</v>
          </cell>
          <cell r="X1" t="str">
            <v>GH</v>
          </cell>
          <cell r="Y1" t="str">
            <v>GH</v>
          </cell>
          <cell r="Z1" t="str">
            <v>GH</v>
          </cell>
          <cell r="AA1" t="str">
            <v>GH</v>
          </cell>
          <cell r="AB1" t="str">
            <v>GH</v>
          </cell>
          <cell r="AC1" t="str">
            <v>GH</v>
          </cell>
          <cell r="AD1" t="str">
            <v>GH</v>
          </cell>
          <cell r="AE1" t="str">
            <v>GH</v>
          </cell>
          <cell r="AG1" t="str">
            <v>NK</v>
          </cell>
          <cell r="AH1" t="str">
            <v>NK</v>
          </cell>
          <cell r="AI1" t="str">
            <v>NK</v>
          </cell>
          <cell r="AJ1" t="str">
            <v>NK</v>
          </cell>
          <cell r="AK1" t="str">
            <v>NK</v>
          </cell>
          <cell r="AL1" t="str">
            <v>NK</v>
          </cell>
          <cell r="AM1" t="str">
            <v>NK</v>
          </cell>
          <cell r="AN1" t="str">
            <v>NK</v>
          </cell>
          <cell r="AO1" t="str">
            <v>NK</v>
          </cell>
          <cell r="AP1" t="str">
            <v>NK</v>
          </cell>
          <cell r="AS1" t="str">
            <v>SYT</v>
          </cell>
          <cell r="AT1" t="str">
            <v>SYT</v>
          </cell>
          <cell r="AU1" t="str">
            <v>SYT</v>
          </cell>
          <cell r="AV1" t="str">
            <v>SYT</v>
          </cell>
          <cell r="AW1" t="str">
            <v>SYT</v>
          </cell>
          <cell r="AX1" t="str">
            <v>SYT</v>
          </cell>
          <cell r="AY1" t="str">
            <v>SYT</v>
          </cell>
          <cell r="AZ1" t="str">
            <v>SYT</v>
          </cell>
          <cell r="BA1" t="str">
            <v>SYT</v>
          </cell>
          <cell r="BC1" t="str">
            <v>Garst</v>
          </cell>
          <cell r="BD1" t="str">
            <v>Garst</v>
          </cell>
          <cell r="BE1" t="str">
            <v>Garst</v>
          </cell>
          <cell r="BF1" t="str">
            <v>Garst</v>
          </cell>
          <cell r="BG1" t="str">
            <v>Garst</v>
          </cell>
          <cell r="BH1" t="str">
            <v>Garst</v>
          </cell>
          <cell r="BI1" t="str">
            <v>Garst</v>
          </cell>
          <cell r="BJ1" t="str">
            <v>Garst</v>
          </cell>
          <cell r="BK1" t="str">
            <v>Garst</v>
          </cell>
          <cell r="BM1" t="str">
            <v>GH</v>
          </cell>
          <cell r="BN1" t="str">
            <v>GH</v>
          </cell>
          <cell r="BO1" t="str">
            <v>GH</v>
          </cell>
          <cell r="BP1" t="str">
            <v>GH</v>
          </cell>
          <cell r="BQ1" t="str">
            <v>GH</v>
          </cell>
          <cell r="BR1" t="str">
            <v>GH</v>
          </cell>
          <cell r="BS1" t="str">
            <v>GH</v>
          </cell>
          <cell r="BT1" t="str">
            <v>GH</v>
          </cell>
          <cell r="BU1" t="str">
            <v>GH</v>
          </cell>
          <cell r="BW1" t="str">
            <v>NK</v>
          </cell>
          <cell r="BX1" t="str">
            <v>NK</v>
          </cell>
          <cell r="BY1" t="str">
            <v>NK</v>
          </cell>
          <cell r="BZ1" t="str">
            <v>NK</v>
          </cell>
          <cell r="CA1" t="str">
            <v>NK</v>
          </cell>
          <cell r="CB1" t="str">
            <v>NK</v>
          </cell>
          <cell r="CC1" t="str">
            <v>NK</v>
          </cell>
          <cell r="CD1" t="str">
            <v>NK</v>
          </cell>
          <cell r="CE1" t="str">
            <v>NK</v>
          </cell>
          <cell r="CF1" t="str">
            <v>NK</v>
          </cell>
          <cell r="CI1" t="str">
            <v>SYT</v>
          </cell>
          <cell r="CJ1" t="str">
            <v>SYT</v>
          </cell>
          <cell r="CK1" t="str">
            <v>SYT</v>
          </cell>
          <cell r="CL1" t="str">
            <v>SYT</v>
          </cell>
          <cell r="CM1" t="str">
            <v>SYT</v>
          </cell>
          <cell r="CN1" t="str">
            <v>SYT</v>
          </cell>
          <cell r="CO1" t="str">
            <v>SYT</v>
          </cell>
          <cell r="CP1" t="str">
            <v>SYT</v>
          </cell>
          <cell r="CQ1" t="str">
            <v>SYT</v>
          </cell>
          <cell r="CS1" t="str">
            <v>Garst</v>
          </cell>
          <cell r="CT1" t="str">
            <v>Garst</v>
          </cell>
          <cell r="CU1" t="str">
            <v>Garst</v>
          </cell>
          <cell r="CV1" t="str">
            <v>Garst</v>
          </cell>
          <cell r="CW1" t="str">
            <v>Garst</v>
          </cell>
          <cell r="CX1" t="str">
            <v>Garst</v>
          </cell>
          <cell r="CY1" t="str">
            <v>Garst</v>
          </cell>
          <cell r="CZ1" t="str">
            <v>Garst</v>
          </cell>
          <cell r="DA1" t="str">
            <v>Garst</v>
          </cell>
          <cell r="DC1" t="str">
            <v>GH</v>
          </cell>
          <cell r="DD1" t="str">
            <v>GH</v>
          </cell>
          <cell r="DE1" t="str">
            <v>GH</v>
          </cell>
          <cell r="DF1" t="str">
            <v>GH</v>
          </cell>
          <cell r="DG1" t="str">
            <v>GH</v>
          </cell>
          <cell r="DH1" t="str">
            <v>GH</v>
          </cell>
          <cell r="DI1" t="str">
            <v>GH</v>
          </cell>
          <cell r="DJ1" t="str">
            <v>GH</v>
          </cell>
          <cell r="DK1" t="str">
            <v>GH</v>
          </cell>
          <cell r="DM1" t="str">
            <v>NK</v>
          </cell>
          <cell r="DN1" t="str">
            <v>NK</v>
          </cell>
          <cell r="DO1" t="str">
            <v>NK</v>
          </cell>
          <cell r="DP1" t="str">
            <v>NK</v>
          </cell>
          <cell r="DQ1" t="str">
            <v>NK</v>
          </cell>
          <cell r="DR1" t="str">
            <v>NK</v>
          </cell>
          <cell r="DS1" t="str">
            <v>NK</v>
          </cell>
          <cell r="DT1" t="str">
            <v>NK</v>
          </cell>
          <cell r="DU1" t="str">
            <v>NK</v>
          </cell>
          <cell r="DV1" t="str">
            <v>NK</v>
          </cell>
        </row>
        <row r="2">
          <cell r="A2" t="str">
            <v>Area/Dist</v>
          </cell>
          <cell r="C2" t="str">
            <v>All</v>
          </cell>
          <cell r="D2" t="str">
            <v>Northern Plains</v>
          </cell>
          <cell r="E2" t="str">
            <v>High Plains</v>
          </cell>
          <cell r="F2" t="str">
            <v>Heartland</v>
          </cell>
          <cell r="G2" t="str">
            <v>Upper Midwest</v>
          </cell>
          <cell r="H2" t="str">
            <v>Tri-State</v>
          </cell>
          <cell r="I2" t="str">
            <v>Great Lakes</v>
          </cell>
          <cell r="J2" t="str">
            <v>East</v>
          </cell>
          <cell r="K2" t="str">
            <v>South</v>
          </cell>
          <cell r="M2" t="str">
            <v>All</v>
          </cell>
          <cell r="N2">
            <v>901</v>
          </cell>
          <cell r="O2">
            <v>902</v>
          </cell>
          <cell r="P2">
            <v>912</v>
          </cell>
          <cell r="Q2">
            <v>903</v>
          </cell>
          <cell r="R2">
            <v>913</v>
          </cell>
          <cell r="S2">
            <v>904</v>
          </cell>
          <cell r="T2">
            <v>905</v>
          </cell>
          <cell r="U2">
            <v>906</v>
          </cell>
          <cell r="W2" t="str">
            <v>All</v>
          </cell>
          <cell r="X2">
            <v>921</v>
          </cell>
          <cell r="Y2">
            <v>922</v>
          </cell>
          <cell r="Z2">
            <v>932</v>
          </cell>
          <cell r="AA2">
            <v>923</v>
          </cell>
          <cell r="AB2">
            <v>933</v>
          </cell>
          <cell r="AC2">
            <v>924</v>
          </cell>
          <cell r="AD2">
            <v>925</v>
          </cell>
          <cell r="AE2">
            <v>926</v>
          </cell>
          <cell r="AG2" t="str">
            <v>All</v>
          </cell>
          <cell r="AH2">
            <v>941</v>
          </cell>
          <cell r="AI2">
            <v>961</v>
          </cell>
          <cell r="AJ2">
            <v>942</v>
          </cell>
          <cell r="AK2">
            <v>943</v>
          </cell>
          <cell r="AL2">
            <v>944</v>
          </cell>
          <cell r="AM2">
            <v>945</v>
          </cell>
          <cell r="AN2">
            <v>946</v>
          </cell>
          <cell r="AO2">
            <v>947</v>
          </cell>
          <cell r="AP2">
            <v>948</v>
          </cell>
          <cell r="AS2" t="str">
            <v>All</v>
          </cell>
          <cell r="AT2" t="str">
            <v>Northern Plains</v>
          </cell>
          <cell r="AU2" t="str">
            <v>High Plains</v>
          </cell>
          <cell r="AV2" t="str">
            <v>Heartland</v>
          </cell>
          <cell r="AW2" t="str">
            <v>Upper Midwest</v>
          </cell>
          <cell r="AX2" t="str">
            <v>Tri-State</v>
          </cell>
          <cell r="AY2" t="str">
            <v>Great Lakes</v>
          </cell>
          <cell r="AZ2" t="str">
            <v>East</v>
          </cell>
          <cell r="BA2" t="str">
            <v>South</v>
          </cell>
          <cell r="BC2" t="str">
            <v>All</v>
          </cell>
          <cell r="BD2">
            <v>901</v>
          </cell>
          <cell r="BE2">
            <v>902</v>
          </cell>
          <cell r="BF2">
            <v>912</v>
          </cell>
          <cell r="BG2">
            <v>903</v>
          </cell>
          <cell r="BH2">
            <v>913</v>
          </cell>
          <cell r="BI2">
            <v>904</v>
          </cell>
          <cell r="BJ2">
            <v>905</v>
          </cell>
          <cell r="BK2">
            <v>906</v>
          </cell>
          <cell r="BM2" t="str">
            <v>All</v>
          </cell>
          <cell r="BN2">
            <v>921</v>
          </cell>
          <cell r="BO2">
            <v>922</v>
          </cell>
          <cell r="BP2">
            <v>932</v>
          </cell>
          <cell r="BQ2">
            <v>923</v>
          </cell>
          <cell r="BR2">
            <v>933</v>
          </cell>
          <cell r="BS2">
            <v>924</v>
          </cell>
          <cell r="BT2">
            <v>925</v>
          </cell>
          <cell r="BU2">
            <v>926</v>
          </cell>
          <cell r="BW2" t="str">
            <v>All</v>
          </cell>
          <cell r="BX2">
            <v>941</v>
          </cell>
          <cell r="BY2">
            <v>961</v>
          </cell>
          <cell r="BZ2">
            <v>942</v>
          </cell>
          <cell r="CA2">
            <v>943</v>
          </cell>
          <cell r="CB2">
            <v>944</v>
          </cell>
          <cell r="CC2">
            <v>945</v>
          </cell>
          <cell r="CD2">
            <v>946</v>
          </cell>
          <cell r="CE2">
            <v>947</v>
          </cell>
          <cell r="CF2">
            <v>948</v>
          </cell>
          <cell r="CI2" t="str">
            <v>All</v>
          </cell>
          <cell r="CJ2" t="str">
            <v>Northern Plains</v>
          </cell>
          <cell r="CK2" t="str">
            <v>High Plains</v>
          </cell>
          <cell r="CL2" t="str">
            <v>Heartland</v>
          </cell>
          <cell r="CM2" t="str">
            <v>Upper Midwest</v>
          </cell>
          <cell r="CN2" t="str">
            <v>Tri-State</v>
          </cell>
          <cell r="CO2" t="str">
            <v>Great Lakes</v>
          </cell>
          <cell r="CP2" t="str">
            <v>East</v>
          </cell>
          <cell r="CQ2" t="str">
            <v>South</v>
          </cell>
          <cell r="CS2" t="str">
            <v>All</v>
          </cell>
          <cell r="CT2">
            <v>901</v>
          </cell>
          <cell r="CU2">
            <v>902</v>
          </cell>
          <cell r="CV2">
            <v>912</v>
          </cell>
          <cell r="CW2">
            <v>903</v>
          </cell>
          <cell r="CX2">
            <v>913</v>
          </cell>
          <cell r="CY2">
            <v>904</v>
          </cell>
          <cell r="CZ2">
            <v>905</v>
          </cell>
          <cell r="DA2">
            <v>906</v>
          </cell>
          <cell r="DC2" t="str">
            <v>All</v>
          </cell>
          <cell r="DD2">
            <v>921</v>
          </cell>
          <cell r="DE2">
            <v>922</v>
          </cell>
          <cell r="DF2">
            <v>932</v>
          </cell>
          <cell r="DG2">
            <v>923</v>
          </cell>
          <cell r="DH2">
            <v>933</v>
          </cell>
          <cell r="DI2">
            <v>924</v>
          </cell>
          <cell r="DJ2">
            <v>925</v>
          </cell>
          <cell r="DK2">
            <v>926</v>
          </cell>
          <cell r="DM2" t="str">
            <v>All</v>
          </cell>
          <cell r="DN2">
            <v>941</v>
          </cell>
          <cell r="DO2">
            <v>961</v>
          </cell>
          <cell r="DP2">
            <v>942</v>
          </cell>
          <cell r="DQ2">
            <v>943</v>
          </cell>
          <cell r="DR2">
            <v>944</v>
          </cell>
          <cell r="DS2">
            <v>945</v>
          </cell>
          <cell r="DT2">
            <v>946</v>
          </cell>
          <cell r="DU2">
            <v>947</v>
          </cell>
          <cell r="DV2">
            <v>948</v>
          </cell>
        </row>
        <row r="3">
          <cell r="A3" t="str">
            <v>Crop</v>
          </cell>
          <cell r="C3" t="str">
            <v>Corn</v>
          </cell>
          <cell r="D3" t="str">
            <v>Corn</v>
          </cell>
          <cell r="E3" t="str">
            <v>Corn</v>
          </cell>
          <cell r="F3" t="str">
            <v>Corn</v>
          </cell>
          <cell r="G3" t="str">
            <v>Corn</v>
          </cell>
          <cell r="H3" t="str">
            <v>Corn</v>
          </cell>
          <cell r="I3" t="str">
            <v>Corn</v>
          </cell>
          <cell r="J3" t="str">
            <v>Corn</v>
          </cell>
          <cell r="K3" t="str">
            <v>Corn</v>
          </cell>
          <cell r="M3" t="str">
            <v>Corn</v>
          </cell>
          <cell r="N3" t="str">
            <v>Corn</v>
          </cell>
          <cell r="O3" t="str">
            <v>Corn</v>
          </cell>
          <cell r="P3" t="str">
            <v>Corn</v>
          </cell>
          <cell r="Q3" t="str">
            <v>Corn</v>
          </cell>
          <cell r="R3" t="str">
            <v>Corn</v>
          </cell>
          <cell r="S3" t="str">
            <v>Corn</v>
          </cell>
          <cell r="T3" t="str">
            <v>Corn</v>
          </cell>
          <cell r="U3" t="str">
            <v>Corn</v>
          </cell>
          <cell r="W3" t="str">
            <v>Corn</v>
          </cell>
          <cell r="X3" t="str">
            <v>Corn</v>
          </cell>
          <cell r="Y3" t="str">
            <v>Corn</v>
          </cell>
          <cell r="Z3" t="str">
            <v>Corn</v>
          </cell>
          <cell r="AA3" t="str">
            <v>Corn</v>
          </cell>
          <cell r="AB3" t="str">
            <v>Corn</v>
          </cell>
          <cell r="AC3" t="str">
            <v>Corn</v>
          </cell>
          <cell r="AD3" t="str">
            <v>Corn</v>
          </cell>
          <cell r="AE3" t="str">
            <v>Corn</v>
          </cell>
          <cell r="AG3" t="str">
            <v>Corn</v>
          </cell>
          <cell r="AH3" t="str">
            <v>Corn</v>
          </cell>
          <cell r="AI3" t="str">
            <v>Corn</v>
          </cell>
          <cell r="AJ3" t="str">
            <v>Corn</v>
          </cell>
          <cell r="AK3" t="str">
            <v>Corn</v>
          </cell>
          <cell r="AL3" t="str">
            <v>Corn</v>
          </cell>
          <cell r="AM3" t="str">
            <v>Corn</v>
          </cell>
          <cell r="AN3" t="str">
            <v>Corn</v>
          </cell>
          <cell r="AO3" t="str">
            <v>Corn</v>
          </cell>
          <cell r="AP3" t="str">
            <v>Corn</v>
          </cell>
          <cell r="AS3" t="str">
            <v>Soybeans</v>
          </cell>
          <cell r="AT3" t="str">
            <v>Soybeans</v>
          </cell>
          <cell r="AU3" t="str">
            <v>Soybeans</v>
          </cell>
          <cell r="AV3" t="str">
            <v>Soybeans</v>
          </cell>
          <cell r="AW3" t="str">
            <v>Soybeans</v>
          </cell>
          <cell r="AX3" t="str">
            <v>Soybeans</v>
          </cell>
          <cell r="AY3" t="str">
            <v>Soybeans</v>
          </cell>
          <cell r="AZ3" t="str">
            <v>Soybeans</v>
          </cell>
          <cell r="BA3" t="str">
            <v>Soybeans</v>
          </cell>
          <cell r="BC3" t="str">
            <v>Soybeans</v>
          </cell>
          <cell r="BD3" t="str">
            <v>Soybeans</v>
          </cell>
          <cell r="BE3" t="str">
            <v>Soybeans</v>
          </cell>
          <cell r="BF3" t="str">
            <v>Soybeans</v>
          </cell>
          <cell r="BG3" t="str">
            <v>Soybeans</v>
          </cell>
          <cell r="BH3" t="str">
            <v>Soybeans</v>
          </cell>
          <cell r="BI3" t="str">
            <v>Soybeans</v>
          </cell>
          <cell r="BJ3" t="str">
            <v>Soybeans</v>
          </cell>
          <cell r="BK3" t="str">
            <v>Soybeans</v>
          </cell>
          <cell r="BM3" t="str">
            <v>Soybeans</v>
          </cell>
          <cell r="BN3" t="str">
            <v>Soybeans</v>
          </cell>
          <cell r="BO3" t="str">
            <v>Soybeans</v>
          </cell>
          <cell r="BP3" t="str">
            <v>Soybeans</v>
          </cell>
          <cell r="BQ3" t="str">
            <v>Soybeans</v>
          </cell>
          <cell r="BR3" t="str">
            <v>Soybeans</v>
          </cell>
          <cell r="BS3" t="str">
            <v>Soybeans</v>
          </cell>
          <cell r="BT3" t="str">
            <v>Soybeans</v>
          </cell>
          <cell r="BU3" t="str">
            <v>Soybeans</v>
          </cell>
          <cell r="BW3" t="str">
            <v>Soybeans</v>
          </cell>
          <cell r="BX3" t="str">
            <v>Soybeans</v>
          </cell>
          <cell r="BY3" t="str">
            <v>Soybeans</v>
          </cell>
          <cell r="BZ3" t="str">
            <v>Soybeans</v>
          </cell>
          <cell r="CA3" t="str">
            <v>Soybeans</v>
          </cell>
          <cell r="CB3" t="str">
            <v>Soybeans</v>
          </cell>
          <cell r="CC3" t="str">
            <v>Soybeans</v>
          </cell>
          <cell r="CD3" t="str">
            <v>Soybeans</v>
          </cell>
          <cell r="CE3" t="str">
            <v>Soybeans</v>
          </cell>
          <cell r="CF3" t="str">
            <v>Soybeans</v>
          </cell>
          <cell r="CI3" t="str">
            <v>C + S</v>
          </cell>
          <cell r="CJ3" t="str">
            <v>C + S</v>
          </cell>
          <cell r="CK3" t="str">
            <v>C + S</v>
          </cell>
          <cell r="CL3" t="str">
            <v>C + S</v>
          </cell>
          <cell r="CM3" t="str">
            <v>C + S</v>
          </cell>
          <cell r="CN3" t="str">
            <v>C + S</v>
          </cell>
          <cell r="CO3" t="str">
            <v>C + S</v>
          </cell>
          <cell r="CP3" t="str">
            <v>C + S</v>
          </cell>
          <cell r="CQ3" t="str">
            <v>C + S</v>
          </cell>
          <cell r="CS3" t="str">
            <v>C + S</v>
          </cell>
          <cell r="CT3" t="str">
            <v>C + S</v>
          </cell>
          <cell r="CU3" t="str">
            <v>C + S</v>
          </cell>
          <cell r="CV3" t="str">
            <v>C + S</v>
          </cell>
          <cell r="CW3" t="str">
            <v>C + S</v>
          </cell>
          <cell r="CX3" t="str">
            <v>C + S</v>
          </cell>
          <cell r="CY3" t="str">
            <v>C + S</v>
          </cell>
          <cell r="CZ3" t="str">
            <v>C + S</v>
          </cell>
          <cell r="DA3" t="str">
            <v>C + S</v>
          </cell>
          <cell r="DC3" t="str">
            <v>C + S</v>
          </cell>
          <cell r="DD3" t="str">
            <v>C + S</v>
          </cell>
          <cell r="DE3" t="str">
            <v>C + S</v>
          </cell>
          <cell r="DF3" t="str">
            <v>C + S</v>
          </cell>
          <cell r="DG3" t="str">
            <v>C + S</v>
          </cell>
          <cell r="DH3" t="str">
            <v>C + S</v>
          </cell>
          <cell r="DI3" t="str">
            <v>C + S</v>
          </cell>
          <cell r="DJ3" t="str">
            <v>C + S</v>
          </cell>
          <cell r="DK3" t="str">
            <v>C + S</v>
          </cell>
          <cell r="DM3" t="str">
            <v>C + S</v>
          </cell>
          <cell r="DN3" t="str">
            <v>C + S</v>
          </cell>
          <cell r="DO3" t="str">
            <v>C + S</v>
          </cell>
          <cell r="DP3" t="str">
            <v>C + S</v>
          </cell>
          <cell r="DQ3" t="str">
            <v>C + S</v>
          </cell>
          <cell r="DR3" t="str">
            <v>C + S</v>
          </cell>
          <cell r="DS3" t="str">
            <v>C + S</v>
          </cell>
          <cell r="DT3" t="str">
            <v>C + S</v>
          </cell>
          <cell r="DU3" t="str">
            <v>C + S</v>
          </cell>
          <cell r="DV3" t="str">
            <v>C + S</v>
          </cell>
        </row>
        <row r="4">
          <cell r="A4" t="str">
            <v>% Cruiser Treated (SB Only)</v>
          </cell>
          <cell r="BC4">
            <v>0</v>
          </cell>
          <cell r="BD4">
            <v>0</v>
          </cell>
          <cell r="BE4">
            <v>0</v>
          </cell>
          <cell r="BF4">
            <v>0</v>
          </cell>
          <cell r="BG4">
            <v>0</v>
          </cell>
          <cell r="BH4">
            <v>0</v>
          </cell>
          <cell r="BI4">
            <v>0</v>
          </cell>
          <cell r="BJ4">
            <v>0</v>
          </cell>
          <cell r="BK4">
            <v>0</v>
          </cell>
          <cell r="BM4">
            <v>0</v>
          </cell>
          <cell r="BN4">
            <v>0</v>
          </cell>
          <cell r="BO4">
            <v>0</v>
          </cell>
          <cell r="BP4">
            <v>0</v>
          </cell>
          <cell r="BQ4">
            <v>0</v>
          </cell>
          <cell r="BR4">
            <v>0</v>
          </cell>
          <cell r="BS4">
            <v>0</v>
          </cell>
          <cell r="BT4">
            <v>0</v>
          </cell>
          <cell r="BU4">
            <v>0</v>
          </cell>
          <cell r="BW4">
            <v>0</v>
          </cell>
          <cell r="BX4">
            <v>0</v>
          </cell>
          <cell r="BY4">
            <v>0</v>
          </cell>
          <cell r="BZ4">
            <v>0</v>
          </cell>
          <cell r="CA4">
            <v>0</v>
          </cell>
          <cell r="CB4">
            <v>0</v>
          </cell>
          <cell r="CC4">
            <v>0</v>
          </cell>
          <cell r="CD4">
            <v>0</v>
          </cell>
          <cell r="CE4">
            <v>0</v>
          </cell>
          <cell r="CF4">
            <v>0</v>
          </cell>
        </row>
        <row r="5">
          <cell r="A5" t="str">
            <v>%Volume Disc Grower Pass-Through (NK Only)</v>
          </cell>
          <cell r="AG5">
            <v>0.52073000000000003</v>
          </cell>
          <cell r="AH5">
            <v>0.52073000000000003</v>
          </cell>
          <cell r="AI5">
            <v>0.52073000000000003</v>
          </cell>
          <cell r="AJ5">
            <v>0.52073000000000003</v>
          </cell>
          <cell r="AK5">
            <v>0.52073000000000003</v>
          </cell>
          <cell r="AL5">
            <v>0.52073000000000003</v>
          </cell>
          <cell r="AM5">
            <v>0.52073000000000003</v>
          </cell>
          <cell r="AN5">
            <v>0.52073000000000003</v>
          </cell>
          <cell r="AO5">
            <v>0.52073000000000003</v>
          </cell>
          <cell r="AP5">
            <v>0.52073000000000003</v>
          </cell>
          <cell r="BW5">
            <v>0.96745000000000003</v>
          </cell>
          <cell r="BX5">
            <v>0.96745000000000003</v>
          </cell>
          <cell r="BY5">
            <v>0.96745000000000003</v>
          </cell>
          <cell r="BZ5">
            <v>0.96745000000000003</v>
          </cell>
          <cell r="CA5">
            <v>0.96745000000000003</v>
          </cell>
          <cell r="CB5">
            <v>0.96745000000000003</v>
          </cell>
          <cell r="CC5">
            <v>0.96745000000000003</v>
          </cell>
          <cell r="CD5">
            <v>0.96745000000000003</v>
          </cell>
          <cell r="CE5">
            <v>0.96745000000000003</v>
          </cell>
          <cell r="CF5">
            <v>0.96745000000000003</v>
          </cell>
        </row>
        <row r="6">
          <cell r="A6" t="str">
            <v>GROSS REVENUE</v>
          </cell>
          <cell r="C6">
            <v>702644600.06272852</v>
          </cell>
          <cell r="D6">
            <v>125746384.69012086</v>
          </cell>
          <cell r="E6">
            <v>135659194.54437438</v>
          </cell>
          <cell r="F6">
            <v>167326875.2140798</v>
          </cell>
          <cell r="G6">
            <v>71953956.209103882</v>
          </cell>
          <cell r="H6">
            <v>58760077.464683607</v>
          </cell>
          <cell r="I6">
            <v>58393921.650224552</v>
          </cell>
          <cell r="J6">
            <v>30395606.191958122</v>
          </cell>
          <cell r="K6">
            <v>54408584.098183341</v>
          </cell>
          <cell r="M6">
            <v>228716933.7393389</v>
          </cell>
          <cell r="N6">
            <v>46611499.510864325</v>
          </cell>
          <cell r="O6">
            <v>18002114.995108642</v>
          </cell>
          <cell r="P6">
            <v>30582031.497581877</v>
          </cell>
          <cell r="Q6">
            <v>38196486.490210399</v>
          </cell>
          <cell r="R6">
            <v>23639924.493985698</v>
          </cell>
          <cell r="S6">
            <v>22150316.215881065</v>
          </cell>
          <cell r="T6">
            <v>26945192.002976149</v>
          </cell>
          <cell r="U6">
            <v>22589368.532730754</v>
          </cell>
          <cell r="W6">
            <v>189249458.21436033</v>
          </cell>
          <cell r="X6">
            <v>33552379.703238994</v>
          </cell>
          <cell r="Y6">
            <v>34688159.101586074</v>
          </cell>
          <cell r="Z6">
            <v>26578967.614086792</v>
          </cell>
          <cell r="AA6">
            <v>32952039.224557631</v>
          </cell>
          <cell r="AB6">
            <v>10038071.124481335</v>
          </cell>
          <cell r="AC6">
            <v>23236837.031004824</v>
          </cell>
          <cell r="AD6">
            <v>17433071.848656192</v>
          </cell>
          <cell r="AE6">
            <v>10769932.566748468</v>
          </cell>
          <cell r="AG6">
            <v>284678208.10902935</v>
          </cell>
          <cell r="AH6">
            <v>24676120.649841011</v>
          </cell>
          <cell r="AI6">
            <v>20906384.826176535</v>
          </cell>
          <cell r="AJ6">
            <v>25807921.336010985</v>
          </cell>
          <cell r="AK6">
            <v>62500353.880844727</v>
          </cell>
          <cell r="AL6">
            <v>26566802.962217994</v>
          </cell>
          <cell r="AM6">
            <v>14381813.613051262</v>
          </cell>
          <cell r="AN6">
            <v>25034620.550745331</v>
          </cell>
          <cell r="AO6">
            <v>30395606.191958122</v>
          </cell>
          <cell r="AP6">
            <v>54408584.098183341</v>
          </cell>
          <cell r="AS6">
            <v>544474205.5</v>
          </cell>
          <cell r="AT6">
            <v>108815499</v>
          </cell>
          <cell r="AU6">
            <v>85386694.5</v>
          </cell>
          <cell r="AV6">
            <v>101355981.5</v>
          </cell>
          <cell r="AW6">
            <v>45390570.5</v>
          </cell>
          <cell r="AX6">
            <v>47543690</v>
          </cell>
          <cell r="AY6">
            <v>62520745</v>
          </cell>
          <cell r="AZ6">
            <v>21395150</v>
          </cell>
          <cell r="BA6">
            <v>72065875</v>
          </cell>
          <cell r="BC6">
            <v>141054963.5</v>
          </cell>
          <cell r="BD6">
            <v>35970474</v>
          </cell>
          <cell r="BE6">
            <v>12042289.5</v>
          </cell>
          <cell r="BF6">
            <v>10845215</v>
          </cell>
          <cell r="BG6">
            <v>15797209.5</v>
          </cell>
          <cell r="BH6">
            <v>21802475</v>
          </cell>
          <cell r="BI6">
            <v>8918095.5</v>
          </cell>
          <cell r="BJ6">
            <v>18307790</v>
          </cell>
          <cell r="BK6">
            <v>17371415</v>
          </cell>
          <cell r="BM6">
            <v>106659422</v>
          </cell>
          <cell r="BN6">
            <v>23242175</v>
          </cell>
          <cell r="BO6">
            <v>17733830</v>
          </cell>
          <cell r="BP6">
            <v>15995300</v>
          </cell>
          <cell r="BQ6">
            <v>12341822</v>
          </cell>
          <cell r="BR6">
            <v>8999300</v>
          </cell>
          <cell r="BS6">
            <v>9057275</v>
          </cell>
          <cell r="BT6">
            <v>9952650</v>
          </cell>
          <cell r="BU6">
            <v>9337070</v>
          </cell>
          <cell r="BW6">
            <v>296759820</v>
          </cell>
          <cell r="BX6">
            <v>18158350</v>
          </cell>
          <cell r="BY6">
            <v>31444500</v>
          </cell>
          <cell r="BZ6">
            <v>28770060</v>
          </cell>
          <cell r="CA6">
            <v>42415175</v>
          </cell>
          <cell r="CB6">
            <v>27415200</v>
          </cell>
          <cell r="CC6">
            <v>19283250</v>
          </cell>
          <cell r="CD6">
            <v>35812260</v>
          </cell>
          <cell r="CE6">
            <v>21395150</v>
          </cell>
          <cell r="CF6">
            <v>72065875</v>
          </cell>
          <cell r="CI6">
            <v>1247118805.5627286</v>
          </cell>
          <cell r="CJ6">
            <v>234561883.69012088</v>
          </cell>
          <cell r="CK6">
            <v>221045889.04437438</v>
          </cell>
          <cell r="CL6">
            <v>268682856.7140798</v>
          </cell>
          <cell r="CM6">
            <v>117344526.70910388</v>
          </cell>
          <cell r="CN6">
            <v>106303767.46468361</v>
          </cell>
          <cell r="CO6">
            <v>120914666.65022455</v>
          </cell>
          <cell r="CP6">
            <v>51790756.191958122</v>
          </cell>
          <cell r="CQ6">
            <v>126474459.09818333</v>
          </cell>
          <cell r="CS6">
            <v>369771897.23933893</v>
          </cell>
          <cell r="CT6">
            <v>82581973.510864317</v>
          </cell>
          <cell r="CU6">
            <v>30044404.495108642</v>
          </cell>
          <cell r="CV6">
            <v>41427246.497581877</v>
          </cell>
          <cell r="CW6">
            <v>53993695.990210399</v>
          </cell>
          <cell r="CX6">
            <v>45442399.493985698</v>
          </cell>
          <cell r="CY6">
            <v>31068411.715881065</v>
          </cell>
          <cell r="CZ6">
            <v>45252982.002976149</v>
          </cell>
          <cell r="DA6">
            <v>39960783.532730758</v>
          </cell>
          <cell r="DC6">
            <v>295908880.21436036</v>
          </cell>
          <cell r="DD6">
            <v>56794554.703238994</v>
          </cell>
          <cell r="DE6">
            <v>52421989.101586074</v>
          </cell>
          <cell r="DF6">
            <v>42574267.614086792</v>
          </cell>
          <cell r="DG6">
            <v>45293861.224557631</v>
          </cell>
          <cell r="DH6">
            <v>19037371.124481335</v>
          </cell>
          <cell r="DI6">
            <v>32294112.031004824</v>
          </cell>
          <cell r="DJ6">
            <v>27385721.848656192</v>
          </cell>
          <cell r="DK6">
            <v>20107002.56674847</v>
          </cell>
          <cell r="DM6">
            <v>581438028.10902929</v>
          </cell>
          <cell r="DN6">
            <v>42834470.649841011</v>
          </cell>
          <cell r="DO6">
            <v>52350884.826176539</v>
          </cell>
          <cell r="DP6">
            <v>54577981.336010985</v>
          </cell>
          <cell r="DQ6">
            <v>104915528.88084473</v>
          </cell>
          <cell r="DR6">
            <v>53982002.962217994</v>
          </cell>
          <cell r="DS6">
            <v>33665063.613051265</v>
          </cell>
          <cell r="DT6">
            <v>60846880.550745331</v>
          </cell>
          <cell r="DU6">
            <v>51790756.191958122</v>
          </cell>
          <cell r="DV6">
            <v>126474459.09818333</v>
          </cell>
        </row>
        <row r="7">
          <cell r="A7" t="str">
            <v>Forecast Units</v>
          </cell>
          <cell r="C7">
            <v>3383117</v>
          </cell>
          <cell r="D7">
            <v>571715</v>
          </cell>
          <cell r="E7">
            <v>667564</v>
          </cell>
          <cell r="F7">
            <v>781451</v>
          </cell>
          <cell r="G7">
            <v>345229</v>
          </cell>
          <cell r="H7">
            <v>274802</v>
          </cell>
          <cell r="I7">
            <v>291707</v>
          </cell>
          <cell r="J7">
            <v>159240</v>
          </cell>
          <cell r="K7">
            <v>291409</v>
          </cell>
          <cell r="M7">
            <v>1125110</v>
          </cell>
          <cell r="N7">
            <v>220535</v>
          </cell>
          <cell r="O7">
            <v>95250</v>
          </cell>
          <cell r="P7">
            <v>147725</v>
          </cell>
          <cell r="Q7">
            <v>174492</v>
          </cell>
          <cell r="R7">
            <v>135462</v>
          </cell>
          <cell r="S7">
            <v>109100</v>
          </cell>
          <cell r="T7">
            <v>128900</v>
          </cell>
          <cell r="U7">
            <v>113646</v>
          </cell>
          <cell r="W7">
            <v>901750</v>
          </cell>
          <cell r="X7">
            <v>155081</v>
          </cell>
          <cell r="Y7">
            <v>163966</v>
          </cell>
          <cell r="Z7">
            <v>136487</v>
          </cell>
          <cell r="AA7">
            <v>144085</v>
          </cell>
          <cell r="AB7">
            <v>56277</v>
          </cell>
          <cell r="AC7">
            <v>110741</v>
          </cell>
          <cell r="AD7">
            <v>79035</v>
          </cell>
          <cell r="AE7">
            <v>56078</v>
          </cell>
          <cell r="AG7">
            <v>1356257</v>
          </cell>
          <cell r="AH7">
            <v>101496</v>
          </cell>
          <cell r="AI7">
            <v>94603</v>
          </cell>
          <cell r="AJ7">
            <v>124136</v>
          </cell>
          <cell r="AK7">
            <v>271135</v>
          </cell>
          <cell r="AL7">
            <v>125388</v>
          </cell>
          <cell r="AM7">
            <v>66867</v>
          </cell>
          <cell r="AN7">
            <v>121983</v>
          </cell>
          <cell r="AO7">
            <v>159240</v>
          </cell>
          <cell r="AP7">
            <v>291409</v>
          </cell>
          <cell r="AS7">
            <v>11943617</v>
          </cell>
          <cell r="AT7">
            <v>2408042</v>
          </cell>
          <cell r="AU7">
            <v>1857071</v>
          </cell>
          <cell r="AV7">
            <v>2188433</v>
          </cell>
          <cell r="AW7">
            <v>996271</v>
          </cell>
          <cell r="AX7">
            <v>1031100</v>
          </cell>
          <cell r="AY7">
            <v>1362350</v>
          </cell>
          <cell r="AZ7">
            <v>465300</v>
          </cell>
          <cell r="BA7">
            <v>1635050</v>
          </cell>
          <cell r="BC7">
            <v>3082737</v>
          </cell>
          <cell r="BD7">
            <v>795492</v>
          </cell>
          <cell r="BE7">
            <v>266301</v>
          </cell>
          <cell r="BF7">
            <v>236170</v>
          </cell>
          <cell r="BG7">
            <v>343993</v>
          </cell>
          <cell r="BH7">
            <v>471090</v>
          </cell>
          <cell r="BI7">
            <v>195501</v>
          </cell>
          <cell r="BJ7">
            <v>397700</v>
          </cell>
          <cell r="BK7">
            <v>376490</v>
          </cell>
          <cell r="BM7">
            <v>2324260</v>
          </cell>
          <cell r="BN7">
            <v>515850</v>
          </cell>
          <cell r="BO7">
            <v>381660</v>
          </cell>
          <cell r="BP7">
            <v>349200</v>
          </cell>
          <cell r="BQ7">
            <v>266500</v>
          </cell>
          <cell r="BR7">
            <v>195000</v>
          </cell>
          <cell r="BS7">
            <v>198850</v>
          </cell>
          <cell r="BT7">
            <v>214500</v>
          </cell>
          <cell r="BU7">
            <v>202700</v>
          </cell>
          <cell r="BW7">
            <v>6536620</v>
          </cell>
          <cell r="BX7">
            <v>401700</v>
          </cell>
          <cell r="BY7">
            <v>695000</v>
          </cell>
          <cell r="BZ7">
            <v>623740</v>
          </cell>
          <cell r="CA7">
            <v>911850</v>
          </cell>
          <cell r="CB7">
            <v>601920</v>
          </cell>
          <cell r="CC7">
            <v>418900</v>
          </cell>
          <cell r="CD7">
            <v>783160</v>
          </cell>
          <cell r="CE7">
            <v>465300</v>
          </cell>
          <cell r="CF7">
            <v>1635050</v>
          </cell>
          <cell r="CI7" t="str">
            <v>N/A</v>
          </cell>
          <cell r="CJ7" t="str">
            <v>N/A</v>
          </cell>
          <cell r="CK7" t="str">
            <v>N/A</v>
          </cell>
          <cell r="CL7" t="str">
            <v>N/A</v>
          </cell>
          <cell r="CM7" t="str">
            <v>N/A</v>
          </cell>
          <cell r="CN7" t="str">
            <v>N/A</v>
          </cell>
          <cell r="CO7" t="str">
            <v>N/A</v>
          </cell>
          <cell r="CP7" t="str">
            <v>N/A</v>
          </cell>
          <cell r="CQ7" t="str">
            <v>N/A</v>
          </cell>
          <cell r="CS7" t="str">
            <v>N/A</v>
          </cell>
          <cell r="CT7" t="str">
            <v>N/A</v>
          </cell>
          <cell r="CU7" t="str">
            <v>N/A</v>
          </cell>
          <cell r="CV7" t="str">
            <v>N/A</v>
          </cell>
          <cell r="CW7" t="str">
            <v>N/A</v>
          </cell>
          <cell r="CX7" t="str">
            <v>N/A</v>
          </cell>
          <cell r="CY7" t="str">
            <v>N/A</v>
          </cell>
          <cell r="CZ7" t="str">
            <v>N/A</v>
          </cell>
          <cell r="DA7" t="str">
            <v>N/A</v>
          </cell>
          <cell r="DC7" t="str">
            <v>N/A</v>
          </cell>
          <cell r="DD7" t="str">
            <v>N/A</v>
          </cell>
          <cell r="DE7" t="str">
            <v>N/A</v>
          </cell>
          <cell r="DF7" t="str">
            <v>N/A</v>
          </cell>
          <cell r="DG7" t="str">
            <v>N/A</v>
          </cell>
          <cell r="DH7" t="str">
            <v>N/A</v>
          </cell>
          <cell r="DI7" t="str">
            <v>N/A</v>
          </cell>
          <cell r="DJ7" t="str">
            <v>N/A</v>
          </cell>
          <cell r="DK7" t="str">
            <v>N/A</v>
          </cell>
          <cell r="DM7" t="str">
            <v>N/A</v>
          </cell>
          <cell r="DN7" t="str">
            <v>N/A</v>
          </cell>
          <cell r="DO7" t="str">
            <v>N/A</v>
          </cell>
          <cell r="DP7" t="str">
            <v>N/A</v>
          </cell>
          <cell r="DQ7" t="str">
            <v>N/A</v>
          </cell>
          <cell r="DR7" t="str">
            <v>N/A</v>
          </cell>
          <cell r="DS7" t="str">
            <v>N/A</v>
          </cell>
          <cell r="DT7" t="str">
            <v>N/A</v>
          </cell>
          <cell r="DU7" t="str">
            <v>N/A</v>
          </cell>
          <cell r="DV7" t="str">
            <v>N/A</v>
          </cell>
        </row>
        <row r="8">
          <cell r="A8" t="str">
            <v>Gross Price/Unit</v>
          </cell>
          <cell r="C8">
            <v>207.69148689292405</v>
          </cell>
          <cell r="D8">
            <v>219.94592531264854</v>
          </cell>
          <cell r="E8">
            <v>203.21526407112182</v>
          </cell>
          <cell r="F8">
            <v>214.1233106286636</v>
          </cell>
          <cell r="G8">
            <v>208.42384680633401</v>
          </cell>
          <cell r="H8">
            <v>213.82696437683717</v>
          </cell>
          <cell r="I8">
            <v>200.18004933109097</v>
          </cell>
          <cell r="J8">
            <v>190.8792149708498</v>
          </cell>
          <cell r="K8">
            <v>186.70866067342925</v>
          </cell>
          <cell r="M8">
            <v>203.28406443755625</v>
          </cell>
          <cell r="N8">
            <v>211.35647181111534</v>
          </cell>
          <cell r="O8">
            <v>188.9985826258125</v>
          </cell>
          <cell r="P8">
            <v>207.02001352230073</v>
          </cell>
          <cell r="Q8">
            <v>218.90107563791119</v>
          </cell>
          <cell r="R8">
            <v>174.51332841671979</v>
          </cell>
          <cell r="S8">
            <v>203.02764634171461</v>
          </cell>
          <cell r="T8">
            <v>209.03950351416717</v>
          </cell>
          <cell r="U8">
            <v>198.76958742701683</v>
          </cell>
          <cell r="W8">
            <v>209.8690969940231</v>
          </cell>
          <cell r="X8">
            <v>216.35390346489251</v>
          </cell>
          <cell r="Y8">
            <v>211.55702463673001</v>
          </cell>
          <cell r="Z8">
            <v>194.73625776877498</v>
          </cell>
          <cell r="AA8">
            <v>228.6986100187919</v>
          </cell>
          <cell r="AB8">
            <v>178.36898065784132</v>
          </cell>
          <cell r="AC8">
            <v>209.8304786032709</v>
          </cell>
          <cell r="AD8">
            <v>220.5740728621015</v>
          </cell>
          <cell r="AE8">
            <v>192.05272240002262</v>
          </cell>
          <cell r="AG8">
            <v>209.89989958321274</v>
          </cell>
          <cell r="AH8">
            <v>243.12407040514907</v>
          </cell>
          <cell r="AI8">
            <v>220.99071727298855</v>
          </cell>
          <cell r="AJ8">
            <v>207.90037810152563</v>
          </cell>
          <cell r="AK8">
            <v>230.51378051835701</v>
          </cell>
          <cell r="AL8">
            <v>211.87675824016648</v>
          </cell>
          <cell r="AM8">
            <v>215.08088613293944</v>
          </cell>
          <cell r="AN8">
            <v>205.2304054724456</v>
          </cell>
          <cell r="AO8">
            <v>190.8792149708498</v>
          </cell>
          <cell r="AP8">
            <v>186.70866067342925</v>
          </cell>
          <cell r="AS8">
            <v>45.587044988130479</v>
          </cell>
          <cell r="AT8">
            <v>45.188372544997137</v>
          </cell>
          <cell r="AU8">
            <v>45.979229927127179</v>
          </cell>
          <cell r="AV8">
            <v>46.314409214264273</v>
          </cell>
          <cell r="AW8">
            <v>45.560465475759109</v>
          </cell>
          <cell r="AX8">
            <v>46.10967898360974</v>
          </cell>
          <cell r="AY8">
            <v>45.891837633500934</v>
          </cell>
          <cell r="AZ8">
            <v>45.981409843111969</v>
          </cell>
          <cell r="BA8">
            <v>44.075639888688421</v>
          </cell>
          <cell r="BC8">
            <v>45.756405265840066</v>
          </cell>
          <cell r="BD8">
            <v>45.217895340242265</v>
          </cell>
          <cell r="BE8">
            <v>45.22059436502304</v>
          </cell>
          <cell r="BF8">
            <v>45.921222001100901</v>
          </cell>
          <cell r="BG8">
            <v>45.92305512030768</v>
          </cell>
          <cell r="BH8">
            <v>46.28091235220446</v>
          </cell>
          <cell r="BI8">
            <v>45.616623444381361</v>
          </cell>
          <cell r="BJ8">
            <v>46.034171486044755</v>
          </cell>
          <cell r="BK8">
            <v>46.14044197721055</v>
          </cell>
          <cell r="BM8">
            <v>45.889625945462214</v>
          </cell>
          <cell r="BN8">
            <v>45.056072501696228</v>
          </cell>
          <cell r="BO8">
            <v>46.464995021747107</v>
          </cell>
          <cell r="BP8">
            <v>45.805555555555557</v>
          </cell>
          <cell r="BQ8">
            <v>46.310776735459662</v>
          </cell>
          <cell r="BR8">
            <v>46.150256410256411</v>
          </cell>
          <cell r="BS8">
            <v>45.548277596178025</v>
          </cell>
          <cell r="BT8">
            <v>46.399300699300696</v>
          </cell>
          <cell r="BU8">
            <v>46.063492846571286</v>
          </cell>
          <cell r="BW8">
            <v>45.399582658927706</v>
          </cell>
          <cell r="BX8">
            <v>45.203759024147374</v>
          </cell>
          <cell r="BY8">
            <v>45.243884892086328</v>
          </cell>
          <cell r="BZ8">
            <v>46.12508416968609</v>
          </cell>
          <cell r="CA8">
            <v>46.515517903163897</v>
          </cell>
          <cell r="CB8">
            <v>45.546251993620416</v>
          </cell>
          <cell r="CC8">
            <v>46.033062783480545</v>
          </cell>
          <cell r="CD8">
            <v>45.727897236835382</v>
          </cell>
          <cell r="CE8">
            <v>45.981409843111969</v>
          </cell>
          <cell r="CF8">
            <v>44.075639888688421</v>
          </cell>
          <cell r="CI8" t="str">
            <v>N/A</v>
          </cell>
          <cell r="CJ8" t="str">
            <v>N/A</v>
          </cell>
          <cell r="CK8" t="str">
            <v>N/A</v>
          </cell>
          <cell r="CL8" t="str">
            <v>N/A</v>
          </cell>
          <cell r="CM8" t="str">
            <v>N/A</v>
          </cell>
          <cell r="CN8" t="str">
            <v>N/A</v>
          </cell>
          <cell r="CO8" t="str">
            <v>N/A</v>
          </cell>
          <cell r="CP8" t="str">
            <v>N/A</v>
          </cell>
          <cell r="CQ8" t="str">
            <v>N/A</v>
          </cell>
          <cell r="CS8" t="str">
            <v>N/A</v>
          </cell>
          <cell r="CT8" t="str">
            <v>N/A</v>
          </cell>
          <cell r="CU8" t="str">
            <v>N/A</v>
          </cell>
          <cell r="CV8" t="str">
            <v>N/A</v>
          </cell>
          <cell r="CW8" t="str">
            <v>N/A</v>
          </cell>
          <cell r="CX8" t="str">
            <v>N/A</v>
          </cell>
          <cell r="CY8" t="str">
            <v>N/A</v>
          </cell>
          <cell r="CZ8" t="str">
            <v>N/A</v>
          </cell>
          <cell r="DA8" t="str">
            <v>N/A</v>
          </cell>
          <cell r="DC8" t="str">
            <v>N/A</v>
          </cell>
          <cell r="DD8" t="str">
            <v>N/A</v>
          </cell>
          <cell r="DE8" t="str">
            <v>N/A</v>
          </cell>
          <cell r="DF8" t="str">
            <v>N/A</v>
          </cell>
          <cell r="DG8" t="str">
            <v>N/A</v>
          </cell>
          <cell r="DH8" t="str">
            <v>N/A</v>
          </cell>
          <cell r="DI8" t="str">
            <v>N/A</v>
          </cell>
          <cell r="DJ8" t="str">
            <v>N/A</v>
          </cell>
          <cell r="DK8" t="str">
            <v>N/A</v>
          </cell>
          <cell r="DM8" t="str">
            <v>N/A</v>
          </cell>
          <cell r="DN8" t="str">
            <v>N/A</v>
          </cell>
          <cell r="DO8" t="str">
            <v>N/A</v>
          </cell>
          <cell r="DP8" t="str">
            <v>N/A</v>
          </cell>
          <cell r="DQ8" t="str">
            <v>N/A</v>
          </cell>
          <cell r="DR8" t="str">
            <v>N/A</v>
          </cell>
          <cell r="DS8" t="str">
            <v>N/A</v>
          </cell>
          <cell r="DT8" t="str">
            <v>N/A</v>
          </cell>
          <cell r="DU8" t="str">
            <v>N/A</v>
          </cell>
          <cell r="DV8" t="str">
            <v>N/A</v>
          </cell>
        </row>
        <row r="10">
          <cell r="A10" t="str">
            <v>TOTAL GROWER DISCOUNT - Corn</v>
          </cell>
          <cell r="C10">
            <v>197548509.06272852</v>
          </cell>
          <cell r="D10">
            <v>35711172.690120861</v>
          </cell>
          <cell r="E10">
            <v>38860753.544374369</v>
          </cell>
          <cell r="F10">
            <v>48120793.214079782</v>
          </cell>
          <cell r="G10">
            <v>20428123.209103882</v>
          </cell>
          <cell r="H10">
            <v>16688544.464683607</v>
          </cell>
          <cell r="I10">
            <v>16343865.650224555</v>
          </cell>
          <cell r="J10">
            <v>8151473.191958122</v>
          </cell>
          <cell r="K10">
            <v>13243783.098183339</v>
          </cell>
          <cell r="M10">
            <v>62721044.739338912</v>
          </cell>
          <cell r="N10">
            <v>12782271.510864325</v>
          </cell>
          <cell r="O10">
            <v>4936719.9951086417</v>
          </cell>
          <cell r="P10">
            <v>8386510.4975818777</v>
          </cell>
          <cell r="Q10">
            <v>10474622.490210397</v>
          </cell>
          <cell r="R10">
            <v>6482776.4939856958</v>
          </cell>
          <cell r="S10">
            <v>6074281.2158810655</v>
          </cell>
          <cell r="T10">
            <v>7389180.0029761493</v>
          </cell>
          <cell r="U10">
            <v>6194682.5327307554</v>
          </cell>
          <cell r="W10">
            <v>55066359.214360304</v>
          </cell>
          <cell r="X10">
            <v>9762814.7032389939</v>
          </cell>
          <cell r="Y10">
            <v>10093295.10158607</v>
          </cell>
          <cell r="Z10">
            <v>7733744.6140867928</v>
          </cell>
          <cell r="AA10">
            <v>9588132.2245576307</v>
          </cell>
          <cell r="AB10">
            <v>2920801.1244813344</v>
          </cell>
          <cell r="AC10">
            <v>6761277.0310048237</v>
          </cell>
          <cell r="AD10">
            <v>5072541.8486561943</v>
          </cell>
          <cell r="AE10">
            <v>3133752.5667484677</v>
          </cell>
          <cell r="AG10">
            <v>79761105.109029308</v>
          </cell>
          <cell r="AH10">
            <v>7603123.6498410124</v>
          </cell>
          <cell r="AI10">
            <v>5562962.8261765353</v>
          </cell>
          <cell r="AJ10">
            <v>7710483.3360109869</v>
          </cell>
          <cell r="AK10">
            <v>18654460.880844723</v>
          </cell>
          <cell r="AL10">
            <v>7592564.9622179959</v>
          </cell>
          <cell r="AM10">
            <v>4226822.6130512627</v>
          </cell>
          <cell r="AN10">
            <v>7015430.5507453317</v>
          </cell>
          <cell r="AO10">
            <v>8151473.191958122</v>
          </cell>
          <cell r="AP10">
            <v>13243783.098183339</v>
          </cell>
          <cell r="CI10">
            <v>197548509.06272852</v>
          </cell>
          <cell r="CJ10">
            <v>35711172.690120861</v>
          </cell>
          <cell r="CK10">
            <v>38860753.544374369</v>
          </cell>
          <cell r="CL10">
            <v>48120793.214079782</v>
          </cell>
          <cell r="CM10">
            <v>20428123.209103882</v>
          </cell>
          <cell r="CN10">
            <v>16688544.464683607</v>
          </cell>
          <cell r="CO10">
            <v>16343865.650224555</v>
          </cell>
          <cell r="CP10">
            <v>8151473.191958122</v>
          </cell>
          <cell r="CQ10">
            <v>13243783.098183339</v>
          </cell>
          <cell r="CS10">
            <v>62721044.739338912</v>
          </cell>
          <cell r="CT10">
            <v>12782271.510864325</v>
          </cell>
          <cell r="CU10">
            <v>4936719.9951086417</v>
          </cell>
          <cell r="CV10">
            <v>8386510.4975818777</v>
          </cell>
          <cell r="CW10">
            <v>10474622.490210397</v>
          </cell>
          <cell r="CX10">
            <v>6482776.4939856958</v>
          </cell>
          <cell r="CY10">
            <v>6074281.2158810655</v>
          </cell>
          <cell r="CZ10">
            <v>7389180.0029761493</v>
          </cell>
          <cell r="DA10">
            <v>6194682.5327307554</v>
          </cell>
          <cell r="DC10">
            <v>55066359.214360304</v>
          </cell>
          <cell r="DD10">
            <v>9762814.7032389939</v>
          </cell>
          <cell r="DE10">
            <v>10093295.10158607</v>
          </cell>
          <cell r="DF10">
            <v>7733744.6140867928</v>
          </cell>
          <cell r="DG10">
            <v>9588132.2245576307</v>
          </cell>
          <cell r="DH10">
            <v>2920801.1244813344</v>
          </cell>
          <cell r="DI10">
            <v>6761277.0310048237</v>
          </cell>
          <cell r="DJ10">
            <v>5072541.8486561943</v>
          </cell>
          <cell r="DK10">
            <v>3133752.5667484677</v>
          </cell>
          <cell r="DM10">
            <v>79761105.109029308</v>
          </cell>
          <cell r="DN10">
            <v>7603123.6498410124</v>
          </cell>
          <cell r="DO10">
            <v>5562962.8261765353</v>
          </cell>
          <cell r="DP10">
            <v>7710483.3360109869</v>
          </cell>
          <cell r="DQ10">
            <v>18654460.880844723</v>
          </cell>
          <cell r="DR10">
            <v>7592564.9622179959</v>
          </cell>
          <cell r="DS10">
            <v>4226822.6130512627</v>
          </cell>
          <cell r="DT10">
            <v>7015430.5507453317</v>
          </cell>
          <cell r="DU10">
            <v>8151473.191958122</v>
          </cell>
          <cell r="DV10">
            <v>13243783.098183339</v>
          </cell>
        </row>
        <row r="12">
          <cell r="A12" t="str">
            <v>Grower Discounts - Corn (Garst)</v>
          </cell>
          <cell r="C12">
            <v>62721044.739338905</v>
          </cell>
          <cell r="D12">
            <v>12782271.510864325</v>
          </cell>
          <cell r="E12">
            <v>13323230.492690518</v>
          </cell>
          <cell r="F12">
            <v>16957398.984196093</v>
          </cell>
          <cell r="G12">
            <v>6074281.2158810655</v>
          </cell>
          <cell r="H12">
            <v>7389180.0029761493</v>
          </cell>
          <cell r="I12">
            <v>6194682.5327307554</v>
          </cell>
          <cell r="J12">
            <v>0</v>
          </cell>
          <cell r="K12">
            <v>0</v>
          </cell>
          <cell r="M12">
            <v>62721044.739338912</v>
          </cell>
          <cell r="N12">
            <v>12782271.510864325</v>
          </cell>
          <cell r="O12">
            <v>4936719.9951086417</v>
          </cell>
          <cell r="P12">
            <v>8386510.4975818777</v>
          </cell>
          <cell r="Q12">
            <v>10474622.490210397</v>
          </cell>
          <cell r="R12">
            <v>6482776.4939856958</v>
          </cell>
          <cell r="S12">
            <v>6074281.2158810655</v>
          </cell>
          <cell r="T12">
            <v>7389180.0029761493</v>
          </cell>
          <cell r="U12">
            <v>6194682.5327307554</v>
          </cell>
          <cell r="CI12">
            <v>62721044.739338905</v>
          </cell>
          <cell r="CJ12">
            <v>12782271.510864325</v>
          </cell>
          <cell r="CK12">
            <v>13323230.492690518</v>
          </cell>
          <cell r="CL12">
            <v>16957398.984196093</v>
          </cell>
          <cell r="CM12">
            <v>6074281.2158810655</v>
          </cell>
          <cell r="CN12">
            <v>7389180.0029761493</v>
          </cell>
          <cell r="CO12">
            <v>6194682.5327307554</v>
          </cell>
          <cell r="CP12">
            <v>0</v>
          </cell>
          <cell r="CQ12">
            <v>0</v>
          </cell>
          <cell r="CS12">
            <v>62721044.739338912</v>
          </cell>
          <cell r="CT12">
            <v>12782271.510864325</v>
          </cell>
          <cell r="CU12">
            <v>4936719.9951086417</v>
          </cell>
          <cell r="CV12">
            <v>8386510.4975818777</v>
          </cell>
          <cell r="CW12">
            <v>10474622.490210397</v>
          </cell>
          <cell r="CX12">
            <v>6482776.4939856958</v>
          </cell>
          <cell r="CY12">
            <v>6074281.2158810655</v>
          </cell>
          <cell r="CZ12">
            <v>7389180.0029761493</v>
          </cell>
          <cell r="DA12">
            <v>6194682.5327307554</v>
          </cell>
        </row>
        <row r="13">
          <cell r="A13" t="str">
            <v>Volume</v>
          </cell>
          <cell r="C13">
            <v>26732435.215453934</v>
          </cell>
          <cell r="D13">
            <v>5447952.0628298232</v>
          </cell>
          <cell r="E13">
            <v>5678515.0420656689</v>
          </cell>
          <cell r="F13">
            <v>7227439.7158328388</v>
          </cell>
          <cell r="G13">
            <v>2588928.9593121791</v>
          </cell>
          <cell r="H13">
            <v>3149354.0413078526</v>
          </cell>
          <cell r="I13">
            <v>2640245.3941055713</v>
          </cell>
          <cell r="J13">
            <v>0</v>
          </cell>
          <cell r="K13">
            <v>0</v>
          </cell>
          <cell r="M13">
            <v>26732435.21545393</v>
          </cell>
          <cell r="N13">
            <v>5447952.0628298232</v>
          </cell>
          <cell r="O13">
            <v>2104087.2006282983</v>
          </cell>
          <cell r="P13">
            <v>3574427.8414373701</v>
          </cell>
          <cell r="Q13">
            <v>4464405.3409757912</v>
          </cell>
          <cell r="R13">
            <v>2763034.3748570471</v>
          </cell>
          <cell r="S13">
            <v>2588928.9593121791</v>
          </cell>
          <cell r="T13">
            <v>3149354.0413078526</v>
          </cell>
          <cell r="U13">
            <v>2640245.3941055713</v>
          </cell>
          <cell r="CI13">
            <v>26732435.215453934</v>
          </cell>
          <cell r="CJ13">
            <v>5447952.0628298232</v>
          </cell>
          <cell r="CK13">
            <v>5678515.0420656689</v>
          </cell>
          <cell r="CL13">
            <v>7227439.7158328388</v>
          </cell>
          <cell r="CM13">
            <v>2588928.9593121791</v>
          </cell>
          <cell r="CN13">
            <v>3149354.0413078526</v>
          </cell>
          <cell r="CO13">
            <v>2640245.3941055713</v>
          </cell>
          <cell r="CP13">
            <v>0</v>
          </cell>
          <cell r="CQ13">
            <v>0</v>
          </cell>
          <cell r="CS13">
            <v>26732435.21545393</v>
          </cell>
          <cell r="CT13">
            <v>5447952.0628298232</v>
          </cell>
          <cell r="CU13">
            <v>2104087.2006282983</v>
          </cell>
          <cell r="CV13">
            <v>3574427.8414373701</v>
          </cell>
          <cell r="CW13">
            <v>4464405.3409757912</v>
          </cell>
          <cell r="CX13">
            <v>2763034.3748570471</v>
          </cell>
          <cell r="CY13">
            <v>2588928.9593121791</v>
          </cell>
          <cell r="CZ13">
            <v>3149354.0413078526</v>
          </cell>
          <cell r="DA13">
            <v>2640245.3941055713</v>
          </cell>
        </row>
        <row r="14">
          <cell r="A14" t="str">
            <v>Business Builder</v>
          </cell>
          <cell r="C14">
            <v>10232795.615498023</v>
          </cell>
          <cell r="D14">
            <v>2085398.4881160692</v>
          </cell>
          <cell r="E14">
            <v>2173654.714082974</v>
          </cell>
          <cell r="F14">
            <v>2766561.027432933</v>
          </cell>
          <cell r="G14">
            <v>991005.14749851904</v>
          </cell>
          <cell r="H14">
            <v>1205527.8902131531</v>
          </cell>
          <cell r="I14">
            <v>1010648.3481543738</v>
          </cell>
          <cell r="J14">
            <v>0</v>
          </cell>
          <cell r="K14">
            <v>0</v>
          </cell>
          <cell r="M14">
            <v>10232795.615498023</v>
          </cell>
          <cell r="N14">
            <v>2085398.4881160692</v>
          </cell>
          <cell r="O14">
            <v>805414.62488116068</v>
          </cell>
          <cell r="P14">
            <v>1368240.0892018131</v>
          </cell>
          <cell r="Q14">
            <v>1708910.8055720131</v>
          </cell>
          <cell r="R14">
            <v>1057650.2218609198</v>
          </cell>
          <cell r="S14">
            <v>991005.14749851904</v>
          </cell>
          <cell r="T14">
            <v>1205527.8902131531</v>
          </cell>
          <cell r="U14">
            <v>1010648.3481543738</v>
          </cell>
          <cell r="CI14">
            <v>10232795.615498023</v>
          </cell>
          <cell r="CJ14">
            <v>2085398.4881160692</v>
          </cell>
          <cell r="CK14">
            <v>2173654.714082974</v>
          </cell>
          <cell r="CL14">
            <v>2766561.027432933</v>
          </cell>
          <cell r="CM14">
            <v>991005.14749851904</v>
          </cell>
          <cell r="CN14">
            <v>1205527.8902131531</v>
          </cell>
          <cell r="CO14">
            <v>1010648.3481543738</v>
          </cell>
          <cell r="CP14">
            <v>0</v>
          </cell>
          <cell r="CQ14">
            <v>0</v>
          </cell>
          <cell r="CS14">
            <v>10232795.615498023</v>
          </cell>
          <cell r="CT14">
            <v>2085398.4881160692</v>
          </cell>
          <cell r="CU14">
            <v>805414.62488116068</v>
          </cell>
          <cell r="CV14">
            <v>1368240.0892018131</v>
          </cell>
          <cell r="CW14">
            <v>1708910.8055720131</v>
          </cell>
          <cell r="CX14">
            <v>1057650.2218609198</v>
          </cell>
          <cell r="CY14">
            <v>991005.14749851904</v>
          </cell>
          <cell r="CZ14">
            <v>1205527.8902131531</v>
          </cell>
          <cell r="DA14">
            <v>1010648.3481543738</v>
          </cell>
        </row>
        <row r="15">
          <cell r="A15" t="str">
            <v>Early Pay Cash</v>
          </cell>
          <cell r="C15">
            <v>8910811.7384846434</v>
          </cell>
          <cell r="D15">
            <v>1815984.0209432745</v>
          </cell>
          <cell r="E15">
            <v>1892838.3473552223</v>
          </cell>
          <cell r="F15">
            <v>2409146.5719442801</v>
          </cell>
          <cell r="G15">
            <v>862976.31977072638</v>
          </cell>
          <cell r="H15">
            <v>1049784.6804359506</v>
          </cell>
          <cell r="I15">
            <v>880081.79803519032</v>
          </cell>
          <cell r="J15">
            <v>0</v>
          </cell>
          <cell r="K15">
            <v>0</v>
          </cell>
          <cell r="M15">
            <v>8910811.7384846453</v>
          </cell>
          <cell r="N15">
            <v>1815984.0209432745</v>
          </cell>
          <cell r="O15">
            <v>701362.4002094327</v>
          </cell>
          <cell r="P15">
            <v>1191475.9471457896</v>
          </cell>
          <cell r="Q15">
            <v>1488135.1136585977</v>
          </cell>
          <cell r="R15">
            <v>921011.45828568249</v>
          </cell>
          <cell r="S15">
            <v>862976.31977072638</v>
          </cell>
          <cell r="T15">
            <v>1049784.6804359506</v>
          </cell>
          <cell r="U15">
            <v>880081.79803519032</v>
          </cell>
          <cell r="CI15">
            <v>8910811.7384846434</v>
          </cell>
          <cell r="CJ15">
            <v>1815984.0209432745</v>
          </cell>
          <cell r="CK15">
            <v>1892838.3473552223</v>
          </cell>
          <cell r="CL15">
            <v>2409146.5719442801</v>
          </cell>
          <cell r="CM15">
            <v>862976.31977072638</v>
          </cell>
          <cell r="CN15">
            <v>1049784.6804359506</v>
          </cell>
          <cell r="CO15">
            <v>880081.79803519032</v>
          </cell>
          <cell r="CP15">
            <v>0</v>
          </cell>
          <cell r="CQ15">
            <v>0</v>
          </cell>
          <cell r="CS15">
            <v>8910811.7384846453</v>
          </cell>
          <cell r="CT15">
            <v>1815984.0209432745</v>
          </cell>
          <cell r="CU15">
            <v>701362.4002094327</v>
          </cell>
          <cell r="CV15">
            <v>1191475.9471457896</v>
          </cell>
          <cell r="CW15">
            <v>1488135.1136585977</v>
          </cell>
          <cell r="CX15">
            <v>921011.45828568249</v>
          </cell>
          <cell r="CY15">
            <v>862976.31977072638</v>
          </cell>
          <cell r="CZ15">
            <v>1049784.6804359506</v>
          </cell>
          <cell r="DA15">
            <v>880081.79803519032</v>
          </cell>
        </row>
        <row r="16">
          <cell r="A16" t="str">
            <v>Early Order/Cornerstone</v>
          </cell>
          <cell r="C16">
            <v>7350962.2503823536</v>
          </cell>
          <cell r="D16">
            <v>1498093.5942791798</v>
          </cell>
          <cell r="E16">
            <v>1561494.4682750735</v>
          </cell>
          <cell r="F16">
            <v>1987422.2490320627</v>
          </cell>
          <cell r="G16">
            <v>711911.16317841748</v>
          </cell>
          <cell r="H16">
            <v>866018.47097565362</v>
          </cell>
          <cell r="I16">
            <v>726022.30464196682</v>
          </cell>
          <cell r="J16">
            <v>0</v>
          </cell>
          <cell r="K16">
            <v>0</v>
          </cell>
          <cell r="M16">
            <v>7350962.2503823536</v>
          </cell>
          <cell r="N16">
            <v>1498093.5942791798</v>
          </cell>
          <cell r="O16">
            <v>578587.97594279191</v>
          </cell>
          <cell r="P16">
            <v>982906.49233228166</v>
          </cell>
          <cell r="Q16">
            <v>1227635.0757953622</v>
          </cell>
          <cell r="R16">
            <v>759787.17323670047</v>
          </cell>
          <cell r="S16">
            <v>711911.16317841748</v>
          </cell>
          <cell r="T16">
            <v>866018.47097565362</v>
          </cell>
          <cell r="U16">
            <v>726022.30464196682</v>
          </cell>
          <cell r="CI16">
            <v>7350962.2503823536</v>
          </cell>
          <cell r="CJ16">
            <v>1498093.5942791798</v>
          </cell>
          <cell r="CK16">
            <v>1561494.4682750735</v>
          </cell>
          <cell r="CL16">
            <v>1987422.2490320627</v>
          </cell>
          <cell r="CM16">
            <v>711911.16317841748</v>
          </cell>
          <cell r="CN16">
            <v>866018.47097565362</v>
          </cell>
          <cell r="CO16">
            <v>726022.30464196682</v>
          </cell>
          <cell r="CP16">
            <v>0</v>
          </cell>
          <cell r="CQ16">
            <v>0</v>
          </cell>
          <cell r="CS16">
            <v>7350962.2503823536</v>
          </cell>
          <cell r="CT16">
            <v>1498093.5942791798</v>
          </cell>
          <cell r="CU16">
            <v>578587.97594279191</v>
          </cell>
          <cell r="CV16">
            <v>982906.49233228166</v>
          </cell>
          <cell r="CW16">
            <v>1227635.0757953622</v>
          </cell>
          <cell r="CX16">
            <v>759787.17323670047</v>
          </cell>
          <cell r="CY16">
            <v>711911.16317841748</v>
          </cell>
          <cell r="CZ16">
            <v>866018.47097565362</v>
          </cell>
          <cell r="DA16">
            <v>726022.30464196682</v>
          </cell>
        </row>
        <row r="17">
          <cell r="A17" t="str">
            <v>AgriEdge</v>
          </cell>
          <cell r="C17">
            <v>3920208.2442922685</v>
          </cell>
          <cell r="D17">
            <v>798921.10161621438</v>
          </cell>
          <cell r="E17">
            <v>832732.27088471572</v>
          </cell>
          <cell r="F17">
            <v>1059876.0842691208</v>
          </cell>
          <cell r="G17">
            <v>379656.41994020133</v>
          </cell>
          <cell r="H17">
            <v>461840.59093101125</v>
          </cell>
          <cell r="I17">
            <v>387181.7766510052</v>
          </cell>
          <cell r="J17">
            <v>0</v>
          </cell>
          <cell r="K17">
            <v>0</v>
          </cell>
          <cell r="M17">
            <v>3920208.2442922685</v>
          </cell>
          <cell r="N17">
            <v>798921.10161621438</v>
          </cell>
          <cell r="O17">
            <v>308556.25101616222</v>
          </cell>
          <cell r="P17">
            <v>524176.01986855344</v>
          </cell>
          <cell r="Q17">
            <v>654687.77844220609</v>
          </cell>
          <cell r="R17">
            <v>405188.30582691485</v>
          </cell>
          <cell r="S17">
            <v>379656.41994020133</v>
          </cell>
          <cell r="T17">
            <v>461840.59093101125</v>
          </cell>
          <cell r="U17">
            <v>387181.7766510052</v>
          </cell>
          <cell r="CI17">
            <v>3920208.2442922685</v>
          </cell>
          <cell r="CJ17">
            <v>798921.10161621438</v>
          </cell>
          <cell r="CK17">
            <v>832732.27088471572</v>
          </cell>
          <cell r="CL17">
            <v>1059876.0842691208</v>
          </cell>
          <cell r="CM17">
            <v>379656.41994020133</v>
          </cell>
          <cell r="CN17">
            <v>461840.59093101125</v>
          </cell>
          <cell r="CO17">
            <v>387181.7766510052</v>
          </cell>
          <cell r="CP17">
            <v>0</v>
          </cell>
          <cell r="CQ17">
            <v>0</v>
          </cell>
          <cell r="CS17">
            <v>3920208.2442922685</v>
          </cell>
          <cell r="CT17">
            <v>798921.10161621438</v>
          </cell>
          <cell r="CU17">
            <v>308556.25101616222</v>
          </cell>
          <cell r="CV17">
            <v>524176.01986855344</v>
          </cell>
          <cell r="CW17">
            <v>654687.77844220609</v>
          </cell>
          <cell r="CX17">
            <v>405188.30582691485</v>
          </cell>
          <cell r="CY17">
            <v>379656.41994020133</v>
          </cell>
          <cell r="CZ17">
            <v>461840.59093101125</v>
          </cell>
          <cell r="DA17">
            <v>387181.7766510052</v>
          </cell>
        </row>
        <row r="18">
          <cell r="A18" t="str">
            <v>LPIVB</v>
          </cell>
          <cell r="C18">
            <v>2012709.0169061825</v>
          </cell>
          <cell r="D18">
            <v>410181.19569560606</v>
          </cell>
          <cell r="E18">
            <v>427540.48913567665</v>
          </cell>
          <cell r="F18">
            <v>544160.41666092561</v>
          </cell>
          <cell r="G18">
            <v>194922.78269975336</v>
          </cell>
          <cell r="H18">
            <v>237117.68962619003</v>
          </cell>
          <cell r="I18">
            <v>198786.44308803065</v>
          </cell>
          <cell r="J18">
            <v>0</v>
          </cell>
          <cell r="K18">
            <v>0</v>
          </cell>
          <cell r="M18">
            <v>2012709.0169061825</v>
          </cell>
          <cell r="N18">
            <v>410181.19569560606</v>
          </cell>
          <cell r="O18">
            <v>158418.61195695607</v>
          </cell>
          <cell r="P18">
            <v>269121.87717872055</v>
          </cell>
          <cell r="Q18">
            <v>336129.0811138514</v>
          </cell>
          <cell r="R18">
            <v>208031.33554707415</v>
          </cell>
          <cell r="S18">
            <v>194922.78269975336</v>
          </cell>
          <cell r="T18">
            <v>237117.68962619003</v>
          </cell>
          <cell r="U18">
            <v>198786.44308803065</v>
          </cell>
          <cell r="CI18">
            <v>2012709.0169061825</v>
          </cell>
          <cell r="CJ18">
            <v>410181.19569560606</v>
          </cell>
          <cell r="CK18">
            <v>427540.48913567665</v>
          </cell>
          <cell r="CL18">
            <v>544160.41666092561</v>
          </cell>
          <cell r="CM18">
            <v>194922.78269975336</v>
          </cell>
          <cell r="CN18">
            <v>237117.68962619003</v>
          </cell>
          <cell r="CO18">
            <v>198786.44308803065</v>
          </cell>
          <cell r="CP18">
            <v>0</v>
          </cell>
          <cell r="CQ18">
            <v>0</v>
          </cell>
          <cell r="CS18">
            <v>2012709.0169061825</v>
          </cell>
          <cell r="CT18">
            <v>410181.19569560606</v>
          </cell>
          <cell r="CU18">
            <v>158418.61195695607</v>
          </cell>
          <cell r="CV18">
            <v>269121.87717872055</v>
          </cell>
          <cell r="CW18">
            <v>336129.0811138514</v>
          </cell>
          <cell r="CX18">
            <v>208031.33554707415</v>
          </cell>
          <cell r="CY18">
            <v>194922.78269975336</v>
          </cell>
          <cell r="CZ18">
            <v>237117.68962619003</v>
          </cell>
          <cell r="DA18">
            <v>198786.44308803065</v>
          </cell>
        </row>
        <row r="19">
          <cell r="A19" t="str">
            <v>SA Recruiting - Placement/Comp Resp Seed</v>
          </cell>
          <cell r="C19">
            <v>1859468.6713008252</v>
          </cell>
          <cell r="D19">
            <v>378951.49102332687</v>
          </cell>
          <cell r="E19">
            <v>394989.11098557379</v>
          </cell>
          <cell r="F19">
            <v>502730.02130151435</v>
          </cell>
          <cell r="G19">
            <v>180082.070835113</v>
          </cell>
          <cell r="H19">
            <v>219064.410984196</v>
          </cell>
          <cell r="I19">
            <v>183651.566171101</v>
          </cell>
          <cell r="J19">
            <v>0</v>
          </cell>
          <cell r="K19">
            <v>0</v>
          </cell>
          <cell r="M19">
            <v>1859468.6713008252</v>
          </cell>
          <cell r="N19">
            <v>378951.49102332687</v>
          </cell>
          <cell r="O19">
            <v>146357.19491023323</v>
          </cell>
          <cell r="P19">
            <v>248631.91607534056</v>
          </cell>
          <cell r="Q19">
            <v>310537.43516541057</v>
          </cell>
          <cell r="R19">
            <v>192192.58613610375</v>
          </cell>
          <cell r="S19">
            <v>180082.070835113</v>
          </cell>
          <cell r="T19">
            <v>219064.410984196</v>
          </cell>
          <cell r="U19">
            <v>183651.566171101</v>
          </cell>
          <cell r="CI19">
            <v>1859468.6713008252</v>
          </cell>
          <cell r="CJ19">
            <v>378951.49102332687</v>
          </cell>
          <cell r="CK19">
            <v>394989.11098557379</v>
          </cell>
          <cell r="CL19">
            <v>502730.02130151435</v>
          </cell>
          <cell r="CM19">
            <v>180082.070835113</v>
          </cell>
          <cell r="CN19">
            <v>219064.410984196</v>
          </cell>
          <cell r="CO19">
            <v>183651.566171101</v>
          </cell>
          <cell r="CP19">
            <v>0</v>
          </cell>
          <cell r="CQ19">
            <v>0</v>
          </cell>
          <cell r="CS19">
            <v>1859468.6713008252</v>
          </cell>
          <cell r="CT19">
            <v>378951.49102332687</v>
          </cell>
          <cell r="CU19">
            <v>146357.19491023323</v>
          </cell>
          <cell r="CV19">
            <v>248631.91607534056</v>
          </cell>
          <cell r="CW19">
            <v>310537.43516541057</v>
          </cell>
          <cell r="CX19">
            <v>192192.58613610375</v>
          </cell>
          <cell r="CY19">
            <v>180082.070835113</v>
          </cell>
          <cell r="CZ19">
            <v>219064.410984196</v>
          </cell>
          <cell r="DA19">
            <v>183651.566171101</v>
          </cell>
        </row>
        <row r="20">
          <cell r="A20" t="str">
            <v>2010 Comp SA Placement Seed</v>
          </cell>
          <cell r="C20">
            <v>1701653.9870206811</v>
          </cell>
          <cell r="D20">
            <v>346789.55636083055</v>
          </cell>
          <cell r="E20">
            <v>361466.04990561749</v>
          </cell>
          <cell r="F20">
            <v>460062.89772241883</v>
          </cell>
          <cell r="G20">
            <v>164798.35264615511</v>
          </cell>
          <cell r="H20">
            <v>200472.22850214256</v>
          </cell>
          <cell r="I20">
            <v>168064.90188351681</v>
          </cell>
          <cell r="J20">
            <v>0</v>
          </cell>
          <cell r="K20">
            <v>0</v>
          </cell>
          <cell r="M20">
            <v>1701653.9870206811</v>
          </cell>
          <cell r="N20">
            <v>346789.55636083055</v>
          </cell>
          <cell r="O20">
            <v>133935.73556360829</v>
          </cell>
          <cell r="P20">
            <v>227530.31434200917</v>
          </cell>
          <cell r="Q20">
            <v>284181.85948716523</v>
          </cell>
          <cell r="R20">
            <v>175881.0382352536</v>
          </cell>
          <cell r="S20">
            <v>164798.35264615511</v>
          </cell>
          <cell r="T20">
            <v>200472.22850214256</v>
          </cell>
          <cell r="U20">
            <v>168064.90188351681</v>
          </cell>
          <cell r="CI20">
            <v>1701653.9870206811</v>
          </cell>
          <cell r="CJ20">
            <v>346789.55636083055</v>
          </cell>
          <cell r="CK20">
            <v>361466.04990561749</v>
          </cell>
          <cell r="CL20">
            <v>460062.89772241883</v>
          </cell>
          <cell r="CM20">
            <v>164798.35264615511</v>
          </cell>
          <cell r="CN20">
            <v>200472.22850214256</v>
          </cell>
          <cell r="CO20">
            <v>168064.90188351681</v>
          </cell>
          <cell r="CP20">
            <v>0</v>
          </cell>
          <cell r="CQ20">
            <v>0</v>
          </cell>
          <cell r="CS20">
            <v>1701653.9870206811</v>
          </cell>
          <cell r="CT20">
            <v>346789.55636083055</v>
          </cell>
          <cell r="CU20">
            <v>133935.73556360829</v>
          </cell>
          <cell r="CV20">
            <v>227530.31434200917</v>
          </cell>
          <cell r="CW20">
            <v>284181.85948716523</v>
          </cell>
          <cell r="CX20">
            <v>175881.0382352536</v>
          </cell>
          <cell r="CY20">
            <v>164798.35264615511</v>
          </cell>
          <cell r="CZ20">
            <v>200472.22850214256</v>
          </cell>
          <cell r="DA20">
            <v>168064.90188351681</v>
          </cell>
        </row>
        <row r="22">
          <cell r="A22" t="str">
            <v>Grower Discounts - Corn (GH)</v>
          </cell>
          <cell r="C22">
            <v>55066359.214360304</v>
          </cell>
          <cell r="D22">
            <v>9762814.7032389939</v>
          </cell>
          <cell r="E22">
            <v>17827039.715672862</v>
          </cell>
          <cell r="F22">
            <v>12508933.349038966</v>
          </cell>
          <cell r="G22">
            <v>6761277.0310048237</v>
          </cell>
          <cell r="H22">
            <v>5072541.8486561943</v>
          </cell>
          <cell r="I22">
            <v>3133752.5667484677</v>
          </cell>
          <cell r="J22">
            <v>0</v>
          </cell>
          <cell r="K22">
            <v>0</v>
          </cell>
          <cell r="W22">
            <v>55066359.214360304</v>
          </cell>
          <cell r="X22">
            <v>9762814.7032389939</v>
          </cell>
          <cell r="Y22">
            <v>10093295.10158607</v>
          </cell>
          <cell r="Z22">
            <v>7733744.6140867928</v>
          </cell>
          <cell r="AA22">
            <v>9588132.2245576307</v>
          </cell>
          <cell r="AB22">
            <v>2920801.1244813344</v>
          </cell>
          <cell r="AC22">
            <v>6761277.0310048237</v>
          </cell>
          <cell r="AD22">
            <v>5072541.8486561943</v>
          </cell>
          <cell r="AE22">
            <v>3133752.5667484677</v>
          </cell>
          <cell r="CI22">
            <v>55066359.214360304</v>
          </cell>
          <cell r="CJ22">
            <v>9762814.7032389939</v>
          </cell>
          <cell r="CK22">
            <v>17827039.715672862</v>
          </cell>
          <cell r="CL22">
            <v>12508933.349038966</v>
          </cell>
          <cell r="CM22">
            <v>6761277.0310048237</v>
          </cell>
          <cell r="CN22">
            <v>5072541.8486561943</v>
          </cell>
          <cell r="CO22">
            <v>3133752.5667484677</v>
          </cell>
          <cell r="CP22">
            <v>0</v>
          </cell>
          <cell r="CQ22">
            <v>0</v>
          </cell>
          <cell r="DC22">
            <v>55066359.214360304</v>
          </cell>
          <cell r="DD22">
            <v>9762814.7032389939</v>
          </cell>
          <cell r="DE22">
            <v>10093295.10158607</v>
          </cell>
          <cell r="DF22">
            <v>7733744.6140867928</v>
          </cell>
          <cell r="DG22">
            <v>9588132.2245576307</v>
          </cell>
          <cell r="DH22">
            <v>2920801.1244813344</v>
          </cell>
          <cell r="DI22">
            <v>6761277.0310048237</v>
          </cell>
          <cell r="DJ22">
            <v>5072541.8486561943</v>
          </cell>
          <cell r="DK22">
            <v>3133752.5667484677</v>
          </cell>
        </row>
        <row r="23">
          <cell r="A23" t="str">
            <v>Volume (including DC)</v>
          </cell>
          <cell r="C23">
            <v>15247845.502283331</v>
          </cell>
          <cell r="D23">
            <v>2703318.1852993807</v>
          </cell>
          <cell r="E23">
            <v>4936297.7909889137</v>
          </cell>
          <cell r="F23">
            <v>3463716.9739517798</v>
          </cell>
          <cell r="G23">
            <v>1872194.0044297168</v>
          </cell>
          <cell r="H23">
            <v>1404584.1329565523</v>
          </cell>
          <cell r="I23">
            <v>867734.41465699021</v>
          </cell>
          <cell r="J23">
            <v>0</v>
          </cell>
          <cell r="K23">
            <v>0</v>
          </cell>
          <cell r="W23">
            <v>15247845.502283331</v>
          </cell>
          <cell r="X23">
            <v>2703318.1852993807</v>
          </cell>
          <cell r="Y23">
            <v>2794828.0313727907</v>
          </cell>
          <cell r="Z23">
            <v>2141469.759616123</v>
          </cell>
          <cell r="AA23">
            <v>2654948.7001020596</v>
          </cell>
          <cell r="AB23">
            <v>808768.27384972014</v>
          </cell>
          <cell r="AC23">
            <v>1872194.0044297168</v>
          </cell>
          <cell r="AD23">
            <v>1404584.1329565523</v>
          </cell>
          <cell r="AE23">
            <v>867734.41465699021</v>
          </cell>
          <cell r="CI23">
            <v>15247845.502283331</v>
          </cell>
          <cell r="CJ23">
            <v>2703318.1852993807</v>
          </cell>
          <cell r="CK23">
            <v>4936297.7909889137</v>
          </cell>
          <cell r="CL23">
            <v>3463716.9739517798</v>
          </cell>
          <cell r="CM23">
            <v>1872194.0044297168</v>
          </cell>
          <cell r="CN23">
            <v>1404584.1329565523</v>
          </cell>
          <cell r="CO23">
            <v>867734.41465699021</v>
          </cell>
          <cell r="CP23">
            <v>0</v>
          </cell>
          <cell r="CQ23">
            <v>0</v>
          </cell>
          <cell r="DC23">
            <v>15247845.502283331</v>
          </cell>
          <cell r="DD23">
            <v>2703318.1852993807</v>
          </cell>
          <cell r="DE23">
            <v>2794828.0313727907</v>
          </cell>
          <cell r="DF23">
            <v>2141469.759616123</v>
          </cell>
          <cell r="DG23">
            <v>2654948.7001020596</v>
          </cell>
          <cell r="DH23">
            <v>808768.27384972014</v>
          </cell>
          <cell r="DI23">
            <v>1872194.0044297168</v>
          </cell>
          <cell r="DJ23">
            <v>1404584.1329565523</v>
          </cell>
          <cell r="DK23">
            <v>867734.41465699021</v>
          </cell>
        </row>
        <row r="24">
          <cell r="A24" t="str">
            <v>Early Pay Cash</v>
          </cell>
          <cell r="C24">
            <v>13998022.019793123</v>
          </cell>
          <cell r="D24">
            <v>2481734.7131869402</v>
          </cell>
          <cell r="E24">
            <v>4531683.1918431772</v>
          </cell>
          <cell r="F24">
            <v>3179805.7282550293</v>
          </cell>
          <cell r="G24">
            <v>1718735.4695722361</v>
          </cell>
          <cell r="H24">
            <v>1289454.2785624105</v>
          </cell>
          <cell r="I24">
            <v>796608.63837333082</v>
          </cell>
          <cell r="J24">
            <v>0</v>
          </cell>
          <cell r="K24">
            <v>0</v>
          </cell>
          <cell r="W24">
            <v>13998022.019793123</v>
          </cell>
          <cell r="X24">
            <v>2481734.7131869402</v>
          </cell>
          <cell r="Y24">
            <v>2565743.7517210511</v>
          </cell>
          <cell r="Z24">
            <v>1965939.4401221261</v>
          </cell>
          <cell r="AA24">
            <v>2437329.9401469231</v>
          </cell>
          <cell r="AB24">
            <v>742475.78810810624</v>
          </cell>
          <cell r="AC24">
            <v>1718735.4695722361</v>
          </cell>
          <cell r="AD24">
            <v>1289454.2785624105</v>
          </cell>
          <cell r="AE24">
            <v>796608.63837333082</v>
          </cell>
          <cell r="CI24">
            <v>13998022.019793123</v>
          </cell>
          <cell r="CJ24">
            <v>2481734.7131869402</v>
          </cell>
          <cell r="CK24">
            <v>4531683.1918431772</v>
          </cell>
          <cell r="CL24">
            <v>3179805.7282550293</v>
          </cell>
          <cell r="CM24">
            <v>1718735.4695722361</v>
          </cell>
          <cell r="CN24">
            <v>1289454.2785624105</v>
          </cell>
          <cell r="CO24">
            <v>796608.63837333082</v>
          </cell>
          <cell r="CP24">
            <v>0</v>
          </cell>
          <cell r="CQ24">
            <v>0</v>
          </cell>
          <cell r="DC24">
            <v>13998022.019793123</v>
          </cell>
          <cell r="DD24">
            <v>2481734.7131869402</v>
          </cell>
          <cell r="DE24">
            <v>2565743.7517210511</v>
          </cell>
          <cell r="DF24">
            <v>1965939.4401221261</v>
          </cell>
          <cell r="DG24">
            <v>2437329.9401469231</v>
          </cell>
          <cell r="DH24">
            <v>742475.78810810624</v>
          </cell>
          <cell r="DI24">
            <v>1718735.4695722361</v>
          </cell>
          <cell r="DJ24">
            <v>1289454.2785624105</v>
          </cell>
          <cell r="DK24">
            <v>796608.63837333082</v>
          </cell>
        </row>
        <row r="25">
          <cell r="A25" t="str">
            <v>Free Seed</v>
          </cell>
          <cell r="C25">
            <v>12248269.40925608</v>
          </cell>
          <cell r="D25">
            <v>2171517.8992028581</v>
          </cell>
          <cell r="E25">
            <v>3965222.8388131261</v>
          </cell>
          <cell r="F25">
            <v>2782330.0444657351</v>
          </cell>
          <cell r="G25">
            <v>1503893.5533033346</v>
          </cell>
          <cell r="H25">
            <v>1128272.5068169134</v>
          </cell>
          <cell r="I25">
            <v>697032.56665411394</v>
          </cell>
          <cell r="J25">
            <v>0</v>
          </cell>
          <cell r="K25">
            <v>0</v>
          </cell>
          <cell r="W25">
            <v>12248269.40925608</v>
          </cell>
          <cell r="X25">
            <v>2171517.8992028581</v>
          </cell>
          <cell r="Y25">
            <v>2245025.8087720391</v>
          </cell>
          <cell r="Z25">
            <v>1720197.030041087</v>
          </cell>
          <cell r="AA25">
            <v>2132663.7223425885</v>
          </cell>
          <cell r="AB25">
            <v>649666.3221231465</v>
          </cell>
          <cell r="AC25">
            <v>1503893.5533033346</v>
          </cell>
          <cell r="AD25">
            <v>1128272.5068169134</v>
          </cell>
          <cell r="AE25">
            <v>697032.56665411394</v>
          </cell>
          <cell r="CI25">
            <v>12248269.40925608</v>
          </cell>
          <cell r="CJ25">
            <v>2171517.8992028581</v>
          </cell>
          <cell r="CK25">
            <v>3965222.8388131261</v>
          </cell>
          <cell r="CL25">
            <v>2782330.0444657351</v>
          </cell>
          <cell r="CM25">
            <v>1503893.5533033346</v>
          </cell>
          <cell r="CN25">
            <v>1128272.5068169134</v>
          </cell>
          <cell r="CO25">
            <v>697032.56665411394</v>
          </cell>
          <cell r="CP25">
            <v>0</v>
          </cell>
          <cell r="CQ25">
            <v>0</v>
          </cell>
          <cell r="DC25">
            <v>12248269.40925608</v>
          </cell>
          <cell r="DD25">
            <v>2171517.8992028581</v>
          </cell>
          <cell r="DE25">
            <v>2245025.8087720391</v>
          </cell>
          <cell r="DF25">
            <v>1720197.030041087</v>
          </cell>
          <cell r="DG25">
            <v>2132663.7223425885</v>
          </cell>
          <cell r="DH25">
            <v>649666.3221231465</v>
          </cell>
          <cell r="DI25">
            <v>1503893.5533033346</v>
          </cell>
          <cell r="DJ25">
            <v>1128272.5068169134</v>
          </cell>
          <cell r="DK25">
            <v>697032.56665411394</v>
          </cell>
        </row>
        <row r="26">
          <cell r="A26" t="str">
            <v>Early Order</v>
          </cell>
          <cell r="C26">
            <v>6123274.8497146433</v>
          </cell>
          <cell r="D26">
            <v>1085606.5043642474</v>
          </cell>
          <cell r="E26">
            <v>1982333.0522163303</v>
          </cell>
          <cell r="F26">
            <v>1390969.6966664959</v>
          </cell>
          <cell r="G26">
            <v>751841.20008261735</v>
          </cell>
          <cell r="H26">
            <v>564057.04624651233</v>
          </cell>
          <cell r="I26">
            <v>348467.35013843997</v>
          </cell>
          <cell r="J26">
            <v>0</v>
          </cell>
          <cell r="K26">
            <v>0</v>
          </cell>
          <cell r="W26">
            <v>6123274.8497146433</v>
          </cell>
          <cell r="X26">
            <v>1085606.5043642474</v>
          </cell>
          <cell r="Y26">
            <v>1122355.2987351418</v>
          </cell>
          <cell r="Z26">
            <v>859977.75348118856</v>
          </cell>
          <cell r="AA26">
            <v>1066182.143581077</v>
          </cell>
          <cell r="AB26">
            <v>324787.553085419</v>
          </cell>
          <cell r="AC26">
            <v>751841.20008261735</v>
          </cell>
          <cell r="AD26">
            <v>564057.04624651233</v>
          </cell>
          <cell r="AE26">
            <v>348467.35013843997</v>
          </cell>
          <cell r="CI26">
            <v>6123274.8497146433</v>
          </cell>
          <cell r="CJ26">
            <v>1085606.5043642474</v>
          </cell>
          <cell r="CK26">
            <v>1982333.0522163303</v>
          </cell>
          <cell r="CL26">
            <v>1390969.6966664959</v>
          </cell>
          <cell r="CM26">
            <v>751841.20008261735</v>
          </cell>
          <cell r="CN26">
            <v>564057.04624651233</v>
          </cell>
          <cell r="CO26">
            <v>348467.35013843997</v>
          </cell>
          <cell r="CP26">
            <v>0</v>
          </cell>
          <cell r="CQ26">
            <v>0</v>
          </cell>
          <cell r="DC26">
            <v>6123274.8497146433</v>
          </cell>
          <cell r="DD26">
            <v>1085606.5043642474</v>
          </cell>
          <cell r="DE26">
            <v>1122355.2987351418</v>
          </cell>
          <cell r="DF26">
            <v>859977.75348118856</v>
          </cell>
          <cell r="DG26">
            <v>1066182.143581077</v>
          </cell>
          <cell r="DH26">
            <v>324787.553085419</v>
          </cell>
          <cell r="DI26">
            <v>751841.20008261735</v>
          </cell>
          <cell r="DJ26">
            <v>564057.04624651233</v>
          </cell>
          <cell r="DK26">
            <v>348467.35013843997</v>
          </cell>
        </row>
        <row r="27">
          <cell r="A27" t="str">
            <v>AgriEdge</v>
          </cell>
          <cell r="C27">
            <v>4499364.2341656098</v>
          </cell>
          <cell r="D27">
            <v>797700.44592097239</v>
          </cell>
          <cell r="E27">
            <v>1456612.4588972451</v>
          </cell>
          <cell r="F27">
            <v>1022080.4157241246</v>
          </cell>
          <cell r="G27">
            <v>552450.68830799288</v>
          </cell>
          <cell r="H27">
            <v>414467.44792599417</v>
          </cell>
          <cell r="I27">
            <v>256052.77738928021</v>
          </cell>
          <cell r="J27">
            <v>0</v>
          </cell>
          <cell r="K27">
            <v>0</v>
          </cell>
          <cell r="W27">
            <v>4499364.2341656098</v>
          </cell>
          <cell r="X27">
            <v>797700.44592097239</v>
          </cell>
          <cell r="Y27">
            <v>824703.35124520655</v>
          </cell>
          <cell r="Z27">
            <v>631909.10765203845</v>
          </cell>
          <cell r="AA27">
            <v>783427.48311522836</v>
          </cell>
          <cell r="AB27">
            <v>238652.93260889628</v>
          </cell>
          <cell r="AC27">
            <v>552450.68830799288</v>
          </cell>
          <cell r="AD27">
            <v>414467.44792599417</v>
          </cell>
          <cell r="AE27">
            <v>256052.77738928021</v>
          </cell>
          <cell r="CI27">
            <v>4499364.2341656098</v>
          </cell>
          <cell r="CJ27">
            <v>797700.44592097239</v>
          </cell>
          <cell r="CK27">
            <v>1456612.4588972451</v>
          </cell>
          <cell r="CL27">
            <v>1022080.4157241246</v>
          </cell>
          <cell r="CM27">
            <v>552450.68830799288</v>
          </cell>
          <cell r="CN27">
            <v>414467.44792599417</v>
          </cell>
          <cell r="CO27">
            <v>256052.77738928021</v>
          </cell>
          <cell r="CP27">
            <v>0</v>
          </cell>
          <cell r="CQ27">
            <v>0</v>
          </cell>
          <cell r="DC27">
            <v>4499364.2341656098</v>
          </cell>
          <cell r="DD27">
            <v>797700.44592097239</v>
          </cell>
          <cell r="DE27">
            <v>824703.35124520655</v>
          </cell>
          <cell r="DF27">
            <v>631909.10765203845</v>
          </cell>
          <cell r="DG27">
            <v>783427.48311522836</v>
          </cell>
          <cell r="DH27">
            <v>238652.93260889628</v>
          </cell>
          <cell r="DI27">
            <v>552450.68830799288</v>
          </cell>
          <cell r="DJ27">
            <v>414467.44792599417</v>
          </cell>
          <cell r="DK27">
            <v>256052.77738928021</v>
          </cell>
        </row>
        <row r="28">
          <cell r="A28" t="str">
            <v>Customer "Bulk Up" Program</v>
          </cell>
          <cell r="C28">
            <v>1299816.3763699445</v>
          </cell>
          <cell r="D28">
            <v>230446.80294436534</v>
          </cell>
          <cell r="E28">
            <v>420799.16840745439</v>
          </cell>
          <cell r="F28">
            <v>295267.68520699395</v>
          </cell>
          <cell r="G28">
            <v>159596.87067493951</v>
          </cell>
          <cell r="H28">
            <v>119735.04438596987</v>
          </cell>
          <cell r="I28">
            <v>73970.804750221519</v>
          </cell>
          <cell r="J28">
            <v>0</v>
          </cell>
          <cell r="K28">
            <v>0</v>
          </cell>
          <cell r="W28">
            <v>1299816.3763699445</v>
          </cell>
          <cell r="X28">
            <v>230446.80294436534</v>
          </cell>
          <cell r="Y28">
            <v>238247.64251265046</v>
          </cell>
          <cell r="Z28">
            <v>182551.52589480393</v>
          </cell>
          <cell r="AA28">
            <v>226323.50244485252</v>
          </cell>
          <cell r="AB28">
            <v>68944.182762141441</v>
          </cell>
          <cell r="AC28">
            <v>159596.87067493951</v>
          </cell>
          <cell r="AD28">
            <v>119735.04438596987</v>
          </cell>
          <cell r="AE28">
            <v>73970.804750221519</v>
          </cell>
          <cell r="CI28">
            <v>1299816.3763699445</v>
          </cell>
          <cell r="CJ28">
            <v>230446.80294436534</v>
          </cell>
          <cell r="CK28">
            <v>420799.16840745439</v>
          </cell>
          <cell r="CL28">
            <v>295267.68520699395</v>
          </cell>
          <cell r="CM28">
            <v>159596.87067493951</v>
          </cell>
          <cell r="CN28">
            <v>119735.04438596987</v>
          </cell>
          <cell r="CO28">
            <v>73970.804750221519</v>
          </cell>
          <cell r="CP28">
            <v>0</v>
          </cell>
          <cell r="CQ28">
            <v>0</v>
          </cell>
          <cell r="DC28">
            <v>1299816.3763699445</v>
          </cell>
          <cell r="DD28">
            <v>230446.80294436534</v>
          </cell>
          <cell r="DE28">
            <v>238247.64251265046</v>
          </cell>
          <cell r="DF28">
            <v>182551.52589480393</v>
          </cell>
          <cell r="DG28">
            <v>226323.50244485252</v>
          </cell>
          <cell r="DH28">
            <v>68944.182762141441</v>
          </cell>
          <cell r="DI28">
            <v>159596.87067493951</v>
          </cell>
          <cell r="DJ28">
            <v>119735.04438596987</v>
          </cell>
          <cell r="DK28">
            <v>73970.804750221519</v>
          </cell>
        </row>
        <row r="29">
          <cell r="A29" t="str">
            <v>Financing</v>
          </cell>
          <cell r="C29">
            <v>849879.95295338344</v>
          </cell>
          <cell r="D29">
            <v>150676.75835226808</v>
          </cell>
          <cell r="E29">
            <v>275137.92251772998</v>
          </cell>
          <cell r="F29">
            <v>193059.64363458141</v>
          </cell>
          <cell r="G29">
            <v>104351.80184414019</v>
          </cell>
          <cell r="H29">
            <v>78288.299593370451</v>
          </cell>
          <cell r="I29">
            <v>48365.527011293474</v>
          </cell>
          <cell r="J29">
            <v>0</v>
          </cell>
          <cell r="K29">
            <v>0</v>
          </cell>
          <cell r="W29">
            <v>849879.95295338356</v>
          </cell>
          <cell r="X29">
            <v>150676.75835226808</v>
          </cell>
          <cell r="Y29">
            <v>155777.30738812991</v>
          </cell>
          <cell r="Z29">
            <v>119360.61512960009</v>
          </cell>
          <cell r="AA29">
            <v>147980.75413332964</v>
          </cell>
          <cell r="AB29">
            <v>45078.889501251768</v>
          </cell>
          <cell r="AC29">
            <v>104351.80184414019</v>
          </cell>
          <cell r="AD29">
            <v>78288.299593370451</v>
          </cell>
          <cell r="AE29">
            <v>48365.527011293474</v>
          </cell>
          <cell r="CI29">
            <v>849879.95295338344</v>
          </cell>
          <cell r="CJ29">
            <v>150676.75835226808</v>
          </cell>
          <cell r="CK29">
            <v>275137.92251772998</v>
          </cell>
          <cell r="CL29">
            <v>193059.64363458141</v>
          </cell>
          <cell r="CM29">
            <v>104351.80184414019</v>
          </cell>
          <cell r="CN29">
            <v>78288.299593370451</v>
          </cell>
          <cell r="CO29">
            <v>48365.527011293474</v>
          </cell>
          <cell r="CP29">
            <v>0</v>
          </cell>
          <cell r="CQ29">
            <v>0</v>
          </cell>
          <cell r="DC29">
            <v>849879.95295338356</v>
          </cell>
          <cell r="DD29">
            <v>150676.75835226808</v>
          </cell>
          <cell r="DE29">
            <v>155777.30738812991</v>
          </cell>
          <cell r="DF29">
            <v>119360.61512960009</v>
          </cell>
          <cell r="DG29">
            <v>147980.75413332964</v>
          </cell>
          <cell r="DH29">
            <v>45078.889501251768</v>
          </cell>
          <cell r="DI29">
            <v>104351.80184414019</v>
          </cell>
          <cell r="DJ29">
            <v>78288.299593370451</v>
          </cell>
          <cell r="DK29">
            <v>48365.527011293474</v>
          </cell>
        </row>
        <row r="30">
          <cell r="A30" t="str">
            <v>Farm Manager Program</v>
          </cell>
          <cell r="C30">
            <v>699901.08206471044</v>
          </cell>
          <cell r="D30">
            <v>124086.73230410903</v>
          </cell>
          <cell r="E30">
            <v>226584.15346544626</v>
          </cell>
          <cell r="F30">
            <v>158990.28211374045</v>
          </cell>
          <cell r="G30">
            <v>85936.771154928079</v>
          </cell>
          <cell r="H30">
            <v>64472.712184813361</v>
          </cell>
          <cell r="I30">
            <v>39830.430841673311</v>
          </cell>
          <cell r="J30">
            <v>0</v>
          </cell>
          <cell r="K30">
            <v>0</v>
          </cell>
          <cell r="W30">
            <v>699901.08206471044</v>
          </cell>
          <cell r="X30">
            <v>124086.73230410903</v>
          </cell>
          <cell r="Y30">
            <v>128287.1841172367</v>
          </cell>
          <cell r="Z30">
            <v>98296.969348209575</v>
          </cell>
          <cell r="AA30">
            <v>121866.49371214228</v>
          </cell>
          <cell r="AB30">
            <v>37123.788401598184</v>
          </cell>
          <cell r="AC30">
            <v>85936.771154928079</v>
          </cell>
          <cell r="AD30">
            <v>64472.712184813361</v>
          </cell>
          <cell r="AE30">
            <v>39830.430841673311</v>
          </cell>
          <cell r="CI30">
            <v>699901.08206471044</v>
          </cell>
          <cell r="CJ30">
            <v>124086.73230410903</v>
          </cell>
          <cell r="CK30">
            <v>226584.15346544626</v>
          </cell>
          <cell r="CL30">
            <v>158990.28211374045</v>
          </cell>
          <cell r="CM30">
            <v>85936.771154928079</v>
          </cell>
          <cell r="CN30">
            <v>64472.712184813361</v>
          </cell>
          <cell r="CO30">
            <v>39830.430841673311</v>
          </cell>
          <cell r="CP30">
            <v>0</v>
          </cell>
          <cell r="CQ30">
            <v>0</v>
          </cell>
          <cell r="DC30">
            <v>699901.08206471044</v>
          </cell>
          <cell r="DD30">
            <v>124086.73230410903</v>
          </cell>
          <cell r="DE30">
            <v>128287.1841172367</v>
          </cell>
          <cell r="DF30">
            <v>98296.969348209575</v>
          </cell>
          <cell r="DG30">
            <v>121866.49371214228</v>
          </cell>
          <cell r="DH30">
            <v>37123.788401598184</v>
          </cell>
          <cell r="DI30">
            <v>85936.771154928079</v>
          </cell>
          <cell r="DJ30">
            <v>64472.712184813361</v>
          </cell>
          <cell r="DK30">
            <v>39830.430841673311</v>
          </cell>
        </row>
        <row r="31">
          <cell r="A31" t="str">
            <v>Dryland SecurePlant</v>
          </cell>
          <cell r="C31">
            <v>99985.78775947656</v>
          </cell>
          <cell r="D31">
            <v>17726.661663852854</v>
          </cell>
          <cell r="E31">
            <v>32369.138523438014</v>
          </cell>
          <cell r="F31">
            <v>22712.87902048706</v>
          </cell>
          <cell r="G31">
            <v>12276.671634916716</v>
          </cell>
          <cell r="H31">
            <v>9210.3799836568305</v>
          </cell>
          <cell r="I31">
            <v>5690.0569331250863</v>
          </cell>
          <cell r="J31">
            <v>0</v>
          </cell>
          <cell r="K31">
            <v>0</v>
          </cell>
          <cell r="W31">
            <v>99985.78775947656</v>
          </cell>
          <cell r="X31">
            <v>17726.661663852854</v>
          </cell>
          <cell r="Y31">
            <v>18326.725721822768</v>
          </cell>
          <cell r="Z31">
            <v>14042.412801615248</v>
          </cell>
          <cell r="AA31">
            <v>17409.484979432087</v>
          </cell>
          <cell r="AB31">
            <v>5303.3940410549749</v>
          </cell>
          <cell r="AC31">
            <v>12276.671634916716</v>
          </cell>
          <cell r="AD31">
            <v>9210.3799836568305</v>
          </cell>
          <cell r="AE31">
            <v>5690.0569331250863</v>
          </cell>
          <cell r="CI31">
            <v>99985.78775947656</v>
          </cell>
          <cell r="CJ31">
            <v>17726.661663852854</v>
          </cell>
          <cell r="CK31">
            <v>32369.138523438014</v>
          </cell>
          <cell r="CL31">
            <v>22712.87902048706</v>
          </cell>
          <cell r="CM31">
            <v>12276.671634916716</v>
          </cell>
          <cell r="CN31">
            <v>9210.3799836568305</v>
          </cell>
          <cell r="CO31">
            <v>5690.0569331250863</v>
          </cell>
          <cell r="CP31">
            <v>0</v>
          </cell>
          <cell r="CQ31">
            <v>0</v>
          </cell>
          <cell r="DC31">
            <v>99985.78775947656</v>
          </cell>
          <cell r="DD31">
            <v>17726.661663852854</v>
          </cell>
          <cell r="DE31">
            <v>18326.725721822768</v>
          </cell>
          <cell r="DF31">
            <v>14042.412801615248</v>
          </cell>
          <cell r="DG31">
            <v>17409.484979432087</v>
          </cell>
          <cell r="DH31">
            <v>5303.3940410549749</v>
          </cell>
          <cell r="DI31">
            <v>12276.671634916716</v>
          </cell>
          <cell r="DJ31">
            <v>9210.3799836568305</v>
          </cell>
          <cell r="DK31">
            <v>5690.0569331250863</v>
          </cell>
        </row>
        <row r="33">
          <cell r="A33" t="str">
            <v>Grower Discounts - Corn (NK)</v>
          </cell>
          <cell r="C33">
            <v>79761105.109029308</v>
          </cell>
          <cell r="D33">
            <v>13166086.476017548</v>
          </cell>
          <cell r="E33">
            <v>7710483.3360109869</v>
          </cell>
          <cell r="F33">
            <v>18654460.880844723</v>
          </cell>
          <cell r="G33">
            <v>7592564.9622179959</v>
          </cell>
          <cell r="H33">
            <v>4226822.6130512627</v>
          </cell>
          <cell r="I33">
            <v>7015430.5507453317</v>
          </cell>
          <cell r="J33">
            <v>8151473.191958122</v>
          </cell>
          <cell r="K33">
            <v>13243783.098183339</v>
          </cell>
          <cell r="AG33">
            <v>79761105.109029308</v>
          </cell>
          <cell r="AH33">
            <v>7603123.6498410124</v>
          </cell>
          <cell r="AI33">
            <v>5562962.8261765353</v>
          </cell>
          <cell r="AJ33">
            <v>7710483.3360109869</v>
          </cell>
          <cell r="AK33">
            <v>18654460.880844723</v>
          </cell>
          <cell r="AL33">
            <v>7592564.9622179959</v>
          </cell>
          <cell r="AM33">
            <v>4226822.6130512627</v>
          </cell>
          <cell r="AN33">
            <v>7015430.5507453317</v>
          </cell>
          <cell r="AO33">
            <v>8151473.191958122</v>
          </cell>
          <cell r="AP33">
            <v>13243783.098183339</v>
          </cell>
          <cell r="CI33">
            <v>79761105.109029308</v>
          </cell>
          <cell r="CJ33">
            <v>13166086.476017548</v>
          </cell>
          <cell r="CK33">
            <v>7710483.3360109869</v>
          </cell>
          <cell r="CL33">
            <v>18654460.880844723</v>
          </cell>
          <cell r="CM33">
            <v>7592564.9622179959</v>
          </cell>
          <cell r="CN33">
            <v>4226822.6130512627</v>
          </cell>
          <cell r="CO33">
            <v>7015430.5507453317</v>
          </cell>
          <cell r="CP33">
            <v>8151473.191958122</v>
          </cell>
          <cell r="CQ33">
            <v>13243783.098183339</v>
          </cell>
          <cell r="DM33">
            <v>79761105.109029308</v>
          </cell>
          <cell r="DN33">
            <v>7603123.6498410124</v>
          </cell>
          <cell r="DO33">
            <v>5562962.8261765353</v>
          </cell>
          <cell r="DP33">
            <v>7710483.3360109869</v>
          </cell>
          <cell r="DQ33">
            <v>18654460.880844723</v>
          </cell>
          <cell r="DR33">
            <v>7592564.9622179959</v>
          </cell>
          <cell r="DS33">
            <v>4226822.6130512627</v>
          </cell>
          <cell r="DT33">
            <v>7015430.5507453317</v>
          </cell>
          <cell r="DU33">
            <v>8151473.191958122</v>
          </cell>
          <cell r="DV33">
            <v>13243783.098183339</v>
          </cell>
        </row>
        <row r="34">
          <cell r="A34" t="str">
            <v>Volume (kept by Grower)</v>
          </cell>
          <cell r="C34">
            <v>26386806.028933436</v>
          </cell>
          <cell r="D34">
            <v>4225039.6976217376</v>
          </cell>
          <cell r="E34">
            <v>2392134.6801595776</v>
          </cell>
          <cell r="F34">
            <v>5793154.0511942636</v>
          </cell>
          <cell r="G34">
            <v>2462475.3725598077</v>
          </cell>
          <cell r="H34">
            <v>1333049.4408849045</v>
          </cell>
          <cell r="I34">
            <v>2320457.4767713519</v>
          </cell>
          <cell r="J34">
            <v>2817366.9141962267</v>
          </cell>
          <cell r="K34">
            <v>5043128.3955455655</v>
          </cell>
          <cell r="AG34">
            <v>26386806.028933436</v>
          </cell>
          <cell r="AH34">
            <v>2287228.1424665242</v>
          </cell>
          <cell r="AI34">
            <v>1937811.5551552132</v>
          </cell>
          <cell r="AJ34">
            <v>2392134.6801595776</v>
          </cell>
          <cell r="AK34">
            <v>5793154.0511942636</v>
          </cell>
          <cell r="AL34">
            <v>2462475.3725598077</v>
          </cell>
          <cell r="AM34">
            <v>1333049.4408849045</v>
          </cell>
          <cell r="AN34">
            <v>2320457.4767713519</v>
          </cell>
          <cell r="AO34">
            <v>2817366.9141962267</v>
          </cell>
          <cell r="AP34">
            <v>5043128.3955455655</v>
          </cell>
          <cell r="CI34">
            <v>26386806.028933436</v>
          </cell>
          <cell r="CJ34">
            <v>4225039.6976217376</v>
          </cell>
          <cell r="CK34">
            <v>2392134.6801595776</v>
          </cell>
          <cell r="CL34">
            <v>5793154.0511942636</v>
          </cell>
          <cell r="CM34">
            <v>2462475.3725598077</v>
          </cell>
          <cell r="CN34">
            <v>1333049.4408849045</v>
          </cell>
          <cell r="CO34">
            <v>2320457.4767713519</v>
          </cell>
          <cell r="CP34">
            <v>2817366.9141962267</v>
          </cell>
          <cell r="CQ34">
            <v>5043128.3955455655</v>
          </cell>
          <cell r="DM34">
            <v>26386806.028933436</v>
          </cell>
          <cell r="DN34">
            <v>2287228.1424665242</v>
          </cell>
          <cell r="DO34">
            <v>1937811.5551552132</v>
          </cell>
          <cell r="DP34">
            <v>2392134.6801595776</v>
          </cell>
          <cell r="DQ34">
            <v>5793154.0511942636</v>
          </cell>
          <cell r="DR34">
            <v>2462475.3725598077</v>
          </cell>
          <cell r="DS34">
            <v>1333049.4408849045</v>
          </cell>
          <cell r="DT34">
            <v>2320457.4767713519</v>
          </cell>
          <cell r="DU34">
            <v>2817366.9141962267</v>
          </cell>
          <cell r="DV34">
            <v>5043128.3955455655</v>
          </cell>
        </row>
        <row r="35">
          <cell r="A35" t="str">
            <v>Early Pay Cash</v>
          </cell>
          <cell r="C35">
            <v>14881419.788789317</v>
          </cell>
          <cell r="D35">
            <v>2382804.0913957469</v>
          </cell>
          <cell r="E35">
            <v>1349096.9815650261</v>
          </cell>
          <cell r="F35">
            <v>3267176.680740241</v>
          </cell>
          <cell r="G35">
            <v>1388767.1625901239</v>
          </cell>
          <cell r="H35">
            <v>751802.56023661688</v>
          </cell>
          <cell r="I35">
            <v>1308673.045764043</v>
          </cell>
          <cell r="J35">
            <v>1588916.0553659748</v>
          </cell>
          <cell r="K35">
            <v>2844183.2111315457</v>
          </cell>
          <cell r="AG35">
            <v>14881419.788789317</v>
          </cell>
          <cell r="AH35">
            <v>1289932.6316135034</v>
          </cell>
          <cell r="AI35">
            <v>1092871.4597822435</v>
          </cell>
          <cell r="AJ35">
            <v>1349096.9815650261</v>
          </cell>
          <cell r="AK35">
            <v>3267176.680740241</v>
          </cell>
          <cell r="AL35">
            <v>1388767.1625901239</v>
          </cell>
          <cell r="AM35">
            <v>751802.56023661688</v>
          </cell>
          <cell r="AN35">
            <v>1308673.045764043</v>
          </cell>
          <cell r="AO35">
            <v>1588916.0553659748</v>
          </cell>
          <cell r="AP35">
            <v>2844183.2111315457</v>
          </cell>
          <cell r="CI35">
            <v>14881419.788789317</v>
          </cell>
          <cell r="CJ35">
            <v>2382804.0913957469</v>
          </cell>
          <cell r="CK35">
            <v>1349096.9815650261</v>
          </cell>
          <cell r="CL35">
            <v>3267176.680740241</v>
          </cell>
          <cell r="CM35">
            <v>1388767.1625901239</v>
          </cell>
          <cell r="CN35">
            <v>751802.56023661688</v>
          </cell>
          <cell r="CO35">
            <v>1308673.045764043</v>
          </cell>
          <cell r="CP35">
            <v>1588916.0553659748</v>
          </cell>
          <cell r="CQ35">
            <v>2844183.2111315457</v>
          </cell>
          <cell r="DM35">
            <v>14881419.788789317</v>
          </cell>
          <cell r="DN35">
            <v>1289932.6316135034</v>
          </cell>
          <cell r="DO35">
            <v>1092871.4597822435</v>
          </cell>
          <cell r="DP35">
            <v>1349096.9815650261</v>
          </cell>
          <cell r="DQ35">
            <v>3267176.680740241</v>
          </cell>
          <cell r="DR35">
            <v>1388767.1625901239</v>
          </cell>
          <cell r="DS35">
            <v>751802.56023661688</v>
          </cell>
          <cell r="DT35">
            <v>1308673.045764043</v>
          </cell>
          <cell r="DU35">
            <v>1588916.0553659748</v>
          </cell>
          <cell r="DV35">
            <v>2844183.2111315457</v>
          </cell>
        </row>
        <row r="36">
          <cell r="A36" t="str">
            <v>Placement Seed</v>
          </cell>
          <cell r="C36">
            <v>8437862.0883516278</v>
          </cell>
          <cell r="D36">
            <v>1351065.46230916</v>
          </cell>
          <cell r="E36">
            <v>764946.7883993655</v>
          </cell>
          <cell r="F36">
            <v>1852510.4890282378</v>
          </cell>
          <cell r="G36">
            <v>787440.03980014124</v>
          </cell>
          <cell r="H36">
            <v>426276.95549083932</v>
          </cell>
          <cell r="I36">
            <v>742026.15312409145</v>
          </cell>
          <cell r="J36">
            <v>900925.76752963848</v>
          </cell>
          <cell r="K36">
            <v>1612670.4326701541</v>
          </cell>
          <cell r="AG36">
            <v>8437862.0883516278</v>
          </cell>
          <cell r="AH36">
            <v>731400.21606128779</v>
          </cell>
          <cell r="AI36">
            <v>619665.24624787224</v>
          </cell>
          <cell r="AJ36">
            <v>764946.7883993655</v>
          </cell>
          <cell r="AK36">
            <v>1852510.4890282378</v>
          </cell>
          <cell r="AL36">
            <v>787440.03980014124</v>
          </cell>
          <cell r="AM36">
            <v>426276.95549083932</v>
          </cell>
          <cell r="AN36">
            <v>742026.15312409145</v>
          </cell>
          <cell r="AO36">
            <v>900925.76752963848</v>
          </cell>
          <cell r="AP36">
            <v>1612670.4326701541</v>
          </cell>
          <cell r="CI36">
            <v>8437862.0883516278</v>
          </cell>
          <cell r="CJ36">
            <v>1351065.46230916</v>
          </cell>
          <cell r="CK36">
            <v>764946.7883993655</v>
          </cell>
          <cell r="CL36">
            <v>1852510.4890282378</v>
          </cell>
          <cell r="CM36">
            <v>787440.03980014124</v>
          </cell>
          <cell r="CN36">
            <v>426276.95549083932</v>
          </cell>
          <cell r="CO36">
            <v>742026.15312409145</v>
          </cell>
          <cell r="CP36">
            <v>900925.76752963848</v>
          </cell>
          <cell r="CQ36">
            <v>1612670.4326701541</v>
          </cell>
          <cell r="DM36">
            <v>8437862.0883516278</v>
          </cell>
          <cell r="DN36">
            <v>731400.21606128779</v>
          </cell>
          <cell r="DO36">
            <v>619665.24624787224</v>
          </cell>
          <cell r="DP36">
            <v>764946.7883993655</v>
          </cell>
          <cell r="DQ36">
            <v>1852510.4890282378</v>
          </cell>
          <cell r="DR36">
            <v>787440.03980014124</v>
          </cell>
          <cell r="DS36">
            <v>426276.95549083932</v>
          </cell>
          <cell r="DT36">
            <v>742026.15312409145</v>
          </cell>
          <cell r="DU36">
            <v>900925.76752963848</v>
          </cell>
          <cell r="DV36">
            <v>1612670.4326701541</v>
          </cell>
        </row>
        <row r="37">
          <cell r="A37" t="str">
            <v>GT Discount</v>
          </cell>
          <cell r="C37">
            <v>8304222</v>
          </cell>
          <cell r="D37">
            <v>2094840</v>
          </cell>
          <cell r="E37">
            <v>531888</v>
          </cell>
          <cell r="F37">
            <v>2388576</v>
          </cell>
          <cell r="G37">
            <v>845760</v>
          </cell>
          <cell r="H37">
            <v>380520</v>
          </cell>
          <cell r="I37">
            <v>806832</v>
          </cell>
          <cell r="J37">
            <v>781440</v>
          </cell>
          <cell r="K37">
            <v>474366</v>
          </cell>
          <cell r="AG37">
            <v>8304222</v>
          </cell>
          <cell r="AH37">
            <v>1321536</v>
          </cell>
          <cell r="AI37">
            <v>773304</v>
          </cell>
          <cell r="AJ37">
            <v>531888</v>
          </cell>
          <cell r="AK37">
            <v>2388576</v>
          </cell>
          <cell r="AL37">
            <v>845760</v>
          </cell>
          <cell r="AM37">
            <v>380520</v>
          </cell>
          <cell r="AN37">
            <v>806832</v>
          </cell>
          <cell r="AO37">
            <v>781440</v>
          </cell>
          <cell r="AP37">
            <v>474366</v>
          </cell>
          <cell r="CI37">
            <v>8304222</v>
          </cell>
          <cell r="CJ37">
            <v>2094840</v>
          </cell>
          <cell r="CK37">
            <v>531888</v>
          </cell>
          <cell r="CL37">
            <v>2388576</v>
          </cell>
          <cell r="CM37">
            <v>845760</v>
          </cell>
          <cell r="CN37">
            <v>380520</v>
          </cell>
          <cell r="CO37">
            <v>806832</v>
          </cell>
          <cell r="CP37">
            <v>781440</v>
          </cell>
          <cell r="CQ37">
            <v>474366</v>
          </cell>
          <cell r="DM37">
            <v>8304222</v>
          </cell>
          <cell r="DN37">
            <v>1321536</v>
          </cell>
          <cell r="DO37">
            <v>773304</v>
          </cell>
          <cell r="DP37">
            <v>531888</v>
          </cell>
          <cell r="DQ37">
            <v>2388576</v>
          </cell>
          <cell r="DR37">
            <v>845760</v>
          </cell>
          <cell r="DS37">
            <v>380520</v>
          </cell>
          <cell r="DT37">
            <v>806832</v>
          </cell>
          <cell r="DU37">
            <v>781440</v>
          </cell>
          <cell r="DV37">
            <v>474366</v>
          </cell>
        </row>
        <row r="38">
          <cell r="A38" t="str">
            <v>Trait Upgrade</v>
          </cell>
          <cell r="C38">
            <v>6961241</v>
          </cell>
          <cell r="D38">
            <v>1061656</v>
          </cell>
          <cell r="E38">
            <v>895978</v>
          </cell>
          <cell r="F38">
            <v>2669494</v>
          </cell>
          <cell r="G38">
            <v>586806</v>
          </cell>
          <cell r="H38">
            <v>559868</v>
          </cell>
          <cell r="I38">
            <v>401536</v>
          </cell>
          <cell r="J38">
            <v>293066</v>
          </cell>
          <cell r="K38">
            <v>492837</v>
          </cell>
          <cell r="AG38">
            <v>6961241</v>
          </cell>
          <cell r="AH38">
            <v>842926</v>
          </cell>
          <cell r="AI38">
            <v>218730</v>
          </cell>
          <cell r="AJ38">
            <v>895978</v>
          </cell>
          <cell r="AK38">
            <v>2669494</v>
          </cell>
          <cell r="AL38">
            <v>586806</v>
          </cell>
          <cell r="AM38">
            <v>559868</v>
          </cell>
          <cell r="AN38">
            <v>401536</v>
          </cell>
          <cell r="AO38">
            <v>293066</v>
          </cell>
          <cell r="AP38">
            <v>492837</v>
          </cell>
          <cell r="CI38">
            <v>6961241</v>
          </cell>
          <cell r="CJ38">
            <v>1061656</v>
          </cell>
          <cell r="CK38">
            <v>895978</v>
          </cell>
          <cell r="CL38">
            <v>2669494</v>
          </cell>
          <cell r="CM38">
            <v>586806</v>
          </cell>
          <cell r="CN38">
            <v>559868</v>
          </cell>
          <cell r="CO38">
            <v>401536</v>
          </cell>
          <cell r="CP38">
            <v>293066</v>
          </cell>
          <cell r="CQ38">
            <v>492837</v>
          </cell>
          <cell r="DM38">
            <v>6961241</v>
          </cell>
          <cell r="DN38">
            <v>842926</v>
          </cell>
          <cell r="DO38">
            <v>218730</v>
          </cell>
          <cell r="DP38">
            <v>895978</v>
          </cell>
          <cell r="DQ38">
            <v>2669494</v>
          </cell>
          <cell r="DR38">
            <v>586806</v>
          </cell>
          <cell r="DS38">
            <v>559868</v>
          </cell>
          <cell r="DT38">
            <v>401536</v>
          </cell>
          <cell r="DU38">
            <v>293066</v>
          </cell>
          <cell r="DV38">
            <v>492837</v>
          </cell>
        </row>
        <row r="39">
          <cell r="A39" t="str">
            <v>Refuge</v>
          </cell>
          <cell r="C39">
            <v>5796408</v>
          </cell>
          <cell r="D39">
            <v>610704</v>
          </cell>
          <cell r="E39">
            <v>961152</v>
          </cell>
          <cell r="F39">
            <v>709128</v>
          </cell>
          <cell r="G39">
            <v>682056</v>
          </cell>
          <cell r="H39">
            <v>320976</v>
          </cell>
          <cell r="I39">
            <v>645048</v>
          </cell>
          <cell r="J39">
            <v>809544</v>
          </cell>
          <cell r="K39">
            <v>1057800</v>
          </cell>
          <cell r="AG39">
            <v>5796408</v>
          </cell>
          <cell r="AH39">
            <v>350568</v>
          </cell>
          <cell r="AI39">
            <v>260136</v>
          </cell>
          <cell r="AJ39">
            <v>961152</v>
          </cell>
          <cell r="AK39">
            <v>709128</v>
          </cell>
          <cell r="AL39">
            <v>682056</v>
          </cell>
          <cell r="AM39">
            <v>320976</v>
          </cell>
          <cell r="AN39">
            <v>645048</v>
          </cell>
          <cell r="AO39">
            <v>809544</v>
          </cell>
          <cell r="AP39">
            <v>1057800</v>
          </cell>
          <cell r="CI39">
            <v>5796408</v>
          </cell>
          <cell r="CJ39">
            <v>610704</v>
          </cell>
          <cell r="CK39">
            <v>961152</v>
          </cell>
          <cell r="CL39">
            <v>709128</v>
          </cell>
          <cell r="CM39">
            <v>682056</v>
          </cell>
          <cell r="CN39">
            <v>320976</v>
          </cell>
          <cell r="CO39">
            <v>645048</v>
          </cell>
          <cell r="CP39">
            <v>809544</v>
          </cell>
          <cell r="CQ39">
            <v>1057800</v>
          </cell>
          <cell r="DM39">
            <v>5796408</v>
          </cell>
          <cell r="DN39">
            <v>350568</v>
          </cell>
          <cell r="DO39">
            <v>260136</v>
          </cell>
          <cell r="DP39">
            <v>961152</v>
          </cell>
          <cell r="DQ39">
            <v>709128</v>
          </cell>
          <cell r="DR39">
            <v>682056</v>
          </cell>
          <cell r="DS39">
            <v>320976</v>
          </cell>
          <cell r="DT39">
            <v>645048</v>
          </cell>
          <cell r="DU39">
            <v>809544</v>
          </cell>
          <cell r="DV39">
            <v>1057800</v>
          </cell>
        </row>
        <row r="40">
          <cell r="A40" t="str">
            <v>AgriEdge</v>
          </cell>
          <cell r="C40">
            <v>5693564.1621805858</v>
          </cell>
          <cell r="D40">
            <v>911650.10952035082</v>
          </cell>
          <cell r="E40">
            <v>516158.42672021972</v>
          </cell>
          <cell r="F40">
            <v>1250007.0776168946</v>
          </cell>
          <cell r="G40">
            <v>531336.05924435961</v>
          </cell>
          <cell r="H40">
            <v>287636.27226102527</v>
          </cell>
          <cell r="I40">
            <v>500692.41101490665</v>
          </cell>
          <cell r="J40">
            <v>607912.12383916206</v>
          </cell>
          <cell r="K40">
            <v>1088171.6819636673</v>
          </cell>
          <cell r="AG40">
            <v>5693564.1621805858</v>
          </cell>
          <cell r="AH40">
            <v>493522.41299682023</v>
          </cell>
          <cell r="AI40">
            <v>418127.69652353064</v>
          </cell>
          <cell r="AJ40">
            <v>516158.42672021972</v>
          </cell>
          <cell r="AK40">
            <v>1250007.0776168946</v>
          </cell>
          <cell r="AL40">
            <v>531336.05924435961</v>
          </cell>
          <cell r="AM40">
            <v>287636.27226102527</v>
          </cell>
          <cell r="AN40">
            <v>500692.41101490665</v>
          </cell>
          <cell r="AO40">
            <v>607912.12383916206</v>
          </cell>
          <cell r="AP40">
            <v>1088171.6819636673</v>
          </cell>
          <cell r="CI40">
            <v>5693564.1621805858</v>
          </cell>
          <cell r="CJ40">
            <v>911650.10952035082</v>
          </cell>
          <cell r="CK40">
            <v>516158.42672021972</v>
          </cell>
          <cell r="CL40">
            <v>1250007.0776168946</v>
          </cell>
          <cell r="CM40">
            <v>531336.05924435961</v>
          </cell>
          <cell r="CN40">
            <v>287636.27226102527</v>
          </cell>
          <cell r="CO40">
            <v>500692.41101490665</v>
          </cell>
          <cell r="CP40">
            <v>607912.12383916206</v>
          </cell>
          <cell r="CQ40">
            <v>1088171.6819636673</v>
          </cell>
          <cell r="DM40">
            <v>5693564.1621805858</v>
          </cell>
          <cell r="DN40">
            <v>493522.41299682023</v>
          </cell>
          <cell r="DO40">
            <v>418127.69652353064</v>
          </cell>
          <cell r="DP40">
            <v>516158.42672021972</v>
          </cell>
          <cell r="DQ40">
            <v>1250007.0776168946</v>
          </cell>
          <cell r="DR40">
            <v>531336.05924435961</v>
          </cell>
          <cell r="DS40">
            <v>287636.27226102527</v>
          </cell>
          <cell r="DT40">
            <v>500692.41101490665</v>
          </cell>
          <cell r="DU40">
            <v>607912.12383916206</v>
          </cell>
          <cell r="DV40">
            <v>1088171.6819636673</v>
          </cell>
        </row>
        <row r="41">
          <cell r="A41" t="str">
            <v>Side by Side Material</v>
          </cell>
          <cell r="C41">
            <v>2846782.0810902929</v>
          </cell>
          <cell r="D41">
            <v>455825.05476017541</v>
          </cell>
          <cell r="E41">
            <v>258079.21336010986</v>
          </cell>
          <cell r="F41">
            <v>625003.53880844731</v>
          </cell>
          <cell r="G41">
            <v>265668.02962217981</v>
          </cell>
          <cell r="H41">
            <v>143818.13613051263</v>
          </cell>
          <cell r="I41">
            <v>250346.20550745333</v>
          </cell>
          <cell r="J41">
            <v>303956.06191958103</v>
          </cell>
          <cell r="K41">
            <v>544085.84098183364</v>
          </cell>
          <cell r="AG41">
            <v>2846782.0810902929</v>
          </cell>
          <cell r="AH41">
            <v>246761.20649841012</v>
          </cell>
          <cell r="AI41">
            <v>209063.84826176532</v>
          </cell>
          <cell r="AJ41">
            <v>258079.21336010986</v>
          </cell>
          <cell r="AK41">
            <v>625003.53880844731</v>
          </cell>
          <cell r="AL41">
            <v>265668.02962217981</v>
          </cell>
          <cell r="AM41">
            <v>143818.13613051263</v>
          </cell>
          <cell r="AN41">
            <v>250346.20550745333</v>
          </cell>
          <cell r="AO41">
            <v>303956.06191958103</v>
          </cell>
          <cell r="AP41">
            <v>544085.84098183364</v>
          </cell>
          <cell r="CI41">
            <v>2846782.0810902929</v>
          </cell>
          <cell r="CJ41">
            <v>455825.05476017541</v>
          </cell>
          <cell r="CK41">
            <v>258079.21336010986</v>
          </cell>
          <cell r="CL41">
            <v>625003.53880844731</v>
          </cell>
          <cell r="CM41">
            <v>265668.02962217981</v>
          </cell>
          <cell r="CN41">
            <v>143818.13613051263</v>
          </cell>
          <cell r="CO41">
            <v>250346.20550745333</v>
          </cell>
          <cell r="CP41">
            <v>303956.06191958103</v>
          </cell>
          <cell r="CQ41">
            <v>544085.84098183364</v>
          </cell>
          <cell r="DM41">
            <v>2846782.0810902929</v>
          </cell>
          <cell r="DN41">
            <v>246761.20649841012</v>
          </cell>
          <cell r="DO41">
            <v>209063.84826176532</v>
          </cell>
          <cell r="DP41">
            <v>258079.21336010986</v>
          </cell>
          <cell r="DQ41">
            <v>625003.53880844731</v>
          </cell>
          <cell r="DR41">
            <v>265668.02962217981</v>
          </cell>
          <cell r="DS41">
            <v>143818.13613051263</v>
          </cell>
          <cell r="DT41">
            <v>250346.20550745333</v>
          </cell>
          <cell r="DU41">
            <v>303956.06191958103</v>
          </cell>
          <cell r="DV41">
            <v>544085.84098183364</v>
          </cell>
        </row>
        <row r="42">
          <cell r="A42" t="str">
            <v>Excelsior</v>
          </cell>
          <cell r="C42">
            <v>452799.95968404796</v>
          </cell>
          <cell r="D42">
            <v>72502.060410376725</v>
          </cell>
          <cell r="E42">
            <v>41049.24580668741</v>
          </cell>
          <cell r="F42">
            <v>99411.043456640386</v>
          </cell>
          <cell r="G42">
            <v>42256.298401383719</v>
          </cell>
          <cell r="H42">
            <v>22875.248047363824</v>
          </cell>
          <cell r="I42">
            <v>39819.258563484611</v>
          </cell>
          <cell r="J42">
            <v>48346.269107537999</v>
          </cell>
          <cell r="K42">
            <v>86540.53589057333</v>
          </cell>
          <cell r="AG42">
            <v>452799.95968404796</v>
          </cell>
          <cell r="AH42">
            <v>39249.040204466291</v>
          </cell>
          <cell r="AI42">
            <v>33253.020205910434</v>
          </cell>
          <cell r="AJ42">
            <v>41049.24580668741</v>
          </cell>
          <cell r="AK42">
            <v>99411.043456640386</v>
          </cell>
          <cell r="AL42">
            <v>42256.298401383719</v>
          </cell>
          <cell r="AM42">
            <v>22875.248047363824</v>
          </cell>
          <cell r="AN42">
            <v>39819.258563484611</v>
          </cell>
          <cell r="AO42">
            <v>48346.269107537999</v>
          </cell>
          <cell r="AP42">
            <v>86540.53589057333</v>
          </cell>
          <cell r="CI42">
            <v>452799.95968404796</v>
          </cell>
          <cell r="CJ42">
            <v>72502.060410376725</v>
          </cell>
          <cell r="CK42">
            <v>41049.24580668741</v>
          </cell>
          <cell r="CL42">
            <v>99411.043456640386</v>
          </cell>
          <cell r="CM42">
            <v>42256.298401383719</v>
          </cell>
          <cell r="CN42">
            <v>22875.248047363824</v>
          </cell>
          <cell r="CO42">
            <v>39819.258563484611</v>
          </cell>
          <cell r="CP42">
            <v>48346.269107537999</v>
          </cell>
          <cell r="CQ42">
            <v>86540.53589057333</v>
          </cell>
          <cell r="DM42">
            <v>452799.95968404796</v>
          </cell>
          <cell r="DN42">
            <v>39249.040204466291</v>
          </cell>
          <cell r="DO42">
            <v>33253.020205910434</v>
          </cell>
          <cell r="DP42">
            <v>41049.24580668741</v>
          </cell>
          <cell r="DQ42">
            <v>99411.043456640386</v>
          </cell>
          <cell r="DR42">
            <v>42256.298401383719</v>
          </cell>
          <cell r="DS42">
            <v>22875.248047363824</v>
          </cell>
          <cell r="DT42">
            <v>39819.258563484611</v>
          </cell>
          <cell r="DU42">
            <v>48346.269107537999</v>
          </cell>
          <cell r="DV42">
            <v>86540.53589057333</v>
          </cell>
        </row>
        <row r="45">
          <cell r="A45" t="str">
            <v>TOTAL GROWER DISCOUNT - Soybeans</v>
          </cell>
          <cell r="AS45">
            <v>149005185.91122225</v>
          </cell>
          <cell r="AT45">
            <v>29360301.561448261</v>
          </cell>
          <cell r="AU45">
            <v>22479368.102462739</v>
          </cell>
          <cell r="AV45">
            <v>27193608.652109694</v>
          </cell>
          <cell r="AW45">
            <v>12531198.915122166</v>
          </cell>
          <cell r="AX45">
            <v>12731039.48444479</v>
          </cell>
          <cell r="AY45">
            <v>17207936.20392029</v>
          </cell>
          <cell r="AZ45">
            <v>6295712.0641216673</v>
          </cell>
          <cell r="BA45">
            <v>21206020.927592661</v>
          </cell>
          <cell r="BC45">
            <v>35668568.620244995</v>
          </cell>
          <cell r="BD45">
            <v>9095853.7603799999</v>
          </cell>
          <cell r="BE45">
            <v>3045133.7458650004</v>
          </cell>
          <cell r="BF45">
            <v>2742429.5170499999</v>
          </cell>
          <cell r="BG45">
            <v>3994640.3662650003</v>
          </cell>
          <cell r="BH45">
            <v>5513191.8532499988</v>
          </cell>
          <cell r="BI45">
            <v>2255118.8090849998</v>
          </cell>
          <cell r="BJ45">
            <v>4629490.8572999993</v>
          </cell>
          <cell r="BK45">
            <v>4392709.71105</v>
          </cell>
          <cell r="BM45">
            <v>26012416.29586507</v>
          </cell>
          <cell r="BN45">
            <v>5668370.5985332243</v>
          </cell>
          <cell r="BO45">
            <v>4324979.0766736101</v>
          </cell>
          <cell r="BP45">
            <v>3900981.2220551004</v>
          </cell>
          <cell r="BQ45">
            <v>3009960.1675458741</v>
          </cell>
          <cell r="BR45">
            <v>2194775.9849230996</v>
          </cell>
          <cell r="BS45">
            <v>2208915.0999349249</v>
          </cell>
          <cell r="BT45">
            <v>2427281.8115125499</v>
          </cell>
          <cell r="BU45">
            <v>2277152.3346866895</v>
          </cell>
          <cell r="BW45">
            <v>87324200.995112196</v>
          </cell>
          <cell r="BX45">
            <v>5343255.0442293556</v>
          </cell>
          <cell r="BY45">
            <v>9252822.1583056822</v>
          </cell>
          <cell r="BZ45">
            <v>8465844.5408190284</v>
          </cell>
          <cell r="CA45">
            <v>12481040.28012572</v>
          </cell>
          <cell r="CB45">
            <v>8067165.0061022406</v>
          </cell>
          <cell r="CC45">
            <v>5674266.8156322399</v>
          </cell>
          <cell r="CD45">
            <v>10538074.158183601</v>
          </cell>
          <cell r="CE45">
            <v>6295712.0641216673</v>
          </cell>
          <cell r="CF45">
            <v>21206020.927592661</v>
          </cell>
          <cell r="CI45">
            <v>149005185.91122225</v>
          </cell>
          <cell r="CJ45">
            <v>29360301.561448261</v>
          </cell>
          <cell r="CK45">
            <v>22479368.102462739</v>
          </cell>
          <cell r="CL45">
            <v>27193608.652109694</v>
          </cell>
          <cell r="CM45">
            <v>12531198.915122166</v>
          </cell>
          <cell r="CN45">
            <v>12731039.48444479</v>
          </cell>
          <cell r="CO45">
            <v>17207936.20392029</v>
          </cell>
          <cell r="CP45">
            <v>6295712.0641216673</v>
          </cell>
          <cell r="CQ45">
            <v>21206020.927592661</v>
          </cell>
          <cell r="CS45">
            <v>35668568.620244995</v>
          </cell>
          <cell r="CT45">
            <v>9095853.7603799999</v>
          </cell>
          <cell r="CU45">
            <v>3045133.7458650004</v>
          </cell>
          <cell r="CV45">
            <v>2742429.5170499999</v>
          </cell>
          <cell r="CW45">
            <v>3994640.3662650003</v>
          </cell>
          <cell r="CX45">
            <v>5513191.8532499988</v>
          </cell>
          <cell r="CY45">
            <v>2255118.8090849998</v>
          </cell>
          <cell r="CZ45">
            <v>4629490.8572999993</v>
          </cell>
          <cell r="DA45">
            <v>4392709.71105</v>
          </cell>
          <cell r="DC45">
            <v>26012416.29586507</v>
          </cell>
          <cell r="DD45">
            <v>5668370.5985332243</v>
          </cell>
          <cell r="DE45">
            <v>4324979.0766736101</v>
          </cell>
          <cell r="DF45">
            <v>3900981.2220551004</v>
          </cell>
          <cell r="DG45">
            <v>3009960.1675458741</v>
          </cell>
          <cell r="DH45">
            <v>2194775.9849230996</v>
          </cell>
          <cell r="DI45">
            <v>2208915.0999349249</v>
          </cell>
          <cell r="DJ45">
            <v>2427281.8115125499</v>
          </cell>
          <cell r="DK45">
            <v>2277152.3346866895</v>
          </cell>
          <cell r="DM45">
            <v>87324200.995112196</v>
          </cell>
          <cell r="DN45">
            <v>5343255.0442293556</v>
          </cell>
          <cell r="DO45">
            <v>9252822.1583056822</v>
          </cell>
          <cell r="DP45">
            <v>8465844.5408190284</v>
          </cell>
          <cell r="DQ45">
            <v>12481040.28012572</v>
          </cell>
          <cell r="DR45">
            <v>8067165.0061022406</v>
          </cell>
          <cell r="DS45">
            <v>5674266.8156322399</v>
          </cell>
          <cell r="DT45">
            <v>10538074.158183601</v>
          </cell>
          <cell r="DU45">
            <v>6295712.0641216673</v>
          </cell>
          <cell r="DV45">
            <v>21206020.927592661</v>
          </cell>
        </row>
        <row r="47">
          <cell r="A47" t="str">
            <v>Grower Discounts - Soybeans (Garst)</v>
          </cell>
          <cell r="AS47">
            <v>35668568.620244995</v>
          </cell>
          <cell r="AT47">
            <v>9095853.7603799999</v>
          </cell>
          <cell r="AU47">
            <v>5787563.2629150003</v>
          </cell>
          <cell r="AV47">
            <v>9507832.2195149995</v>
          </cell>
          <cell r="AW47">
            <v>2255118.8090849998</v>
          </cell>
          <cell r="AX47">
            <v>4629490.8572999993</v>
          </cell>
          <cell r="AY47">
            <v>4392709.71105</v>
          </cell>
          <cell r="AZ47">
            <v>0</v>
          </cell>
          <cell r="BA47">
            <v>0</v>
          </cell>
          <cell r="BC47">
            <v>35668568.620244995</v>
          </cell>
          <cell r="BD47">
            <v>9095853.7603799999</v>
          </cell>
          <cell r="BE47">
            <v>3045133.7458650004</v>
          </cell>
          <cell r="BF47">
            <v>2742429.5170499999</v>
          </cell>
          <cell r="BG47">
            <v>3994640.3662650003</v>
          </cell>
          <cell r="BH47">
            <v>5513191.8532499988</v>
          </cell>
          <cell r="BI47">
            <v>2255118.8090849998</v>
          </cell>
          <cell r="BJ47">
            <v>4629490.8572999993</v>
          </cell>
          <cell r="BK47">
            <v>4392709.71105</v>
          </cell>
          <cell r="CI47">
            <v>35668568.620244995</v>
          </cell>
          <cell r="CJ47">
            <v>9095853.7603799999</v>
          </cell>
          <cell r="CK47">
            <v>5787563.2629150003</v>
          </cell>
          <cell r="CL47">
            <v>9507832.2195149995</v>
          </cell>
          <cell r="CM47">
            <v>2255118.8090849998</v>
          </cell>
          <cell r="CN47">
            <v>4629490.8572999993</v>
          </cell>
          <cell r="CO47">
            <v>4392709.71105</v>
          </cell>
          <cell r="CP47">
            <v>0</v>
          </cell>
          <cell r="CQ47">
            <v>0</v>
          </cell>
          <cell r="CS47">
            <v>35668568.620244995</v>
          </cell>
          <cell r="CT47">
            <v>9095853.7603799999</v>
          </cell>
          <cell r="CU47">
            <v>3045133.7458650004</v>
          </cell>
          <cell r="CV47">
            <v>2742429.5170499999</v>
          </cell>
          <cell r="CW47">
            <v>3994640.3662650003</v>
          </cell>
          <cell r="CX47">
            <v>5513191.8532499988</v>
          </cell>
          <cell r="CY47">
            <v>2255118.8090849998</v>
          </cell>
          <cell r="CZ47">
            <v>4629490.8572999993</v>
          </cell>
          <cell r="DA47">
            <v>4392709.71105</v>
          </cell>
        </row>
        <row r="48">
          <cell r="A48" t="str">
            <v>Volume</v>
          </cell>
          <cell r="AS48">
            <v>16535873.371104999</v>
          </cell>
          <cell r="AT48">
            <v>4216818.6670200005</v>
          </cell>
          <cell r="AU48">
            <v>2683102.1525349999</v>
          </cell>
          <cell r="AV48">
            <v>4407811.0139349997</v>
          </cell>
          <cell r="AW48">
            <v>1045468.3354649999</v>
          </cell>
          <cell r="AX48">
            <v>2146222.2217000001</v>
          </cell>
          <cell r="AY48">
            <v>2036450.9804500001</v>
          </cell>
          <cell r="AZ48">
            <v>0</v>
          </cell>
          <cell r="BA48">
            <v>0</v>
          </cell>
          <cell r="BC48">
            <v>16535873.371105</v>
          </cell>
          <cell r="BD48">
            <v>4216818.6670200005</v>
          </cell>
          <cell r="BE48">
            <v>1411717.5980850002</v>
          </cell>
          <cell r="BF48">
            <v>1271384.5544499999</v>
          </cell>
          <cell r="BG48">
            <v>1851906.869685</v>
          </cell>
          <cell r="BH48">
            <v>2555904.1442499999</v>
          </cell>
          <cell r="BI48">
            <v>1045468.3354649999</v>
          </cell>
          <cell r="BJ48">
            <v>2146222.2217000001</v>
          </cell>
          <cell r="BK48">
            <v>2036450.9804500001</v>
          </cell>
          <cell r="CI48">
            <v>16535873.371104999</v>
          </cell>
          <cell r="CJ48">
            <v>4216818.6670200005</v>
          </cell>
          <cell r="CK48">
            <v>2683102.1525349999</v>
          </cell>
          <cell r="CL48">
            <v>4407811.0139349997</v>
          </cell>
          <cell r="CM48">
            <v>1045468.3354649999</v>
          </cell>
          <cell r="CN48">
            <v>2146222.2217000001</v>
          </cell>
          <cell r="CO48">
            <v>2036450.9804500001</v>
          </cell>
          <cell r="CP48">
            <v>0</v>
          </cell>
          <cell r="CQ48">
            <v>0</v>
          </cell>
          <cell r="CS48">
            <v>16535873.371105</v>
          </cell>
          <cell r="CT48">
            <v>4216818.6670200005</v>
          </cell>
          <cell r="CU48">
            <v>1411717.5980850002</v>
          </cell>
          <cell r="CV48">
            <v>1271384.5544499999</v>
          </cell>
          <cell r="CW48">
            <v>1851906.869685</v>
          </cell>
          <cell r="CX48">
            <v>2555904.1442499999</v>
          </cell>
          <cell r="CY48">
            <v>1045468.3354649999</v>
          </cell>
          <cell r="CZ48">
            <v>2146222.2217000001</v>
          </cell>
          <cell r="DA48">
            <v>2036450.9804500001</v>
          </cell>
        </row>
        <row r="49">
          <cell r="A49" t="str">
            <v>Early Pay Cash</v>
          </cell>
          <cell r="AS49">
            <v>5605524.2494899984</v>
          </cell>
          <cell r="AT49">
            <v>1429466.6367600001</v>
          </cell>
          <cell r="AU49">
            <v>909549.42882999987</v>
          </cell>
          <cell r="AV49">
            <v>1494211.4620299996</v>
          </cell>
          <cell r="AW49">
            <v>354405.11517</v>
          </cell>
          <cell r="AX49">
            <v>727551.57459999993</v>
          </cell>
          <cell r="AY49">
            <v>690340.03209999972</v>
          </cell>
          <cell r="AZ49">
            <v>0</v>
          </cell>
          <cell r="BA49">
            <v>0</v>
          </cell>
          <cell r="BC49">
            <v>5605524.2494899994</v>
          </cell>
          <cell r="BD49">
            <v>1429466.6367600001</v>
          </cell>
          <cell r="BE49">
            <v>478560.58472999994</v>
          </cell>
          <cell r="BF49">
            <v>430988.84409999993</v>
          </cell>
          <cell r="BG49">
            <v>627781.10552999994</v>
          </cell>
          <cell r="BH49">
            <v>866430.35649999976</v>
          </cell>
          <cell r="BI49">
            <v>354405.11517</v>
          </cell>
          <cell r="BJ49">
            <v>727551.57459999993</v>
          </cell>
          <cell r="BK49">
            <v>690340.03209999972</v>
          </cell>
          <cell r="CI49">
            <v>5605524.2494899984</v>
          </cell>
          <cell r="CJ49">
            <v>1429466.6367600001</v>
          </cell>
          <cell r="CK49">
            <v>909549.42882999987</v>
          </cell>
          <cell r="CL49">
            <v>1494211.4620299996</v>
          </cell>
          <cell r="CM49">
            <v>354405.11517</v>
          </cell>
          <cell r="CN49">
            <v>727551.57459999993</v>
          </cell>
          <cell r="CO49">
            <v>690340.03209999972</v>
          </cell>
          <cell r="CP49">
            <v>0</v>
          </cell>
          <cell r="CQ49">
            <v>0</v>
          </cell>
          <cell r="CS49">
            <v>5605524.2494899994</v>
          </cell>
          <cell r="CT49">
            <v>1429466.6367600001</v>
          </cell>
          <cell r="CU49">
            <v>478560.58472999994</v>
          </cell>
          <cell r="CV49">
            <v>430988.84409999993</v>
          </cell>
          <cell r="CW49">
            <v>627781.10552999994</v>
          </cell>
          <cell r="CX49">
            <v>866430.35649999976</v>
          </cell>
          <cell r="CY49">
            <v>354405.11517</v>
          </cell>
          <cell r="CZ49">
            <v>727551.57459999993</v>
          </cell>
          <cell r="DA49">
            <v>690340.03209999972</v>
          </cell>
        </row>
        <row r="50">
          <cell r="A50" t="str">
            <v>AgriEdge</v>
          </cell>
          <cell r="AS50">
            <v>4588517.9626550004</v>
          </cell>
          <cell r="AT50">
            <v>1170119.5192199999</v>
          </cell>
          <cell r="AU50">
            <v>744530.52138500009</v>
          </cell>
          <cell r="AV50">
            <v>1223117.736785</v>
          </cell>
          <cell r="AW50">
            <v>290105.64661500003</v>
          </cell>
          <cell r="AX50">
            <v>595552.40869999991</v>
          </cell>
          <cell r="AY50">
            <v>565092.12994999997</v>
          </cell>
          <cell r="AZ50">
            <v>0</v>
          </cell>
          <cell r="BA50">
            <v>0</v>
          </cell>
          <cell r="BC50">
            <v>4588517.9626550004</v>
          </cell>
          <cell r="BD50">
            <v>1170119.5192199999</v>
          </cell>
          <cell r="BE50">
            <v>391735.67743500008</v>
          </cell>
          <cell r="BF50">
            <v>352794.84395000001</v>
          </cell>
          <cell r="BG50">
            <v>513883.22503500007</v>
          </cell>
          <cell r="BH50">
            <v>709234.51174999995</v>
          </cell>
          <cell r="BI50">
            <v>290105.64661500003</v>
          </cell>
          <cell r="BJ50">
            <v>595552.40869999991</v>
          </cell>
          <cell r="BK50">
            <v>565092.12994999997</v>
          </cell>
          <cell r="CI50">
            <v>4588517.9626550004</v>
          </cell>
          <cell r="CJ50">
            <v>1170119.5192199999</v>
          </cell>
          <cell r="CK50">
            <v>744530.52138500009</v>
          </cell>
          <cell r="CL50">
            <v>1223117.736785</v>
          </cell>
          <cell r="CM50">
            <v>290105.64661500003</v>
          </cell>
          <cell r="CN50">
            <v>595552.40869999991</v>
          </cell>
          <cell r="CO50">
            <v>565092.12994999997</v>
          </cell>
          <cell r="CP50">
            <v>0</v>
          </cell>
          <cell r="CQ50">
            <v>0</v>
          </cell>
          <cell r="CS50">
            <v>4588517.9626550004</v>
          </cell>
          <cell r="CT50">
            <v>1170119.5192199999</v>
          </cell>
          <cell r="CU50">
            <v>391735.67743500008</v>
          </cell>
          <cell r="CV50">
            <v>352794.84395000001</v>
          </cell>
          <cell r="CW50">
            <v>513883.22503500007</v>
          </cell>
          <cell r="CX50">
            <v>709234.51174999995</v>
          </cell>
          <cell r="CY50">
            <v>290105.64661500003</v>
          </cell>
          <cell r="CZ50">
            <v>595552.40869999991</v>
          </cell>
          <cell r="DA50">
            <v>565092.12994999997</v>
          </cell>
        </row>
        <row r="51">
          <cell r="A51" t="str">
            <v>Seed Size</v>
          </cell>
          <cell r="AS51">
            <v>2821099.2699999996</v>
          </cell>
          <cell r="AT51">
            <v>719409.48</v>
          </cell>
          <cell r="AU51">
            <v>457750.08999999997</v>
          </cell>
          <cell r="AV51">
            <v>751993.69</v>
          </cell>
          <cell r="AW51">
            <v>178361.91000000003</v>
          </cell>
          <cell r="AX51">
            <v>366155.8</v>
          </cell>
          <cell r="AY51">
            <v>347428.3</v>
          </cell>
          <cell r="AZ51">
            <v>0</v>
          </cell>
          <cell r="BA51">
            <v>0</v>
          </cell>
          <cell r="BC51">
            <v>2821099.2699999996</v>
          </cell>
          <cell r="BD51">
            <v>719409.48</v>
          </cell>
          <cell r="BE51">
            <v>240845.79</v>
          </cell>
          <cell r="BF51">
            <v>216904.3</v>
          </cell>
          <cell r="BG51">
            <v>315944.19</v>
          </cell>
          <cell r="BH51">
            <v>436049.5</v>
          </cell>
          <cell r="BI51">
            <v>178361.91000000003</v>
          </cell>
          <cell r="BJ51">
            <v>366155.8</v>
          </cell>
          <cell r="BK51">
            <v>347428.3</v>
          </cell>
          <cell r="CI51">
            <v>2821099.2699999996</v>
          </cell>
          <cell r="CJ51">
            <v>719409.48</v>
          </cell>
          <cell r="CK51">
            <v>457750.08999999997</v>
          </cell>
          <cell r="CL51">
            <v>751993.69</v>
          </cell>
          <cell r="CM51">
            <v>178361.91000000003</v>
          </cell>
          <cell r="CN51">
            <v>366155.8</v>
          </cell>
          <cell r="CO51">
            <v>347428.3</v>
          </cell>
          <cell r="CP51">
            <v>0</v>
          </cell>
          <cell r="CQ51">
            <v>0</v>
          </cell>
          <cell r="CS51">
            <v>2821099.2699999996</v>
          </cell>
          <cell r="CT51">
            <v>719409.48</v>
          </cell>
          <cell r="CU51">
            <v>240845.79</v>
          </cell>
          <cell r="CV51">
            <v>216904.3</v>
          </cell>
          <cell r="CW51">
            <v>315944.19</v>
          </cell>
          <cell r="CX51">
            <v>436049.5</v>
          </cell>
          <cell r="CY51">
            <v>178361.91000000003</v>
          </cell>
          <cell r="CZ51">
            <v>366155.8</v>
          </cell>
          <cell r="DA51">
            <v>347428.3</v>
          </cell>
        </row>
        <row r="52">
          <cell r="A52" t="str">
            <v>Early Order/Cornerstone</v>
          </cell>
          <cell r="AS52">
            <v>2406397.6773099997</v>
          </cell>
          <cell r="AT52">
            <v>613656.28643999982</v>
          </cell>
          <cell r="AU52">
            <v>390460.82676999993</v>
          </cell>
          <cell r="AV52">
            <v>641450.61756999989</v>
          </cell>
          <cell r="AW52">
            <v>152142.70923000001</v>
          </cell>
          <cell r="AX52">
            <v>312330.89740000002</v>
          </cell>
          <cell r="AY52">
            <v>296356.33990000002</v>
          </cell>
          <cell r="AZ52">
            <v>0</v>
          </cell>
          <cell r="BA52">
            <v>0</v>
          </cell>
          <cell r="BC52">
            <v>2406397.6773099992</v>
          </cell>
          <cell r="BD52">
            <v>613656.28643999982</v>
          </cell>
          <cell r="BE52">
            <v>205441.45886999994</v>
          </cell>
          <cell r="BF52">
            <v>185019.36789999995</v>
          </cell>
          <cell r="BG52">
            <v>269500.39406999992</v>
          </cell>
          <cell r="BH52">
            <v>371950.22349999996</v>
          </cell>
          <cell r="BI52">
            <v>152142.70923000001</v>
          </cell>
          <cell r="BJ52">
            <v>312330.89740000002</v>
          </cell>
          <cell r="BK52">
            <v>296356.33990000002</v>
          </cell>
          <cell r="CI52">
            <v>2406397.6773099997</v>
          </cell>
          <cell r="CJ52">
            <v>613656.28643999982</v>
          </cell>
          <cell r="CK52">
            <v>390460.82676999993</v>
          </cell>
          <cell r="CL52">
            <v>641450.61756999989</v>
          </cell>
          <cell r="CM52">
            <v>152142.70923000001</v>
          </cell>
          <cell r="CN52">
            <v>312330.89740000002</v>
          </cell>
          <cell r="CO52">
            <v>296356.33990000002</v>
          </cell>
          <cell r="CP52">
            <v>0</v>
          </cell>
          <cell r="CQ52">
            <v>0</v>
          </cell>
          <cell r="CS52">
            <v>2406397.6773099992</v>
          </cell>
          <cell r="CT52">
            <v>613656.28643999982</v>
          </cell>
          <cell r="CU52">
            <v>205441.45886999994</v>
          </cell>
          <cell r="CV52">
            <v>185019.36789999995</v>
          </cell>
          <cell r="CW52">
            <v>269500.39406999992</v>
          </cell>
          <cell r="CX52">
            <v>371950.22349999996</v>
          </cell>
          <cell r="CY52">
            <v>152142.70923000001</v>
          </cell>
          <cell r="CZ52">
            <v>312330.89740000002</v>
          </cell>
          <cell r="DA52">
            <v>296356.33990000002</v>
          </cell>
        </row>
        <row r="53">
          <cell r="A53" t="str">
            <v>SA Recruiting - Placement/Comp Resp Seed</v>
          </cell>
          <cell r="AS53">
            <v>1799861.3342599999</v>
          </cell>
          <cell r="AT53">
            <v>458983.24823999993</v>
          </cell>
          <cell r="AU53">
            <v>292044.55741999997</v>
          </cell>
          <cell r="AV53">
            <v>479771.97422000003</v>
          </cell>
          <cell r="AW53">
            <v>113794.89858000001</v>
          </cell>
          <cell r="AX53">
            <v>233607.40039999998</v>
          </cell>
          <cell r="AY53">
            <v>221659.25540000002</v>
          </cell>
          <cell r="AZ53">
            <v>0</v>
          </cell>
          <cell r="BA53">
            <v>0</v>
          </cell>
          <cell r="BC53">
            <v>1799861.3342599999</v>
          </cell>
          <cell r="BD53">
            <v>458983.24823999993</v>
          </cell>
          <cell r="BE53">
            <v>153659.61401999998</v>
          </cell>
          <cell r="BF53">
            <v>138384.94339999999</v>
          </cell>
          <cell r="BG53">
            <v>201572.39322000003</v>
          </cell>
          <cell r="BH53">
            <v>278199.58100000001</v>
          </cell>
          <cell r="BI53">
            <v>113794.89858000001</v>
          </cell>
          <cell r="BJ53">
            <v>233607.40039999998</v>
          </cell>
          <cell r="BK53">
            <v>221659.25540000002</v>
          </cell>
          <cell r="CI53">
            <v>1799861.3342599999</v>
          </cell>
          <cell r="CJ53">
            <v>458983.24823999993</v>
          </cell>
          <cell r="CK53">
            <v>292044.55741999997</v>
          </cell>
          <cell r="CL53">
            <v>479771.97422000003</v>
          </cell>
          <cell r="CM53">
            <v>113794.89858000001</v>
          </cell>
          <cell r="CN53">
            <v>233607.40039999998</v>
          </cell>
          <cell r="CO53">
            <v>221659.25540000002</v>
          </cell>
          <cell r="CP53">
            <v>0</v>
          </cell>
          <cell r="CQ53">
            <v>0</v>
          </cell>
          <cell r="CS53">
            <v>1799861.3342599999</v>
          </cell>
          <cell r="CT53">
            <v>458983.24823999993</v>
          </cell>
          <cell r="CU53">
            <v>153659.61401999998</v>
          </cell>
          <cell r="CV53">
            <v>138384.94339999999</v>
          </cell>
          <cell r="CW53">
            <v>201572.39322000003</v>
          </cell>
          <cell r="CX53">
            <v>278199.58100000001</v>
          </cell>
          <cell r="CY53">
            <v>113794.89858000001</v>
          </cell>
          <cell r="CZ53">
            <v>233607.40039999998</v>
          </cell>
          <cell r="DA53">
            <v>221659.25540000002</v>
          </cell>
        </row>
        <row r="54">
          <cell r="A54" t="str">
            <v>Business Builder</v>
          </cell>
          <cell r="AS54">
            <v>943657.70581500023</v>
          </cell>
          <cell r="AT54">
            <v>240642.47106000007</v>
          </cell>
          <cell r="AU54">
            <v>153117.40510500001</v>
          </cell>
          <cell r="AV54">
            <v>251541.88930500002</v>
          </cell>
          <cell r="AW54">
            <v>59662.058895000002</v>
          </cell>
          <cell r="AX54">
            <v>122479.11510000001</v>
          </cell>
          <cell r="AY54">
            <v>116214.76634999999</v>
          </cell>
          <cell r="AZ54">
            <v>0</v>
          </cell>
          <cell r="BA54">
            <v>0</v>
          </cell>
          <cell r="BC54">
            <v>943657.70581500023</v>
          </cell>
          <cell r="BD54">
            <v>240642.47106000007</v>
          </cell>
          <cell r="BE54">
            <v>80562.916754999998</v>
          </cell>
          <cell r="BF54">
            <v>72554.48835</v>
          </cell>
          <cell r="BG54">
            <v>105683.331555</v>
          </cell>
          <cell r="BH54">
            <v>145858.55775000001</v>
          </cell>
          <cell r="BI54">
            <v>59662.058895000002</v>
          </cell>
          <cell r="BJ54">
            <v>122479.11510000001</v>
          </cell>
          <cell r="BK54">
            <v>116214.76634999999</v>
          </cell>
          <cell r="CI54">
            <v>943657.70581500023</v>
          </cell>
          <cell r="CJ54">
            <v>240642.47106000007</v>
          </cell>
          <cell r="CK54">
            <v>153117.40510500001</v>
          </cell>
          <cell r="CL54">
            <v>251541.88930500002</v>
          </cell>
          <cell r="CM54">
            <v>59662.058895000002</v>
          </cell>
          <cell r="CN54">
            <v>122479.11510000001</v>
          </cell>
          <cell r="CO54">
            <v>116214.76634999999</v>
          </cell>
          <cell r="CP54">
            <v>0</v>
          </cell>
          <cell r="CQ54">
            <v>0</v>
          </cell>
          <cell r="CS54">
            <v>943657.70581500023</v>
          </cell>
          <cell r="CT54">
            <v>240642.47106000007</v>
          </cell>
          <cell r="CU54">
            <v>80562.916754999998</v>
          </cell>
          <cell r="CV54">
            <v>72554.48835</v>
          </cell>
          <cell r="CW54">
            <v>105683.331555</v>
          </cell>
          <cell r="CX54">
            <v>145858.55775000001</v>
          </cell>
          <cell r="CY54">
            <v>59662.058895000002</v>
          </cell>
          <cell r="CZ54">
            <v>122479.11510000001</v>
          </cell>
          <cell r="DA54">
            <v>116214.76634999999</v>
          </cell>
        </row>
        <row r="55">
          <cell r="A55" t="str">
            <v>Double Crop</v>
          </cell>
          <cell r="AS55">
            <v>729254.16129500011</v>
          </cell>
          <cell r="AT55">
            <v>185967.35058000003</v>
          </cell>
          <cell r="AU55">
            <v>118328.39826500001</v>
          </cell>
          <cell r="AV55">
            <v>194390.36886500003</v>
          </cell>
          <cell r="AW55">
            <v>46106.553735000001</v>
          </cell>
          <cell r="AX55">
            <v>94651.274300000005</v>
          </cell>
          <cell r="AY55">
            <v>89810.215550000008</v>
          </cell>
          <cell r="AZ55">
            <v>0</v>
          </cell>
          <cell r="BA55">
            <v>0</v>
          </cell>
          <cell r="BC55">
            <v>729254.16129500011</v>
          </cell>
          <cell r="BD55">
            <v>185967.35058000003</v>
          </cell>
          <cell r="BE55">
            <v>62258.636715000015</v>
          </cell>
          <cell r="BF55">
            <v>56069.761549999996</v>
          </cell>
          <cell r="BG55">
            <v>81671.573115000007</v>
          </cell>
          <cell r="BH55">
            <v>112718.79575000003</v>
          </cell>
          <cell r="BI55">
            <v>46106.553735000001</v>
          </cell>
          <cell r="BJ55">
            <v>94651.274300000005</v>
          </cell>
          <cell r="BK55">
            <v>89810.215550000008</v>
          </cell>
          <cell r="CI55">
            <v>729254.16129500011</v>
          </cell>
          <cell r="CJ55">
            <v>185967.35058000003</v>
          </cell>
          <cell r="CK55">
            <v>118328.39826500001</v>
          </cell>
          <cell r="CL55">
            <v>194390.36886500003</v>
          </cell>
          <cell r="CM55">
            <v>46106.553735000001</v>
          </cell>
          <cell r="CN55">
            <v>94651.274300000005</v>
          </cell>
          <cell r="CO55">
            <v>89810.215550000008</v>
          </cell>
          <cell r="CP55">
            <v>0</v>
          </cell>
          <cell r="CQ55">
            <v>0</v>
          </cell>
          <cell r="CS55">
            <v>729254.16129500011</v>
          </cell>
          <cell r="CT55">
            <v>185967.35058000003</v>
          </cell>
          <cell r="CU55">
            <v>62258.636715000015</v>
          </cell>
          <cell r="CV55">
            <v>56069.761549999996</v>
          </cell>
          <cell r="CW55">
            <v>81671.573115000007</v>
          </cell>
          <cell r="CX55">
            <v>112718.79575000003</v>
          </cell>
          <cell r="CY55">
            <v>46106.553735000001</v>
          </cell>
          <cell r="CZ55">
            <v>94651.274300000005</v>
          </cell>
          <cell r="DA55">
            <v>89810.215550000008</v>
          </cell>
        </row>
        <row r="56">
          <cell r="A56" t="str">
            <v>LPIVB</v>
          </cell>
          <cell r="AS56">
            <v>238382.88831500002</v>
          </cell>
          <cell r="AT56">
            <v>60790.101060000001</v>
          </cell>
          <cell r="AU56">
            <v>38679.882605000006</v>
          </cell>
          <cell r="AV56">
            <v>63543.466805000004</v>
          </cell>
          <cell r="AW56">
            <v>15071.581394999997</v>
          </cell>
          <cell r="AX56">
            <v>30940.165100000002</v>
          </cell>
          <cell r="AY56">
            <v>29357.691350000001</v>
          </cell>
          <cell r="AZ56">
            <v>0</v>
          </cell>
          <cell r="BA56">
            <v>0</v>
          </cell>
          <cell r="BC56">
            <v>238382.88831500002</v>
          </cell>
          <cell r="BD56">
            <v>60790.101060000001</v>
          </cell>
          <cell r="BE56">
            <v>20351.469255</v>
          </cell>
          <cell r="BF56">
            <v>18328.413350000003</v>
          </cell>
          <cell r="BG56">
            <v>26697.284055000007</v>
          </cell>
          <cell r="BH56">
            <v>36846.18275</v>
          </cell>
          <cell r="BI56">
            <v>15071.581394999997</v>
          </cell>
          <cell r="BJ56">
            <v>30940.165100000002</v>
          </cell>
          <cell r="BK56">
            <v>29357.691350000001</v>
          </cell>
          <cell r="CI56">
            <v>238382.88831500002</v>
          </cell>
          <cell r="CJ56">
            <v>60790.101060000001</v>
          </cell>
          <cell r="CK56">
            <v>38679.882605000006</v>
          </cell>
          <cell r="CL56">
            <v>63543.466805000004</v>
          </cell>
          <cell r="CM56">
            <v>15071.581394999997</v>
          </cell>
          <cell r="CN56">
            <v>30940.165100000002</v>
          </cell>
          <cell r="CO56">
            <v>29357.691350000001</v>
          </cell>
          <cell r="CP56">
            <v>0</v>
          </cell>
          <cell r="CQ56">
            <v>0</v>
          </cell>
          <cell r="CS56">
            <v>238382.88831500002</v>
          </cell>
          <cell r="CT56">
            <v>60790.101060000001</v>
          </cell>
          <cell r="CU56">
            <v>20351.469255</v>
          </cell>
          <cell r="CV56">
            <v>18328.413350000003</v>
          </cell>
          <cell r="CW56">
            <v>26697.284055000007</v>
          </cell>
          <cell r="CX56">
            <v>36846.18275</v>
          </cell>
          <cell r="CY56">
            <v>15071.581394999997</v>
          </cell>
          <cell r="CZ56">
            <v>30940.165100000002</v>
          </cell>
          <cell r="DA56">
            <v>29357.691350000001</v>
          </cell>
        </row>
        <row r="58">
          <cell r="A58" t="str">
            <v>Grower Discounts - Soybeans (GH)</v>
          </cell>
          <cell r="AS58">
            <v>26012416.29586507</v>
          </cell>
          <cell r="AT58">
            <v>5668370.5985332243</v>
          </cell>
          <cell r="AU58">
            <v>8225960.29872871</v>
          </cell>
          <cell r="AV58">
            <v>5204736.1524689738</v>
          </cell>
          <cell r="AW58">
            <v>2208915.0999349249</v>
          </cell>
          <cell r="AX58">
            <v>2427281.8115125499</v>
          </cell>
          <cell r="AY58">
            <v>2277152.3346866895</v>
          </cell>
          <cell r="AZ58">
            <v>0</v>
          </cell>
          <cell r="BA58">
            <v>0</v>
          </cell>
          <cell r="BM58">
            <v>26012416.29586507</v>
          </cell>
          <cell r="BN58">
            <v>5668370.5985332243</v>
          </cell>
          <cell r="BO58">
            <v>4324979.0766736101</v>
          </cell>
          <cell r="BP58">
            <v>3900981.2220551004</v>
          </cell>
          <cell r="BQ58">
            <v>3009960.1675458741</v>
          </cell>
          <cell r="BR58">
            <v>2194775.9849230996</v>
          </cell>
          <cell r="BS58">
            <v>2208915.0999349249</v>
          </cell>
          <cell r="BT58">
            <v>2427281.8115125499</v>
          </cell>
          <cell r="BU58">
            <v>2277152.3346866895</v>
          </cell>
          <cell r="CI58">
            <v>26012416.29586507</v>
          </cell>
          <cell r="CJ58">
            <v>5668370.5985332243</v>
          </cell>
          <cell r="CK58">
            <v>8225960.29872871</v>
          </cell>
          <cell r="CL58">
            <v>5204736.1524689738</v>
          </cell>
          <cell r="CM58">
            <v>2208915.0999349249</v>
          </cell>
          <cell r="CN58">
            <v>2427281.8115125499</v>
          </cell>
          <cell r="CO58">
            <v>2277152.3346866895</v>
          </cell>
          <cell r="CP58">
            <v>0</v>
          </cell>
          <cell r="CQ58">
            <v>0</v>
          </cell>
          <cell r="DC58">
            <v>26012416.29586507</v>
          </cell>
          <cell r="DD58">
            <v>5668370.5985332243</v>
          </cell>
          <cell r="DE58">
            <v>4324979.0766736101</v>
          </cell>
          <cell r="DF58">
            <v>3900981.2220551004</v>
          </cell>
          <cell r="DG58">
            <v>3009960.1675458741</v>
          </cell>
          <cell r="DH58">
            <v>2194775.9849230996</v>
          </cell>
          <cell r="DI58">
            <v>2208915.0999349249</v>
          </cell>
          <cell r="DJ58">
            <v>2427281.8115125499</v>
          </cell>
          <cell r="DK58">
            <v>2277152.3346866895</v>
          </cell>
        </row>
        <row r="59">
          <cell r="A59" t="str">
            <v>Volume (including DC)</v>
          </cell>
          <cell r="AS59">
            <v>11703464.261345459</v>
          </cell>
          <cell r="AT59">
            <v>2550304.1303602499</v>
          </cell>
          <cell r="AU59">
            <v>3701010.7510359003</v>
          </cell>
          <cell r="AV59">
            <v>2341706.4703764599</v>
          </cell>
          <cell r="AW59">
            <v>993831.50855325011</v>
          </cell>
          <cell r="AX59">
            <v>1092078.7061895002</v>
          </cell>
          <cell r="AY59">
            <v>1024532.6948300999</v>
          </cell>
          <cell r="AZ59">
            <v>0</v>
          </cell>
          <cell r="BA59">
            <v>0</v>
          </cell>
          <cell r="BM59">
            <v>11703464.261345459</v>
          </cell>
          <cell r="BN59">
            <v>2550304.1303602499</v>
          </cell>
          <cell r="BO59">
            <v>1945887.5899568999</v>
          </cell>
          <cell r="BP59">
            <v>1755123.1610790004</v>
          </cell>
          <cell r="BQ59">
            <v>1354236.40957746</v>
          </cell>
          <cell r="BR59">
            <v>987470.06079899997</v>
          </cell>
          <cell r="BS59">
            <v>993831.50855325011</v>
          </cell>
          <cell r="BT59">
            <v>1092078.7061895002</v>
          </cell>
          <cell r="BU59">
            <v>1024532.6948300999</v>
          </cell>
          <cell r="CI59">
            <v>11703464.261345459</v>
          </cell>
          <cell r="CJ59">
            <v>2550304.1303602499</v>
          </cell>
          <cell r="CK59">
            <v>3701010.7510359003</v>
          </cell>
          <cell r="CL59">
            <v>2341706.4703764599</v>
          </cell>
          <cell r="CM59">
            <v>993831.50855325011</v>
          </cell>
          <cell r="CN59">
            <v>1092078.7061895002</v>
          </cell>
          <cell r="CO59">
            <v>1024532.6948300999</v>
          </cell>
          <cell r="CP59">
            <v>0</v>
          </cell>
          <cell r="CQ59">
            <v>0</v>
          </cell>
          <cell r="DC59">
            <v>11703464.261345459</v>
          </cell>
          <cell r="DD59">
            <v>2550304.1303602499</v>
          </cell>
          <cell r="DE59">
            <v>1945887.5899568999</v>
          </cell>
          <cell r="DF59">
            <v>1755123.1610790004</v>
          </cell>
          <cell r="DG59">
            <v>1354236.40957746</v>
          </cell>
          <cell r="DH59">
            <v>987470.06079899997</v>
          </cell>
          <cell r="DI59">
            <v>993831.50855325011</v>
          </cell>
          <cell r="DJ59">
            <v>1092078.7061895002</v>
          </cell>
          <cell r="DK59">
            <v>1024532.6948300999</v>
          </cell>
        </row>
        <row r="60">
          <cell r="A60" t="str">
            <v>Early Pay Cash</v>
          </cell>
          <cell r="AS60">
            <v>7719963.207467963</v>
          </cell>
          <cell r="AT60">
            <v>1682258.6556069255</v>
          </cell>
          <cell r="AU60">
            <v>2441299.9596032305</v>
          </cell>
          <cell r="AV60">
            <v>1544661.2550186622</v>
          </cell>
          <cell r="AW60">
            <v>655561.67892902507</v>
          </cell>
          <cell r="AX60">
            <v>720368.53731314989</v>
          </cell>
          <cell r="AY60">
            <v>675813.1209969701</v>
          </cell>
          <cell r="AZ60">
            <v>0</v>
          </cell>
          <cell r="BA60">
            <v>0</v>
          </cell>
          <cell r="BM60">
            <v>7719963.2074679621</v>
          </cell>
          <cell r="BN60">
            <v>1682258.6556069255</v>
          </cell>
          <cell r="BO60">
            <v>1283567.0075869302</v>
          </cell>
          <cell r="BP60">
            <v>1157732.9520163001</v>
          </cell>
          <cell r="BQ60">
            <v>893295.78171836212</v>
          </cell>
          <cell r="BR60">
            <v>651365.47330029996</v>
          </cell>
          <cell r="BS60">
            <v>655561.67892902507</v>
          </cell>
          <cell r="BT60">
            <v>720368.53731314989</v>
          </cell>
          <cell r="BU60">
            <v>675813.1209969701</v>
          </cell>
          <cell r="CI60">
            <v>7719963.207467963</v>
          </cell>
          <cell r="CJ60">
            <v>1682258.6556069255</v>
          </cell>
          <cell r="CK60">
            <v>2441299.9596032305</v>
          </cell>
          <cell r="CL60">
            <v>1544661.2550186622</v>
          </cell>
          <cell r="CM60">
            <v>655561.67892902507</v>
          </cell>
          <cell r="CN60">
            <v>720368.53731314989</v>
          </cell>
          <cell r="CO60">
            <v>675813.1209969701</v>
          </cell>
          <cell r="CP60">
            <v>0</v>
          </cell>
          <cell r="CQ60">
            <v>0</v>
          </cell>
          <cell r="DC60">
            <v>7719963.2074679621</v>
          </cell>
          <cell r="DD60">
            <v>1682258.6556069255</v>
          </cell>
          <cell r="DE60">
            <v>1283567.0075869302</v>
          </cell>
          <cell r="DF60">
            <v>1157732.9520163001</v>
          </cell>
          <cell r="DG60">
            <v>893295.78171836212</v>
          </cell>
          <cell r="DH60">
            <v>651365.47330029996</v>
          </cell>
          <cell r="DI60">
            <v>655561.67892902507</v>
          </cell>
          <cell r="DJ60">
            <v>720368.53731314989</v>
          </cell>
          <cell r="DK60">
            <v>675813.1209969701</v>
          </cell>
        </row>
        <row r="61">
          <cell r="A61" t="str">
            <v>Growth &amp; Loyalty</v>
          </cell>
          <cell r="AS61">
            <v>3087985.3469828381</v>
          </cell>
          <cell r="AT61">
            <v>672903.47618807526</v>
          </cell>
          <cell r="AU61">
            <v>976520.00407876994</v>
          </cell>
          <cell r="AV61">
            <v>617864.51481213805</v>
          </cell>
          <cell r="AW61">
            <v>262224.67700597498</v>
          </cell>
          <cell r="AX61">
            <v>288147.42089685</v>
          </cell>
          <cell r="AY61">
            <v>270325.25400102994</v>
          </cell>
          <cell r="AZ61">
            <v>0</v>
          </cell>
          <cell r="BA61">
            <v>0</v>
          </cell>
          <cell r="BM61">
            <v>3087985.3469828381</v>
          </cell>
          <cell r="BN61">
            <v>672903.47618807526</v>
          </cell>
          <cell r="BO61">
            <v>513426.81367506995</v>
          </cell>
          <cell r="BP61">
            <v>463093.19040369999</v>
          </cell>
          <cell r="BQ61">
            <v>357318.32009243808</v>
          </cell>
          <cell r="BR61">
            <v>260546.1947197</v>
          </cell>
          <cell r="BS61">
            <v>262224.67700597498</v>
          </cell>
          <cell r="BT61">
            <v>288147.42089685</v>
          </cell>
          <cell r="BU61">
            <v>270325.25400102994</v>
          </cell>
          <cell r="CI61">
            <v>3087985.3469828381</v>
          </cell>
          <cell r="CJ61">
            <v>672903.47618807526</v>
          </cell>
          <cell r="CK61">
            <v>976520.00407876994</v>
          </cell>
          <cell r="CL61">
            <v>617864.51481213805</v>
          </cell>
          <cell r="CM61">
            <v>262224.67700597498</v>
          </cell>
          <cell r="CN61">
            <v>288147.42089685</v>
          </cell>
          <cell r="CO61">
            <v>270325.25400102994</v>
          </cell>
          <cell r="CP61">
            <v>0</v>
          </cell>
          <cell r="CQ61">
            <v>0</v>
          </cell>
          <cell r="DC61">
            <v>3087985.3469828381</v>
          </cell>
          <cell r="DD61">
            <v>672903.47618807526</v>
          </cell>
          <cell r="DE61">
            <v>513426.81367506995</v>
          </cell>
          <cell r="DF61">
            <v>463093.19040369999</v>
          </cell>
          <cell r="DG61">
            <v>357318.32009243808</v>
          </cell>
          <cell r="DH61">
            <v>260546.1947197</v>
          </cell>
          <cell r="DI61">
            <v>262224.67700597498</v>
          </cell>
          <cell r="DJ61">
            <v>288147.42089685</v>
          </cell>
          <cell r="DK61">
            <v>270325.25400102994</v>
          </cell>
        </row>
        <row r="62">
          <cell r="A62" t="str">
            <v>Free Seed</v>
          </cell>
          <cell r="AS62">
            <v>2188609.6356059979</v>
          </cell>
          <cell r="AT62">
            <v>476920.34330957494</v>
          </cell>
          <cell r="AU62">
            <v>692108.55951017002</v>
          </cell>
          <cell r="AV62">
            <v>437911.47906129796</v>
          </cell>
          <cell r="AW62">
            <v>185851.74160547502</v>
          </cell>
          <cell r="AX62">
            <v>204224.48651384996</v>
          </cell>
          <cell r="AY62">
            <v>191593.02560563001</v>
          </cell>
          <cell r="AZ62">
            <v>0</v>
          </cell>
          <cell r="BA62">
            <v>0</v>
          </cell>
          <cell r="BM62">
            <v>2188609.6356059979</v>
          </cell>
          <cell r="BN62">
            <v>476920.34330957494</v>
          </cell>
          <cell r="BO62">
            <v>363891.25767247</v>
          </cell>
          <cell r="BP62">
            <v>328217.30183769995</v>
          </cell>
          <cell r="BQ62">
            <v>253249.361787598</v>
          </cell>
          <cell r="BR62">
            <v>184662.11727369996</v>
          </cell>
          <cell r="BS62">
            <v>185851.74160547502</v>
          </cell>
          <cell r="BT62">
            <v>204224.48651384996</v>
          </cell>
          <cell r="BU62">
            <v>191593.02560563001</v>
          </cell>
          <cell r="CI62">
            <v>2188609.6356059979</v>
          </cell>
          <cell r="CJ62">
            <v>476920.34330957494</v>
          </cell>
          <cell r="CK62">
            <v>692108.55951017002</v>
          </cell>
          <cell r="CL62">
            <v>437911.47906129796</v>
          </cell>
          <cell r="CM62">
            <v>185851.74160547502</v>
          </cell>
          <cell r="CN62">
            <v>204224.48651384996</v>
          </cell>
          <cell r="CO62">
            <v>191593.02560563001</v>
          </cell>
          <cell r="CP62">
            <v>0</v>
          </cell>
          <cell r="CQ62">
            <v>0</v>
          </cell>
          <cell r="DC62">
            <v>2188609.6356059979</v>
          </cell>
          <cell r="DD62">
            <v>476920.34330957494</v>
          </cell>
          <cell r="DE62">
            <v>363891.25767247</v>
          </cell>
          <cell r="DF62">
            <v>328217.30183769995</v>
          </cell>
          <cell r="DG62">
            <v>253249.361787598</v>
          </cell>
          <cell r="DH62">
            <v>184662.11727369996</v>
          </cell>
          <cell r="DI62">
            <v>185851.74160547502</v>
          </cell>
          <cell r="DJ62">
            <v>204224.48651384996</v>
          </cell>
          <cell r="DK62">
            <v>191593.02560563001</v>
          </cell>
        </row>
        <row r="63">
          <cell r="A63" t="str">
            <v>Financing</v>
          </cell>
          <cell r="AS63">
            <v>411731.39381896803</v>
          </cell>
          <cell r="AT63">
            <v>89720.466590700002</v>
          </cell>
          <cell r="AU63">
            <v>130202.67170772003</v>
          </cell>
          <cell r="AV63">
            <v>82381.938153768002</v>
          </cell>
          <cell r="AW63">
            <v>34963.291475099992</v>
          </cell>
          <cell r="AX63">
            <v>38419.657446600009</v>
          </cell>
          <cell r="AY63">
            <v>36043.368445079999</v>
          </cell>
          <cell r="AZ63">
            <v>0</v>
          </cell>
          <cell r="BA63">
            <v>0</v>
          </cell>
          <cell r="BM63">
            <v>411731.39381896803</v>
          </cell>
          <cell r="BN63">
            <v>89720.466590700002</v>
          </cell>
          <cell r="BO63">
            <v>68456.91085452</v>
          </cell>
          <cell r="BP63">
            <v>61745.760853200023</v>
          </cell>
          <cell r="BQ63">
            <v>47642.444324568001</v>
          </cell>
          <cell r="BR63">
            <v>34739.493829200001</v>
          </cell>
          <cell r="BS63">
            <v>34963.291475099992</v>
          </cell>
          <cell r="BT63">
            <v>38419.657446600009</v>
          </cell>
          <cell r="BU63">
            <v>36043.368445079999</v>
          </cell>
          <cell r="CI63">
            <v>411731.39381896803</v>
          </cell>
          <cell r="CJ63">
            <v>89720.466590700002</v>
          </cell>
          <cell r="CK63">
            <v>130202.67170772003</v>
          </cell>
          <cell r="CL63">
            <v>82381.938153768002</v>
          </cell>
          <cell r="CM63">
            <v>34963.291475099992</v>
          </cell>
          <cell r="CN63">
            <v>38419.657446600009</v>
          </cell>
          <cell r="CO63">
            <v>36043.368445079999</v>
          </cell>
          <cell r="CP63">
            <v>0</v>
          </cell>
          <cell r="CQ63">
            <v>0</v>
          </cell>
          <cell r="DC63">
            <v>411731.39381896803</v>
          </cell>
          <cell r="DD63">
            <v>89720.466590700002</v>
          </cell>
          <cell r="DE63">
            <v>68456.91085452</v>
          </cell>
          <cell r="DF63">
            <v>61745.760853200023</v>
          </cell>
          <cell r="DG63">
            <v>47642.444324568001</v>
          </cell>
          <cell r="DH63">
            <v>34739.493829200001</v>
          </cell>
          <cell r="DI63">
            <v>34963.291475099992</v>
          </cell>
          <cell r="DJ63">
            <v>38419.657446600009</v>
          </cell>
          <cell r="DK63">
            <v>36043.368445079999</v>
          </cell>
        </row>
        <row r="64">
          <cell r="A64" t="str">
            <v>AgriEdge</v>
          </cell>
          <cell r="AS64">
            <v>308798.54536422604</v>
          </cell>
          <cell r="AT64">
            <v>67290.349943025023</v>
          </cell>
          <cell r="AU64">
            <v>97652.003780789993</v>
          </cell>
          <cell r="AV64">
            <v>61786.453615325998</v>
          </cell>
          <cell r="AW64">
            <v>26222.468606325008</v>
          </cell>
          <cell r="AX64">
            <v>28814.743084949998</v>
          </cell>
          <cell r="AY64">
            <v>27032.526333809998</v>
          </cell>
          <cell r="AZ64">
            <v>0</v>
          </cell>
          <cell r="BA64">
            <v>0</v>
          </cell>
          <cell r="BM64">
            <v>308798.54536422604</v>
          </cell>
          <cell r="BN64">
            <v>67290.349943025023</v>
          </cell>
          <cell r="BO64">
            <v>51342.683140889996</v>
          </cell>
          <cell r="BP64">
            <v>46309.320639899997</v>
          </cell>
          <cell r="BQ64">
            <v>35731.833243425994</v>
          </cell>
          <cell r="BR64">
            <v>26054.6203719</v>
          </cell>
          <cell r="BS64">
            <v>26222.468606325008</v>
          </cell>
          <cell r="BT64">
            <v>28814.743084949998</v>
          </cell>
          <cell r="BU64">
            <v>27032.526333809998</v>
          </cell>
          <cell r="CI64">
            <v>308798.54536422604</v>
          </cell>
          <cell r="CJ64">
            <v>67290.349943025023</v>
          </cell>
          <cell r="CK64">
            <v>97652.003780789993</v>
          </cell>
          <cell r="CL64">
            <v>61786.453615325998</v>
          </cell>
          <cell r="CM64">
            <v>26222.468606325008</v>
          </cell>
          <cell r="CN64">
            <v>28814.743084949998</v>
          </cell>
          <cell r="CO64">
            <v>27032.526333809998</v>
          </cell>
          <cell r="CP64">
            <v>0</v>
          </cell>
          <cell r="CQ64">
            <v>0</v>
          </cell>
          <cell r="DC64">
            <v>308798.54536422604</v>
          </cell>
          <cell r="DD64">
            <v>67290.349943025023</v>
          </cell>
          <cell r="DE64">
            <v>51342.683140889996</v>
          </cell>
          <cell r="DF64">
            <v>46309.320639899997</v>
          </cell>
          <cell r="DG64">
            <v>35731.833243425994</v>
          </cell>
          <cell r="DH64">
            <v>26054.6203719</v>
          </cell>
          <cell r="DI64">
            <v>26222.468606325008</v>
          </cell>
          <cell r="DJ64">
            <v>28814.743084949998</v>
          </cell>
          <cell r="DK64">
            <v>27032.526333809998</v>
          </cell>
        </row>
        <row r="65">
          <cell r="A65" t="str">
            <v>Farm Manager</v>
          </cell>
          <cell r="AS65">
            <v>308798.54536422604</v>
          </cell>
          <cell r="AT65">
            <v>67290.349943025023</v>
          </cell>
          <cell r="AU65">
            <v>97652.003780789993</v>
          </cell>
          <cell r="AV65">
            <v>61786.453615325998</v>
          </cell>
          <cell r="AW65">
            <v>26222.468606325008</v>
          </cell>
          <cell r="AX65">
            <v>28814.743084949998</v>
          </cell>
          <cell r="AY65">
            <v>27032.526333809998</v>
          </cell>
          <cell r="AZ65">
            <v>0</v>
          </cell>
          <cell r="BA65">
            <v>0</v>
          </cell>
          <cell r="BM65">
            <v>308798.54536422604</v>
          </cell>
          <cell r="BN65">
            <v>67290.349943025023</v>
          </cell>
          <cell r="BO65">
            <v>51342.683140889996</v>
          </cell>
          <cell r="BP65">
            <v>46309.320639899997</v>
          </cell>
          <cell r="BQ65">
            <v>35731.833243425994</v>
          </cell>
          <cell r="BR65">
            <v>26054.6203719</v>
          </cell>
          <cell r="BS65">
            <v>26222.468606325008</v>
          </cell>
          <cell r="BT65">
            <v>28814.743084949998</v>
          </cell>
          <cell r="BU65">
            <v>27032.526333809998</v>
          </cell>
          <cell r="CI65">
            <v>308798.54536422604</v>
          </cell>
          <cell r="CJ65">
            <v>67290.349943025023</v>
          </cell>
          <cell r="CK65">
            <v>97652.003780789993</v>
          </cell>
          <cell r="CL65">
            <v>61786.453615325998</v>
          </cell>
          <cell r="CM65">
            <v>26222.468606325008</v>
          </cell>
          <cell r="CN65">
            <v>28814.743084949998</v>
          </cell>
          <cell r="CO65">
            <v>27032.526333809998</v>
          </cell>
          <cell r="CP65">
            <v>0</v>
          </cell>
          <cell r="CQ65">
            <v>0</v>
          </cell>
          <cell r="DC65">
            <v>308798.54536422604</v>
          </cell>
          <cell r="DD65">
            <v>67290.349943025023</v>
          </cell>
          <cell r="DE65">
            <v>51342.683140889996</v>
          </cell>
          <cell r="DF65">
            <v>46309.320639899997</v>
          </cell>
          <cell r="DG65">
            <v>35731.833243425994</v>
          </cell>
          <cell r="DH65">
            <v>26054.6203719</v>
          </cell>
          <cell r="DI65">
            <v>26222.468606325008</v>
          </cell>
          <cell r="DJ65">
            <v>28814.743084949998</v>
          </cell>
          <cell r="DK65">
            <v>27032.526333809998</v>
          </cell>
        </row>
        <row r="66">
          <cell r="A66" t="str">
            <v>Seed Size</v>
          </cell>
          <cell r="AS66">
            <v>283065.35991539597</v>
          </cell>
          <cell r="AT66">
            <v>61682.82659165001</v>
          </cell>
          <cell r="AU66">
            <v>89514.345231340005</v>
          </cell>
          <cell r="AV66">
            <v>56637.587815995998</v>
          </cell>
          <cell r="AW66">
            <v>24037.26515345</v>
          </cell>
          <cell r="AX66">
            <v>26413.516982700006</v>
          </cell>
          <cell r="AY66">
            <v>24779.818140260002</v>
          </cell>
          <cell r="AZ66">
            <v>0</v>
          </cell>
          <cell r="BA66">
            <v>0</v>
          </cell>
          <cell r="BM66">
            <v>283065.35991539597</v>
          </cell>
          <cell r="BN66">
            <v>61682.82659165001</v>
          </cell>
          <cell r="BO66">
            <v>47064.13064594</v>
          </cell>
          <cell r="BP66">
            <v>42450.214585399997</v>
          </cell>
          <cell r="BQ66">
            <v>32754.183558596</v>
          </cell>
          <cell r="BR66">
            <v>23883.404257399994</v>
          </cell>
          <cell r="BS66">
            <v>24037.26515345</v>
          </cell>
          <cell r="BT66">
            <v>26413.516982700006</v>
          </cell>
          <cell r="BU66">
            <v>24779.818140260002</v>
          </cell>
          <cell r="CI66">
            <v>283065.35991539597</v>
          </cell>
          <cell r="CJ66">
            <v>61682.82659165001</v>
          </cell>
          <cell r="CK66">
            <v>89514.345231340005</v>
          </cell>
          <cell r="CL66">
            <v>56637.587815995998</v>
          </cell>
          <cell r="CM66">
            <v>24037.26515345</v>
          </cell>
          <cell r="CN66">
            <v>26413.516982700006</v>
          </cell>
          <cell r="CO66">
            <v>24779.818140260002</v>
          </cell>
          <cell r="CP66">
            <v>0</v>
          </cell>
          <cell r="CQ66">
            <v>0</v>
          </cell>
          <cell r="DC66">
            <v>283065.35991539597</v>
          </cell>
          <cell r="DD66">
            <v>61682.82659165001</v>
          </cell>
          <cell r="DE66">
            <v>47064.13064594</v>
          </cell>
          <cell r="DF66">
            <v>42450.214585399997</v>
          </cell>
          <cell r="DG66">
            <v>32754.183558596</v>
          </cell>
          <cell r="DH66">
            <v>23883.404257399994</v>
          </cell>
          <cell r="DI66">
            <v>24037.26515345</v>
          </cell>
          <cell r="DJ66">
            <v>26413.516982700006</v>
          </cell>
          <cell r="DK66">
            <v>24779.818140260002</v>
          </cell>
        </row>
        <row r="68">
          <cell r="A68" t="str">
            <v>Grower Discounts - Soybeans (NK)</v>
          </cell>
          <cell r="AS68">
            <v>87324200.995112196</v>
          </cell>
          <cell r="AT68">
            <v>14596077.202535037</v>
          </cell>
          <cell r="AU68">
            <v>8465844.5408190284</v>
          </cell>
          <cell r="AV68">
            <v>12481040.28012572</v>
          </cell>
          <cell r="AW68">
            <v>8067165.0061022406</v>
          </cell>
          <cell r="AX68">
            <v>5674266.8156322399</v>
          </cell>
          <cell r="AY68">
            <v>10538074.158183601</v>
          </cell>
          <cell r="AZ68">
            <v>6295712.0641216673</v>
          </cell>
          <cell r="BA68">
            <v>21206020.927592661</v>
          </cell>
          <cell r="BW68">
            <v>87324200.995112196</v>
          </cell>
          <cell r="BX68">
            <v>5343255.0442293556</v>
          </cell>
          <cell r="BY68">
            <v>9252822.1583056822</v>
          </cell>
          <cell r="BZ68">
            <v>8465844.5408190284</v>
          </cell>
          <cell r="CA68">
            <v>12481040.28012572</v>
          </cell>
          <cell r="CB68">
            <v>8067165.0061022406</v>
          </cell>
          <cell r="CC68">
            <v>5674266.8156322399</v>
          </cell>
          <cell r="CD68">
            <v>10538074.158183601</v>
          </cell>
          <cell r="CE68">
            <v>6295712.0641216673</v>
          </cell>
          <cell r="CF68">
            <v>21206020.927592661</v>
          </cell>
          <cell r="CI68">
            <v>87324200.995112196</v>
          </cell>
          <cell r="CJ68">
            <v>14596077.202535037</v>
          </cell>
          <cell r="CK68">
            <v>8465844.5408190284</v>
          </cell>
          <cell r="CL68">
            <v>12481040.28012572</v>
          </cell>
          <cell r="CM68">
            <v>8067165.0061022406</v>
          </cell>
          <cell r="CN68">
            <v>5674266.8156322399</v>
          </cell>
          <cell r="CO68">
            <v>10538074.158183601</v>
          </cell>
          <cell r="CP68">
            <v>6295712.0641216673</v>
          </cell>
          <cell r="CQ68">
            <v>21206020.927592661</v>
          </cell>
          <cell r="DM68">
            <v>87324200.995112196</v>
          </cell>
          <cell r="DN68">
            <v>5343255.0442293556</v>
          </cell>
          <cell r="DO68">
            <v>9252822.1583056822</v>
          </cell>
          <cell r="DP68">
            <v>8465844.5408190284</v>
          </cell>
          <cell r="DQ68">
            <v>12481040.28012572</v>
          </cell>
          <cell r="DR68">
            <v>8067165.0061022406</v>
          </cell>
          <cell r="DS68">
            <v>5674266.8156322399</v>
          </cell>
          <cell r="DT68">
            <v>10538074.158183601</v>
          </cell>
          <cell r="DU68">
            <v>6295712.0641216673</v>
          </cell>
          <cell r="DV68">
            <v>21206020.927592661</v>
          </cell>
        </row>
        <row r="69">
          <cell r="A69" t="str">
            <v>Volume (kept by Grower)</v>
          </cell>
          <cell r="AS69">
            <v>51390951.52676101</v>
          </cell>
          <cell r="AT69">
            <v>8589901.6246175021</v>
          </cell>
          <cell r="AU69">
            <v>4982213.4239130002</v>
          </cell>
          <cell r="AV69">
            <v>7345186.4286212521</v>
          </cell>
          <cell r="AW69">
            <v>4747587.507960001</v>
          </cell>
          <cell r="AX69">
            <v>3339348.8580374997</v>
          </cell>
          <cell r="AY69">
            <v>6201736.1977230012</v>
          </cell>
          <cell r="AZ69">
            <v>3705074.0782825002</v>
          </cell>
          <cell r="BA69">
            <v>12479903.407606248</v>
          </cell>
          <cell r="BW69">
            <v>51390951.52676101</v>
          </cell>
          <cell r="BX69">
            <v>3144545.9316425002</v>
          </cell>
          <cell r="BY69">
            <v>5445355.6929750014</v>
          </cell>
          <cell r="BZ69">
            <v>4982213.4239130002</v>
          </cell>
          <cell r="CA69">
            <v>7345186.4286212521</v>
          </cell>
          <cell r="CB69">
            <v>4747587.507960001</v>
          </cell>
          <cell r="CC69">
            <v>3339348.8580374997</v>
          </cell>
          <cell r="CD69">
            <v>6201736.1977230012</v>
          </cell>
          <cell r="CE69">
            <v>3705074.0782825002</v>
          </cell>
          <cell r="CF69">
            <v>12479903.407606248</v>
          </cell>
          <cell r="CI69">
            <v>51390951.52676101</v>
          </cell>
          <cell r="CJ69">
            <v>8589901.6246175021</v>
          </cell>
          <cell r="CK69">
            <v>4982213.4239130002</v>
          </cell>
          <cell r="CL69">
            <v>7345186.4286212521</v>
          </cell>
          <cell r="CM69">
            <v>4747587.507960001</v>
          </cell>
          <cell r="CN69">
            <v>3339348.8580374997</v>
          </cell>
          <cell r="CO69">
            <v>6201736.1977230012</v>
          </cell>
          <cell r="CP69">
            <v>3705074.0782825002</v>
          </cell>
          <cell r="CQ69">
            <v>12479903.407606248</v>
          </cell>
          <cell r="DM69">
            <v>51390951.52676101</v>
          </cell>
          <cell r="DN69">
            <v>3144545.9316425002</v>
          </cell>
          <cell r="DO69">
            <v>5445355.6929750014</v>
          </cell>
          <cell r="DP69">
            <v>4982213.4239130002</v>
          </cell>
          <cell r="DQ69">
            <v>7345186.4286212521</v>
          </cell>
          <cell r="DR69">
            <v>4747587.507960001</v>
          </cell>
          <cell r="DS69">
            <v>3339348.8580374997</v>
          </cell>
          <cell r="DT69">
            <v>6201736.1977230012</v>
          </cell>
          <cell r="DU69">
            <v>3705074.0782825002</v>
          </cell>
          <cell r="DV69">
            <v>12479903.407606248</v>
          </cell>
        </row>
        <row r="70">
          <cell r="A70" t="str">
            <v>Early Pay Cash</v>
          </cell>
          <cell r="AS70">
            <v>15205737.882789196</v>
          </cell>
          <cell r="AT70">
            <v>2541610.7050452786</v>
          </cell>
          <cell r="AU70">
            <v>1474155.063283561</v>
          </cell>
          <cell r="AV70">
            <v>2173319.9369868645</v>
          </cell>
          <cell r="AW70">
            <v>1404733.1111207791</v>
          </cell>
          <cell r="AX70">
            <v>988058.44075621408</v>
          </cell>
          <cell r="AY70">
            <v>1834991.8076857449</v>
          </cell>
          <cell r="AZ70">
            <v>1096270.5222794558</v>
          </cell>
          <cell r="BA70">
            <v>3692598.2956312983</v>
          </cell>
          <cell r="BW70">
            <v>15205737.882789196</v>
          </cell>
          <cell r="BX70">
            <v>930419.45666345663</v>
          </cell>
          <cell r="BY70">
            <v>1611191.2483818221</v>
          </cell>
          <cell r="BZ70">
            <v>1474155.063283561</v>
          </cell>
          <cell r="CA70">
            <v>2173319.9369868645</v>
          </cell>
          <cell r="CB70">
            <v>1404733.1111207791</v>
          </cell>
          <cell r="CC70">
            <v>988058.44075621408</v>
          </cell>
          <cell r="CD70">
            <v>1834991.8076857449</v>
          </cell>
          <cell r="CE70">
            <v>1096270.5222794558</v>
          </cell>
          <cell r="CF70">
            <v>3692598.2956312983</v>
          </cell>
          <cell r="CI70">
            <v>15205737.882789196</v>
          </cell>
          <cell r="CJ70">
            <v>2541610.7050452786</v>
          </cell>
          <cell r="CK70">
            <v>1474155.063283561</v>
          </cell>
          <cell r="CL70">
            <v>2173319.9369868645</v>
          </cell>
          <cell r="CM70">
            <v>1404733.1111207791</v>
          </cell>
          <cell r="CN70">
            <v>988058.44075621408</v>
          </cell>
          <cell r="CO70">
            <v>1834991.8076857449</v>
          </cell>
          <cell r="CP70">
            <v>1096270.5222794558</v>
          </cell>
          <cell r="CQ70">
            <v>3692598.2956312983</v>
          </cell>
          <cell r="DM70">
            <v>15205737.882789196</v>
          </cell>
          <cell r="DN70">
            <v>930419.45666345663</v>
          </cell>
          <cell r="DO70">
            <v>1611191.2483818221</v>
          </cell>
          <cell r="DP70">
            <v>1474155.063283561</v>
          </cell>
          <cell r="DQ70">
            <v>2173319.9369868645</v>
          </cell>
          <cell r="DR70">
            <v>1404733.1111207791</v>
          </cell>
          <cell r="DS70">
            <v>988058.44075621408</v>
          </cell>
          <cell r="DT70">
            <v>1834991.8076857449</v>
          </cell>
          <cell r="DU70">
            <v>1096270.5222794558</v>
          </cell>
          <cell r="DV70">
            <v>3692598.2956312983</v>
          </cell>
        </row>
        <row r="71">
          <cell r="A71" t="str">
            <v>Seed Size</v>
          </cell>
          <cell r="AS71">
            <v>7122235.6799999997</v>
          </cell>
          <cell r="AT71">
            <v>1190468.3999999999</v>
          </cell>
          <cell r="AU71">
            <v>690481.44000000006</v>
          </cell>
          <cell r="AV71">
            <v>1017964.2000000001</v>
          </cell>
          <cell r="AW71">
            <v>657964.80000000005</v>
          </cell>
          <cell r="AX71">
            <v>462798</v>
          </cell>
          <cell r="AY71">
            <v>859494.24</v>
          </cell>
          <cell r="AZ71">
            <v>513483.6</v>
          </cell>
          <cell r="BA71">
            <v>1729581</v>
          </cell>
          <cell r="BW71">
            <v>7122235.6799999997</v>
          </cell>
          <cell r="BX71">
            <v>435800.4</v>
          </cell>
          <cell r="BY71">
            <v>754668</v>
          </cell>
          <cell r="BZ71">
            <v>690481.44000000006</v>
          </cell>
          <cell r="CA71">
            <v>1017964.2000000001</v>
          </cell>
          <cell r="CB71">
            <v>657964.80000000005</v>
          </cell>
          <cell r="CC71">
            <v>462798</v>
          </cell>
          <cell r="CD71">
            <v>859494.24</v>
          </cell>
          <cell r="CE71">
            <v>513483.6</v>
          </cell>
          <cell r="CF71">
            <v>1729581</v>
          </cell>
          <cell r="CI71">
            <v>7122235.6799999997</v>
          </cell>
          <cell r="CJ71">
            <v>1190468.3999999999</v>
          </cell>
          <cell r="CK71">
            <v>690481.44000000006</v>
          </cell>
          <cell r="CL71">
            <v>1017964.2000000001</v>
          </cell>
          <cell r="CM71">
            <v>657964.80000000005</v>
          </cell>
          <cell r="CN71">
            <v>462798</v>
          </cell>
          <cell r="CO71">
            <v>859494.24</v>
          </cell>
          <cell r="CP71">
            <v>513483.6</v>
          </cell>
          <cell r="CQ71">
            <v>1729581</v>
          </cell>
          <cell r="DM71">
            <v>7122235.6799999997</v>
          </cell>
          <cell r="DN71">
            <v>435800.4</v>
          </cell>
          <cell r="DO71">
            <v>754668</v>
          </cell>
          <cell r="DP71">
            <v>690481.44000000006</v>
          </cell>
          <cell r="DQ71">
            <v>1017964.2000000001</v>
          </cell>
          <cell r="DR71">
            <v>657964.80000000005</v>
          </cell>
          <cell r="DS71">
            <v>462798</v>
          </cell>
          <cell r="DT71">
            <v>859494.24</v>
          </cell>
          <cell r="DU71">
            <v>513483.6</v>
          </cell>
          <cell r="DV71">
            <v>1729581</v>
          </cell>
        </row>
        <row r="72">
          <cell r="A72" t="str">
            <v>AgriEdge</v>
          </cell>
          <cell r="AS72">
            <v>5935196.4000000004</v>
          </cell>
          <cell r="AT72">
            <v>992057</v>
          </cell>
          <cell r="AU72">
            <v>575401.19999999995</v>
          </cell>
          <cell r="AV72">
            <v>848303.5</v>
          </cell>
          <cell r="AW72">
            <v>548304</v>
          </cell>
          <cell r="AX72">
            <v>385665</v>
          </cell>
          <cell r="AY72">
            <v>716245.2</v>
          </cell>
          <cell r="AZ72">
            <v>427903</v>
          </cell>
          <cell r="BA72">
            <v>1441317.5</v>
          </cell>
          <cell r="BW72">
            <v>5935196.4000000004</v>
          </cell>
          <cell r="BX72">
            <v>363167</v>
          </cell>
          <cell r="BY72">
            <v>628890</v>
          </cell>
          <cell r="BZ72">
            <v>575401.19999999995</v>
          </cell>
          <cell r="CA72">
            <v>848303.5</v>
          </cell>
          <cell r="CB72">
            <v>548304</v>
          </cell>
          <cell r="CC72">
            <v>385665</v>
          </cell>
          <cell r="CD72">
            <v>716245.2</v>
          </cell>
          <cell r="CE72">
            <v>427903</v>
          </cell>
          <cell r="CF72">
            <v>1441317.5</v>
          </cell>
          <cell r="CI72">
            <v>5935196.4000000004</v>
          </cell>
          <cell r="CJ72">
            <v>992057</v>
          </cell>
          <cell r="CK72">
            <v>575401.19999999995</v>
          </cell>
          <cell r="CL72">
            <v>848303.5</v>
          </cell>
          <cell r="CM72">
            <v>548304</v>
          </cell>
          <cell r="CN72">
            <v>385665</v>
          </cell>
          <cell r="CO72">
            <v>716245.2</v>
          </cell>
          <cell r="CP72">
            <v>427903</v>
          </cell>
          <cell r="CQ72">
            <v>1441317.5</v>
          </cell>
          <cell r="DM72">
            <v>5935196.4000000004</v>
          </cell>
          <cell r="DN72">
            <v>363167</v>
          </cell>
          <cell r="DO72">
            <v>628890</v>
          </cell>
          <cell r="DP72">
            <v>575401.19999999995</v>
          </cell>
          <cell r="DQ72">
            <v>848303.5</v>
          </cell>
          <cell r="DR72">
            <v>548304</v>
          </cell>
          <cell r="DS72">
            <v>385665</v>
          </cell>
          <cell r="DT72">
            <v>716245.2</v>
          </cell>
          <cell r="DU72">
            <v>427903</v>
          </cell>
          <cell r="DV72">
            <v>1441317.5</v>
          </cell>
        </row>
        <row r="73">
          <cell r="A73" t="str">
            <v>Placement Seed</v>
          </cell>
          <cell r="AS73">
            <v>5757140.5079999994</v>
          </cell>
          <cell r="AT73">
            <v>962295.29</v>
          </cell>
          <cell r="AU73">
            <v>558139.16399999999</v>
          </cell>
          <cell r="AV73">
            <v>822854.39500000025</v>
          </cell>
          <cell r="AW73">
            <v>531854.88000000012</v>
          </cell>
          <cell r="AX73">
            <v>374095.05000000005</v>
          </cell>
          <cell r="AY73">
            <v>694757.84400000016</v>
          </cell>
          <cell r="AZ73">
            <v>415065.91000000003</v>
          </cell>
          <cell r="BA73">
            <v>1398077.9750000001</v>
          </cell>
          <cell r="BW73">
            <v>5757140.5079999994</v>
          </cell>
          <cell r="BX73">
            <v>352271.99</v>
          </cell>
          <cell r="BY73">
            <v>610023.30000000005</v>
          </cell>
          <cell r="BZ73">
            <v>558139.16399999999</v>
          </cell>
          <cell r="CA73">
            <v>822854.39500000025</v>
          </cell>
          <cell r="CB73">
            <v>531854.88000000012</v>
          </cell>
          <cell r="CC73">
            <v>374095.05000000005</v>
          </cell>
          <cell r="CD73">
            <v>694757.84400000016</v>
          </cell>
          <cell r="CE73">
            <v>415065.91000000003</v>
          </cell>
          <cell r="CF73">
            <v>1398077.9750000001</v>
          </cell>
          <cell r="CI73">
            <v>5757140.5079999994</v>
          </cell>
          <cell r="CJ73">
            <v>962295.29</v>
          </cell>
          <cell r="CK73">
            <v>558139.16399999999</v>
          </cell>
          <cell r="CL73">
            <v>822854.39500000025</v>
          </cell>
          <cell r="CM73">
            <v>531854.88000000012</v>
          </cell>
          <cell r="CN73">
            <v>374095.05000000005</v>
          </cell>
          <cell r="CO73">
            <v>694757.84400000016</v>
          </cell>
          <cell r="CP73">
            <v>415065.91000000003</v>
          </cell>
          <cell r="CQ73">
            <v>1398077.9750000001</v>
          </cell>
          <cell r="DM73">
            <v>5757140.5079999994</v>
          </cell>
          <cell r="DN73">
            <v>352271.99</v>
          </cell>
          <cell r="DO73">
            <v>610023.30000000005</v>
          </cell>
          <cell r="DP73">
            <v>558139.16399999999</v>
          </cell>
          <cell r="DQ73">
            <v>822854.39500000025</v>
          </cell>
          <cell r="DR73">
            <v>531854.88000000012</v>
          </cell>
          <cell r="DS73">
            <v>374095.05000000005</v>
          </cell>
          <cell r="DT73">
            <v>694757.84400000016</v>
          </cell>
          <cell r="DU73">
            <v>415065.91000000003</v>
          </cell>
          <cell r="DV73">
            <v>1398077.9750000001</v>
          </cell>
        </row>
        <row r="74">
          <cell r="A74" t="str">
            <v>Excelsior</v>
          </cell>
          <cell r="AS74">
            <v>1218521.0187619939</v>
          </cell>
          <cell r="AT74">
            <v>203673.51387225659</v>
          </cell>
          <cell r="AU74">
            <v>118132.30922246711</v>
          </cell>
          <cell r="AV74">
            <v>174160.31001760362</v>
          </cell>
          <cell r="AW74">
            <v>112569.13902146125</v>
          </cell>
          <cell r="AX74">
            <v>79178.661838527289</v>
          </cell>
          <cell r="AY74">
            <v>147048.18037485465</v>
          </cell>
          <cell r="AZ74">
            <v>87850.302559712029</v>
          </cell>
          <cell r="BA74">
            <v>295908.60185511131</v>
          </cell>
          <cell r="BW74">
            <v>1218521.0187619939</v>
          </cell>
          <cell r="BX74">
            <v>74559.726923398368</v>
          </cell>
          <cell r="BY74">
            <v>129113.78694885822</v>
          </cell>
          <cell r="BZ74">
            <v>118132.30922246711</v>
          </cell>
          <cell r="CA74">
            <v>174160.31001760362</v>
          </cell>
          <cell r="CB74">
            <v>112569.13902146125</v>
          </cell>
          <cell r="CC74">
            <v>79178.661838527289</v>
          </cell>
          <cell r="CD74">
            <v>147048.18037485465</v>
          </cell>
          <cell r="CE74">
            <v>87850.302559712029</v>
          </cell>
          <cell r="CF74">
            <v>295908.60185511131</v>
          </cell>
          <cell r="CI74">
            <v>1218521.0187619939</v>
          </cell>
          <cell r="CJ74">
            <v>203673.51387225659</v>
          </cell>
          <cell r="CK74">
            <v>118132.30922246711</v>
          </cell>
          <cell r="CL74">
            <v>174160.31001760362</v>
          </cell>
          <cell r="CM74">
            <v>112569.13902146125</v>
          </cell>
          <cell r="CN74">
            <v>79178.661838527289</v>
          </cell>
          <cell r="CO74">
            <v>147048.18037485465</v>
          </cell>
          <cell r="CP74">
            <v>87850.302559712029</v>
          </cell>
          <cell r="CQ74">
            <v>295908.60185511131</v>
          </cell>
          <cell r="DM74">
            <v>1218521.0187619939</v>
          </cell>
          <cell r="DN74">
            <v>74559.726923398368</v>
          </cell>
          <cell r="DO74">
            <v>129113.78694885822</v>
          </cell>
          <cell r="DP74">
            <v>118132.30922246711</v>
          </cell>
          <cell r="DQ74">
            <v>174160.31001760362</v>
          </cell>
          <cell r="DR74">
            <v>112569.13902146125</v>
          </cell>
          <cell r="DS74">
            <v>79178.661838527289</v>
          </cell>
          <cell r="DT74">
            <v>147048.18037485465</v>
          </cell>
          <cell r="DU74">
            <v>87850.302559712029</v>
          </cell>
          <cell r="DV74">
            <v>295908.60185511131</v>
          </cell>
        </row>
        <row r="75">
          <cell r="A75" t="str">
            <v>Double Crop</v>
          </cell>
          <cell r="AS75">
            <v>694417.97879999992</v>
          </cell>
          <cell r="AT75">
            <v>116070.66899999999</v>
          </cell>
          <cell r="AU75">
            <v>67321.940400000021</v>
          </cell>
          <cell r="AV75">
            <v>99251.509499999986</v>
          </cell>
          <cell r="AW75">
            <v>64151.567999999999</v>
          </cell>
          <cell r="AX75">
            <v>45122.805000000015</v>
          </cell>
          <cell r="AY75">
            <v>83800.688399999985</v>
          </cell>
          <cell r="AZ75">
            <v>50064.650999999998</v>
          </cell>
          <cell r="BA75">
            <v>168634.14750000002</v>
          </cell>
          <cell r="BW75">
            <v>694417.97879999992</v>
          </cell>
          <cell r="BX75">
            <v>42490.539000000004</v>
          </cell>
          <cell r="BY75">
            <v>73580.12999999999</v>
          </cell>
          <cell r="BZ75">
            <v>67321.940400000021</v>
          </cell>
          <cell r="CA75">
            <v>99251.509499999986</v>
          </cell>
          <cell r="CB75">
            <v>64151.567999999999</v>
          </cell>
          <cell r="CC75">
            <v>45122.805000000015</v>
          </cell>
          <cell r="CD75">
            <v>83800.688399999985</v>
          </cell>
          <cell r="CE75">
            <v>50064.650999999998</v>
          </cell>
          <cell r="CF75">
            <v>168634.14750000002</v>
          </cell>
          <cell r="CI75">
            <v>694417.97879999992</v>
          </cell>
          <cell r="CJ75">
            <v>116070.66899999999</v>
          </cell>
          <cell r="CK75">
            <v>67321.940400000021</v>
          </cell>
          <cell r="CL75">
            <v>99251.509499999986</v>
          </cell>
          <cell r="CM75">
            <v>64151.567999999999</v>
          </cell>
          <cell r="CN75">
            <v>45122.805000000015</v>
          </cell>
          <cell r="CO75">
            <v>83800.688399999985</v>
          </cell>
          <cell r="CP75">
            <v>50064.650999999998</v>
          </cell>
          <cell r="CQ75">
            <v>168634.14750000002</v>
          </cell>
          <cell r="DM75">
            <v>694417.97879999992</v>
          </cell>
          <cell r="DN75">
            <v>42490.539000000004</v>
          </cell>
          <cell r="DO75">
            <v>73580.12999999999</v>
          </cell>
          <cell r="DP75">
            <v>67321.940400000021</v>
          </cell>
          <cell r="DQ75">
            <v>99251.509499999986</v>
          </cell>
          <cell r="DR75">
            <v>64151.567999999999</v>
          </cell>
          <cell r="DS75">
            <v>45122.805000000015</v>
          </cell>
          <cell r="DT75">
            <v>83800.688399999985</v>
          </cell>
          <cell r="DU75">
            <v>50064.650999999998</v>
          </cell>
          <cell r="DV75">
            <v>168634.14750000002</v>
          </cell>
        </row>
        <row r="76">
          <cell r="A76" t="str">
            <v>Exceptions</v>
          </cell>
          <cell r="AS76">
            <v>0</v>
          </cell>
          <cell r="AT76">
            <v>0</v>
          </cell>
          <cell r="AU76">
            <v>0</v>
          </cell>
          <cell r="AV76">
            <v>0</v>
          </cell>
          <cell r="AW76">
            <v>0</v>
          </cell>
          <cell r="AX76">
            <v>0</v>
          </cell>
          <cell r="AY76">
            <v>0</v>
          </cell>
          <cell r="AZ76">
            <v>0</v>
          </cell>
          <cell r="BA76">
            <v>0</v>
          </cell>
          <cell r="BW76">
            <v>0</v>
          </cell>
          <cell r="BX76">
            <v>0</v>
          </cell>
          <cell r="BY76">
            <v>0</v>
          </cell>
          <cell r="BZ76">
            <v>0</v>
          </cell>
          <cell r="CA76">
            <v>0</v>
          </cell>
          <cell r="CB76">
            <v>0</v>
          </cell>
          <cell r="CC76">
            <v>0</v>
          </cell>
          <cell r="CD76">
            <v>0</v>
          </cell>
          <cell r="CE76">
            <v>0</v>
          </cell>
          <cell r="CF76">
            <v>0</v>
          </cell>
          <cell r="CI76">
            <v>0</v>
          </cell>
          <cell r="CJ76">
            <v>0</v>
          </cell>
          <cell r="CK76">
            <v>0</v>
          </cell>
          <cell r="CL76">
            <v>0</v>
          </cell>
          <cell r="CM76">
            <v>0</v>
          </cell>
          <cell r="CN76">
            <v>0</v>
          </cell>
          <cell r="CO76">
            <v>0</v>
          </cell>
          <cell r="CP76">
            <v>0</v>
          </cell>
          <cell r="CQ76">
            <v>0</v>
          </cell>
          <cell r="DM76">
            <v>0</v>
          </cell>
          <cell r="DN76">
            <v>0</v>
          </cell>
          <cell r="DO76">
            <v>0</v>
          </cell>
          <cell r="DP76">
            <v>0</v>
          </cell>
          <cell r="DQ76">
            <v>0</v>
          </cell>
          <cell r="DR76">
            <v>0</v>
          </cell>
          <cell r="DS76">
            <v>0</v>
          </cell>
          <cell r="DT76">
            <v>0</v>
          </cell>
          <cell r="DU76">
            <v>0</v>
          </cell>
          <cell r="DV76">
            <v>0</v>
          </cell>
        </row>
        <row r="79">
          <cell r="A79" t="str">
            <v>FARMGATE REVENUE</v>
          </cell>
          <cell r="C79">
            <v>505096091</v>
          </cell>
          <cell r="D79">
            <v>90035212</v>
          </cell>
          <cell r="E79">
            <v>96798441</v>
          </cell>
          <cell r="F79">
            <v>119206082</v>
          </cell>
          <cell r="G79">
            <v>51525833</v>
          </cell>
          <cell r="H79">
            <v>42071533</v>
          </cell>
          <cell r="I79">
            <v>42050056</v>
          </cell>
          <cell r="J79">
            <v>22244133</v>
          </cell>
          <cell r="K79">
            <v>41164801</v>
          </cell>
          <cell r="M79">
            <v>165995889</v>
          </cell>
          <cell r="N79">
            <v>33829228</v>
          </cell>
          <cell r="O79">
            <v>13065395</v>
          </cell>
          <cell r="P79">
            <v>22195521</v>
          </cell>
          <cell r="Q79">
            <v>27721864</v>
          </cell>
          <cell r="R79">
            <v>17157148</v>
          </cell>
          <cell r="S79">
            <v>16076035</v>
          </cell>
          <cell r="T79">
            <v>19556012</v>
          </cell>
          <cell r="U79">
            <v>16394686</v>
          </cell>
          <cell r="W79">
            <v>134183099</v>
          </cell>
          <cell r="X79">
            <v>23789565</v>
          </cell>
          <cell r="Y79">
            <v>24594864</v>
          </cell>
          <cell r="Z79">
            <v>18845223</v>
          </cell>
          <cell r="AA79">
            <v>23363907</v>
          </cell>
          <cell r="AB79">
            <v>7117270</v>
          </cell>
          <cell r="AC79">
            <v>16475560</v>
          </cell>
          <cell r="AD79">
            <v>12360530</v>
          </cell>
          <cell r="AE79">
            <v>7636180</v>
          </cell>
          <cell r="AG79">
            <v>204917103</v>
          </cell>
          <cell r="AH79">
            <v>17072997</v>
          </cell>
          <cell r="AI79">
            <v>15343422</v>
          </cell>
          <cell r="AJ79">
            <v>18097438</v>
          </cell>
          <cell r="AK79">
            <v>43845893</v>
          </cell>
          <cell r="AL79">
            <v>18974238</v>
          </cell>
          <cell r="AM79">
            <v>10154991</v>
          </cell>
          <cell r="AN79">
            <v>18019190</v>
          </cell>
          <cell r="AO79">
            <v>22244133</v>
          </cell>
          <cell r="AP79">
            <v>41164801</v>
          </cell>
          <cell r="AS79">
            <v>395469019.58877766</v>
          </cell>
          <cell r="AT79">
            <v>79455197.438551724</v>
          </cell>
          <cell r="AU79">
            <v>62907326.397537261</v>
          </cell>
          <cell r="AV79">
            <v>74162372.847890303</v>
          </cell>
          <cell r="AW79">
            <v>32859371.584877834</v>
          </cell>
          <cell r="AX79">
            <v>34812650.51555521</v>
          </cell>
          <cell r="AY79">
            <v>45312808.79607971</v>
          </cell>
          <cell r="AZ79">
            <v>15099437.935878333</v>
          </cell>
          <cell r="BA79">
            <v>50859854.072407335</v>
          </cell>
          <cell r="BC79">
            <v>105386394.87975501</v>
          </cell>
          <cell r="BD79">
            <v>26874620.23962</v>
          </cell>
          <cell r="BE79">
            <v>8997155.7541349996</v>
          </cell>
          <cell r="BF79">
            <v>8102785.4829500001</v>
          </cell>
          <cell r="BG79">
            <v>11802569.133734999</v>
          </cell>
          <cell r="BH79">
            <v>16289283.146750001</v>
          </cell>
          <cell r="BI79">
            <v>6662976.6909149997</v>
          </cell>
          <cell r="BJ79">
            <v>13678299.142700002</v>
          </cell>
          <cell r="BK79">
            <v>12978705.28895</v>
          </cell>
          <cell r="BM79">
            <v>80647005.704134941</v>
          </cell>
          <cell r="BN79">
            <v>17573804.401466776</v>
          </cell>
          <cell r="BO79">
            <v>13408850.92332639</v>
          </cell>
          <cell r="BP79">
            <v>12094318.7779449</v>
          </cell>
          <cell r="BQ79">
            <v>9331861.8324541263</v>
          </cell>
          <cell r="BR79">
            <v>6804524.0150768999</v>
          </cell>
          <cell r="BS79">
            <v>6848359.9000650756</v>
          </cell>
          <cell r="BT79">
            <v>7525368.1884874497</v>
          </cell>
          <cell r="BU79">
            <v>7059917.6653133109</v>
          </cell>
          <cell r="BW79">
            <v>209435619.00488782</v>
          </cell>
          <cell r="BX79">
            <v>12815094.955770645</v>
          </cell>
          <cell r="BY79">
            <v>22191677.841694318</v>
          </cell>
          <cell r="BZ79">
            <v>20304215.459180973</v>
          </cell>
          <cell r="CA79">
            <v>29934134.719874278</v>
          </cell>
          <cell r="CB79">
            <v>19348034.993897758</v>
          </cell>
          <cell r="CC79">
            <v>13608983.184367761</v>
          </cell>
          <cell r="CD79">
            <v>25274185.841816399</v>
          </cell>
          <cell r="CE79">
            <v>15099437.935878333</v>
          </cell>
          <cell r="CF79">
            <v>50859854.072407335</v>
          </cell>
          <cell r="CI79">
            <v>900565110.5887779</v>
          </cell>
          <cell r="CJ79">
            <v>169490409.43855172</v>
          </cell>
          <cell r="CK79">
            <v>159705767.39753726</v>
          </cell>
          <cell r="CL79">
            <v>193368454.84789032</v>
          </cell>
          <cell r="CM79">
            <v>84385204.584877834</v>
          </cell>
          <cell r="CN79">
            <v>76884183.515555203</v>
          </cell>
          <cell r="CO79">
            <v>87362864.79607971</v>
          </cell>
          <cell r="CP79">
            <v>37343570.935878336</v>
          </cell>
          <cell r="CQ79">
            <v>92024655.072407335</v>
          </cell>
          <cell r="CS79">
            <v>271382283.87975502</v>
          </cell>
          <cell r="CT79">
            <v>60703848.23962</v>
          </cell>
          <cell r="CU79">
            <v>22062550.754134998</v>
          </cell>
          <cell r="CV79">
            <v>30298306.482950002</v>
          </cell>
          <cell r="CW79">
            <v>39524433.133735001</v>
          </cell>
          <cell r="CX79">
            <v>33446431.146750003</v>
          </cell>
          <cell r="CY79">
            <v>22739011.690915</v>
          </cell>
          <cell r="CZ79">
            <v>33234311.142700002</v>
          </cell>
          <cell r="DA79">
            <v>29373391.28895</v>
          </cell>
          <cell r="DC79">
            <v>214830104.70413488</v>
          </cell>
          <cell r="DD79">
            <v>41363369.401466772</v>
          </cell>
          <cell r="DE79">
            <v>38003714.923326388</v>
          </cell>
          <cell r="DF79">
            <v>30939541.7779449</v>
          </cell>
          <cell r="DG79">
            <v>32695768.832454126</v>
          </cell>
          <cell r="DH79">
            <v>13921794.0150769</v>
          </cell>
          <cell r="DI79">
            <v>23323919.900065076</v>
          </cell>
          <cell r="DJ79">
            <v>19885898.188487448</v>
          </cell>
          <cell r="DK79">
            <v>14696097.665313311</v>
          </cell>
          <cell r="DM79">
            <v>414352722.00488782</v>
          </cell>
          <cell r="DN79">
            <v>29888091.955770645</v>
          </cell>
          <cell r="DO79">
            <v>37535099.841694318</v>
          </cell>
          <cell r="DP79">
            <v>38401653.459180973</v>
          </cell>
          <cell r="DQ79">
            <v>73780027.719874278</v>
          </cell>
          <cell r="DR79">
            <v>38322272.993897758</v>
          </cell>
          <cell r="DS79">
            <v>23763974.184367761</v>
          </cell>
          <cell r="DT79">
            <v>43293375.841816396</v>
          </cell>
          <cell r="DU79">
            <v>37343570.935878336</v>
          </cell>
          <cell r="DV79">
            <v>92024655.072407335</v>
          </cell>
        </row>
        <row r="80">
          <cell r="A80" t="str">
            <v>FG Price/Unit</v>
          </cell>
          <cell r="C80">
            <v>149.29903133707762</v>
          </cell>
          <cell r="D80">
            <v>157.48268280524388</v>
          </cell>
          <cell r="E80">
            <v>145.00248815094884</v>
          </cell>
          <cell r="F80">
            <v>152.54453830118587</v>
          </cell>
          <cell r="G80">
            <v>149.25117241019728</v>
          </cell>
          <cell r="H80">
            <v>153.09762301584414</v>
          </cell>
          <cell r="I80">
            <v>144.15168645250199</v>
          </cell>
          <cell r="J80">
            <v>139.68935568952526</v>
          </cell>
          <cell r="K80">
            <v>141.26125479995471</v>
          </cell>
          <cell r="M80">
            <v>147.53747544684521</v>
          </cell>
          <cell r="N80">
            <v>153.39618654635319</v>
          </cell>
          <cell r="O80">
            <v>137.16950131233597</v>
          </cell>
          <cell r="P80">
            <v>150.24891521408023</v>
          </cell>
          <cell r="Q80">
            <v>158.8718336657268</v>
          </cell>
          <cell r="R80">
            <v>126.65653836500273</v>
          </cell>
          <cell r="S80">
            <v>147.35137488542622</v>
          </cell>
          <cell r="T80">
            <v>151.7146004654771</v>
          </cell>
          <cell r="U80">
            <v>144.261003466906</v>
          </cell>
          <cell r="W80">
            <v>148.80299306903242</v>
          </cell>
          <cell r="X80">
            <v>153.40090017474739</v>
          </cell>
          <cell r="Y80">
            <v>149.99978044228681</v>
          </cell>
          <cell r="Z80">
            <v>138.07339160506129</v>
          </cell>
          <cell r="AA80">
            <v>162.1536384772877</v>
          </cell>
          <cell r="AB80">
            <v>126.46853954546262</v>
          </cell>
          <cell r="AC80">
            <v>148.7756115621134</v>
          </cell>
          <cell r="AD80">
            <v>156.39311697349277</v>
          </cell>
          <cell r="AE80">
            <v>136.17069082349585</v>
          </cell>
          <cell r="AG80">
            <v>151.09017170049628</v>
          </cell>
          <cell r="AH80">
            <v>168.21349609836841</v>
          </cell>
          <cell r="AI80">
            <v>162.1874781983658</v>
          </cell>
          <cell r="AJ80">
            <v>145.78718502287813</v>
          </cell>
          <cell r="AK80">
            <v>161.71240525937264</v>
          </cell>
          <cell r="AL80">
            <v>151.32419370274667</v>
          </cell>
          <cell r="AM80">
            <v>151.86850015702814</v>
          </cell>
          <cell r="AN80">
            <v>147.71886246444177</v>
          </cell>
          <cell r="AO80">
            <v>139.68935568952526</v>
          </cell>
          <cell r="AP80">
            <v>141.26125479995471</v>
          </cell>
          <cell r="AS80">
            <v>33.111327966124307</v>
          </cell>
          <cell r="AT80">
            <v>32.995768943627944</v>
          </cell>
          <cell r="AU80">
            <v>33.874486434572113</v>
          </cell>
          <cell r="AV80">
            <v>33.888345152851514</v>
          </cell>
          <cell r="AW80">
            <v>32.982362815818021</v>
          </cell>
          <cell r="AX80">
            <v>33.762632640437602</v>
          </cell>
          <cell r="AY80">
            <v>33.260769109318247</v>
          </cell>
          <cell r="AZ80">
            <v>32.450973427634501</v>
          </cell>
          <cell r="BA80">
            <v>31.105993133180842</v>
          </cell>
          <cell r="BC80">
            <v>34.185983066267092</v>
          </cell>
          <cell r="BD80">
            <v>33.783646145555203</v>
          </cell>
          <cell r="BE80">
            <v>33.785662667939661</v>
          </cell>
          <cell r="BF80">
            <v>34.309122593682517</v>
          </cell>
          <cell r="BG80">
            <v>34.310492172035474</v>
          </cell>
          <cell r="BH80">
            <v>34.57785804570252</v>
          </cell>
          <cell r="BI80">
            <v>34.081547874000641</v>
          </cell>
          <cell r="BJ80">
            <v>34.393510542368624</v>
          </cell>
          <cell r="BK80">
            <v>34.47290841443332</v>
          </cell>
          <cell r="BM80">
            <v>34.697927815362711</v>
          </cell>
          <cell r="BN80">
            <v>34.06766385861544</v>
          </cell>
          <cell r="BO80">
            <v>35.132974174203191</v>
          </cell>
          <cell r="BP80">
            <v>34.634360761583331</v>
          </cell>
          <cell r="BQ80">
            <v>35.016367101141185</v>
          </cell>
          <cell r="BR80">
            <v>34.894994949112309</v>
          </cell>
          <cell r="BS80">
            <v>34.439828514282503</v>
          </cell>
          <cell r="BT80">
            <v>35.083301578030067</v>
          </cell>
          <cell r="BU80">
            <v>34.82939154076621</v>
          </cell>
          <cell r="BW80">
            <v>32.040354036931596</v>
          </cell>
          <cell r="BX80">
            <v>31.902153238164413</v>
          </cell>
          <cell r="BY80">
            <v>31.930471714668084</v>
          </cell>
          <cell r="BZ80">
            <v>32.552370313241049</v>
          </cell>
          <cell r="CA80">
            <v>32.827915468415064</v>
          </cell>
          <cell r="CB80">
            <v>32.143864623035881</v>
          </cell>
          <cell r="CC80">
            <v>32.487427033582627</v>
          </cell>
          <cell r="CD80">
            <v>32.27205914732162</v>
          </cell>
          <cell r="CE80">
            <v>32.450973427634501</v>
          </cell>
          <cell r="CF80">
            <v>31.105993133180842</v>
          </cell>
          <cell r="CI80" t="str">
            <v>N/A</v>
          </cell>
          <cell r="CJ80" t="str">
            <v>N/A</v>
          </cell>
          <cell r="CK80" t="str">
            <v>N/A</v>
          </cell>
          <cell r="CL80" t="str">
            <v>N/A</v>
          </cell>
          <cell r="CM80" t="str">
            <v>N/A</v>
          </cell>
          <cell r="CN80" t="str">
            <v>N/A</v>
          </cell>
          <cell r="CO80" t="str">
            <v>N/A</v>
          </cell>
          <cell r="CP80" t="str">
            <v>N/A</v>
          </cell>
          <cell r="CQ80" t="str">
            <v>N/A</v>
          </cell>
          <cell r="CS80" t="str">
            <v>N/A</v>
          </cell>
          <cell r="CT80" t="str">
            <v>N/A</v>
          </cell>
          <cell r="CU80" t="str">
            <v>N/A</v>
          </cell>
          <cell r="CV80" t="str">
            <v>N/A</v>
          </cell>
          <cell r="CW80" t="str">
            <v>N/A</v>
          </cell>
          <cell r="CX80" t="str">
            <v>N/A</v>
          </cell>
          <cell r="CY80" t="str">
            <v>N/A</v>
          </cell>
          <cell r="CZ80" t="str">
            <v>N/A</v>
          </cell>
          <cell r="DA80" t="str">
            <v>N/A</v>
          </cell>
          <cell r="DC80" t="str">
            <v>N/A</v>
          </cell>
          <cell r="DD80" t="str">
            <v>N/A</v>
          </cell>
          <cell r="DE80" t="str">
            <v>N/A</v>
          </cell>
          <cell r="DF80" t="str">
            <v>N/A</v>
          </cell>
          <cell r="DG80" t="str">
            <v>N/A</v>
          </cell>
          <cell r="DH80" t="str">
            <v>N/A</v>
          </cell>
          <cell r="DI80" t="str">
            <v>N/A</v>
          </cell>
          <cell r="DJ80" t="str">
            <v>N/A</v>
          </cell>
          <cell r="DK80" t="str">
            <v>N/A</v>
          </cell>
          <cell r="DM80" t="str">
            <v>N/A</v>
          </cell>
          <cell r="DN80" t="str">
            <v>N/A</v>
          </cell>
          <cell r="DO80" t="str">
            <v>N/A</v>
          </cell>
          <cell r="DP80" t="str">
            <v>N/A</v>
          </cell>
          <cell r="DQ80" t="str">
            <v>N/A</v>
          </cell>
          <cell r="DR80" t="str">
            <v>N/A</v>
          </cell>
          <cell r="DS80" t="str">
            <v>N/A</v>
          </cell>
          <cell r="DT80" t="str">
            <v>N/A</v>
          </cell>
          <cell r="DU80" t="str">
            <v>N/A</v>
          </cell>
          <cell r="DV80" t="str">
            <v>N/A</v>
          </cell>
        </row>
        <row r="81">
          <cell r="A81" t="str">
            <v xml:space="preserve">FG Check </v>
          </cell>
          <cell r="C81">
            <v>505096091</v>
          </cell>
          <cell r="D81">
            <v>90035212</v>
          </cell>
          <cell r="E81">
            <v>96798441</v>
          </cell>
          <cell r="F81">
            <v>119206082.00000001</v>
          </cell>
          <cell r="G81">
            <v>51525833</v>
          </cell>
          <cell r="H81">
            <v>42071533</v>
          </cell>
          <cell r="I81">
            <v>42050056</v>
          </cell>
          <cell r="J81">
            <v>22244133</v>
          </cell>
          <cell r="K81">
            <v>41164801</v>
          </cell>
          <cell r="M81">
            <v>165995889</v>
          </cell>
          <cell r="N81">
            <v>33829228</v>
          </cell>
          <cell r="O81">
            <v>13065395</v>
          </cell>
          <cell r="P81">
            <v>22195521</v>
          </cell>
          <cell r="Q81">
            <v>27721864</v>
          </cell>
          <cell r="R81">
            <v>17157148</v>
          </cell>
          <cell r="S81">
            <v>16076035</v>
          </cell>
          <cell r="T81">
            <v>19556012</v>
          </cell>
          <cell r="U81">
            <v>16394686</v>
          </cell>
          <cell r="W81">
            <v>134183099.00000003</v>
          </cell>
          <cell r="X81">
            <v>23789565</v>
          </cell>
          <cell r="Y81">
            <v>24594864.000000004</v>
          </cell>
          <cell r="Z81">
            <v>18845223</v>
          </cell>
          <cell r="AA81">
            <v>23363907</v>
          </cell>
          <cell r="AB81">
            <v>7117270.0000000009</v>
          </cell>
          <cell r="AC81">
            <v>16475560</v>
          </cell>
          <cell r="AD81">
            <v>12360529.999999998</v>
          </cell>
          <cell r="AE81">
            <v>7636180</v>
          </cell>
          <cell r="AG81">
            <v>204917103.00000006</v>
          </cell>
          <cell r="AH81">
            <v>17072997</v>
          </cell>
          <cell r="AI81">
            <v>15343422</v>
          </cell>
          <cell r="AJ81">
            <v>18097438</v>
          </cell>
          <cell r="AK81">
            <v>43845893</v>
          </cell>
          <cell r="AL81">
            <v>18974238</v>
          </cell>
          <cell r="AM81">
            <v>10154991</v>
          </cell>
          <cell r="AN81">
            <v>18019190</v>
          </cell>
          <cell r="AO81">
            <v>22244133</v>
          </cell>
          <cell r="AP81">
            <v>41164801</v>
          </cell>
          <cell r="CI81">
            <v>1049570296.5000001</v>
          </cell>
          <cell r="CJ81">
            <v>198850711</v>
          </cell>
          <cell r="CK81">
            <v>182185135.5</v>
          </cell>
          <cell r="CL81">
            <v>220562063.5</v>
          </cell>
          <cell r="CM81">
            <v>96916403.5</v>
          </cell>
          <cell r="CN81">
            <v>89615223</v>
          </cell>
          <cell r="CO81">
            <v>104570801</v>
          </cell>
          <cell r="CP81">
            <v>43639283</v>
          </cell>
          <cell r="CQ81">
            <v>113230676</v>
          </cell>
          <cell r="CS81">
            <v>307050852.5</v>
          </cell>
          <cell r="CT81">
            <v>69799702</v>
          </cell>
          <cell r="CU81">
            <v>25107684.5</v>
          </cell>
          <cell r="CV81">
            <v>33040736</v>
          </cell>
          <cell r="CW81">
            <v>43519073.5</v>
          </cell>
          <cell r="CX81">
            <v>38959623</v>
          </cell>
          <cell r="CY81">
            <v>24994130.5</v>
          </cell>
          <cell r="CZ81">
            <v>37863802</v>
          </cell>
          <cell r="DA81">
            <v>33766101</v>
          </cell>
          <cell r="DC81">
            <v>240842521.00000006</v>
          </cell>
          <cell r="DD81">
            <v>47031740</v>
          </cell>
          <cell r="DE81">
            <v>42328694</v>
          </cell>
          <cell r="DF81">
            <v>34840523</v>
          </cell>
          <cell r="DG81">
            <v>35705729</v>
          </cell>
          <cell r="DH81">
            <v>16116570</v>
          </cell>
          <cell r="DI81">
            <v>25532835</v>
          </cell>
          <cell r="DJ81">
            <v>22313180</v>
          </cell>
          <cell r="DK81">
            <v>16973250.000000004</v>
          </cell>
          <cell r="DM81">
            <v>501676923</v>
          </cell>
          <cell r="DN81">
            <v>35231347</v>
          </cell>
          <cell r="DO81">
            <v>46787922</v>
          </cell>
          <cell r="DP81">
            <v>46867498</v>
          </cell>
          <cell r="DQ81">
            <v>86261068</v>
          </cell>
          <cell r="DR81">
            <v>46389438</v>
          </cell>
          <cell r="DS81">
            <v>29438241.000000004</v>
          </cell>
          <cell r="DT81">
            <v>53831450</v>
          </cell>
          <cell r="DU81">
            <v>43639283</v>
          </cell>
          <cell r="DV81">
            <v>113230676</v>
          </cell>
        </row>
        <row r="83">
          <cell r="A83" t="str">
            <v>TOTAL CHANNEL DISCOUNT - Corn</v>
          </cell>
          <cell r="C83">
            <v>81953060.410095081</v>
          </cell>
          <cell r="D83">
            <v>14512293.388680071</v>
          </cell>
          <cell r="E83">
            <v>13571384.318866994</v>
          </cell>
          <cell r="F83">
            <v>19458456.946232155</v>
          </cell>
          <cell r="G83">
            <v>8103794.9751803409</v>
          </cell>
          <cell r="H83">
            <v>6467084.8396424297</v>
          </cell>
          <cell r="I83">
            <v>7119625.5201213844</v>
          </cell>
          <cell r="J83">
            <v>4559266.3334361669</v>
          </cell>
          <cell r="K83">
            <v>8161154.0879355362</v>
          </cell>
          <cell r="M83">
            <v>27013757.043953318</v>
          </cell>
          <cell r="N83">
            <v>5505284.2072281847</v>
          </cell>
          <cell r="O83">
            <v>2126229.8020722819</v>
          </cell>
          <cell r="P83">
            <v>3612043.7401793972</v>
          </cell>
          <cell r="Q83">
            <v>4511387.0193587504</v>
          </cell>
          <cell r="R83">
            <v>2792111.4819846503</v>
          </cell>
          <cell r="S83">
            <v>2616173.8482577126</v>
          </cell>
          <cell r="T83">
            <v>3182496.6274715136</v>
          </cell>
          <cell r="U83">
            <v>2668030.3174008289</v>
          </cell>
          <cell r="W83">
            <v>12238270.792630238</v>
          </cell>
          <cell r="X83">
            <v>2169745.2263259967</v>
          </cell>
          <cell r="Y83">
            <v>2243193.1292622252</v>
          </cell>
          <cell r="Z83">
            <v>1718792.7834451313</v>
          </cell>
          <cell r="AA83">
            <v>2130922.7672542371</v>
          </cell>
          <cell r="AB83">
            <v>649135.98071142659</v>
          </cell>
          <cell r="AC83">
            <v>1502665.8814924746</v>
          </cell>
          <cell r="AD83">
            <v>1127351.4653319332</v>
          </cell>
          <cell r="AE83">
            <v>696463.55880681472</v>
          </cell>
          <cell r="AG83">
            <v>42701032.573511519</v>
          </cell>
          <cell r="AH83">
            <v>3701357.5385903963</v>
          </cell>
          <cell r="AI83">
            <v>3135906.4165354925</v>
          </cell>
          <cell r="AJ83">
            <v>3871124.8639079598</v>
          </cell>
          <cell r="AK83">
            <v>9374899.696923092</v>
          </cell>
          <cell r="AL83">
            <v>3984955.2454301533</v>
          </cell>
          <cell r="AM83">
            <v>2157236.7468389827</v>
          </cell>
          <cell r="AN83">
            <v>3755131.6439137408</v>
          </cell>
          <cell r="AO83">
            <v>4559266.3334361669</v>
          </cell>
          <cell r="AP83">
            <v>8161154.0879355362</v>
          </cell>
          <cell r="CI83">
            <v>81953060.410095081</v>
          </cell>
          <cell r="CJ83">
            <v>14512293.388680071</v>
          </cell>
          <cell r="CK83">
            <v>13571384.318866994</v>
          </cell>
          <cell r="CL83">
            <v>19458456.946232155</v>
          </cell>
          <cell r="CM83">
            <v>8103794.9751803409</v>
          </cell>
          <cell r="CN83">
            <v>6467084.8396424297</v>
          </cell>
          <cell r="CO83">
            <v>7119625.5201213844</v>
          </cell>
          <cell r="CP83">
            <v>4559266.3334361669</v>
          </cell>
          <cell r="CQ83">
            <v>8161154.0879355362</v>
          </cell>
          <cell r="CS83">
            <v>27013757.043953318</v>
          </cell>
          <cell r="CT83">
            <v>5505284.2072281847</v>
          </cell>
          <cell r="CU83">
            <v>2126229.8020722819</v>
          </cell>
          <cell r="CV83">
            <v>3612043.7401793972</v>
          </cell>
          <cell r="CW83">
            <v>4511387.0193587504</v>
          </cell>
          <cell r="CX83">
            <v>2792111.4819846503</v>
          </cell>
          <cell r="CY83">
            <v>2616173.8482577126</v>
          </cell>
          <cell r="CZ83">
            <v>3182496.6274715136</v>
          </cell>
          <cell r="DA83">
            <v>2668030.3174008289</v>
          </cell>
          <cell r="DC83">
            <v>12238270.792630238</v>
          </cell>
          <cell r="DD83">
            <v>2169745.2263259967</v>
          </cell>
          <cell r="DE83">
            <v>2243193.1292622252</v>
          </cell>
          <cell r="DF83">
            <v>1718792.7834451313</v>
          </cell>
          <cell r="DG83">
            <v>2130922.7672542371</v>
          </cell>
          <cell r="DH83">
            <v>649135.98071142659</v>
          </cell>
          <cell r="DI83">
            <v>1502665.8814924746</v>
          </cell>
          <cell r="DJ83">
            <v>1127351.4653319332</v>
          </cell>
          <cell r="DK83">
            <v>696463.55880681472</v>
          </cell>
          <cell r="DM83">
            <v>42701032.573511519</v>
          </cell>
          <cell r="DN83">
            <v>3701357.5385903963</v>
          </cell>
          <cell r="DO83">
            <v>3135906.4165354925</v>
          </cell>
          <cell r="DP83">
            <v>3871124.8639079598</v>
          </cell>
          <cell r="DQ83">
            <v>9374899.696923092</v>
          </cell>
          <cell r="DR83">
            <v>3984955.2454301533</v>
          </cell>
          <cell r="DS83">
            <v>2157236.7468389827</v>
          </cell>
          <cell r="DT83">
            <v>3755131.6439137408</v>
          </cell>
          <cell r="DU83">
            <v>4559266.3334361669</v>
          </cell>
          <cell r="DV83">
            <v>8161154.0879355362</v>
          </cell>
        </row>
        <row r="85">
          <cell r="A85" t="str">
            <v>Channel Discounts - Corn (Garst)</v>
          </cell>
          <cell r="C85">
            <v>27013757.043953322</v>
          </cell>
          <cell r="D85">
            <v>5505284.2072281847</v>
          </cell>
          <cell r="E85">
            <v>5738273.5422516791</v>
          </cell>
          <cell r="F85">
            <v>7303498.5013434011</v>
          </cell>
          <cell r="G85">
            <v>2616173.8482577126</v>
          </cell>
          <cell r="H85">
            <v>3182496.6274715136</v>
          </cell>
          <cell r="I85">
            <v>2668030.3174008289</v>
          </cell>
          <cell r="J85">
            <v>0</v>
          </cell>
          <cell r="K85">
            <v>0</v>
          </cell>
          <cell r="M85">
            <v>27013757.043953318</v>
          </cell>
          <cell r="N85">
            <v>5505284.2072281847</v>
          </cell>
          <cell r="O85">
            <v>2126229.8020722819</v>
          </cell>
          <cell r="P85">
            <v>3612043.7401793972</v>
          </cell>
          <cell r="Q85">
            <v>4511387.0193587504</v>
          </cell>
          <cell r="R85">
            <v>2792111.4819846503</v>
          </cell>
          <cell r="S85">
            <v>2616173.8482577126</v>
          </cell>
          <cell r="T85">
            <v>3182496.6274715136</v>
          </cell>
          <cell r="U85">
            <v>2668030.3174008289</v>
          </cell>
          <cell r="CI85">
            <v>27013757.043953322</v>
          </cell>
          <cell r="CJ85">
            <v>5505284.2072281847</v>
          </cell>
          <cell r="CK85">
            <v>5738273.5422516791</v>
          </cell>
          <cell r="CL85">
            <v>7303498.5013434011</v>
          </cell>
          <cell r="CM85">
            <v>2616173.8482577126</v>
          </cell>
          <cell r="CN85">
            <v>3182496.6274715136</v>
          </cell>
          <cell r="CO85">
            <v>2668030.3174008289</v>
          </cell>
          <cell r="CP85">
            <v>0</v>
          </cell>
          <cell r="CQ85">
            <v>0</v>
          </cell>
          <cell r="CS85">
            <v>27013757.043953318</v>
          </cell>
          <cell r="CT85">
            <v>5505284.2072281847</v>
          </cell>
          <cell r="CU85">
            <v>2126229.8020722819</v>
          </cell>
          <cell r="CV85">
            <v>3612043.7401793972</v>
          </cell>
          <cell r="CW85">
            <v>4511387.0193587504</v>
          </cell>
          <cell r="CX85">
            <v>2792111.4819846503</v>
          </cell>
          <cell r="CY85">
            <v>2616173.8482577126</v>
          </cell>
          <cell r="CZ85">
            <v>3182496.6274715136</v>
          </cell>
          <cell r="DA85">
            <v>2668030.3174008289</v>
          </cell>
        </row>
        <row r="86">
          <cell r="A86" t="str">
            <v>Product Bonus</v>
          </cell>
          <cell r="C86">
            <v>15593920.542348128</v>
          </cell>
          <cell r="D86">
            <v>3177972.0366507294</v>
          </cell>
          <cell r="E86">
            <v>3312467.1078716405</v>
          </cell>
          <cell r="F86">
            <v>4216006.5009024888</v>
          </cell>
          <cell r="G86">
            <v>1510208.5595987712</v>
          </cell>
          <cell r="H86">
            <v>1837123.1907629143</v>
          </cell>
          <cell r="I86">
            <v>1540143.1465615828</v>
          </cell>
          <cell r="J86">
            <v>0</v>
          </cell>
          <cell r="K86">
            <v>0</v>
          </cell>
          <cell r="M86">
            <v>15593920.542348128</v>
          </cell>
          <cell r="N86">
            <v>3177972.0366507294</v>
          </cell>
          <cell r="O86">
            <v>1227384.2003665073</v>
          </cell>
          <cell r="P86">
            <v>2085082.9075051332</v>
          </cell>
          <cell r="Q86">
            <v>2604236.4489025446</v>
          </cell>
          <cell r="R86">
            <v>1611770.051999944</v>
          </cell>
          <cell r="S86">
            <v>1510208.5595987712</v>
          </cell>
          <cell r="T86">
            <v>1837123.1907629143</v>
          </cell>
          <cell r="U86">
            <v>1540143.1465615828</v>
          </cell>
          <cell r="CI86">
            <v>15593920.542348128</v>
          </cell>
          <cell r="CJ86">
            <v>3177972.0366507294</v>
          </cell>
          <cell r="CK86">
            <v>3312467.1078716405</v>
          </cell>
          <cell r="CL86">
            <v>4216006.5009024888</v>
          </cell>
          <cell r="CM86">
            <v>1510208.5595987712</v>
          </cell>
          <cell r="CN86">
            <v>1837123.1907629143</v>
          </cell>
          <cell r="CO86">
            <v>1540143.1465615828</v>
          </cell>
          <cell r="CP86">
            <v>0</v>
          </cell>
          <cell r="CQ86">
            <v>0</v>
          </cell>
          <cell r="CS86">
            <v>15593920.542348128</v>
          </cell>
          <cell r="CT86">
            <v>3177972.0366507294</v>
          </cell>
          <cell r="CU86">
            <v>1227384.2003665073</v>
          </cell>
          <cell r="CV86">
            <v>2085082.9075051332</v>
          </cell>
          <cell r="CW86">
            <v>2604236.4489025446</v>
          </cell>
          <cell r="CX86">
            <v>1611770.051999944</v>
          </cell>
          <cell r="CY86">
            <v>1510208.5595987712</v>
          </cell>
          <cell r="CZ86">
            <v>1837123.1907629143</v>
          </cell>
          <cell r="DA86">
            <v>1540143.1465615828</v>
          </cell>
        </row>
        <row r="87">
          <cell r="A87" t="str">
            <v>Business Planning</v>
          </cell>
          <cell r="C87">
            <v>4761886.5604530359</v>
          </cell>
          <cell r="D87">
            <v>970451.4198161955</v>
          </cell>
          <cell r="E87">
            <v>1011521.929977817</v>
          </cell>
          <cell r="F87">
            <v>1287434.0766909625</v>
          </cell>
          <cell r="G87">
            <v>461169.58361464366</v>
          </cell>
          <cell r="H87">
            <v>560998.89750196342</v>
          </cell>
          <cell r="I87">
            <v>470310.65285145422</v>
          </cell>
          <cell r="J87">
            <v>0</v>
          </cell>
          <cell r="K87">
            <v>0</v>
          </cell>
          <cell r="M87">
            <v>4761886.5604530359</v>
          </cell>
          <cell r="N87">
            <v>970451.4198161955</v>
          </cell>
          <cell r="O87">
            <v>374804.03419816191</v>
          </cell>
          <cell r="P87">
            <v>636717.89577965508</v>
          </cell>
          <cell r="Q87">
            <v>795250.84872618027</v>
          </cell>
          <cell r="R87">
            <v>492183.22796478216</v>
          </cell>
          <cell r="S87">
            <v>461169.58361464366</v>
          </cell>
          <cell r="T87">
            <v>560998.89750196342</v>
          </cell>
          <cell r="U87">
            <v>470310.65285145422</v>
          </cell>
          <cell r="CI87">
            <v>4761886.5604530359</v>
          </cell>
          <cell r="CJ87">
            <v>970451.4198161955</v>
          </cell>
          <cell r="CK87">
            <v>1011521.929977817</v>
          </cell>
          <cell r="CL87">
            <v>1287434.0766909625</v>
          </cell>
          <cell r="CM87">
            <v>461169.58361464366</v>
          </cell>
          <cell r="CN87">
            <v>560998.89750196342</v>
          </cell>
          <cell r="CO87">
            <v>470310.65285145422</v>
          </cell>
          <cell r="CP87">
            <v>0</v>
          </cell>
          <cell r="CQ87">
            <v>0</v>
          </cell>
          <cell r="CS87">
            <v>4761886.5604530359</v>
          </cell>
          <cell r="CT87">
            <v>970451.4198161955</v>
          </cell>
          <cell r="CU87">
            <v>374804.03419816191</v>
          </cell>
          <cell r="CV87">
            <v>636717.89577965508</v>
          </cell>
          <cell r="CW87">
            <v>795250.84872618027</v>
          </cell>
          <cell r="CX87">
            <v>492183.22796478216</v>
          </cell>
          <cell r="CY87">
            <v>461169.58361464366</v>
          </cell>
          <cell r="CZ87">
            <v>560998.89750196342</v>
          </cell>
          <cell r="DA87">
            <v>470310.65285145422</v>
          </cell>
        </row>
        <row r="88">
          <cell r="A88" t="str">
            <v>SA Recruiting</v>
          </cell>
          <cell r="C88">
            <v>4055151.2351984782</v>
          </cell>
          <cell r="D88">
            <v>826421.88632762432</v>
          </cell>
          <cell r="E88">
            <v>861396.91731540288</v>
          </cell>
          <cell r="F88">
            <v>1096359.5667497965</v>
          </cell>
          <cell r="G88">
            <v>392725.1065075713</v>
          </cell>
          <cell r="H88">
            <v>477738.254212767</v>
          </cell>
          <cell r="I88">
            <v>400509.50408531626</v>
          </cell>
          <cell r="J88">
            <v>0</v>
          </cell>
          <cell r="K88">
            <v>0</v>
          </cell>
          <cell r="M88">
            <v>4055151.2351984782</v>
          </cell>
          <cell r="N88">
            <v>826421.88632762432</v>
          </cell>
          <cell r="O88">
            <v>319177.49886327621</v>
          </cell>
          <cell r="P88">
            <v>542219.41845212667</v>
          </cell>
          <cell r="Q88">
            <v>677223.70547143032</v>
          </cell>
          <cell r="R88">
            <v>419135.86127836618</v>
          </cell>
          <cell r="S88">
            <v>392725.1065075713</v>
          </cell>
          <cell r="T88">
            <v>477738.254212767</v>
          </cell>
          <cell r="U88">
            <v>400509.50408531626</v>
          </cell>
          <cell r="CI88">
            <v>4055151.2351984782</v>
          </cell>
          <cell r="CJ88">
            <v>826421.88632762432</v>
          </cell>
          <cell r="CK88">
            <v>861396.91731540288</v>
          </cell>
          <cell r="CL88">
            <v>1096359.5667497965</v>
          </cell>
          <cell r="CM88">
            <v>392725.1065075713</v>
          </cell>
          <cell r="CN88">
            <v>477738.254212767</v>
          </cell>
          <cell r="CO88">
            <v>400509.50408531626</v>
          </cell>
          <cell r="CP88">
            <v>0</v>
          </cell>
          <cell r="CQ88">
            <v>0</v>
          </cell>
          <cell r="CS88">
            <v>4055151.2351984782</v>
          </cell>
          <cell r="CT88">
            <v>826421.88632762432</v>
          </cell>
          <cell r="CU88">
            <v>319177.49886327621</v>
          </cell>
          <cell r="CV88">
            <v>542219.41845212667</v>
          </cell>
          <cell r="CW88">
            <v>677223.70547143032</v>
          </cell>
          <cell r="CX88">
            <v>419135.86127836618</v>
          </cell>
          <cell r="CY88">
            <v>392725.1065075713</v>
          </cell>
          <cell r="CZ88">
            <v>477738.254212767</v>
          </cell>
          <cell r="DA88">
            <v>400509.50408531626</v>
          </cell>
        </row>
        <row r="89">
          <cell r="A89" t="str">
            <v>Bulk Equipment</v>
          </cell>
          <cell r="C89">
            <v>1232784.2728550369</v>
          </cell>
          <cell r="D89">
            <v>251235.98236355869</v>
          </cell>
          <cell r="E89">
            <v>261868.54959560197</v>
          </cell>
          <cell r="F89">
            <v>333298.25520481705</v>
          </cell>
          <cell r="G89">
            <v>119390.20440359888</v>
          </cell>
          <cell r="H89">
            <v>145234.5848960414</v>
          </cell>
          <cell r="I89">
            <v>121756.69639141875</v>
          </cell>
          <cell r="J89">
            <v>0</v>
          </cell>
          <cell r="K89">
            <v>0</v>
          </cell>
          <cell r="M89">
            <v>1232784.2728550369</v>
          </cell>
          <cell r="N89">
            <v>251235.98236355869</v>
          </cell>
          <cell r="O89">
            <v>97031.399823635598</v>
          </cell>
          <cell r="P89">
            <v>164837.14977196636</v>
          </cell>
          <cell r="Q89">
            <v>205879.06218223411</v>
          </cell>
          <cell r="R89">
            <v>127419.19302258293</v>
          </cell>
          <cell r="S89">
            <v>119390.20440359888</v>
          </cell>
          <cell r="T89">
            <v>145234.5848960414</v>
          </cell>
          <cell r="U89">
            <v>121756.69639141875</v>
          </cell>
          <cell r="CI89">
            <v>1232784.2728550369</v>
          </cell>
          <cell r="CJ89">
            <v>251235.98236355869</v>
          </cell>
          <cell r="CK89">
            <v>261868.54959560197</v>
          </cell>
          <cell r="CL89">
            <v>333298.25520481705</v>
          </cell>
          <cell r="CM89">
            <v>119390.20440359888</v>
          </cell>
          <cell r="CN89">
            <v>145234.5848960414</v>
          </cell>
          <cell r="CO89">
            <v>121756.69639141875</v>
          </cell>
          <cell r="CP89">
            <v>0</v>
          </cell>
          <cell r="CQ89">
            <v>0</v>
          </cell>
          <cell r="CS89">
            <v>1232784.2728550369</v>
          </cell>
          <cell r="CT89">
            <v>251235.98236355869</v>
          </cell>
          <cell r="CU89">
            <v>97031.399823635598</v>
          </cell>
          <cell r="CV89">
            <v>164837.14977196636</v>
          </cell>
          <cell r="CW89">
            <v>205879.06218223411</v>
          </cell>
          <cell r="CX89">
            <v>127419.19302258293</v>
          </cell>
          <cell r="CY89">
            <v>119390.20440359888</v>
          </cell>
          <cell r="CZ89">
            <v>145234.5848960414</v>
          </cell>
          <cell r="DA89">
            <v>121756.69639141875</v>
          </cell>
        </row>
        <row r="90">
          <cell r="A90" t="str">
            <v>Early Order/Cornerstone</v>
          </cell>
          <cell r="C90">
            <v>978908.47640437051</v>
          </cell>
          <cell r="D90">
            <v>199497.21790649931</v>
          </cell>
          <cell r="E90">
            <v>207940.14698871534</v>
          </cell>
          <cell r="F90">
            <v>264659.83901235927</v>
          </cell>
          <cell r="G90">
            <v>94803.353403970978</v>
          </cell>
          <cell r="H90">
            <v>115325.42177273794</v>
          </cell>
          <cell r="I90">
            <v>96682.497320087641</v>
          </cell>
          <cell r="J90">
            <v>0</v>
          </cell>
          <cell r="K90">
            <v>0</v>
          </cell>
          <cell r="M90">
            <v>978908.47640437051</v>
          </cell>
          <cell r="N90">
            <v>199497.21790649931</v>
          </cell>
          <cell r="O90">
            <v>77049.052179064936</v>
          </cell>
          <cell r="P90">
            <v>130891.09480965041</v>
          </cell>
          <cell r="Q90">
            <v>163480.96217810048</v>
          </cell>
          <cell r="R90">
            <v>101178.8768342588</v>
          </cell>
          <cell r="S90">
            <v>94803.353403970978</v>
          </cell>
          <cell r="T90">
            <v>115325.42177273794</v>
          </cell>
          <cell r="U90">
            <v>96682.497320087641</v>
          </cell>
          <cell r="CI90">
            <v>978908.47640437051</v>
          </cell>
          <cell r="CJ90">
            <v>199497.21790649931</v>
          </cell>
          <cell r="CK90">
            <v>207940.14698871534</v>
          </cell>
          <cell r="CL90">
            <v>264659.83901235927</v>
          </cell>
          <cell r="CM90">
            <v>94803.353403970978</v>
          </cell>
          <cell r="CN90">
            <v>115325.42177273794</v>
          </cell>
          <cell r="CO90">
            <v>96682.497320087641</v>
          </cell>
          <cell r="CP90">
            <v>0</v>
          </cell>
          <cell r="CQ90">
            <v>0</v>
          </cell>
          <cell r="CS90">
            <v>978908.47640437051</v>
          </cell>
          <cell r="CT90">
            <v>199497.21790649931</v>
          </cell>
          <cell r="CU90">
            <v>77049.052179064936</v>
          </cell>
          <cell r="CV90">
            <v>130891.09480965041</v>
          </cell>
          <cell r="CW90">
            <v>163480.96217810048</v>
          </cell>
          <cell r="CX90">
            <v>101178.8768342588</v>
          </cell>
          <cell r="CY90">
            <v>94803.353403970978</v>
          </cell>
          <cell r="CZ90">
            <v>115325.42177273794</v>
          </cell>
          <cell r="DA90">
            <v>96682.497320087641</v>
          </cell>
        </row>
        <row r="91">
          <cell r="A91" t="str">
            <v>AgriEdge</v>
          </cell>
          <cell r="C91">
            <v>391105.95669426944</v>
          </cell>
          <cell r="D91">
            <v>79705.664163577982</v>
          </cell>
          <cell r="E91">
            <v>83078.890502500813</v>
          </cell>
          <cell r="F91">
            <v>105740.26278297527</v>
          </cell>
          <cell r="G91">
            <v>37877.040729156608</v>
          </cell>
          <cell r="H91">
            <v>46076.278325089195</v>
          </cell>
          <cell r="I91">
            <v>38627.820190969578</v>
          </cell>
          <cell r="J91">
            <v>0</v>
          </cell>
          <cell r="K91">
            <v>0</v>
          </cell>
          <cell r="M91">
            <v>391105.95669426944</v>
          </cell>
          <cell r="N91">
            <v>79705.664163577982</v>
          </cell>
          <cell r="O91">
            <v>30783.616641635792</v>
          </cell>
          <cell r="P91">
            <v>52295.273860865025</v>
          </cell>
          <cell r="Q91">
            <v>65315.991898259759</v>
          </cell>
          <cell r="R91">
            <v>40424.270884715523</v>
          </cell>
          <cell r="S91">
            <v>37877.040729156608</v>
          </cell>
          <cell r="T91">
            <v>46076.278325089195</v>
          </cell>
          <cell r="U91">
            <v>38627.820190969578</v>
          </cell>
          <cell r="CI91">
            <v>391105.95669426944</v>
          </cell>
          <cell r="CJ91">
            <v>79705.664163577982</v>
          </cell>
          <cell r="CK91">
            <v>83078.890502500813</v>
          </cell>
          <cell r="CL91">
            <v>105740.26278297527</v>
          </cell>
          <cell r="CM91">
            <v>37877.040729156608</v>
          </cell>
          <cell r="CN91">
            <v>46076.278325089195</v>
          </cell>
          <cell r="CO91">
            <v>38627.820190969578</v>
          </cell>
          <cell r="CP91">
            <v>0</v>
          </cell>
          <cell r="CQ91">
            <v>0</v>
          </cell>
          <cell r="CS91">
            <v>391105.95669426944</v>
          </cell>
          <cell r="CT91">
            <v>79705.664163577982</v>
          </cell>
          <cell r="CU91">
            <v>30783.616641635792</v>
          </cell>
          <cell r="CV91">
            <v>52295.273860865025</v>
          </cell>
          <cell r="CW91">
            <v>65315.991898259759</v>
          </cell>
          <cell r="CX91">
            <v>40424.270884715523</v>
          </cell>
          <cell r="CY91">
            <v>37877.040729156608</v>
          </cell>
          <cell r="CZ91">
            <v>46076.278325089195</v>
          </cell>
          <cell r="DA91">
            <v>38627.820190969578</v>
          </cell>
        </row>
        <row r="93">
          <cell r="A93" t="str">
            <v>Channel Discounts - Corn (GH)</v>
          </cell>
          <cell r="C93">
            <v>12238270.792630238</v>
          </cell>
          <cell r="D93">
            <v>2169745.2263259967</v>
          </cell>
          <cell r="E93">
            <v>3961985.9127073567</v>
          </cell>
          <cell r="F93">
            <v>2780058.7479656637</v>
          </cell>
          <cell r="G93">
            <v>1502665.8814924746</v>
          </cell>
          <cell r="H93">
            <v>1127351.4653319332</v>
          </cell>
          <cell r="I93">
            <v>696463.55880681472</v>
          </cell>
          <cell r="J93">
            <v>0</v>
          </cell>
          <cell r="K93">
            <v>0</v>
          </cell>
          <cell r="W93">
            <v>12238270.792630238</v>
          </cell>
          <cell r="X93">
            <v>2169745.2263259967</v>
          </cell>
          <cell r="Y93">
            <v>2243193.1292622252</v>
          </cell>
          <cell r="Z93">
            <v>1718792.7834451313</v>
          </cell>
          <cell r="AA93">
            <v>2130922.7672542371</v>
          </cell>
          <cell r="AB93">
            <v>649135.98071142659</v>
          </cell>
          <cell r="AC93">
            <v>1502665.8814924746</v>
          </cell>
          <cell r="AD93">
            <v>1127351.4653319332</v>
          </cell>
          <cell r="AE93">
            <v>696463.55880681472</v>
          </cell>
          <cell r="CI93">
            <v>12238270.792630238</v>
          </cell>
          <cell r="CJ93">
            <v>2169745.2263259967</v>
          </cell>
          <cell r="CK93">
            <v>3961985.9127073567</v>
          </cell>
          <cell r="CL93">
            <v>2780058.7479656637</v>
          </cell>
          <cell r="CM93">
            <v>1502665.8814924746</v>
          </cell>
          <cell r="CN93">
            <v>1127351.4653319332</v>
          </cell>
          <cell r="CO93">
            <v>696463.55880681472</v>
          </cell>
          <cell r="CP93">
            <v>0</v>
          </cell>
          <cell r="CQ93">
            <v>0</v>
          </cell>
          <cell r="DC93">
            <v>12238270.792630238</v>
          </cell>
          <cell r="DD93">
            <v>2169745.2263259967</v>
          </cell>
          <cell r="DE93">
            <v>2243193.1292622252</v>
          </cell>
          <cell r="DF93">
            <v>1718792.7834451313</v>
          </cell>
          <cell r="DG93">
            <v>2130922.7672542371</v>
          </cell>
          <cell r="DH93">
            <v>649135.98071142659</v>
          </cell>
          <cell r="DI93">
            <v>1502665.8814924746</v>
          </cell>
          <cell r="DJ93">
            <v>1127351.4653319332</v>
          </cell>
          <cell r="DK93">
            <v>696463.55880681472</v>
          </cell>
        </row>
        <row r="94">
          <cell r="A94" t="str">
            <v>Dealer Earnings CUV</v>
          </cell>
          <cell r="C94">
            <v>8798756.7035628073</v>
          </cell>
          <cell r="D94">
            <v>1559947.5349618592</v>
          </cell>
          <cell r="E94">
            <v>2848486.5794804869</v>
          </cell>
          <cell r="F94">
            <v>1998735.0304171657</v>
          </cell>
          <cell r="G94">
            <v>1080348.0101093147</v>
          </cell>
          <cell r="H94">
            <v>810514.11845160311</v>
          </cell>
          <cell r="I94">
            <v>500725.43014237727</v>
          </cell>
          <cell r="J94">
            <v>0</v>
          </cell>
          <cell r="K94">
            <v>0</v>
          </cell>
          <cell r="W94">
            <v>8798756.7035628073</v>
          </cell>
          <cell r="X94">
            <v>1559947.5349618592</v>
          </cell>
          <cell r="Y94">
            <v>1612753.2163586086</v>
          </cell>
          <cell r="Z94">
            <v>1235733.3631218786</v>
          </cell>
          <cell r="AA94">
            <v>1532035.963319554</v>
          </cell>
          <cell r="AB94">
            <v>466699.06709761173</v>
          </cell>
          <cell r="AC94">
            <v>1080348.0101093147</v>
          </cell>
          <cell r="AD94">
            <v>810514.11845160311</v>
          </cell>
          <cell r="AE94">
            <v>500725.43014237727</v>
          </cell>
          <cell r="CI94">
            <v>8798756.7035628073</v>
          </cell>
          <cell r="CJ94">
            <v>1559947.5349618592</v>
          </cell>
          <cell r="CK94">
            <v>2848486.5794804869</v>
          </cell>
          <cell r="CL94">
            <v>1998735.0304171657</v>
          </cell>
          <cell r="CM94">
            <v>1080348.0101093147</v>
          </cell>
          <cell r="CN94">
            <v>810514.11845160311</v>
          </cell>
          <cell r="CO94">
            <v>500725.43014237727</v>
          </cell>
          <cell r="CP94">
            <v>0</v>
          </cell>
          <cell r="CQ94">
            <v>0</v>
          </cell>
          <cell r="DC94">
            <v>8798756.7035628073</v>
          </cell>
          <cell r="DD94">
            <v>1559947.5349618592</v>
          </cell>
          <cell r="DE94">
            <v>1612753.2163586086</v>
          </cell>
          <cell r="DF94">
            <v>1235733.3631218786</v>
          </cell>
          <cell r="DG94">
            <v>1532035.963319554</v>
          </cell>
          <cell r="DH94">
            <v>466699.06709761173</v>
          </cell>
          <cell r="DI94">
            <v>1080348.0101093147</v>
          </cell>
          <cell r="DJ94">
            <v>810514.11845160311</v>
          </cell>
          <cell r="DK94">
            <v>500725.43014237727</v>
          </cell>
        </row>
        <row r="95">
          <cell r="A95" t="str">
            <v>Golden Opportunity Bonus</v>
          </cell>
          <cell r="C95">
            <v>1499788.1411383557</v>
          </cell>
          <cell r="D95">
            <v>265900.15982445067</v>
          </cell>
          <cell r="E95">
            <v>485537.50672145712</v>
          </cell>
          <cell r="F95">
            <v>340693.48623807839</v>
          </cell>
          <cell r="G95">
            <v>184150.23718160999</v>
          </cell>
          <cell r="H95">
            <v>138155.82178635534</v>
          </cell>
          <cell r="I95">
            <v>85350.92938640427</v>
          </cell>
          <cell r="J95">
            <v>0</v>
          </cell>
          <cell r="K95">
            <v>0</v>
          </cell>
          <cell r="W95">
            <v>1499788.1411383557</v>
          </cell>
          <cell r="X95">
            <v>265900.15982445067</v>
          </cell>
          <cell r="Y95">
            <v>274901.12864445517</v>
          </cell>
          <cell r="Z95">
            <v>210636.37807700195</v>
          </cell>
          <cell r="AA95">
            <v>261142.50535575591</v>
          </cell>
          <cell r="AB95">
            <v>79550.980882322488</v>
          </cell>
          <cell r="AC95">
            <v>184150.23718160999</v>
          </cell>
          <cell r="AD95">
            <v>138155.82178635534</v>
          </cell>
          <cell r="AE95">
            <v>85350.92938640427</v>
          </cell>
          <cell r="CI95">
            <v>1499788.1411383557</v>
          </cell>
          <cell r="CJ95">
            <v>265900.15982445067</v>
          </cell>
          <cell r="CK95">
            <v>485537.50672145712</v>
          </cell>
          <cell r="CL95">
            <v>340693.48623807839</v>
          </cell>
          <cell r="CM95">
            <v>184150.23718160999</v>
          </cell>
          <cell r="CN95">
            <v>138155.82178635534</v>
          </cell>
          <cell r="CO95">
            <v>85350.92938640427</v>
          </cell>
          <cell r="CP95">
            <v>0</v>
          </cell>
          <cell r="CQ95">
            <v>0</v>
          </cell>
          <cell r="DC95">
            <v>1499788.1411383557</v>
          </cell>
          <cell r="DD95">
            <v>265900.15982445067</v>
          </cell>
          <cell r="DE95">
            <v>274901.12864445517</v>
          </cell>
          <cell r="DF95">
            <v>210636.37807700195</v>
          </cell>
          <cell r="DG95">
            <v>261142.50535575591</v>
          </cell>
          <cell r="DH95">
            <v>79550.980882322488</v>
          </cell>
          <cell r="DI95">
            <v>184150.23718160999</v>
          </cell>
          <cell r="DJ95">
            <v>138155.82178635534</v>
          </cell>
          <cell r="DK95">
            <v>85350.92938640427</v>
          </cell>
        </row>
        <row r="96">
          <cell r="A96" t="str">
            <v>Corn Inventory Bonus</v>
          </cell>
          <cell r="C96">
            <v>649908.18818497227</v>
          </cell>
          <cell r="D96">
            <v>115223.40147218267</v>
          </cell>
          <cell r="E96">
            <v>210399.58420372719</v>
          </cell>
          <cell r="F96">
            <v>147633.84260349697</v>
          </cell>
          <cell r="G96">
            <v>79798.435337469753</v>
          </cell>
          <cell r="H96">
            <v>59867.522192984936</v>
          </cell>
          <cell r="I96">
            <v>36985.40237511076</v>
          </cell>
          <cell r="J96">
            <v>0</v>
          </cell>
          <cell r="K96">
            <v>0</v>
          </cell>
          <cell r="W96">
            <v>649908.18818497227</v>
          </cell>
          <cell r="X96">
            <v>115223.40147218267</v>
          </cell>
          <cell r="Y96">
            <v>119123.82125632523</v>
          </cell>
          <cell r="Z96">
            <v>91275.762947401963</v>
          </cell>
          <cell r="AA96">
            <v>113161.75122242626</v>
          </cell>
          <cell r="AB96">
            <v>34472.091381070721</v>
          </cell>
          <cell r="AC96">
            <v>79798.435337469753</v>
          </cell>
          <cell r="AD96">
            <v>59867.522192984936</v>
          </cell>
          <cell r="AE96">
            <v>36985.40237511076</v>
          </cell>
          <cell r="CI96">
            <v>649908.18818497227</v>
          </cell>
          <cell r="CJ96">
            <v>115223.40147218267</v>
          </cell>
          <cell r="CK96">
            <v>210399.58420372719</v>
          </cell>
          <cell r="CL96">
            <v>147633.84260349697</v>
          </cell>
          <cell r="CM96">
            <v>79798.435337469753</v>
          </cell>
          <cell r="CN96">
            <v>59867.522192984936</v>
          </cell>
          <cell r="CO96">
            <v>36985.40237511076</v>
          </cell>
          <cell r="CP96">
            <v>0</v>
          </cell>
          <cell r="CQ96">
            <v>0</v>
          </cell>
          <cell r="DC96">
            <v>649908.18818497227</v>
          </cell>
          <cell r="DD96">
            <v>115223.40147218267</v>
          </cell>
          <cell r="DE96">
            <v>119123.82125632523</v>
          </cell>
          <cell r="DF96">
            <v>91275.762947401963</v>
          </cell>
          <cell r="DG96">
            <v>113161.75122242626</v>
          </cell>
          <cell r="DH96">
            <v>34472.091381070721</v>
          </cell>
          <cell r="DI96">
            <v>79798.435337469753</v>
          </cell>
          <cell r="DJ96">
            <v>59867.522192984936</v>
          </cell>
          <cell r="DK96">
            <v>36985.40237511076</v>
          </cell>
        </row>
        <row r="97">
          <cell r="A97" t="str">
            <v>Fast Start 500</v>
          </cell>
          <cell r="C97">
            <v>449936.42341656104</v>
          </cell>
          <cell r="D97">
            <v>79770.044592097271</v>
          </cell>
          <cell r="E97">
            <v>145661.24588972449</v>
          </cell>
          <cell r="F97">
            <v>102208.04157241251</v>
          </cell>
          <cell r="G97">
            <v>55245.06883079929</v>
          </cell>
          <cell r="H97">
            <v>41446.744792599435</v>
          </cell>
          <cell r="I97">
            <v>25605.27773892802</v>
          </cell>
          <cell r="J97">
            <v>0</v>
          </cell>
          <cell r="K97">
            <v>0</v>
          </cell>
          <cell r="W97">
            <v>449936.42341656104</v>
          </cell>
          <cell r="X97">
            <v>79770.044592097271</v>
          </cell>
          <cell r="Y97">
            <v>82470.335124520658</v>
          </cell>
          <cell r="Z97">
            <v>63190.910765203829</v>
          </cell>
          <cell r="AA97">
            <v>78342.748311522868</v>
          </cell>
          <cell r="AB97">
            <v>23865.293260889634</v>
          </cell>
          <cell r="AC97">
            <v>55245.06883079929</v>
          </cell>
          <cell r="AD97">
            <v>41446.744792599435</v>
          </cell>
          <cell r="AE97">
            <v>25605.27773892802</v>
          </cell>
          <cell r="CI97">
            <v>449936.42341656104</v>
          </cell>
          <cell r="CJ97">
            <v>79770.044592097271</v>
          </cell>
          <cell r="CK97">
            <v>145661.24588972449</v>
          </cell>
          <cell r="CL97">
            <v>102208.04157241251</v>
          </cell>
          <cell r="CM97">
            <v>55245.06883079929</v>
          </cell>
          <cell r="CN97">
            <v>41446.744792599435</v>
          </cell>
          <cell r="CO97">
            <v>25605.27773892802</v>
          </cell>
          <cell r="CP97">
            <v>0</v>
          </cell>
          <cell r="CQ97">
            <v>0</v>
          </cell>
          <cell r="DC97">
            <v>449936.42341656104</v>
          </cell>
          <cell r="DD97">
            <v>79770.044592097271</v>
          </cell>
          <cell r="DE97">
            <v>82470.335124520658</v>
          </cell>
          <cell r="DF97">
            <v>63190.910765203829</v>
          </cell>
          <cell r="DG97">
            <v>78342.748311522868</v>
          </cell>
          <cell r="DH97">
            <v>23865.293260889634</v>
          </cell>
          <cell r="DI97">
            <v>55245.06883079929</v>
          </cell>
          <cell r="DJ97">
            <v>41446.744792599435</v>
          </cell>
          <cell r="DK97">
            <v>25605.27773892802</v>
          </cell>
        </row>
        <row r="98">
          <cell r="A98" t="str">
            <v>Seedsmen Program (Equipment)</v>
          </cell>
          <cell r="C98">
            <v>249964.65864814963</v>
          </cell>
          <cell r="D98">
            <v>44316.687712011837</v>
          </cell>
          <cell r="E98">
            <v>80922.907575721765</v>
          </cell>
          <cell r="F98">
            <v>56782.240541327999</v>
          </cell>
          <cell r="G98">
            <v>30691.702324128819</v>
          </cell>
          <cell r="H98">
            <v>23025.967392213923</v>
          </cell>
          <cell r="I98">
            <v>14225.153102745277</v>
          </cell>
          <cell r="J98">
            <v>0</v>
          </cell>
          <cell r="K98">
            <v>0</v>
          </cell>
          <cell r="W98">
            <v>249964.65864814961</v>
          </cell>
          <cell r="X98">
            <v>44316.687712011837</v>
          </cell>
          <cell r="Y98">
            <v>45816.848992716026</v>
          </cell>
          <cell r="Z98">
            <v>35106.058583005739</v>
          </cell>
          <cell r="AA98">
            <v>43523.745400619438</v>
          </cell>
          <cell r="AB98">
            <v>13258.495140708561</v>
          </cell>
          <cell r="AC98">
            <v>30691.702324128819</v>
          </cell>
          <cell r="AD98">
            <v>23025.967392213923</v>
          </cell>
          <cell r="AE98">
            <v>14225.153102745277</v>
          </cell>
          <cell r="CI98">
            <v>249964.65864814963</v>
          </cell>
          <cell r="CJ98">
            <v>44316.687712011837</v>
          </cell>
          <cell r="CK98">
            <v>80922.907575721765</v>
          </cell>
          <cell r="CL98">
            <v>56782.240541327999</v>
          </cell>
          <cell r="CM98">
            <v>30691.702324128819</v>
          </cell>
          <cell r="CN98">
            <v>23025.967392213923</v>
          </cell>
          <cell r="CO98">
            <v>14225.153102745277</v>
          </cell>
          <cell r="CP98">
            <v>0</v>
          </cell>
          <cell r="CQ98">
            <v>0</v>
          </cell>
          <cell r="DC98">
            <v>249964.65864814961</v>
          </cell>
          <cell r="DD98">
            <v>44316.687712011837</v>
          </cell>
          <cell r="DE98">
            <v>45816.848992716026</v>
          </cell>
          <cell r="DF98">
            <v>35106.058583005739</v>
          </cell>
          <cell r="DG98">
            <v>43523.745400619438</v>
          </cell>
          <cell r="DH98">
            <v>13258.495140708561</v>
          </cell>
          <cell r="DI98">
            <v>30691.702324128819</v>
          </cell>
          <cell r="DJ98">
            <v>23025.967392213923</v>
          </cell>
          <cell r="DK98">
            <v>14225.153102745277</v>
          </cell>
        </row>
        <row r="99">
          <cell r="A99" t="str">
            <v>Early Delivery</v>
          </cell>
          <cell r="C99">
            <v>239966.04202231034</v>
          </cell>
          <cell r="D99">
            <v>42544.014835150607</v>
          </cell>
          <cell r="E99">
            <v>77685.981469952618</v>
          </cell>
          <cell r="F99">
            <v>54510.944041257229</v>
          </cell>
          <cell r="G99">
            <v>29464.030513269758</v>
          </cell>
          <cell r="H99">
            <v>22104.925907233868</v>
          </cell>
          <cell r="I99">
            <v>13656.145255446256</v>
          </cell>
          <cell r="J99">
            <v>0</v>
          </cell>
          <cell r="K99">
            <v>0</v>
          </cell>
          <cell r="W99">
            <v>239966.04202231034</v>
          </cell>
          <cell r="X99">
            <v>42544.014835150607</v>
          </cell>
          <cell r="Y99">
            <v>43984.169482901918</v>
          </cell>
          <cell r="Z99">
            <v>33701.811987050693</v>
          </cell>
          <cell r="AA99">
            <v>41782.790312268393</v>
          </cell>
          <cell r="AB99">
            <v>12728.15372898884</v>
          </cell>
          <cell r="AC99">
            <v>29464.030513269758</v>
          </cell>
          <cell r="AD99">
            <v>22104.925907233868</v>
          </cell>
          <cell r="AE99">
            <v>13656.145255446256</v>
          </cell>
          <cell r="CI99">
            <v>239966.04202231034</v>
          </cell>
          <cell r="CJ99">
            <v>42544.014835150607</v>
          </cell>
          <cell r="CK99">
            <v>77685.981469952618</v>
          </cell>
          <cell r="CL99">
            <v>54510.944041257229</v>
          </cell>
          <cell r="CM99">
            <v>29464.030513269758</v>
          </cell>
          <cell r="CN99">
            <v>22104.925907233868</v>
          </cell>
          <cell r="CO99">
            <v>13656.145255446256</v>
          </cell>
          <cell r="CP99">
            <v>0</v>
          </cell>
          <cell r="CQ99">
            <v>0</v>
          </cell>
          <cell r="DC99">
            <v>239966.04202231034</v>
          </cell>
          <cell r="DD99">
            <v>42544.014835150607</v>
          </cell>
          <cell r="DE99">
            <v>43984.169482901918</v>
          </cell>
          <cell r="DF99">
            <v>33701.811987050693</v>
          </cell>
          <cell r="DG99">
            <v>41782.790312268393</v>
          </cell>
          <cell r="DH99">
            <v>12728.15372898884</v>
          </cell>
          <cell r="DI99">
            <v>29464.030513269758</v>
          </cell>
          <cell r="DJ99">
            <v>22104.925907233868</v>
          </cell>
          <cell r="DK99">
            <v>13656.145255446256</v>
          </cell>
        </row>
        <row r="100">
          <cell r="A100" t="str">
            <v>CUV Plus (select dealers)</v>
          </cell>
          <cell r="C100">
            <v>199971.76476841132</v>
          </cell>
          <cell r="D100">
            <v>35453.356880085412</v>
          </cell>
          <cell r="E100">
            <v>64738.338314002744</v>
          </cell>
          <cell r="F100">
            <v>45425.801031084469</v>
          </cell>
          <cell r="G100">
            <v>24553.366506670456</v>
          </cell>
          <cell r="H100">
            <v>18420.777400385505</v>
          </cell>
          <cell r="I100">
            <v>11380.12463618274</v>
          </cell>
          <cell r="J100">
            <v>0</v>
          </cell>
          <cell r="K100">
            <v>0</v>
          </cell>
          <cell r="W100">
            <v>199971.76476841132</v>
          </cell>
          <cell r="X100">
            <v>35453.356880085412</v>
          </cell>
          <cell r="Y100">
            <v>36653.486131804639</v>
          </cell>
          <cell r="Z100">
            <v>28084.852182198105</v>
          </cell>
          <cell r="AA100">
            <v>34819.0029109034</v>
          </cell>
          <cell r="AB100">
            <v>10606.798120181069</v>
          </cell>
          <cell r="AC100">
            <v>24553.366506670456</v>
          </cell>
          <cell r="AD100">
            <v>18420.777400385505</v>
          </cell>
          <cell r="AE100">
            <v>11380.12463618274</v>
          </cell>
          <cell r="CI100">
            <v>199971.76476841132</v>
          </cell>
          <cell r="CJ100">
            <v>35453.356880085412</v>
          </cell>
          <cell r="CK100">
            <v>64738.338314002744</v>
          </cell>
          <cell r="CL100">
            <v>45425.801031084469</v>
          </cell>
          <cell r="CM100">
            <v>24553.366506670456</v>
          </cell>
          <cell r="CN100">
            <v>18420.777400385505</v>
          </cell>
          <cell r="CO100">
            <v>11380.12463618274</v>
          </cell>
          <cell r="CP100">
            <v>0</v>
          </cell>
          <cell r="CQ100">
            <v>0</v>
          </cell>
          <cell r="DC100">
            <v>199971.76476841132</v>
          </cell>
          <cell r="DD100">
            <v>35453.356880085412</v>
          </cell>
          <cell r="DE100">
            <v>36653.486131804639</v>
          </cell>
          <cell r="DF100">
            <v>28084.852182198105</v>
          </cell>
          <cell r="DG100">
            <v>34819.0029109034</v>
          </cell>
          <cell r="DH100">
            <v>10606.798120181069</v>
          </cell>
          <cell r="DI100">
            <v>24553.366506670456</v>
          </cell>
          <cell r="DJ100">
            <v>18420.777400385505</v>
          </cell>
          <cell r="DK100">
            <v>11380.12463618274</v>
          </cell>
        </row>
        <row r="101">
          <cell r="A101" t="str">
            <v>AgriEdge Dealer Bonus</v>
          </cell>
          <cell r="C101">
            <v>149978.87088867306</v>
          </cell>
          <cell r="D101">
            <v>26590.02604815899</v>
          </cell>
          <cell r="E101">
            <v>48553.769052283737</v>
          </cell>
          <cell r="F101">
            <v>34069.361520840939</v>
          </cell>
          <cell r="G101">
            <v>18415.030689212101</v>
          </cell>
          <cell r="H101">
            <v>13815.587408557092</v>
          </cell>
          <cell r="I101">
            <v>8535.0961696201921</v>
          </cell>
          <cell r="J101">
            <v>0</v>
          </cell>
          <cell r="K101">
            <v>0</v>
          </cell>
          <cell r="W101">
            <v>149978.87088867306</v>
          </cell>
          <cell r="X101">
            <v>26590.02604815899</v>
          </cell>
          <cell r="Y101">
            <v>27490.123270893258</v>
          </cell>
          <cell r="Z101">
            <v>21063.645781390482</v>
          </cell>
          <cell r="AA101">
            <v>26114.260421187351</v>
          </cell>
          <cell r="AB101">
            <v>7955.101099653587</v>
          </cell>
          <cell r="AC101">
            <v>18415.030689212101</v>
          </cell>
          <cell r="AD101">
            <v>13815.587408557092</v>
          </cell>
          <cell r="AE101">
            <v>8535.0961696201921</v>
          </cell>
          <cell r="CI101">
            <v>149978.87088867306</v>
          </cell>
          <cell r="CJ101">
            <v>26590.02604815899</v>
          </cell>
          <cell r="CK101">
            <v>48553.769052283737</v>
          </cell>
          <cell r="CL101">
            <v>34069.361520840939</v>
          </cell>
          <cell r="CM101">
            <v>18415.030689212101</v>
          </cell>
          <cell r="CN101">
            <v>13815.587408557092</v>
          </cell>
          <cell r="CO101">
            <v>8535.0961696201921</v>
          </cell>
          <cell r="CP101">
            <v>0</v>
          </cell>
          <cell r="CQ101">
            <v>0</v>
          </cell>
          <cell r="DC101">
            <v>149978.87088867306</v>
          </cell>
          <cell r="DD101">
            <v>26590.02604815899</v>
          </cell>
          <cell r="DE101">
            <v>27490.123270893258</v>
          </cell>
          <cell r="DF101">
            <v>21063.645781390482</v>
          </cell>
          <cell r="DG101">
            <v>26114.260421187351</v>
          </cell>
          <cell r="DH101">
            <v>7955.101099653587</v>
          </cell>
          <cell r="DI101">
            <v>18415.030689212101</v>
          </cell>
          <cell r="DJ101">
            <v>13815.587408557092</v>
          </cell>
          <cell r="DK101">
            <v>8535.0961696201921</v>
          </cell>
        </row>
        <row r="103">
          <cell r="A103" t="str">
            <v>Channel Discounts - Corn (NK)</v>
          </cell>
          <cell r="C103">
            <v>42701032.573511519</v>
          </cell>
          <cell r="D103">
            <v>6837263.9551258888</v>
          </cell>
          <cell r="E103">
            <v>3871124.8639079598</v>
          </cell>
          <cell r="F103">
            <v>9374899.696923092</v>
          </cell>
          <cell r="G103">
            <v>3984955.2454301533</v>
          </cell>
          <cell r="H103">
            <v>2157236.7468389827</v>
          </cell>
          <cell r="I103">
            <v>3755131.6439137408</v>
          </cell>
          <cell r="J103">
            <v>4559266.3334361669</v>
          </cell>
          <cell r="K103">
            <v>8161154.0879355362</v>
          </cell>
          <cell r="AG103">
            <v>42701032.573511519</v>
          </cell>
          <cell r="AH103">
            <v>3701357.5385903963</v>
          </cell>
          <cell r="AI103">
            <v>3135906.4165354925</v>
          </cell>
          <cell r="AJ103">
            <v>3871124.8639079598</v>
          </cell>
          <cell r="AK103">
            <v>9374899.696923092</v>
          </cell>
          <cell r="AL103">
            <v>3984955.2454301533</v>
          </cell>
          <cell r="AM103">
            <v>2157236.7468389827</v>
          </cell>
          <cell r="AN103">
            <v>3755131.6439137408</v>
          </cell>
          <cell r="AO103">
            <v>4559266.3334361669</v>
          </cell>
          <cell r="AP103">
            <v>8161154.0879355362</v>
          </cell>
          <cell r="CI103">
            <v>42701032.573511519</v>
          </cell>
          <cell r="CJ103">
            <v>6837263.9551258888</v>
          </cell>
          <cell r="CK103">
            <v>3871124.8639079598</v>
          </cell>
          <cell r="CL103">
            <v>9374899.696923092</v>
          </cell>
          <cell r="CM103">
            <v>3984955.2454301533</v>
          </cell>
          <cell r="CN103">
            <v>2157236.7468389827</v>
          </cell>
          <cell r="CO103">
            <v>3755131.6439137408</v>
          </cell>
          <cell r="CP103">
            <v>4559266.3334361669</v>
          </cell>
          <cell r="CQ103">
            <v>8161154.0879355362</v>
          </cell>
          <cell r="DM103">
            <v>42701032.573511519</v>
          </cell>
          <cell r="DN103">
            <v>3701357.5385903963</v>
          </cell>
          <cell r="DO103">
            <v>3135906.4165354925</v>
          </cell>
          <cell r="DP103">
            <v>3871124.8639079598</v>
          </cell>
          <cell r="DQ103">
            <v>9374899.696923092</v>
          </cell>
          <cell r="DR103">
            <v>3984955.2454301533</v>
          </cell>
          <cell r="DS103">
            <v>2157236.7468389827</v>
          </cell>
          <cell r="DT103">
            <v>3755131.6439137408</v>
          </cell>
          <cell r="DU103">
            <v>4559266.3334361669</v>
          </cell>
          <cell r="DV103">
            <v>8161154.0879355362</v>
          </cell>
        </row>
        <row r="104">
          <cell r="A104" t="str">
            <v>Volume</v>
          </cell>
          <cell r="C104">
            <v>24285915.014473781</v>
          </cell>
          <cell r="D104">
            <v>3888646.2771093859</v>
          </cell>
          <cell r="E104">
            <v>2201675.3176503768</v>
          </cell>
          <cell r="F104">
            <v>5331908.939596097</v>
          </cell>
          <cell r="G104">
            <v>2266415.5547149959</v>
          </cell>
          <cell r="H104">
            <v>1226913.3822382202</v>
          </cell>
          <cell r="I104">
            <v>2135704.9812613172</v>
          </cell>
          <cell r="J104">
            <v>2593050.9879723187</v>
          </cell>
          <cell r="K104">
            <v>4641599.5739310663</v>
          </cell>
          <cell r="AG104">
            <v>24285915.014473781</v>
          </cell>
          <cell r="AH104">
            <v>2105121.3332051761</v>
          </cell>
          <cell r="AI104">
            <v>1783524.9439042099</v>
          </cell>
          <cell r="AJ104">
            <v>2201675.3176503768</v>
          </cell>
          <cell r="AK104">
            <v>5331908.939596097</v>
          </cell>
          <cell r="AL104">
            <v>2266415.5547149959</v>
          </cell>
          <cell r="AM104">
            <v>1226913.3822382202</v>
          </cell>
          <cell r="AN104">
            <v>2135704.9812613172</v>
          </cell>
          <cell r="AO104">
            <v>2593050.9879723187</v>
          </cell>
          <cell r="AP104">
            <v>4641599.5739310663</v>
          </cell>
          <cell r="CI104">
            <v>24285915.014473781</v>
          </cell>
          <cell r="CJ104">
            <v>3888646.2771093859</v>
          </cell>
          <cell r="CK104">
            <v>2201675.3176503768</v>
          </cell>
          <cell r="CL104">
            <v>5331908.939596097</v>
          </cell>
          <cell r="CM104">
            <v>2266415.5547149959</v>
          </cell>
          <cell r="CN104">
            <v>1226913.3822382202</v>
          </cell>
          <cell r="CO104">
            <v>2135704.9812613172</v>
          </cell>
          <cell r="CP104">
            <v>2593050.9879723187</v>
          </cell>
          <cell r="CQ104">
            <v>4641599.5739310663</v>
          </cell>
          <cell r="DM104">
            <v>24285915.014473781</v>
          </cell>
          <cell r="DN104">
            <v>2105121.3332051761</v>
          </cell>
          <cell r="DO104">
            <v>1783524.9439042099</v>
          </cell>
          <cell r="DP104">
            <v>2201675.3176503768</v>
          </cell>
          <cell r="DQ104">
            <v>5331908.939596097</v>
          </cell>
          <cell r="DR104">
            <v>2266415.5547149959</v>
          </cell>
          <cell r="DS104">
            <v>1226913.3822382202</v>
          </cell>
          <cell r="DT104">
            <v>2135704.9812613172</v>
          </cell>
          <cell r="DU104">
            <v>2593050.9879723187</v>
          </cell>
          <cell r="DV104">
            <v>4641599.5739310663</v>
          </cell>
        </row>
        <row r="105">
          <cell r="A105" t="str">
            <v>Targeted Retailer Offer</v>
          </cell>
          <cell r="C105">
            <v>10986100.186500883</v>
          </cell>
          <cell r="D105">
            <v>1759087.8319687247</v>
          </cell>
          <cell r="E105">
            <v>995961.0582281081</v>
          </cell>
          <cell r="F105">
            <v>2411969.4794613295</v>
          </cell>
          <cell r="G105">
            <v>1025247.2815417375</v>
          </cell>
          <cell r="H105">
            <v>555012.78536940448</v>
          </cell>
          <cell r="I105">
            <v>966118.38092006987</v>
          </cell>
          <cell r="J105">
            <v>1173005.7494474128</v>
          </cell>
          <cell r="K105">
            <v>2099697.619564095</v>
          </cell>
          <cell r="AG105">
            <v>10986100.186500883</v>
          </cell>
          <cell r="AH105">
            <v>952283.40614505264</v>
          </cell>
          <cell r="AI105">
            <v>806804.42582367209</v>
          </cell>
          <cell r="AJ105">
            <v>995961.0582281081</v>
          </cell>
          <cell r="AK105">
            <v>2411969.4794613295</v>
          </cell>
          <cell r="AL105">
            <v>1025247.2815417375</v>
          </cell>
          <cell r="AM105">
            <v>555012.78536940448</v>
          </cell>
          <cell r="AN105">
            <v>966118.38092006987</v>
          </cell>
          <cell r="AO105">
            <v>1173005.7494474128</v>
          </cell>
          <cell r="AP105">
            <v>2099697.619564095</v>
          </cell>
          <cell r="CI105">
            <v>10986100.186500883</v>
          </cell>
          <cell r="CJ105">
            <v>1759087.8319687247</v>
          </cell>
          <cell r="CK105">
            <v>995961.0582281081</v>
          </cell>
          <cell r="CL105">
            <v>2411969.4794613295</v>
          </cell>
          <cell r="CM105">
            <v>1025247.2815417375</v>
          </cell>
          <cell r="CN105">
            <v>555012.78536940448</v>
          </cell>
          <cell r="CO105">
            <v>966118.38092006987</v>
          </cell>
          <cell r="CP105">
            <v>1173005.7494474128</v>
          </cell>
          <cell r="CQ105">
            <v>2099697.619564095</v>
          </cell>
          <cell r="DM105">
            <v>10986100.186500883</v>
          </cell>
          <cell r="DN105">
            <v>952283.40614505264</v>
          </cell>
          <cell r="DO105">
            <v>806804.42582367209</v>
          </cell>
          <cell r="DP105">
            <v>995961.0582281081</v>
          </cell>
          <cell r="DQ105">
            <v>2411969.4794613295</v>
          </cell>
          <cell r="DR105">
            <v>1025247.2815417375</v>
          </cell>
          <cell r="DS105">
            <v>555012.78536940448</v>
          </cell>
          <cell r="DT105">
            <v>966118.38092006987</v>
          </cell>
          <cell r="DU105">
            <v>1173005.7494474128</v>
          </cell>
          <cell r="DV105">
            <v>2099697.619564095</v>
          </cell>
        </row>
        <row r="106">
          <cell r="A106" t="str">
            <v>Distribution Agreements - DM Cannot Touch</v>
          </cell>
          <cell r="C106">
            <v>4452890.5987886237</v>
          </cell>
          <cell r="D106">
            <v>712994.19597882347</v>
          </cell>
          <cell r="E106">
            <v>403683.34146386903</v>
          </cell>
          <cell r="F106">
            <v>977620.45105463872</v>
          </cell>
          <cell r="G106">
            <v>415553.64541645104</v>
          </cell>
          <cell r="H106">
            <v>224958.00804872002</v>
          </cell>
          <cell r="I106">
            <v>391587.49535180378</v>
          </cell>
          <cell r="J106">
            <v>475443.16776370286</v>
          </cell>
          <cell r="K106">
            <v>851050.29371061432</v>
          </cell>
          <cell r="AG106">
            <v>4452890.5987886237</v>
          </cell>
          <cell r="AH106">
            <v>385979.89774534391</v>
          </cell>
          <cell r="AI106">
            <v>327014.29823347955</v>
          </cell>
          <cell r="AJ106">
            <v>403683.34146386903</v>
          </cell>
          <cell r="AK106">
            <v>977620.45105463872</v>
          </cell>
          <cell r="AL106">
            <v>415553.64541645104</v>
          </cell>
          <cell r="AM106">
            <v>224958.00804872002</v>
          </cell>
          <cell r="AN106">
            <v>391587.49535180378</v>
          </cell>
          <cell r="AO106">
            <v>475443.16776370286</v>
          </cell>
          <cell r="AP106">
            <v>851050.29371061432</v>
          </cell>
          <cell r="CI106">
            <v>4452890.5987886237</v>
          </cell>
          <cell r="CJ106">
            <v>712994.19597882347</v>
          </cell>
          <cell r="CK106">
            <v>403683.34146386903</v>
          </cell>
          <cell r="CL106">
            <v>977620.45105463872</v>
          </cell>
          <cell r="CM106">
            <v>415553.64541645104</v>
          </cell>
          <cell r="CN106">
            <v>224958.00804872002</v>
          </cell>
          <cell r="CO106">
            <v>391587.49535180378</v>
          </cell>
          <cell r="CP106">
            <v>475443.16776370286</v>
          </cell>
          <cell r="CQ106">
            <v>851050.29371061432</v>
          </cell>
          <cell r="DM106">
            <v>4452890.5987886237</v>
          </cell>
          <cell r="DN106">
            <v>385979.89774534391</v>
          </cell>
          <cell r="DO106">
            <v>327014.29823347955</v>
          </cell>
          <cell r="DP106">
            <v>403683.34146386903</v>
          </cell>
          <cell r="DQ106">
            <v>977620.45105463872</v>
          </cell>
          <cell r="DR106">
            <v>415553.64541645104</v>
          </cell>
          <cell r="DS106">
            <v>224958.00804872002</v>
          </cell>
          <cell r="DT106">
            <v>391587.49535180378</v>
          </cell>
          <cell r="DU106">
            <v>475443.16776370286</v>
          </cell>
          <cell r="DV106">
            <v>851050.29371061432</v>
          </cell>
        </row>
        <row r="107">
          <cell r="A107" t="str">
            <v>BAA</v>
          </cell>
          <cell r="C107">
            <v>2335866.0707196435</v>
          </cell>
          <cell r="D107">
            <v>374017.48685674905</v>
          </cell>
          <cell r="E107">
            <v>211761.37156765239</v>
          </cell>
          <cell r="F107">
            <v>512833.26886166894</v>
          </cell>
          <cell r="G107">
            <v>217988.21223144711</v>
          </cell>
          <cell r="H107">
            <v>118006.89163138937</v>
          </cell>
          <cell r="I107">
            <v>205416.21758217036</v>
          </cell>
          <cell r="J107">
            <v>249404.63716688298</v>
          </cell>
          <cell r="K107">
            <v>446437.98482168326</v>
          </cell>
          <cell r="AG107">
            <v>2335866.0707196435</v>
          </cell>
          <cell r="AH107">
            <v>202474.62342067403</v>
          </cell>
          <cell r="AI107">
            <v>171542.86343607504</v>
          </cell>
          <cell r="AJ107">
            <v>211761.37156765239</v>
          </cell>
          <cell r="AK107">
            <v>512833.26886166894</v>
          </cell>
          <cell r="AL107">
            <v>217988.21223144711</v>
          </cell>
          <cell r="AM107">
            <v>118006.89163138937</v>
          </cell>
          <cell r="AN107">
            <v>205416.21758217036</v>
          </cell>
          <cell r="AO107">
            <v>249404.63716688298</v>
          </cell>
          <cell r="AP107">
            <v>446437.98482168326</v>
          </cell>
          <cell r="CI107">
            <v>2335866.0707196435</v>
          </cell>
          <cell r="CJ107">
            <v>374017.48685674905</v>
          </cell>
          <cell r="CK107">
            <v>211761.37156765239</v>
          </cell>
          <cell r="CL107">
            <v>512833.26886166894</v>
          </cell>
          <cell r="CM107">
            <v>217988.21223144711</v>
          </cell>
          <cell r="CN107">
            <v>118006.89163138937</v>
          </cell>
          <cell r="CO107">
            <v>205416.21758217036</v>
          </cell>
          <cell r="CP107">
            <v>249404.63716688298</v>
          </cell>
          <cell r="CQ107">
            <v>446437.98482168326</v>
          </cell>
          <cell r="DM107">
            <v>2335866.0707196435</v>
          </cell>
          <cell r="DN107">
            <v>202474.62342067403</v>
          </cell>
          <cell r="DO107">
            <v>171542.86343607504</v>
          </cell>
          <cell r="DP107">
            <v>211761.37156765239</v>
          </cell>
          <cell r="DQ107">
            <v>512833.26886166894</v>
          </cell>
          <cell r="DR107">
            <v>217988.21223144711</v>
          </cell>
          <cell r="DS107">
            <v>118006.89163138937</v>
          </cell>
          <cell r="DT107">
            <v>205416.21758217036</v>
          </cell>
          <cell r="DU107">
            <v>249404.63716688298</v>
          </cell>
          <cell r="DV107">
            <v>446437.98482168326</v>
          </cell>
        </row>
        <row r="108">
          <cell r="A108" t="str">
            <v>Southern Retail Incentive (South only)</v>
          </cell>
          <cell r="C108">
            <v>640260.70302859321</v>
          </cell>
          <cell r="D108">
            <v>102518.16321220557</v>
          </cell>
          <cell r="E108">
            <v>58043.774997953311</v>
          </cell>
          <cell r="F108">
            <v>140567.55794935848</v>
          </cell>
          <cell r="G108">
            <v>59750.551525521907</v>
          </cell>
          <cell r="H108">
            <v>32345.67955124885</v>
          </cell>
          <cell r="I108">
            <v>56304.568798379609</v>
          </cell>
          <cell r="J108">
            <v>68361.791085849225</v>
          </cell>
          <cell r="K108">
            <v>122368.61590807626</v>
          </cell>
          <cell r="AG108">
            <v>640260.70302859321</v>
          </cell>
          <cell r="AH108">
            <v>55498.278074149785</v>
          </cell>
          <cell r="AI108">
            <v>47019.885138055783</v>
          </cell>
          <cell r="AJ108">
            <v>58043.774997953311</v>
          </cell>
          <cell r="AK108">
            <v>140567.55794935848</v>
          </cell>
          <cell r="AL108">
            <v>59750.551525521907</v>
          </cell>
          <cell r="AM108">
            <v>32345.67955124885</v>
          </cell>
          <cell r="AN108">
            <v>56304.568798379609</v>
          </cell>
          <cell r="AO108">
            <v>68361.791085849225</v>
          </cell>
          <cell r="AP108">
            <v>122368.61590807626</v>
          </cell>
          <cell r="CI108">
            <v>640260.70302859321</v>
          </cell>
          <cell r="CJ108">
            <v>102518.16321220557</v>
          </cell>
          <cell r="CK108">
            <v>58043.774997953311</v>
          </cell>
          <cell r="CL108">
            <v>140567.55794935848</v>
          </cell>
          <cell r="CM108">
            <v>59750.551525521907</v>
          </cell>
          <cell r="CN108">
            <v>32345.67955124885</v>
          </cell>
          <cell r="CO108">
            <v>56304.568798379609</v>
          </cell>
          <cell r="CP108">
            <v>68361.791085849225</v>
          </cell>
          <cell r="CQ108">
            <v>122368.61590807626</v>
          </cell>
          <cell r="DM108">
            <v>640260.70302859321</v>
          </cell>
          <cell r="DN108">
            <v>55498.278074149785</v>
          </cell>
          <cell r="DO108">
            <v>47019.885138055783</v>
          </cell>
          <cell r="DP108">
            <v>58043.774997953311</v>
          </cell>
          <cell r="DQ108">
            <v>140567.55794935848</v>
          </cell>
          <cell r="DR108">
            <v>59750.551525521907</v>
          </cell>
          <cell r="DS108">
            <v>32345.67955124885</v>
          </cell>
          <cell r="DT108">
            <v>56304.568798379609</v>
          </cell>
          <cell r="DU108">
            <v>68361.791085849225</v>
          </cell>
          <cell r="DV108">
            <v>122368.61590807626</v>
          </cell>
        </row>
        <row r="109">
          <cell r="A109" t="str">
            <v>Exceptions</v>
          </cell>
          <cell r="C109">
            <v>0</v>
          </cell>
          <cell r="D109">
            <v>0</v>
          </cell>
          <cell r="E109">
            <v>0</v>
          </cell>
          <cell r="F109">
            <v>0</v>
          </cell>
          <cell r="G109">
            <v>0</v>
          </cell>
          <cell r="H109">
            <v>0</v>
          </cell>
          <cell r="I109">
            <v>0</v>
          </cell>
          <cell r="J109">
            <v>0</v>
          </cell>
          <cell r="K109">
            <v>0</v>
          </cell>
          <cell r="AG109">
            <v>0</v>
          </cell>
          <cell r="AH109">
            <v>0</v>
          </cell>
          <cell r="AI109">
            <v>0</v>
          </cell>
          <cell r="AJ109">
            <v>0</v>
          </cell>
          <cell r="AK109">
            <v>0</v>
          </cell>
          <cell r="AL109">
            <v>0</v>
          </cell>
          <cell r="AM109">
            <v>0</v>
          </cell>
          <cell r="AN109">
            <v>0</v>
          </cell>
          <cell r="AO109">
            <v>0</v>
          </cell>
          <cell r="AP109">
            <v>0</v>
          </cell>
          <cell r="CI109">
            <v>0</v>
          </cell>
          <cell r="CJ109">
            <v>0</v>
          </cell>
          <cell r="CK109">
            <v>0</v>
          </cell>
          <cell r="CL109">
            <v>0</v>
          </cell>
          <cell r="CM109">
            <v>0</v>
          </cell>
          <cell r="CN109">
            <v>0</v>
          </cell>
          <cell r="CO109">
            <v>0</v>
          </cell>
          <cell r="CP109">
            <v>0</v>
          </cell>
          <cell r="CQ109">
            <v>0</v>
          </cell>
          <cell r="DM109">
            <v>0</v>
          </cell>
          <cell r="DN109">
            <v>0</v>
          </cell>
          <cell r="DO109">
            <v>0</v>
          </cell>
          <cell r="DP109">
            <v>0</v>
          </cell>
          <cell r="DQ109">
            <v>0</v>
          </cell>
          <cell r="DR109">
            <v>0</v>
          </cell>
          <cell r="DS109">
            <v>0</v>
          </cell>
          <cell r="DT109">
            <v>0</v>
          </cell>
          <cell r="DU109">
            <v>0</v>
          </cell>
          <cell r="DV109">
            <v>0</v>
          </cell>
        </row>
        <row r="110">
          <cell r="A110" t="str">
            <v>Other Specialty Initiatives</v>
          </cell>
          <cell r="C110">
            <v>0</v>
          </cell>
          <cell r="D110">
            <v>0</v>
          </cell>
          <cell r="E110">
            <v>0</v>
          </cell>
          <cell r="F110">
            <v>0</v>
          </cell>
          <cell r="G110">
            <v>0</v>
          </cell>
          <cell r="H110">
            <v>0</v>
          </cell>
          <cell r="I110">
            <v>0</v>
          </cell>
          <cell r="J110">
            <v>0</v>
          </cell>
          <cell r="K110">
            <v>0</v>
          </cell>
          <cell r="AG110">
            <v>0</v>
          </cell>
          <cell r="AH110">
            <v>0</v>
          </cell>
          <cell r="AI110">
            <v>0</v>
          </cell>
          <cell r="AJ110">
            <v>0</v>
          </cell>
          <cell r="AK110">
            <v>0</v>
          </cell>
          <cell r="AL110">
            <v>0</v>
          </cell>
          <cell r="AM110">
            <v>0</v>
          </cell>
          <cell r="AN110">
            <v>0</v>
          </cell>
          <cell r="AO110">
            <v>0</v>
          </cell>
          <cell r="AP110">
            <v>0</v>
          </cell>
          <cell r="CI110">
            <v>0</v>
          </cell>
          <cell r="CJ110">
            <v>0</v>
          </cell>
          <cell r="CK110">
            <v>0</v>
          </cell>
          <cell r="CL110">
            <v>0</v>
          </cell>
          <cell r="CM110">
            <v>0</v>
          </cell>
          <cell r="CN110">
            <v>0</v>
          </cell>
          <cell r="CO110">
            <v>0</v>
          </cell>
          <cell r="CP110">
            <v>0</v>
          </cell>
          <cell r="CQ110">
            <v>0</v>
          </cell>
          <cell r="DM110">
            <v>0</v>
          </cell>
          <cell r="DN110">
            <v>0</v>
          </cell>
          <cell r="DO110">
            <v>0</v>
          </cell>
          <cell r="DP110">
            <v>0</v>
          </cell>
          <cell r="DQ110">
            <v>0</v>
          </cell>
          <cell r="DR110">
            <v>0</v>
          </cell>
          <cell r="DS110">
            <v>0</v>
          </cell>
          <cell r="DT110">
            <v>0</v>
          </cell>
          <cell r="DU110">
            <v>0</v>
          </cell>
          <cell r="DV110">
            <v>0</v>
          </cell>
        </row>
        <row r="113">
          <cell r="A113" t="str">
            <v>TOTAL CHANNEL DISCOUNT - Soybeans</v>
          </cell>
          <cell r="AS113">
            <v>74011221.153930679</v>
          </cell>
          <cell r="AT113">
            <v>14536067.480469424</v>
          </cell>
          <cell r="AU113">
            <v>10871900.424619678</v>
          </cell>
          <cell r="AV113">
            <v>13460943.666031955</v>
          </cell>
          <cell r="AW113">
            <v>6226600.7736320505</v>
          </cell>
          <cell r="AX113">
            <v>6301648.4795069806</v>
          </cell>
          <cell r="AY113">
            <v>8595112.1191052906</v>
          </cell>
          <cell r="AZ113">
            <v>3209225.4477979047</v>
          </cell>
          <cell r="BA113">
            <v>10809722.762767397</v>
          </cell>
          <cell r="BC113">
            <v>18001434.44187</v>
          </cell>
          <cell r="BD113">
            <v>4590551.8918800009</v>
          </cell>
          <cell r="BE113">
            <v>1536836.98599</v>
          </cell>
          <cell r="BF113">
            <v>1384066.3382999999</v>
          </cell>
          <cell r="BG113">
            <v>2016039.8763899999</v>
          </cell>
          <cell r="BH113">
            <v>2782431.8594999998</v>
          </cell>
          <cell r="BI113">
            <v>1138127.3477099999</v>
          </cell>
          <cell r="BJ113">
            <v>2336440.1598</v>
          </cell>
          <cell r="BK113">
            <v>2216939.9822999998</v>
          </cell>
          <cell r="BM113">
            <v>11496466.346093364</v>
          </cell>
          <cell r="BN113">
            <v>2505197.1751498193</v>
          </cell>
          <cell r="BO113">
            <v>1911470.8851726283</v>
          </cell>
          <cell r="BP113">
            <v>1724080.4862571561</v>
          </cell>
          <cell r="BQ113">
            <v>1330284.1756678061</v>
          </cell>
          <cell r="BR113">
            <v>970004.78390364791</v>
          </cell>
          <cell r="BS113">
            <v>976253.71741478925</v>
          </cell>
          <cell r="BT113">
            <v>1072763.2274197594</v>
          </cell>
          <cell r="BU113">
            <v>1006411.8951077567</v>
          </cell>
          <cell r="BW113">
            <v>44513320.365967318</v>
          </cell>
          <cell r="BX113">
            <v>2723712.5661666822</v>
          </cell>
          <cell r="BY113">
            <v>4716605.8472729204</v>
          </cell>
          <cell r="BZ113">
            <v>4315445.7288998952</v>
          </cell>
          <cell r="CA113">
            <v>6362182.9705705019</v>
          </cell>
          <cell r="CB113">
            <v>4112219.7085072612</v>
          </cell>
          <cell r="CC113">
            <v>2892445.0922872215</v>
          </cell>
          <cell r="CD113">
            <v>5371760.241697534</v>
          </cell>
          <cell r="CE113">
            <v>3209225.4477979047</v>
          </cell>
          <cell r="CF113">
            <v>10809722.762767397</v>
          </cell>
          <cell r="CI113">
            <v>74011221.153930679</v>
          </cell>
          <cell r="CJ113">
            <v>14536067.480469424</v>
          </cell>
          <cell r="CK113">
            <v>10871900.424619678</v>
          </cell>
          <cell r="CL113">
            <v>13460943.666031955</v>
          </cell>
          <cell r="CM113">
            <v>6226600.7736320505</v>
          </cell>
          <cell r="CN113">
            <v>6301648.4795069806</v>
          </cell>
          <cell r="CO113">
            <v>8595112.1191052906</v>
          </cell>
          <cell r="CP113">
            <v>3209225.4477979047</v>
          </cell>
          <cell r="CQ113">
            <v>10809722.762767397</v>
          </cell>
          <cell r="CS113">
            <v>18001434.44187</v>
          </cell>
          <cell r="CT113">
            <v>4590551.8918800009</v>
          </cell>
          <cell r="CU113">
            <v>1536836.98599</v>
          </cell>
          <cell r="CV113">
            <v>1384066.3382999999</v>
          </cell>
          <cell r="CW113">
            <v>2016039.8763899999</v>
          </cell>
          <cell r="CX113">
            <v>2782431.8594999998</v>
          </cell>
          <cell r="CY113">
            <v>1138127.3477099999</v>
          </cell>
          <cell r="CZ113">
            <v>2336440.1598</v>
          </cell>
          <cell r="DA113">
            <v>2216939.9822999998</v>
          </cell>
          <cell r="DC113">
            <v>11496466.346093364</v>
          </cell>
          <cell r="DD113">
            <v>2505197.1751498193</v>
          </cell>
          <cell r="DE113">
            <v>1911470.8851726283</v>
          </cell>
          <cell r="DF113">
            <v>1724080.4862571561</v>
          </cell>
          <cell r="DG113">
            <v>1330284.1756678061</v>
          </cell>
          <cell r="DH113">
            <v>970004.78390364791</v>
          </cell>
          <cell r="DI113">
            <v>976253.71741478925</v>
          </cell>
          <cell r="DJ113">
            <v>1072763.2274197594</v>
          </cell>
          <cell r="DK113">
            <v>1006411.8951077567</v>
          </cell>
          <cell r="DM113">
            <v>44513320.365967318</v>
          </cell>
          <cell r="DN113">
            <v>2723712.5661666822</v>
          </cell>
          <cell r="DO113">
            <v>4716605.8472729204</v>
          </cell>
          <cell r="DP113">
            <v>4315445.7288998952</v>
          </cell>
          <cell r="DQ113">
            <v>6362182.9705705019</v>
          </cell>
          <cell r="DR113">
            <v>4112219.7085072612</v>
          </cell>
          <cell r="DS113">
            <v>2892445.0922872215</v>
          </cell>
          <cell r="DT113">
            <v>5371760.241697534</v>
          </cell>
          <cell r="DU113">
            <v>3209225.4477979047</v>
          </cell>
          <cell r="DV113">
            <v>10809722.762767397</v>
          </cell>
        </row>
        <row r="115">
          <cell r="A115" t="str">
            <v>Channel Discounts - Soybeans (Garst)</v>
          </cell>
          <cell r="AS115">
            <v>18001434.44187</v>
          </cell>
          <cell r="AT115">
            <v>4590551.8918800009</v>
          </cell>
          <cell r="AU115">
            <v>2920903.3242899999</v>
          </cell>
          <cell r="AV115">
            <v>4798471.7358899992</v>
          </cell>
          <cell r="AW115">
            <v>1138127.3477099999</v>
          </cell>
          <cell r="AX115">
            <v>2336440.1598</v>
          </cell>
          <cell r="AY115">
            <v>2216939.9822999998</v>
          </cell>
          <cell r="AZ115">
            <v>0</v>
          </cell>
          <cell r="BA115">
            <v>0</v>
          </cell>
          <cell r="BC115">
            <v>18001434.44187</v>
          </cell>
          <cell r="BD115">
            <v>4590551.8918800009</v>
          </cell>
          <cell r="BE115">
            <v>1536836.98599</v>
          </cell>
          <cell r="BF115">
            <v>1384066.3382999999</v>
          </cell>
          <cell r="BG115">
            <v>2016039.8763899999</v>
          </cell>
          <cell r="BH115">
            <v>2782431.8594999998</v>
          </cell>
          <cell r="BI115">
            <v>1138127.3477099999</v>
          </cell>
          <cell r="BJ115">
            <v>2336440.1598</v>
          </cell>
          <cell r="BK115">
            <v>2216939.9822999998</v>
          </cell>
          <cell r="CI115">
            <v>18001434.44187</v>
          </cell>
          <cell r="CJ115">
            <v>4590551.8918800009</v>
          </cell>
          <cell r="CK115">
            <v>2920903.3242899999</v>
          </cell>
          <cell r="CL115">
            <v>4798471.7358899992</v>
          </cell>
          <cell r="CM115">
            <v>1138127.3477099999</v>
          </cell>
          <cell r="CN115">
            <v>2336440.1598</v>
          </cell>
          <cell r="CO115">
            <v>2216939.9822999998</v>
          </cell>
          <cell r="CP115">
            <v>0</v>
          </cell>
          <cell r="CQ115">
            <v>0</v>
          </cell>
          <cell r="CS115">
            <v>18001434.44187</v>
          </cell>
          <cell r="CT115">
            <v>4590551.8918800009</v>
          </cell>
          <cell r="CU115">
            <v>1536836.98599</v>
          </cell>
          <cell r="CV115">
            <v>1384066.3382999999</v>
          </cell>
          <cell r="CW115">
            <v>2016039.8763899999</v>
          </cell>
          <cell r="CX115">
            <v>2782431.8594999998</v>
          </cell>
          <cell r="CY115">
            <v>1138127.3477099999</v>
          </cell>
          <cell r="CZ115">
            <v>2336440.1598</v>
          </cell>
          <cell r="DA115">
            <v>2216939.9822999998</v>
          </cell>
        </row>
        <row r="116">
          <cell r="A116" t="str">
            <v>Product Bonus</v>
          </cell>
          <cell r="AS116">
            <v>5547691.7144549992</v>
          </cell>
          <cell r="AT116">
            <v>1414718.74242</v>
          </cell>
          <cell r="AU116">
            <v>900165.55198500003</v>
          </cell>
          <cell r="AV116">
            <v>1478795.5913849999</v>
          </cell>
          <cell r="AW116">
            <v>350748.69601499994</v>
          </cell>
          <cell r="AX116">
            <v>720045.38069999986</v>
          </cell>
          <cell r="AY116">
            <v>683217.75194999983</v>
          </cell>
          <cell r="AZ116">
            <v>0</v>
          </cell>
          <cell r="BA116">
            <v>0</v>
          </cell>
          <cell r="BC116">
            <v>5547691.7144549992</v>
          </cell>
          <cell r="BD116">
            <v>1414718.74242</v>
          </cell>
          <cell r="BE116">
            <v>473623.24603500002</v>
          </cell>
          <cell r="BF116">
            <v>426542.30595000001</v>
          </cell>
          <cell r="BG116">
            <v>621304.2496349999</v>
          </cell>
          <cell r="BH116">
            <v>857491.34174999991</v>
          </cell>
          <cell r="BI116">
            <v>350748.69601499994</v>
          </cell>
          <cell r="BJ116">
            <v>720045.38069999986</v>
          </cell>
          <cell r="BK116">
            <v>683217.75194999983</v>
          </cell>
          <cell r="CI116">
            <v>5547691.7144549992</v>
          </cell>
          <cell r="CJ116">
            <v>1414718.74242</v>
          </cell>
          <cell r="CK116">
            <v>900165.55198500003</v>
          </cell>
          <cell r="CL116">
            <v>1478795.5913849999</v>
          </cell>
          <cell r="CM116">
            <v>350748.69601499994</v>
          </cell>
          <cell r="CN116">
            <v>720045.38069999986</v>
          </cell>
          <cell r="CO116">
            <v>683217.75194999983</v>
          </cell>
          <cell r="CP116">
            <v>0</v>
          </cell>
          <cell r="CQ116">
            <v>0</v>
          </cell>
          <cell r="CS116">
            <v>5547691.7144549992</v>
          </cell>
          <cell r="CT116">
            <v>1414718.74242</v>
          </cell>
          <cell r="CU116">
            <v>473623.24603500002</v>
          </cell>
          <cell r="CV116">
            <v>426542.30595000001</v>
          </cell>
          <cell r="CW116">
            <v>621304.2496349999</v>
          </cell>
          <cell r="CX116">
            <v>857491.34174999991</v>
          </cell>
          <cell r="CY116">
            <v>350748.69601499994</v>
          </cell>
          <cell r="CZ116">
            <v>720045.38069999986</v>
          </cell>
          <cell r="DA116">
            <v>683217.75194999983</v>
          </cell>
        </row>
        <row r="117">
          <cell r="A117" t="str">
            <v>SA Recruiting</v>
          </cell>
          <cell r="AS117">
            <v>3381087.4750950006</v>
          </cell>
          <cell r="AT117">
            <v>862212.26178000018</v>
          </cell>
          <cell r="AU117">
            <v>548613.48286500014</v>
          </cell>
          <cell r="AV117">
            <v>901264.43746499985</v>
          </cell>
          <cell r="AW117">
            <v>213766.74913499999</v>
          </cell>
          <cell r="AX117">
            <v>438837.72630000004</v>
          </cell>
          <cell r="AY117">
            <v>416392.81754999998</v>
          </cell>
          <cell r="AZ117">
            <v>0</v>
          </cell>
          <cell r="BA117">
            <v>0</v>
          </cell>
          <cell r="BC117">
            <v>3381087.4750950001</v>
          </cell>
          <cell r="BD117">
            <v>862212.26178000018</v>
          </cell>
          <cell r="BE117">
            <v>288653.67931500002</v>
          </cell>
          <cell r="BF117">
            <v>259959.80355000007</v>
          </cell>
          <cell r="BG117">
            <v>378659.11171499995</v>
          </cell>
          <cell r="BH117">
            <v>522605.3257499999</v>
          </cell>
          <cell r="BI117">
            <v>213766.74913499999</v>
          </cell>
          <cell r="BJ117">
            <v>438837.72630000004</v>
          </cell>
          <cell r="BK117">
            <v>416392.81754999998</v>
          </cell>
          <cell r="CI117">
            <v>3381087.4750950006</v>
          </cell>
          <cell r="CJ117">
            <v>862212.26178000018</v>
          </cell>
          <cell r="CK117">
            <v>548613.48286500014</v>
          </cell>
          <cell r="CL117">
            <v>901264.43746499985</v>
          </cell>
          <cell r="CM117">
            <v>213766.74913499999</v>
          </cell>
          <cell r="CN117">
            <v>438837.72630000004</v>
          </cell>
          <cell r="CO117">
            <v>416392.81754999998</v>
          </cell>
          <cell r="CP117">
            <v>0</v>
          </cell>
          <cell r="CQ117">
            <v>0</v>
          </cell>
          <cell r="CS117">
            <v>3381087.4750950001</v>
          </cell>
          <cell r="CT117">
            <v>862212.26178000018</v>
          </cell>
          <cell r="CU117">
            <v>288653.67931500002</v>
          </cell>
          <cell r="CV117">
            <v>259959.80355000007</v>
          </cell>
          <cell r="CW117">
            <v>378659.11171499995</v>
          </cell>
          <cell r="CX117">
            <v>522605.3257499999</v>
          </cell>
          <cell r="CY117">
            <v>213766.74913499999</v>
          </cell>
          <cell r="CZ117">
            <v>438837.72630000004</v>
          </cell>
          <cell r="DA117">
            <v>416392.81754999998</v>
          </cell>
        </row>
        <row r="118">
          <cell r="A118" t="str">
            <v>True Blue Bulk</v>
          </cell>
          <cell r="AS118">
            <v>2527704.9459199999</v>
          </cell>
          <cell r="AT118">
            <v>644590.89408000011</v>
          </cell>
          <cell r="AU118">
            <v>410144.08063999988</v>
          </cell>
          <cell r="AV118">
            <v>673786.34623999987</v>
          </cell>
          <cell r="AW118">
            <v>159812.27136000001</v>
          </cell>
          <cell r="AX118">
            <v>328075.59679999994</v>
          </cell>
          <cell r="AY118">
            <v>311295.75679999992</v>
          </cell>
          <cell r="AZ118">
            <v>0</v>
          </cell>
          <cell r="BA118">
            <v>0</v>
          </cell>
          <cell r="BC118">
            <v>2527704.9459199999</v>
          </cell>
          <cell r="BD118">
            <v>644590.89408000011</v>
          </cell>
          <cell r="BE118">
            <v>215797.82783999995</v>
          </cell>
          <cell r="BF118">
            <v>194346.25279999993</v>
          </cell>
          <cell r="BG118">
            <v>283085.99423999997</v>
          </cell>
          <cell r="BH118">
            <v>390700.35199999984</v>
          </cell>
          <cell r="BI118">
            <v>159812.27136000001</v>
          </cell>
          <cell r="BJ118">
            <v>328075.59679999994</v>
          </cell>
          <cell r="BK118">
            <v>311295.75679999992</v>
          </cell>
          <cell r="CI118">
            <v>2527704.9459199999</v>
          </cell>
          <cell r="CJ118">
            <v>644590.89408000011</v>
          </cell>
          <cell r="CK118">
            <v>410144.08063999988</v>
          </cell>
          <cell r="CL118">
            <v>673786.34623999987</v>
          </cell>
          <cell r="CM118">
            <v>159812.27136000001</v>
          </cell>
          <cell r="CN118">
            <v>328075.59679999994</v>
          </cell>
          <cell r="CO118">
            <v>311295.75679999992</v>
          </cell>
          <cell r="CP118">
            <v>0</v>
          </cell>
          <cell r="CQ118">
            <v>0</v>
          </cell>
          <cell r="CS118">
            <v>2527704.9459199999</v>
          </cell>
          <cell r="CT118">
            <v>644590.89408000011</v>
          </cell>
          <cell r="CU118">
            <v>215797.82783999995</v>
          </cell>
          <cell r="CV118">
            <v>194346.25279999993</v>
          </cell>
          <cell r="CW118">
            <v>283085.99423999997</v>
          </cell>
          <cell r="CX118">
            <v>390700.35199999984</v>
          </cell>
          <cell r="CY118">
            <v>159812.27136000001</v>
          </cell>
          <cell r="CZ118">
            <v>328075.59679999994</v>
          </cell>
          <cell r="DA118">
            <v>311295.75679999992</v>
          </cell>
        </row>
        <row r="119">
          <cell r="A119" t="str">
            <v>Business Planning</v>
          </cell>
          <cell r="AS119">
            <v>1703943.9590800002</v>
          </cell>
          <cell r="AT119">
            <v>434523.32592000003</v>
          </cell>
          <cell r="AU119">
            <v>276481.05435999995</v>
          </cell>
          <cell r="AV119">
            <v>454204.18875999999</v>
          </cell>
          <cell r="AW119">
            <v>107730.59364000002</v>
          </cell>
          <cell r="AX119">
            <v>221158.10319999998</v>
          </cell>
          <cell r="AY119">
            <v>209846.69320000004</v>
          </cell>
          <cell r="AZ119">
            <v>0</v>
          </cell>
          <cell r="BA119">
            <v>0</v>
          </cell>
          <cell r="BC119">
            <v>1703943.9590800002</v>
          </cell>
          <cell r="BD119">
            <v>434523.32592000003</v>
          </cell>
          <cell r="BE119">
            <v>145470.85715999999</v>
          </cell>
          <cell r="BF119">
            <v>131010.19719999998</v>
          </cell>
          <cell r="BG119">
            <v>190830.29076</v>
          </cell>
          <cell r="BH119">
            <v>263373.89799999999</v>
          </cell>
          <cell r="BI119">
            <v>107730.59364000002</v>
          </cell>
          <cell r="BJ119">
            <v>221158.10319999998</v>
          </cell>
          <cell r="BK119">
            <v>209846.69320000004</v>
          </cell>
          <cell r="CI119">
            <v>1703943.9590800002</v>
          </cell>
          <cell r="CJ119">
            <v>434523.32592000003</v>
          </cell>
          <cell r="CK119">
            <v>276481.05435999995</v>
          </cell>
          <cell r="CL119">
            <v>454204.18875999999</v>
          </cell>
          <cell r="CM119">
            <v>107730.59364000002</v>
          </cell>
          <cell r="CN119">
            <v>221158.10319999998</v>
          </cell>
          <cell r="CO119">
            <v>209846.69320000004</v>
          </cell>
          <cell r="CP119">
            <v>0</v>
          </cell>
          <cell r="CQ119">
            <v>0</v>
          </cell>
          <cell r="CS119">
            <v>1703943.9590800002</v>
          </cell>
          <cell r="CT119">
            <v>434523.32592000003</v>
          </cell>
          <cell r="CU119">
            <v>145470.85715999999</v>
          </cell>
          <cell r="CV119">
            <v>131010.19719999998</v>
          </cell>
          <cell r="CW119">
            <v>190830.29076</v>
          </cell>
          <cell r="CX119">
            <v>263373.89799999999</v>
          </cell>
          <cell r="CY119">
            <v>107730.59364000002</v>
          </cell>
          <cell r="CZ119">
            <v>221158.10319999998</v>
          </cell>
          <cell r="DA119">
            <v>209846.69320000004</v>
          </cell>
        </row>
        <row r="120">
          <cell r="A120" t="str">
            <v>CruiserMaxx</v>
          </cell>
          <cell r="AS120">
            <v>1234230.9306250003</v>
          </cell>
          <cell r="AT120">
            <v>314741.64750000008</v>
          </cell>
          <cell r="AU120">
            <v>200265.66437499999</v>
          </cell>
          <cell r="AV120">
            <v>328997.239375</v>
          </cell>
          <cell r="AW120">
            <v>78033.335625000007</v>
          </cell>
          <cell r="AX120">
            <v>160193.16250000001</v>
          </cell>
          <cell r="AY120">
            <v>151999.88125000003</v>
          </cell>
          <cell r="AZ120">
            <v>0</v>
          </cell>
          <cell r="BA120">
            <v>0</v>
          </cell>
          <cell r="BC120">
            <v>1234230.9306250003</v>
          </cell>
          <cell r="BD120">
            <v>314741.64750000008</v>
          </cell>
          <cell r="BE120">
            <v>105370.033125</v>
          </cell>
          <cell r="BF120">
            <v>94895.631250000006</v>
          </cell>
          <cell r="BG120">
            <v>138225.583125</v>
          </cell>
          <cell r="BH120">
            <v>190771.65625</v>
          </cell>
          <cell r="BI120">
            <v>78033.335625000007</v>
          </cell>
          <cell r="BJ120">
            <v>160193.16250000001</v>
          </cell>
          <cell r="BK120">
            <v>151999.88125000003</v>
          </cell>
          <cell r="CI120">
            <v>1234230.9306250003</v>
          </cell>
          <cell r="CJ120">
            <v>314741.64750000008</v>
          </cell>
          <cell r="CK120">
            <v>200265.66437499999</v>
          </cell>
          <cell r="CL120">
            <v>328997.239375</v>
          </cell>
          <cell r="CM120">
            <v>78033.335625000007</v>
          </cell>
          <cell r="CN120">
            <v>160193.16250000001</v>
          </cell>
          <cell r="CO120">
            <v>151999.88125000003</v>
          </cell>
          <cell r="CP120">
            <v>0</v>
          </cell>
          <cell r="CQ120">
            <v>0</v>
          </cell>
          <cell r="CS120">
            <v>1234230.9306250003</v>
          </cell>
          <cell r="CT120">
            <v>314741.64750000008</v>
          </cell>
          <cell r="CU120">
            <v>105370.033125</v>
          </cell>
          <cell r="CV120">
            <v>94895.631250000006</v>
          </cell>
          <cell r="CW120">
            <v>138225.583125</v>
          </cell>
          <cell r="CX120">
            <v>190771.65625</v>
          </cell>
          <cell r="CY120">
            <v>78033.335625000007</v>
          </cell>
          <cell r="CZ120">
            <v>160193.16250000001</v>
          </cell>
          <cell r="DA120">
            <v>151999.88125000003</v>
          </cell>
        </row>
        <row r="121">
          <cell r="A121" t="str">
            <v>Early Delivery</v>
          </cell>
          <cell r="AS121">
            <v>1121386.959825</v>
          </cell>
          <cell r="AT121">
            <v>285965.26829999994</v>
          </cell>
          <cell r="AU121">
            <v>181955.660775</v>
          </cell>
          <cell r="AV121">
            <v>298917.491775</v>
          </cell>
          <cell r="AW121">
            <v>70898.859225000007</v>
          </cell>
          <cell r="AX121">
            <v>145546.93050000002</v>
          </cell>
          <cell r="AY121">
            <v>138102.74925000002</v>
          </cell>
          <cell r="AZ121">
            <v>0</v>
          </cell>
          <cell r="BA121">
            <v>0</v>
          </cell>
          <cell r="BC121">
            <v>1121386.959825</v>
          </cell>
          <cell r="BD121">
            <v>285965.26829999994</v>
          </cell>
          <cell r="BE121">
            <v>95736.201524999997</v>
          </cell>
          <cell r="BF121">
            <v>86219.459250000014</v>
          </cell>
          <cell r="BG121">
            <v>125587.81552500001</v>
          </cell>
          <cell r="BH121">
            <v>173329.67624999999</v>
          </cell>
          <cell r="BI121">
            <v>70898.859225000007</v>
          </cell>
          <cell r="BJ121">
            <v>145546.93050000002</v>
          </cell>
          <cell r="BK121">
            <v>138102.74925000002</v>
          </cell>
          <cell r="CI121">
            <v>1121386.959825</v>
          </cell>
          <cell r="CJ121">
            <v>285965.26829999994</v>
          </cell>
          <cell r="CK121">
            <v>181955.660775</v>
          </cell>
          <cell r="CL121">
            <v>298917.491775</v>
          </cell>
          <cell r="CM121">
            <v>70898.859225000007</v>
          </cell>
          <cell r="CN121">
            <v>145546.93050000002</v>
          </cell>
          <cell r="CO121">
            <v>138102.74925000002</v>
          </cell>
          <cell r="CP121">
            <v>0</v>
          </cell>
          <cell r="CQ121">
            <v>0</v>
          </cell>
          <cell r="CS121">
            <v>1121386.959825</v>
          </cell>
          <cell r="CT121">
            <v>285965.26829999994</v>
          </cell>
          <cell r="CU121">
            <v>95736.201524999997</v>
          </cell>
          <cell r="CV121">
            <v>86219.459250000014</v>
          </cell>
          <cell r="CW121">
            <v>125587.81552500001</v>
          </cell>
          <cell r="CX121">
            <v>173329.67624999999</v>
          </cell>
          <cell r="CY121">
            <v>70898.859225000007</v>
          </cell>
          <cell r="CZ121">
            <v>145546.93050000002</v>
          </cell>
          <cell r="DA121">
            <v>138102.74925000002</v>
          </cell>
        </row>
        <row r="122">
          <cell r="A122" t="str">
            <v>Bulk Equipment</v>
          </cell>
          <cell r="AS122">
            <v>729254.16129500011</v>
          </cell>
          <cell r="AT122">
            <v>185967.35058000003</v>
          </cell>
          <cell r="AU122">
            <v>118328.39826500001</v>
          </cell>
          <cell r="AV122">
            <v>194390.36886500003</v>
          </cell>
          <cell r="AW122">
            <v>46106.553735000001</v>
          </cell>
          <cell r="AX122">
            <v>94651.274300000005</v>
          </cell>
          <cell r="AY122">
            <v>89810.215550000008</v>
          </cell>
          <cell r="AZ122">
            <v>0</v>
          </cell>
          <cell r="BA122">
            <v>0</v>
          </cell>
          <cell r="BC122">
            <v>729254.16129500011</v>
          </cell>
          <cell r="BD122">
            <v>185967.35058000003</v>
          </cell>
          <cell r="BE122">
            <v>62258.636715000015</v>
          </cell>
          <cell r="BF122">
            <v>56069.761549999996</v>
          </cell>
          <cell r="BG122">
            <v>81671.573115000007</v>
          </cell>
          <cell r="BH122">
            <v>112718.79575000003</v>
          </cell>
          <cell r="BI122">
            <v>46106.553735000001</v>
          </cell>
          <cell r="BJ122">
            <v>94651.274300000005</v>
          </cell>
          <cell r="BK122">
            <v>89810.215550000008</v>
          </cell>
          <cell r="CI122">
            <v>729254.16129500011</v>
          </cell>
          <cell r="CJ122">
            <v>185967.35058000003</v>
          </cell>
          <cell r="CK122">
            <v>118328.39826500001</v>
          </cell>
          <cell r="CL122">
            <v>194390.36886500003</v>
          </cell>
          <cell r="CM122">
            <v>46106.553735000001</v>
          </cell>
          <cell r="CN122">
            <v>94651.274300000005</v>
          </cell>
          <cell r="CO122">
            <v>89810.215550000008</v>
          </cell>
          <cell r="CP122">
            <v>0</v>
          </cell>
          <cell r="CQ122">
            <v>0</v>
          </cell>
          <cell r="CS122">
            <v>729254.16129500011</v>
          </cell>
          <cell r="CT122">
            <v>185967.35058000003</v>
          </cell>
          <cell r="CU122">
            <v>62258.636715000015</v>
          </cell>
          <cell r="CV122">
            <v>56069.761549999996</v>
          </cell>
          <cell r="CW122">
            <v>81671.573115000007</v>
          </cell>
          <cell r="CX122">
            <v>112718.79575000003</v>
          </cell>
          <cell r="CY122">
            <v>46106.553735000001</v>
          </cell>
          <cell r="CZ122">
            <v>94651.274300000005</v>
          </cell>
          <cell r="DA122">
            <v>89810.215550000008</v>
          </cell>
        </row>
        <row r="123">
          <cell r="A123" t="str">
            <v>SA Enhanced Earnings - 06/07/08</v>
          </cell>
          <cell r="AS123">
            <v>695400.97005499993</v>
          </cell>
          <cell r="AT123">
            <v>177334.43682</v>
          </cell>
          <cell r="AU123">
            <v>112835.39718500001</v>
          </cell>
          <cell r="AV123">
            <v>185366.44458499996</v>
          </cell>
          <cell r="AW123">
            <v>43966.210815000013</v>
          </cell>
          <cell r="AX123">
            <v>90257.404699999999</v>
          </cell>
          <cell r="AY123">
            <v>85641.075950000013</v>
          </cell>
          <cell r="AZ123">
            <v>0</v>
          </cell>
          <cell r="BA123">
            <v>0</v>
          </cell>
          <cell r="BC123">
            <v>695400.97005499993</v>
          </cell>
          <cell r="BD123">
            <v>177334.43682</v>
          </cell>
          <cell r="BE123">
            <v>59368.487235000001</v>
          </cell>
          <cell r="BF123">
            <v>53466.909950000001</v>
          </cell>
          <cell r="BG123">
            <v>77880.242834999997</v>
          </cell>
          <cell r="BH123">
            <v>107486.20174999996</v>
          </cell>
          <cell r="BI123">
            <v>43966.210815000013</v>
          </cell>
          <cell r="BJ123">
            <v>90257.404699999999</v>
          </cell>
          <cell r="BK123">
            <v>85641.075950000013</v>
          </cell>
          <cell r="CI123">
            <v>695400.97005499993</v>
          </cell>
          <cell r="CJ123">
            <v>177334.43682</v>
          </cell>
          <cell r="CK123">
            <v>112835.39718500001</v>
          </cell>
          <cell r="CL123">
            <v>185366.44458499996</v>
          </cell>
          <cell r="CM123">
            <v>43966.210815000013</v>
          </cell>
          <cell r="CN123">
            <v>90257.404699999999</v>
          </cell>
          <cell r="CO123">
            <v>85641.075950000013</v>
          </cell>
          <cell r="CP123">
            <v>0</v>
          </cell>
          <cell r="CQ123">
            <v>0</v>
          </cell>
          <cell r="CS123">
            <v>695400.97005499993</v>
          </cell>
          <cell r="CT123">
            <v>177334.43682</v>
          </cell>
          <cell r="CU123">
            <v>59368.487235000001</v>
          </cell>
          <cell r="CV123">
            <v>53466.909950000001</v>
          </cell>
          <cell r="CW123">
            <v>77880.242834999997</v>
          </cell>
          <cell r="CX123">
            <v>107486.20174999996</v>
          </cell>
          <cell r="CY123">
            <v>43966.210815000013</v>
          </cell>
          <cell r="CZ123">
            <v>90257.404699999999</v>
          </cell>
          <cell r="DA123">
            <v>85641.075950000013</v>
          </cell>
        </row>
        <row r="124">
          <cell r="A124" t="str">
            <v>Early Order/Cornerstone</v>
          </cell>
          <cell r="AS124">
            <v>602304.69414500007</v>
          </cell>
          <cell r="AT124">
            <v>153593.92397999999</v>
          </cell>
          <cell r="AU124">
            <v>97729.644215000022</v>
          </cell>
          <cell r="AV124">
            <v>160550.65281500004</v>
          </cell>
          <cell r="AW124">
            <v>38080.267784999996</v>
          </cell>
          <cell r="AX124">
            <v>78174.263300000006</v>
          </cell>
          <cell r="AY124">
            <v>74175.942050000012</v>
          </cell>
          <cell r="AZ124">
            <v>0</v>
          </cell>
          <cell r="BA124">
            <v>0</v>
          </cell>
          <cell r="BC124">
            <v>602304.69414500007</v>
          </cell>
          <cell r="BD124">
            <v>153593.92397999999</v>
          </cell>
          <cell r="BE124">
            <v>51420.576164999999</v>
          </cell>
          <cell r="BF124">
            <v>46309.068050000024</v>
          </cell>
          <cell r="BG124">
            <v>67454.084564999997</v>
          </cell>
          <cell r="BH124">
            <v>93096.56825000004</v>
          </cell>
          <cell r="BI124">
            <v>38080.267784999996</v>
          </cell>
          <cell r="BJ124">
            <v>78174.263300000006</v>
          </cell>
          <cell r="BK124">
            <v>74175.942050000012</v>
          </cell>
          <cell r="CI124">
            <v>602304.69414500007</v>
          </cell>
          <cell r="CJ124">
            <v>153593.92397999999</v>
          </cell>
          <cell r="CK124">
            <v>97729.644215000022</v>
          </cell>
          <cell r="CL124">
            <v>160550.65281500004</v>
          </cell>
          <cell r="CM124">
            <v>38080.267784999996</v>
          </cell>
          <cell r="CN124">
            <v>78174.263300000006</v>
          </cell>
          <cell r="CO124">
            <v>74175.942050000012</v>
          </cell>
          <cell r="CP124">
            <v>0</v>
          </cell>
          <cell r="CQ124">
            <v>0</v>
          </cell>
          <cell r="CS124">
            <v>602304.69414500007</v>
          </cell>
          <cell r="CT124">
            <v>153593.92397999999</v>
          </cell>
          <cell r="CU124">
            <v>51420.576164999999</v>
          </cell>
          <cell r="CV124">
            <v>46309.068050000024</v>
          </cell>
          <cell r="CW124">
            <v>67454.084564999997</v>
          </cell>
          <cell r="CX124">
            <v>93096.56825000004</v>
          </cell>
          <cell r="CY124">
            <v>38080.267784999996</v>
          </cell>
          <cell r="CZ124">
            <v>78174.263300000006</v>
          </cell>
          <cell r="DA124">
            <v>74175.942050000012</v>
          </cell>
        </row>
        <row r="125">
          <cell r="A125" t="str">
            <v>AgriEdge</v>
          </cell>
          <cell r="AS125">
            <v>458428.631375</v>
          </cell>
          <cell r="AT125">
            <v>116904.0405</v>
          </cell>
          <cell r="AU125">
            <v>74384.389624999996</v>
          </cell>
          <cell r="AV125">
            <v>122198.974625</v>
          </cell>
          <cell r="AW125">
            <v>28983.810375000005</v>
          </cell>
          <cell r="AX125">
            <v>59500.317500000005</v>
          </cell>
          <cell r="AY125">
            <v>56457.098750000005</v>
          </cell>
          <cell r="AZ125">
            <v>0</v>
          </cell>
          <cell r="BA125">
            <v>0</v>
          </cell>
          <cell r="BC125">
            <v>458428.631375</v>
          </cell>
          <cell r="BD125">
            <v>116904.0405</v>
          </cell>
          <cell r="BE125">
            <v>39137.440875</v>
          </cell>
          <cell r="BF125">
            <v>35246.948749999996</v>
          </cell>
          <cell r="BG125">
            <v>51340.930874999984</v>
          </cell>
          <cell r="BH125">
            <v>70858.043750000012</v>
          </cell>
          <cell r="BI125">
            <v>28983.810375000005</v>
          </cell>
          <cell r="BJ125">
            <v>59500.317500000005</v>
          </cell>
          <cell r="BK125">
            <v>56457.098750000005</v>
          </cell>
          <cell r="CI125">
            <v>458428.631375</v>
          </cell>
          <cell r="CJ125">
            <v>116904.0405</v>
          </cell>
          <cell r="CK125">
            <v>74384.389624999996</v>
          </cell>
          <cell r="CL125">
            <v>122198.974625</v>
          </cell>
          <cell r="CM125">
            <v>28983.810375000005</v>
          </cell>
          <cell r="CN125">
            <v>59500.317500000005</v>
          </cell>
          <cell r="CO125">
            <v>56457.098750000005</v>
          </cell>
          <cell r="CP125">
            <v>0</v>
          </cell>
          <cell r="CQ125">
            <v>0</v>
          </cell>
          <cell r="CS125">
            <v>458428.631375</v>
          </cell>
          <cell r="CT125">
            <v>116904.0405</v>
          </cell>
          <cell r="CU125">
            <v>39137.440875</v>
          </cell>
          <cell r="CV125">
            <v>35246.948749999996</v>
          </cell>
          <cell r="CW125">
            <v>51340.930874999984</v>
          </cell>
          <cell r="CX125">
            <v>70858.043750000012</v>
          </cell>
          <cell r="CY125">
            <v>28983.810375000005</v>
          </cell>
          <cell r="CZ125">
            <v>59500.317500000005</v>
          </cell>
          <cell r="DA125">
            <v>56457.098750000005</v>
          </cell>
        </row>
        <row r="127">
          <cell r="A127" t="str">
            <v>Channel Discounts - Soybeans (GH)</v>
          </cell>
          <cell r="AS127">
            <v>11496466.346093364</v>
          </cell>
          <cell r="AT127">
            <v>2505197.1751498193</v>
          </cell>
          <cell r="AU127">
            <v>3635551.3714297842</v>
          </cell>
          <cell r="AV127">
            <v>2300288.9595714537</v>
          </cell>
          <cell r="AW127">
            <v>976253.71741478925</v>
          </cell>
          <cell r="AX127">
            <v>1072763.2274197594</v>
          </cell>
          <cell r="AY127">
            <v>1006411.8951077567</v>
          </cell>
          <cell r="AZ127">
            <v>0</v>
          </cell>
          <cell r="BA127">
            <v>0</v>
          </cell>
          <cell r="BM127">
            <v>11496466.346093364</v>
          </cell>
          <cell r="BN127">
            <v>2505197.1751498193</v>
          </cell>
          <cell r="BO127">
            <v>1911470.8851726283</v>
          </cell>
          <cell r="BP127">
            <v>1724080.4862571561</v>
          </cell>
          <cell r="BQ127">
            <v>1330284.1756678061</v>
          </cell>
          <cell r="BR127">
            <v>970004.78390364791</v>
          </cell>
          <cell r="BS127">
            <v>976253.71741478925</v>
          </cell>
          <cell r="BT127">
            <v>1072763.2274197594</v>
          </cell>
          <cell r="BU127">
            <v>1006411.8951077567</v>
          </cell>
          <cell r="CI127">
            <v>11496466.346093364</v>
          </cell>
          <cell r="CJ127">
            <v>2505197.1751498193</v>
          </cell>
          <cell r="CK127">
            <v>3635551.3714297842</v>
          </cell>
          <cell r="CL127">
            <v>2300288.9595714537</v>
          </cell>
          <cell r="CM127">
            <v>976253.71741478925</v>
          </cell>
          <cell r="CN127">
            <v>1072763.2274197594</v>
          </cell>
          <cell r="CO127">
            <v>1006411.8951077567</v>
          </cell>
          <cell r="CP127">
            <v>0</v>
          </cell>
          <cell r="CQ127">
            <v>0</v>
          </cell>
          <cell r="DC127">
            <v>11496466.346093364</v>
          </cell>
          <cell r="DD127">
            <v>2505197.1751498193</v>
          </cell>
          <cell r="DE127">
            <v>1911470.8851726283</v>
          </cell>
          <cell r="DF127">
            <v>1724080.4862571561</v>
          </cell>
          <cell r="DG127">
            <v>1330284.1756678061</v>
          </cell>
          <cell r="DH127">
            <v>970004.78390364791</v>
          </cell>
          <cell r="DI127">
            <v>976253.71741478925</v>
          </cell>
          <cell r="DJ127">
            <v>1072763.2274197594</v>
          </cell>
          <cell r="DK127">
            <v>1006411.8951077567</v>
          </cell>
        </row>
        <row r="128">
          <cell r="A128" t="str">
            <v>Dealer Earnings CUV</v>
          </cell>
          <cell r="AS128">
            <v>7411164.7245361861</v>
          </cell>
          <cell r="AT128">
            <v>1614968.3192685673</v>
          </cell>
          <cell r="AU128">
            <v>2343647.9755655834</v>
          </cell>
          <cell r="AV128">
            <v>1482874.8138952332</v>
          </cell>
          <cell r="AW128">
            <v>629339.21562432125</v>
          </cell>
          <cell r="AX128">
            <v>691553.80005392339</v>
          </cell>
          <cell r="AY128">
            <v>648780.60012855765</v>
          </cell>
          <cell r="AZ128">
            <v>0</v>
          </cell>
          <cell r="BA128">
            <v>0</v>
          </cell>
          <cell r="BM128">
            <v>7411164.7245361861</v>
          </cell>
          <cell r="BN128">
            <v>1614968.3192685673</v>
          </cell>
          <cell r="BO128">
            <v>1232224.3348264308</v>
          </cell>
          <cell r="BP128">
            <v>1111423.6407391527</v>
          </cell>
          <cell r="BQ128">
            <v>857563.95569914719</v>
          </cell>
          <cell r="BR128">
            <v>625310.85819608602</v>
          </cell>
          <cell r="BS128">
            <v>629339.21562432125</v>
          </cell>
          <cell r="BT128">
            <v>691553.80005392339</v>
          </cell>
          <cell r="BU128">
            <v>648780.60012855765</v>
          </cell>
          <cell r="CI128">
            <v>7411164.7245361861</v>
          </cell>
          <cell r="CJ128">
            <v>1614968.3192685673</v>
          </cell>
          <cell r="CK128">
            <v>2343647.9755655834</v>
          </cell>
          <cell r="CL128">
            <v>1482874.8138952332</v>
          </cell>
          <cell r="CM128">
            <v>629339.21562432125</v>
          </cell>
          <cell r="CN128">
            <v>691553.80005392339</v>
          </cell>
          <cell r="CO128">
            <v>648780.60012855765</v>
          </cell>
          <cell r="CP128">
            <v>0</v>
          </cell>
          <cell r="CQ128">
            <v>0</v>
          </cell>
          <cell r="DC128">
            <v>7411164.7245361861</v>
          </cell>
          <cell r="DD128">
            <v>1614968.3192685673</v>
          </cell>
          <cell r="DE128">
            <v>1232224.3348264308</v>
          </cell>
          <cell r="DF128">
            <v>1111423.6407391527</v>
          </cell>
          <cell r="DG128">
            <v>857563.95569914719</v>
          </cell>
          <cell r="DH128">
            <v>625310.85819608602</v>
          </cell>
          <cell r="DI128">
            <v>629339.21562432125</v>
          </cell>
          <cell r="DJ128">
            <v>691553.80005392339</v>
          </cell>
          <cell r="DK128">
            <v>648780.60012855765</v>
          </cell>
        </row>
        <row r="129">
          <cell r="A129" t="str">
            <v>Golden Opportunity Bonus</v>
          </cell>
          <cell r="AS129">
            <v>1543992.6509450385</v>
          </cell>
          <cell r="AT129">
            <v>336451.73318095156</v>
          </cell>
          <cell r="AU129">
            <v>488259.99490949651</v>
          </cell>
          <cell r="AV129">
            <v>308932.25289484026</v>
          </cell>
          <cell r="AW129">
            <v>131112.33658840027</v>
          </cell>
          <cell r="AX129">
            <v>144073.70834456742</v>
          </cell>
          <cell r="AY129">
            <v>135162.62502678286</v>
          </cell>
          <cell r="AZ129">
            <v>0</v>
          </cell>
          <cell r="BA129">
            <v>0</v>
          </cell>
          <cell r="BM129">
            <v>1543992.6509450385</v>
          </cell>
          <cell r="BN129">
            <v>336451.73318095156</v>
          </cell>
          <cell r="BO129">
            <v>256713.40308883972</v>
          </cell>
          <cell r="BP129">
            <v>231546.59182065679</v>
          </cell>
          <cell r="BQ129">
            <v>178659.15743732231</v>
          </cell>
          <cell r="BR129">
            <v>130273.09545751795</v>
          </cell>
          <cell r="BS129">
            <v>131112.33658840027</v>
          </cell>
          <cell r="BT129">
            <v>144073.70834456742</v>
          </cell>
          <cell r="BU129">
            <v>135162.62502678286</v>
          </cell>
          <cell r="CI129">
            <v>1543992.6509450385</v>
          </cell>
          <cell r="CJ129">
            <v>336451.73318095156</v>
          </cell>
          <cell r="CK129">
            <v>488259.99490949651</v>
          </cell>
          <cell r="CL129">
            <v>308932.25289484026</v>
          </cell>
          <cell r="CM129">
            <v>131112.33658840027</v>
          </cell>
          <cell r="CN129">
            <v>144073.70834456742</v>
          </cell>
          <cell r="CO129">
            <v>135162.62502678286</v>
          </cell>
          <cell r="CP129">
            <v>0</v>
          </cell>
          <cell r="CQ129">
            <v>0</v>
          </cell>
          <cell r="DC129">
            <v>1543992.6509450385</v>
          </cell>
          <cell r="DD129">
            <v>336451.73318095156</v>
          </cell>
          <cell r="DE129">
            <v>256713.40308883972</v>
          </cell>
          <cell r="DF129">
            <v>231546.59182065679</v>
          </cell>
          <cell r="DG129">
            <v>178659.15743732231</v>
          </cell>
          <cell r="DH129">
            <v>130273.09545751795</v>
          </cell>
          <cell r="DI129">
            <v>131112.33658840027</v>
          </cell>
          <cell r="DJ129">
            <v>144073.70834456742</v>
          </cell>
          <cell r="DK129">
            <v>135162.62502678286</v>
          </cell>
        </row>
        <row r="130">
          <cell r="A130" t="str">
            <v xml:space="preserve">Bulk Up </v>
          </cell>
          <cell r="AS130">
            <v>1235194.1207560312</v>
          </cell>
          <cell r="AT130">
            <v>269161.38654476125</v>
          </cell>
          <cell r="AU130">
            <v>390607.99592759722</v>
          </cell>
          <cell r="AV130">
            <v>247145.80231587222</v>
          </cell>
          <cell r="AW130">
            <v>104889.86927072024</v>
          </cell>
          <cell r="AX130">
            <v>115258.96667565395</v>
          </cell>
          <cell r="AY130">
            <v>108130.10002142629</v>
          </cell>
          <cell r="AZ130">
            <v>0</v>
          </cell>
          <cell r="BA130">
            <v>0</v>
          </cell>
          <cell r="BM130">
            <v>1235194.1207560312</v>
          </cell>
          <cell r="BN130">
            <v>269161.38654476125</v>
          </cell>
          <cell r="BO130">
            <v>205370.72247107179</v>
          </cell>
          <cell r="BP130">
            <v>185237.27345652544</v>
          </cell>
          <cell r="BQ130">
            <v>142927.32594985786</v>
          </cell>
          <cell r="BR130">
            <v>104218.47636601437</v>
          </cell>
          <cell r="BS130">
            <v>104889.86927072024</v>
          </cell>
          <cell r="BT130">
            <v>115258.96667565395</v>
          </cell>
          <cell r="BU130">
            <v>108130.10002142629</v>
          </cell>
          <cell r="CI130">
            <v>1235194.1207560312</v>
          </cell>
          <cell r="CJ130">
            <v>269161.38654476125</v>
          </cell>
          <cell r="CK130">
            <v>390607.99592759722</v>
          </cell>
          <cell r="CL130">
            <v>247145.80231587222</v>
          </cell>
          <cell r="CM130">
            <v>104889.86927072024</v>
          </cell>
          <cell r="CN130">
            <v>115258.96667565395</v>
          </cell>
          <cell r="CO130">
            <v>108130.10002142629</v>
          </cell>
          <cell r="CP130">
            <v>0</v>
          </cell>
          <cell r="CQ130">
            <v>0</v>
          </cell>
          <cell r="DC130">
            <v>1235194.1207560312</v>
          </cell>
          <cell r="DD130">
            <v>269161.38654476125</v>
          </cell>
          <cell r="DE130">
            <v>205370.72247107179</v>
          </cell>
          <cell r="DF130">
            <v>185237.27345652544</v>
          </cell>
          <cell r="DG130">
            <v>142927.32594985786</v>
          </cell>
          <cell r="DH130">
            <v>104218.47636601437</v>
          </cell>
          <cell r="DI130">
            <v>104889.86927072024</v>
          </cell>
          <cell r="DJ130">
            <v>115258.96667565395</v>
          </cell>
          <cell r="DK130">
            <v>108130.10002142629</v>
          </cell>
        </row>
        <row r="131">
          <cell r="A131" t="str">
            <v>Fast Start 500</v>
          </cell>
          <cell r="AS131">
            <v>463197.79528351163</v>
          </cell>
          <cell r="AT131">
            <v>100935.51995428545</v>
          </cell>
          <cell r="AU131">
            <v>146477.99847284897</v>
          </cell>
          <cell r="AV131">
            <v>92679.675868452076</v>
          </cell>
          <cell r="AW131">
            <v>39333.700976520078</v>
          </cell>
          <cell r="AX131">
            <v>43222.112503370212</v>
          </cell>
          <cell r="AY131">
            <v>40548.787508034853</v>
          </cell>
          <cell r="AZ131">
            <v>0</v>
          </cell>
          <cell r="BA131">
            <v>0</v>
          </cell>
          <cell r="BM131">
            <v>463197.79528351163</v>
          </cell>
          <cell r="BN131">
            <v>100935.51995428545</v>
          </cell>
          <cell r="BO131">
            <v>77014.020926651923</v>
          </cell>
          <cell r="BP131">
            <v>69463.977546197042</v>
          </cell>
          <cell r="BQ131">
            <v>53597.747231196699</v>
          </cell>
          <cell r="BR131">
            <v>39081.928637255376</v>
          </cell>
          <cell r="BS131">
            <v>39333.700976520078</v>
          </cell>
          <cell r="BT131">
            <v>43222.112503370212</v>
          </cell>
          <cell r="BU131">
            <v>40548.787508034853</v>
          </cell>
          <cell r="CI131">
            <v>463197.79528351163</v>
          </cell>
          <cell r="CJ131">
            <v>100935.51995428545</v>
          </cell>
          <cell r="CK131">
            <v>146477.99847284897</v>
          </cell>
          <cell r="CL131">
            <v>92679.675868452076</v>
          </cell>
          <cell r="CM131">
            <v>39333.700976520078</v>
          </cell>
          <cell r="CN131">
            <v>43222.112503370212</v>
          </cell>
          <cell r="CO131">
            <v>40548.787508034853</v>
          </cell>
          <cell r="CP131">
            <v>0</v>
          </cell>
          <cell r="CQ131">
            <v>0</v>
          </cell>
          <cell r="DC131">
            <v>463197.79528351163</v>
          </cell>
          <cell r="DD131">
            <v>100935.51995428545</v>
          </cell>
          <cell r="DE131">
            <v>77014.020926651923</v>
          </cell>
          <cell r="DF131">
            <v>69463.977546197042</v>
          </cell>
          <cell r="DG131">
            <v>53597.747231196699</v>
          </cell>
          <cell r="DH131">
            <v>39081.928637255376</v>
          </cell>
          <cell r="DI131">
            <v>39333.700976520078</v>
          </cell>
          <cell r="DJ131">
            <v>43222.112503370212</v>
          </cell>
          <cell r="DK131">
            <v>40548.787508034853</v>
          </cell>
        </row>
        <row r="132">
          <cell r="A132" t="str">
            <v>Early Delivery</v>
          </cell>
          <cell r="AS132">
            <v>431185.68098725111</v>
          </cell>
          <cell r="AT132">
            <v>93959.75401966706</v>
          </cell>
          <cell r="AU132">
            <v>136354.74124505871</v>
          </cell>
          <cell r="AV132">
            <v>86274.480491765717</v>
          </cell>
          <cell r="AW132">
            <v>36615.305197920585</v>
          </cell>
          <cell r="AX132">
            <v>40234.984283692866</v>
          </cell>
          <cell r="AY132">
            <v>37746.415749146217</v>
          </cell>
          <cell r="AZ132">
            <v>0</v>
          </cell>
          <cell r="BA132">
            <v>0</v>
          </cell>
          <cell r="BM132">
            <v>431185.68098725111</v>
          </cell>
          <cell r="BN132">
            <v>93959.75401966706</v>
          </cell>
          <cell r="BO132">
            <v>71691.496369276632</v>
          </cell>
          <cell r="BP132">
            <v>64663.244875782082</v>
          </cell>
          <cell r="BQ132">
            <v>49893.547366996208</v>
          </cell>
          <cell r="BR132">
            <v>36380.933124769501</v>
          </cell>
          <cell r="BS132">
            <v>36615.305197920585</v>
          </cell>
          <cell r="BT132">
            <v>40234.984283692866</v>
          </cell>
          <cell r="BU132">
            <v>37746.415749146217</v>
          </cell>
          <cell r="CI132">
            <v>431185.68098725111</v>
          </cell>
          <cell r="CJ132">
            <v>93959.75401966706</v>
          </cell>
          <cell r="CK132">
            <v>136354.74124505871</v>
          </cell>
          <cell r="CL132">
            <v>86274.480491765717</v>
          </cell>
          <cell r="CM132">
            <v>36615.305197920585</v>
          </cell>
          <cell r="CN132">
            <v>40234.984283692866</v>
          </cell>
          <cell r="CO132">
            <v>37746.415749146217</v>
          </cell>
          <cell r="CP132">
            <v>0</v>
          </cell>
          <cell r="CQ132">
            <v>0</v>
          </cell>
          <cell r="DC132">
            <v>431185.68098725111</v>
          </cell>
          <cell r="DD132">
            <v>93959.75401966706</v>
          </cell>
          <cell r="DE132">
            <v>71691.496369276632</v>
          </cell>
          <cell r="DF132">
            <v>64663.244875782082</v>
          </cell>
          <cell r="DG132">
            <v>49893.547366996208</v>
          </cell>
          <cell r="DH132">
            <v>36380.933124769501</v>
          </cell>
          <cell r="DI132">
            <v>36615.305197920585</v>
          </cell>
          <cell r="DJ132">
            <v>40234.984283692866</v>
          </cell>
          <cell r="DK132">
            <v>37746.415749146217</v>
          </cell>
        </row>
        <row r="133">
          <cell r="A133" t="str">
            <v>Seedsmen Program (Equipment)</v>
          </cell>
          <cell r="AS133">
            <v>257332.1084908398</v>
          </cell>
          <cell r="AT133">
            <v>56075.288863491907</v>
          </cell>
          <cell r="AU133">
            <v>81376.665818249399</v>
          </cell>
          <cell r="AV133">
            <v>51488.708815806705</v>
          </cell>
          <cell r="AW133">
            <v>21852.056098066718</v>
          </cell>
          <cell r="AX133">
            <v>24012.284724094574</v>
          </cell>
          <cell r="AY133">
            <v>22527.104171130479</v>
          </cell>
          <cell r="AZ133">
            <v>0</v>
          </cell>
          <cell r="BA133">
            <v>0</v>
          </cell>
          <cell r="BM133">
            <v>257332.1084908398</v>
          </cell>
          <cell r="BN133">
            <v>56075.288863491907</v>
          </cell>
          <cell r="BO133">
            <v>42785.567181473278</v>
          </cell>
          <cell r="BP133">
            <v>38591.098636776129</v>
          </cell>
          <cell r="BQ133">
            <v>29776.526239553721</v>
          </cell>
          <cell r="BR133">
            <v>21712.182576252988</v>
          </cell>
          <cell r="BS133">
            <v>21852.056098066718</v>
          </cell>
          <cell r="BT133">
            <v>24012.284724094574</v>
          </cell>
          <cell r="BU133">
            <v>22527.104171130479</v>
          </cell>
          <cell r="CI133">
            <v>257332.1084908398</v>
          </cell>
          <cell r="CJ133">
            <v>56075.288863491907</v>
          </cell>
          <cell r="CK133">
            <v>81376.665818249399</v>
          </cell>
          <cell r="CL133">
            <v>51488.708815806705</v>
          </cell>
          <cell r="CM133">
            <v>21852.056098066718</v>
          </cell>
          <cell r="CN133">
            <v>24012.284724094574</v>
          </cell>
          <cell r="CO133">
            <v>22527.104171130479</v>
          </cell>
          <cell r="CP133">
            <v>0</v>
          </cell>
          <cell r="CQ133">
            <v>0</v>
          </cell>
          <cell r="DC133">
            <v>257332.1084908398</v>
          </cell>
          <cell r="DD133">
            <v>56075.288863491907</v>
          </cell>
          <cell r="DE133">
            <v>42785.567181473278</v>
          </cell>
          <cell r="DF133">
            <v>38591.098636776129</v>
          </cell>
          <cell r="DG133">
            <v>29776.526239553721</v>
          </cell>
          <cell r="DH133">
            <v>21712.182576252988</v>
          </cell>
          <cell r="DI133">
            <v>21852.056098066718</v>
          </cell>
          <cell r="DJ133">
            <v>24012.284724094574</v>
          </cell>
          <cell r="DK133">
            <v>22527.104171130479</v>
          </cell>
        </row>
        <row r="134">
          <cell r="A134" t="str">
            <v>Double Crop</v>
          </cell>
          <cell r="AS134">
            <v>154399.26509450391</v>
          </cell>
          <cell r="AT134">
            <v>33645.173318095156</v>
          </cell>
          <cell r="AU134">
            <v>48825.999490949653</v>
          </cell>
          <cell r="AV134">
            <v>30893.225289484028</v>
          </cell>
          <cell r="AW134">
            <v>13111.23365884003</v>
          </cell>
          <cell r="AX134">
            <v>14407.370834456744</v>
          </cell>
          <cell r="AY134">
            <v>13516.262502678286</v>
          </cell>
          <cell r="AZ134">
            <v>0</v>
          </cell>
          <cell r="BA134">
            <v>0</v>
          </cell>
          <cell r="BM134">
            <v>154399.26509450391</v>
          </cell>
          <cell r="BN134">
            <v>33645.173318095156</v>
          </cell>
          <cell r="BO134">
            <v>25671.340308883973</v>
          </cell>
          <cell r="BP134">
            <v>23154.659182065679</v>
          </cell>
          <cell r="BQ134">
            <v>17865.915743732232</v>
          </cell>
          <cell r="BR134">
            <v>13027.309545751796</v>
          </cell>
          <cell r="BS134">
            <v>13111.23365884003</v>
          </cell>
          <cell r="BT134">
            <v>14407.370834456744</v>
          </cell>
          <cell r="BU134">
            <v>13516.262502678286</v>
          </cell>
          <cell r="CI134">
            <v>154399.26509450391</v>
          </cell>
          <cell r="CJ134">
            <v>33645.173318095156</v>
          </cell>
          <cell r="CK134">
            <v>48825.999490949653</v>
          </cell>
          <cell r="CL134">
            <v>30893.225289484028</v>
          </cell>
          <cell r="CM134">
            <v>13111.23365884003</v>
          </cell>
          <cell r="CN134">
            <v>14407.370834456744</v>
          </cell>
          <cell r="CO134">
            <v>13516.262502678286</v>
          </cell>
          <cell r="CP134">
            <v>0</v>
          </cell>
          <cell r="CQ134">
            <v>0</v>
          </cell>
          <cell r="DC134">
            <v>154399.26509450391</v>
          </cell>
          <cell r="DD134">
            <v>33645.173318095156</v>
          </cell>
          <cell r="DE134">
            <v>25671.340308883973</v>
          </cell>
          <cell r="DF134">
            <v>23154.659182065679</v>
          </cell>
          <cell r="DG134">
            <v>17865.915743732232</v>
          </cell>
          <cell r="DH134">
            <v>13027.309545751796</v>
          </cell>
          <cell r="DI134">
            <v>13111.23365884003</v>
          </cell>
          <cell r="DJ134">
            <v>14407.370834456744</v>
          </cell>
          <cell r="DK134">
            <v>13516.262502678286</v>
          </cell>
        </row>
        <row r="136">
          <cell r="A136" t="str">
            <v>Channel Discounts - Soybeans (NK)</v>
          </cell>
          <cell r="AS136">
            <v>44513320.365967318</v>
          </cell>
          <cell r="AT136">
            <v>7440318.4134396026</v>
          </cell>
          <cell r="AU136">
            <v>4315445.7288998952</v>
          </cell>
          <cell r="AV136">
            <v>6362182.9705705019</v>
          </cell>
          <cell r="AW136">
            <v>4112219.7085072612</v>
          </cell>
          <cell r="AX136">
            <v>2892445.0922872215</v>
          </cell>
          <cell r="AY136">
            <v>5371760.241697534</v>
          </cell>
          <cell r="AZ136">
            <v>3209225.4477979047</v>
          </cell>
          <cell r="BA136">
            <v>10809722.762767397</v>
          </cell>
          <cell r="BW136">
            <v>44513320.365967318</v>
          </cell>
          <cell r="BX136">
            <v>2723712.5661666822</v>
          </cell>
          <cell r="BY136">
            <v>4716605.8472729204</v>
          </cell>
          <cell r="BZ136">
            <v>4315445.7288998952</v>
          </cell>
          <cell r="CA136">
            <v>6362182.9705705019</v>
          </cell>
          <cell r="CB136">
            <v>4112219.7085072612</v>
          </cell>
          <cell r="CC136">
            <v>2892445.0922872215</v>
          </cell>
          <cell r="CD136">
            <v>5371760.241697534</v>
          </cell>
          <cell r="CE136">
            <v>3209225.4477979047</v>
          </cell>
          <cell r="CF136">
            <v>10809722.762767397</v>
          </cell>
          <cell r="CI136">
            <v>44513320.365967318</v>
          </cell>
          <cell r="CJ136">
            <v>7440318.4134396026</v>
          </cell>
          <cell r="CK136">
            <v>4315445.7288998952</v>
          </cell>
          <cell r="CL136">
            <v>6362182.9705705019</v>
          </cell>
          <cell r="CM136">
            <v>4112219.7085072612</v>
          </cell>
          <cell r="CN136">
            <v>2892445.0922872215</v>
          </cell>
          <cell r="CO136">
            <v>5371760.241697534</v>
          </cell>
          <cell r="CP136">
            <v>3209225.4477979047</v>
          </cell>
          <cell r="CQ136">
            <v>10809722.762767397</v>
          </cell>
          <cell r="DM136">
            <v>44513320.365967318</v>
          </cell>
          <cell r="DN136">
            <v>2723712.5661666822</v>
          </cell>
          <cell r="DO136">
            <v>4716605.8472729204</v>
          </cell>
          <cell r="DP136">
            <v>4315445.7288998952</v>
          </cell>
          <cell r="DQ136">
            <v>6362182.9705705019</v>
          </cell>
          <cell r="DR136">
            <v>4112219.7085072612</v>
          </cell>
          <cell r="DS136">
            <v>2892445.0922872215</v>
          </cell>
          <cell r="DT136">
            <v>5371760.241697534</v>
          </cell>
          <cell r="DU136">
            <v>3209225.4477979047</v>
          </cell>
          <cell r="DV136">
            <v>10809722.762767397</v>
          </cell>
        </row>
        <row r="137">
          <cell r="A137" t="str">
            <v>Volume</v>
          </cell>
          <cell r="AS137">
            <v>1729056.2532389984</v>
          </cell>
          <cell r="AT137">
            <v>289008.52538249979</v>
          </cell>
          <cell r="AU137">
            <v>167627.31608699984</v>
          </cell>
          <cell r="AV137">
            <v>247129.89637874975</v>
          </cell>
          <cell r="AW137">
            <v>159733.29203999983</v>
          </cell>
          <cell r="AX137">
            <v>112352.89196249988</v>
          </cell>
          <cell r="AY137">
            <v>208658.34227699979</v>
          </cell>
          <cell r="AZ137">
            <v>124657.77171749988</v>
          </cell>
          <cell r="BA137">
            <v>419888.21739374957</v>
          </cell>
          <cell r="BW137">
            <v>1729056.2532389984</v>
          </cell>
          <cell r="BX137">
            <v>105798.71835749989</v>
          </cell>
          <cell r="BY137">
            <v>183209.80702499987</v>
          </cell>
          <cell r="BZ137">
            <v>167627.31608699984</v>
          </cell>
          <cell r="CA137">
            <v>247129.89637874975</v>
          </cell>
          <cell r="CB137">
            <v>159733.29203999983</v>
          </cell>
          <cell r="CC137">
            <v>112352.89196249988</v>
          </cell>
          <cell r="CD137">
            <v>208658.34227699979</v>
          </cell>
          <cell r="CE137">
            <v>124657.77171749988</v>
          </cell>
          <cell r="CF137">
            <v>419888.21739374957</v>
          </cell>
          <cell r="CI137">
            <v>1729056.2532389984</v>
          </cell>
          <cell r="CJ137">
            <v>289008.52538249979</v>
          </cell>
          <cell r="CK137">
            <v>167627.31608699984</v>
          </cell>
          <cell r="CL137">
            <v>247129.89637874975</v>
          </cell>
          <cell r="CM137">
            <v>159733.29203999983</v>
          </cell>
          <cell r="CN137">
            <v>112352.89196249988</v>
          </cell>
          <cell r="CO137">
            <v>208658.34227699979</v>
          </cell>
          <cell r="CP137">
            <v>124657.77171749988</v>
          </cell>
          <cell r="CQ137">
            <v>419888.21739374957</v>
          </cell>
          <cell r="DM137">
            <v>1729056.2532389984</v>
          </cell>
          <cell r="DN137">
            <v>105798.71835749989</v>
          </cell>
          <cell r="DO137">
            <v>183209.80702499987</v>
          </cell>
          <cell r="DP137">
            <v>167627.31608699984</v>
          </cell>
          <cell r="DQ137">
            <v>247129.89637874975</v>
          </cell>
          <cell r="DR137">
            <v>159733.29203999983</v>
          </cell>
          <cell r="DS137">
            <v>112352.89196249988</v>
          </cell>
          <cell r="DT137">
            <v>208658.34227699979</v>
          </cell>
          <cell r="DU137">
            <v>124657.77171749988</v>
          </cell>
          <cell r="DV137">
            <v>419888.21739374957</v>
          </cell>
        </row>
        <row r="138">
          <cell r="A138" t="str">
            <v>Distribution Agreements - DM Cannot Touch</v>
          </cell>
          <cell r="AS138">
            <v>15670173.77653287</v>
          </cell>
          <cell r="AT138">
            <v>2619240.2977980422</v>
          </cell>
          <cell r="AU138">
            <v>1519180.8640444563</v>
          </cell>
          <cell r="AV138">
            <v>2239700.6542599075</v>
          </cell>
          <cell r="AW138">
            <v>1447638.5250483167</v>
          </cell>
          <cell r="AX138">
            <v>1018237.1672699068</v>
          </cell>
          <cell r="AY138">
            <v>1891038.8122299609</v>
          </cell>
          <cell r="AZ138">
            <v>1129754.4205107926</v>
          </cell>
          <cell r="BA138">
            <v>3805383.0353714866</v>
          </cell>
          <cell r="BW138">
            <v>15670173.77653287</v>
          </cell>
          <cell r="BX138">
            <v>958837.68899410183</v>
          </cell>
          <cell r="BY138">
            <v>1660402.6088039405</v>
          </cell>
          <cell r="BZ138">
            <v>1519180.8640444563</v>
          </cell>
          <cell r="CA138">
            <v>2239700.6542599075</v>
          </cell>
          <cell r="CB138">
            <v>1447638.5250483167</v>
          </cell>
          <cell r="CC138">
            <v>1018237.1672699068</v>
          </cell>
          <cell r="CD138">
            <v>1891038.8122299609</v>
          </cell>
          <cell r="CE138">
            <v>1129754.4205107926</v>
          </cell>
          <cell r="CF138">
            <v>3805383.0353714866</v>
          </cell>
          <cell r="CI138">
            <v>15670173.77653287</v>
          </cell>
          <cell r="CJ138">
            <v>2619240.2977980422</v>
          </cell>
          <cell r="CK138">
            <v>1519180.8640444563</v>
          </cell>
          <cell r="CL138">
            <v>2239700.6542599075</v>
          </cell>
          <cell r="CM138">
            <v>1447638.5250483167</v>
          </cell>
          <cell r="CN138">
            <v>1018237.1672699068</v>
          </cell>
          <cell r="CO138">
            <v>1891038.8122299609</v>
          </cell>
          <cell r="CP138">
            <v>1129754.4205107926</v>
          </cell>
          <cell r="CQ138">
            <v>3805383.0353714866</v>
          </cell>
          <cell r="DM138">
            <v>15670173.77653287</v>
          </cell>
          <cell r="DN138">
            <v>958837.68899410183</v>
          </cell>
          <cell r="DO138">
            <v>1660402.6088039405</v>
          </cell>
          <cell r="DP138">
            <v>1519180.8640444563</v>
          </cell>
          <cell r="DQ138">
            <v>2239700.6542599075</v>
          </cell>
          <cell r="DR138">
            <v>1447638.5250483167</v>
          </cell>
          <cell r="DS138">
            <v>1018237.1672699068</v>
          </cell>
          <cell r="DT138">
            <v>1891038.8122299609</v>
          </cell>
          <cell r="DU138">
            <v>1129754.4205107926</v>
          </cell>
          <cell r="DV138">
            <v>3805383.0353714866</v>
          </cell>
        </row>
        <row r="139">
          <cell r="A139" t="str">
            <v>Targeted Retailer Offer</v>
          </cell>
          <cell r="AS139">
            <v>12056446.638895102</v>
          </cell>
          <cell r="AT139">
            <v>2015212.5518950573</v>
          </cell>
          <cell r="AU139">
            <v>1168839.8152681531</v>
          </cell>
          <cell r="AV139">
            <v>1723199.2325204185</v>
          </cell>
          <cell r="AW139">
            <v>1113795.9845596247</v>
          </cell>
          <cell r="AX139">
            <v>783419.65111541725</v>
          </cell>
          <cell r="AY139">
            <v>1454942.9289593094</v>
          </cell>
          <cell r="AZ139">
            <v>869219.70874007314</v>
          </cell>
          <cell r="BA139">
            <v>2927816.7658370482</v>
          </cell>
          <cell r="BW139">
            <v>12056446.638895102</v>
          </cell>
          <cell r="BX139">
            <v>737718.39403791551</v>
          </cell>
          <cell r="BY139">
            <v>1277494.1578571419</v>
          </cell>
          <cell r="BZ139">
            <v>1168839.8152681531</v>
          </cell>
          <cell r="CA139">
            <v>1723199.2325204185</v>
          </cell>
          <cell r="CB139">
            <v>1113795.9845596247</v>
          </cell>
          <cell r="CC139">
            <v>783419.65111541725</v>
          </cell>
          <cell r="CD139">
            <v>1454942.9289593094</v>
          </cell>
          <cell r="CE139">
            <v>869219.70874007314</v>
          </cell>
          <cell r="CF139">
            <v>2927816.7658370482</v>
          </cell>
          <cell r="CI139">
            <v>12056446.638895102</v>
          </cell>
          <cell r="CJ139">
            <v>2015212.5518950573</v>
          </cell>
          <cell r="CK139">
            <v>1168839.8152681531</v>
          </cell>
          <cell r="CL139">
            <v>1723199.2325204185</v>
          </cell>
          <cell r="CM139">
            <v>1113795.9845596247</v>
          </cell>
          <cell r="CN139">
            <v>783419.65111541725</v>
          </cell>
          <cell r="CO139">
            <v>1454942.9289593094</v>
          </cell>
          <cell r="CP139">
            <v>869219.70874007314</v>
          </cell>
          <cell r="CQ139">
            <v>2927816.7658370482</v>
          </cell>
          <cell r="DM139">
            <v>12056446.638895102</v>
          </cell>
          <cell r="DN139">
            <v>737718.39403791551</v>
          </cell>
          <cell r="DO139">
            <v>1277494.1578571419</v>
          </cell>
          <cell r="DP139">
            <v>1168839.8152681531</v>
          </cell>
          <cell r="DQ139">
            <v>1723199.2325204185</v>
          </cell>
          <cell r="DR139">
            <v>1113795.9845596247</v>
          </cell>
          <cell r="DS139">
            <v>783419.65111541725</v>
          </cell>
          <cell r="DT139">
            <v>1454942.9289593094</v>
          </cell>
          <cell r="DU139">
            <v>869219.70874007314</v>
          </cell>
          <cell r="DV139">
            <v>2927816.7658370482</v>
          </cell>
        </row>
        <row r="140">
          <cell r="A140" t="str">
            <v>Bulk Programs</v>
          </cell>
          <cell r="AS140">
            <v>10089833.880000001</v>
          </cell>
          <cell r="AT140">
            <v>1686496.9</v>
          </cell>
          <cell r="AU140">
            <v>978182.04000000015</v>
          </cell>
          <cell r="AV140">
            <v>1442115.9500000002</v>
          </cell>
          <cell r="AW140">
            <v>932116.8</v>
          </cell>
          <cell r="AX140">
            <v>655630.5</v>
          </cell>
          <cell r="AY140">
            <v>1217616.8400000001</v>
          </cell>
          <cell r="AZ140">
            <v>727435.10000000009</v>
          </cell>
          <cell r="BA140">
            <v>2450239.75</v>
          </cell>
          <cell r="BW140">
            <v>10089833.880000001</v>
          </cell>
          <cell r="BX140">
            <v>617383.9</v>
          </cell>
          <cell r="BY140">
            <v>1069113</v>
          </cell>
          <cell r="BZ140">
            <v>978182.04000000015</v>
          </cell>
          <cell r="CA140">
            <v>1442115.9500000002</v>
          </cell>
          <cell r="CB140">
            <v>932116.8</v>
          </cell>
          <cell r="CC140">
            <v>655630.5</v>
          </cell>
          <cell r="CD140">
            <v>1217616.8400000001</v>
          </cell>
          <cell r="CE140">
            <v>727435.10000000009</v>
          </cell>
          <cell r="CF140">
            <v>2450239.75</v>
          </cell>
          <cell r="CI140">
            <v>10089833.880000001</v>
          </cell>
          <cell r="CJ140">
            <v>1686496.9</v>
          </cell>
          <cell r="CK140">
            <v>978182.04000000015</v>
          </cell>
          <cell r="CL140">
            <v>1442115.9500000002</v>
          </cell>
          <cell r="CM140">
            <v>932116.8</v>
          </cell>
          <cell r="CN140">
            <v>655630.5</v>
          </cell>
          <cell r="CO140">
            <v>1217616.8400000001</v>
          </cell>
          <cell r="CP140">
            <v>727435.10000000009</v>
          </cell>
          <cell r="CQ140">
            <v>2450239.75</v>
          </cell>
          <cell r="DM140">
            <v>10089833.880000001</v>
          </cell>
          <cell r="DN140">
            <v>617383.9</v>
          </cell>
          <cell r="DO140">
            <v>1069113</v>
          </cell>
          <cell r="DP140">
            <v>978182.04000000015</v>
          </cell>
          <cell r="DQ140">
            <v>1442115.9500000002</v>
          </cell>
          <cell r="DR140">
            <v>932116.8</v>
          </cell>
          <cell r="DS140">
            <v>655630.5</v>
          </cell>
          <cell r="DT140">
            <v>1217616.8400000001</v>
          </cell>
          <cell r="DU140">
            <v>727435.10000000009</v>
          </cell>
          <cell r="DV140">
            <v>2450239.75</v>
          </cell>
        </row>
        <row r="141">
          <cell r="A141" t="str">
            <v>BAA</v>
          </cell>
          <cell r="AS141">
            <v>3638319.5550871389</v>
          </cell>
          <cell r="AT141">
            <v>608138.32257700549</v>
          </cell>
          <cell r="AU141">
            <v>352725.21697523026</v>
          </cell>
          <cell r="AV141">
            <v>520016.35745345551</v>
          </cell>
          <cell r="AW141">
            <v>336114.43175368186</v>
          </cell>
          <cell r="AX141">
            <v>236415.51460920172</v>
          </cell>
          <cell r="AY141">
            <v>439063.63695012673</v>
          </cell>
          <cell r="AZ141">
            <v>262307.72288857232</v>
          </cell>
          <cell r="BA141">
            <v>883538.35187986505</v>
          </cell>
          <cell r="BW141">
            <v>3638319.5550871389</v>
          </cell>
          <cell r="BX141">
            <v>222624.07320882101</v>
          </cell>
          <cell r="BY141">
            <v>385514.24936818448</v>
          </cell>
          <cell r="BZ141">
            <v>352725.21697523026</v>
          </cell>
          <cell r="CA141">
            <v>520016.35745345551</v>
          </cell>
          <cell r="CB141">
            <v>336114.43175368186</v>
          </cell>
          <cell r="CC141">
            <v>236415.51460920172</v>
          </cell>
          <cell r="CD141">
            <v>439063.63695012673</v>
          </cell>
          <cell r="CE141">
            <v>262307.72288857232</v>
          </cell>
          <cell r="CF141">
            <v>883538.35187986505</v>
          </cell>
          <cell r="CI141">
            <v>3638319.5550871389</v>
          </cell>
          <cell r="CJ141">
            <v>608138.32257700549</v>
          </cell>
          <cell r="CK141">
            <v>352725.21697523026</v>
          </cell>
          <cell r="CL141">
            <v>520016.35745345551</v>
          </cell>
          <cell r="CM141">
            <v>336114.43175368186</v>
          </cell>
          <cell r="CN141">
            <v>236415.51460920172</v>
          </cell>
          <cell r="CO141">
            <v>439063.63695012673</v>
          </cell>
          <cell r="CP141">
            <v>262307.72288857232</v>
          </cell>
          <cell r="CQ141">
            <v>883538.35187986505</v>
          </cell>
          <cell r="DM141">
            <v>3638319.5550871389</v>
          </cell>
          <cell r="DN141">
            <v>222624.07320882101</v>
          </cell>
          <cell r="DO141">
            <v>385514.24936818448</v>
          </cell>
          <cell r="DP141">
            <v>352725.21697523026</v>
          </cell>
          <cell r="DQ141">
            <v>520016.35745345551</v>
          </cell>
          <cell r="DR141">
            <v>336114.43175368186</v>
          </cell>
          <cell r="DS141">
            <v>236415.51460920172</v>
          </cell>
          <cell r="DT141">
            <v>439063.63695012673</v>
          </cell>
          <cell r="DU141">
            <v>262307.72288857232</v>
          </cell>
          <cell r="DV141">
            <v>883538.35187986505</v>
          </cell>
        </row>
        <row r="142">
          <cell r="A142" t="str">
            <v>Southern Retail Incentive (South only)</v>
          </cell>
          <cell r="AS142">
            <v>1329490.2622132092</v>
          </cell>
          <cell r="AT142">
            <v>222221.81578699726</v>
          </cell>
          <cell r="AU142">
            <v>128890.47652505572</v>
          </cell>
          <cell r="AV142">
            <v>190020.87995797125</v>
          </cell>
          <cell r="AW142">
            <v>122820.67510563786</v>
          </cell>
          <cell r="AX142">
            <v>86389.367330196066</v>
          </cell>
          <cell r="AY142">
            <v>160439.68128113708</v>
          </cell>
          <cell r="AZ142">
            <v>95850.723940966622</v>
          </cell>
          <cell r="BA142">
            <v>322856.64228524728</v>
          </cell>
          <cell r="BW142">
            <v>1329490.2622132092</v>
          </cell>
          <cell r="BX142">
            <v>81349.791568343804</v>
          </cell>
          <cell r="BY142">
            <v>140872.02421865347</v>
          </cell>
          <cell r="BZ142">
            <v>128890.47652505572</v>
          </cell>
          <cell r="CA142">
            <v>190020.87995797125</v>
          </cell>
          <cell r="CB142">
            <v>122820.67510563786</v>
          </cell>
          <cell r="CC142">
            <v>86389.367330196066</v>
          </cell>
          <cell r="CD142">
            <v>160439.68128113708</v>
          </cell>
          <cell r="CE142">
            <v>95850.723940966622</v>
          </cell>
          <cell r="CF142">
            <v>322856.64228524728</v>
          </cell>
          <cell r="CI142">
            <v>1329490.2622132092</v>
          </cell>
          <cell r="CJ142">
            <v>222221.81578699726</v>
          </cell>
          <cell r="CK142">
            <v>128890.47652505572</v>
          </cell>
          <cell r="CL142">
            <v>190020.87995797125</v>
          </cell>
          <cell r="CM142">
            <v>122820.67510563786</v>
          </cell>
          <cell r="CN142">
            <v>86389.367330196066</v>
          </cell>
          <cell r="CO142">
            <v>160439.68128113708</v>
          </cell>
          <cell r="CP142">
            <v>95850.723940966622</v>
          </cell>
          <cell r="CQ142">
            <v>322856.64228524728</v>
          </cell>
          <cell r="DM142">
            <v>1329490.2622132092</v>
          </cell>
          <cell r="DN142">
            <v>81349.791568343804</v>
          </cell>
          <cell r="DO142">
            <v>140872.02421865347</v>
          </cell>
          <cell r="DP142">
            <v>128890.47652505572</v>
          </cell>
          <cell r="DQ142">
            <v>190020.87995797125</v>
          </cell>
          <cell r="DR142">
            <v>122820.67510563786</v>
          </cell>
          <cell r="DS142">
            <v>86389.367330196066</v>
          </cell>
          <cell r="DT142">
            <v>160439.68128113708</v>
          </cell>
          <cell r="DU142">
            <v>95850.723940966622</v>
          </cell>
          <cell r="DV142">
            <v>322856.64228524728</v>
          </cell>
        </row>
        <row r="143">
          <cell r="A143" t="str">
            <v>Early Delivery</v>
          </cell>
          <cell r="AS143">
            <v>0</v>
          </cell>
          <cell r="AT143">
            <v>0</v>
          </cell>
          <cell r="AU143">
            <v>0</v>
          </cell>
          <cell r="AV143">
            <v>0</v>
          </cell>
          <cell r="AW143">
            <v>0</v>
          </cell>
          <cell r="AX143">
            <v>0</v>
          </cell>
          <cell r="AY143">
            <v>0</v>
          </cell>
          <cell r="AZ143">
            <v>0</v>
          </cell>
          <cell r="BA143">
            <v>0</v>
          </cell>
          <cell r="BW143">
            <v>0</v>
          </cell>
          <cell r="BX143">
            <v>0</v>
          </cell>
          <cell r="BY143">
            <v>0</v>
          </cell>
          <cell r="BZ143">
            <v>0</v>
          </cell>
          <cell r="CA143">
            <v>0</v>
          </cell>
          <cell r="CB143">
            <v>0</v>
          </cell>
          <cell r="CC143">
            <v>0</v>
          </cell>
          <cell r="CD143">
            <v>0</v>
          </cell>
          <cell r="CE143">
            <v>0</v>
          </cell>
          <cell r="CF143">
            <v>0</v>
          </cell>
          <cell r="CI143">
            <v>0</v>
          </cell>
          <cell r="CJ143">
            <v>0</v>
          </cell>
          <cell r="CK143">
            <v>0</v>
          </cell>
          <cell r="CL143">
            <v>0</v>
          </cell>
          <cell r="CM143">
            <v>0</v>
          </cell>
          <cell r="CN143">
            <v>0</v>
          </cell>
          <cell r="CO143">
            <v>0</v>
          </cell>
          <cell r="CP143">
            <v>0</v>
          </cell>
          <cell r="CQ143">
            <v>0</v>
          </cell>
          <cell r="DM143">
            <v>0</v>
          </cell>
          <cell r="DN143">
            <v>0</v>
          </cell>
          <cell r="DO143">
            <v>0</v>
          </cell>
          <cell r="DP143">
            <v>0</v>
          </cell>
          <cell r="DQ143">
            <v>0</v>
          </cell>
          <cell r="DR143">
            <v>0</v>
          </cell>
          <cell r="DS143">
            <v>0</v>
          </cell>
          <cell r="DT143">
            <v>0</v>
          </cell>
          <cell r="DU143">
            <v>0</v>
          </cell>
          <cell r="DV143">
            <v>0</v>
          </cell>
        </row>
        <row r="144">
          <cell r="A144" t="str">
            <v>Exceptions</v>
          </cell>
          <cell r="AS144">
            <v>0</v>
          </cell>
          <cell r="AT144">
            <v>0</v>
          </cell>
          <cell r="AU144">
            <v>0</v>
          </cell>
          <cell r="AV144">
            <v>0</v>
          </cell>
          <cell r="AW144">
            <v>0</v>
          </cell>
          <cell r="AX144">
            <v>0</v>
          </cell>
          <cell r="AY144">
            <v>0</v>
          </cell>
          <cell r="AZ144">
            <v>0</v>
          </cell>
          <cell r="BA144">
            <v>0</v>
          </cell>
          <cell r="BW144">
            <v>0</v>
          </cell>
          <cell r="BX144">
            <v>0</v>
          </cell>
          <cell r="BY144">
            <v>0</v>
          </cell>
          <cell r="BZ144">
            <v>0</v>
          </cell>
          <cell r="CA144">
            <v>0</v>
          </cell>
          <cell r="CB144">
            <v>0</v>
          </cell>
          <cell r="CC144">
            <v>0</v>
          </cell>
          <cell r="CD144">
            <v>0</v>
          </cell>
          <cell r="CE144">
            <v>0</v>
          </cell>
          <cell r="CF144">
            <v>0</v>
          </cell>
          <cell r="CI144">
            <v>0</v>
          </cell>
          <cell r="CJ144">
            <v>0</v>
          </cell>
          <cell r="CK144">
            <v>0</v>
          </cell>
          <cell r="CL144">
            <v>0</v>
          </cell>
          <cell r="CM144">
            <v>0</v>
          </cell>
          <cell r="CN144">
            <v>0</v>
          </cell>
          <cell r="CO144">
            <v>0</v>
          </cell>
          <cell r="CP144">
            <v>0</v>
          </cell>
          <cell r="CQ144">
            <v>0</v>
          </cell>
          <cell r="DM144">
            <v>0</v>
          </cell>
          <cell r="DN144">
            <v>0</v>
          </cell>
          <cell r="DO144">
            <v>0</v>
          </cell>
          <cell r="DP144">
            <v>0</v>
          </cell>
          <cell r="DQ144">
            <v>0</v>
          </cell>
          <cell r="DR144">
            <v>0</v>
          </cell>
          <cell r="DS144">
            <v>0</v>
          </cell>
          <cell r="DT144">
            <v>0</v>
          </cell>
          <cell r="DU144">
            <v>0</v>
          </cell>
          <cell r="DV144">
            <v>0</v>
          </cell>
        </row>
        <row r="145">
          <cell r="A145" t="str">
            <v>Other Specialty Initiatives</v>
          </cell>
          <cell r="AS145">
            <v>0</v>
          </cell>
          <cell r="AT145">
            <v>0</v>
          </cell>
          <cell r="AU145">
            <v>0</v>
          </cell>
          <cell r="AV145">
            <v>0</v>
          </cell>
          <cell r="AW145">
            <v>0</v>
          </cell>
          <cell r="AX145">
            <v>0</v>
          </cell>
          <cell r="AY145">
            <v>0</v>
          </cell>
          <cell r="AZ145">
            <v>0</v>
          </cell>
          <cell r="BA145">
            <v>0</v>
          </cell>
          <cell r="BW145">
            <v>0</v>
          </cell>
          <cell r="BX145">
            <v>0</v>
          </cell>
          <cell r="BY145">
            <v>0</v>
          </cell>
          <cell r="BZ145">
            <v>0</v>
          </cell>
          <cell r="CA145">
            <v>0</v>
          </cell>
          <cell r="CB145">
            <v>0</v>
          </cell>
          <cell r="CC145">
            <v>0</v>
          </cell>
          <cell r="CD145">
            <v>0</v>
          </cell>
          <cell r="CE145">
            <v>0</v>
          </cell>
          <cell r="CF145">
            <v>0</v>
          </cell>
          <cell r="CI145">
            <v>0</v>
          </cell>
          <cell r="CJ145">
            <v>0</v>
          </cell>
          <cell r="CK145">
            <v>0</v>
          </cell>
          <cell r="CL145">
            <v>0</v>
          </cell>
          <cell r="CM145">
            <v>0</v>
          </cell>
          <cell r="CN145">
            <v>0</v>
          </cell>
          <cell r="CO145">
            <v>0</v>
          </cell>
          <cell r="CP145">
            <v>0</v>
          </cell>
          <cell r="CQ145">
            <v>0</v>
          </cell>
          <cell r="DM145">
            <v>0</v>
          </cell>
          <cell r="DN145">
            <v>0</v>
          </cell>
          <cell r="DO145">
            <v>0</v>
          </cell>
          <cell r="DP145">
            <v>0</v>
          </cell>
          <cell r="DQ145">
            <v>0</v>
          </cell>
          <cell r="DR145">
            <v>0</v>
          </cell>
          <cell r="DS145">
            <v>0</v>
          </cell>
          <cell r="DT145">
            <v>0</v>
          </cell>
          <cell r="DU145">
            <v>0</v>
          </cell>
          <cell r="DV145">
            <v>0</v>
          </cell>
        </row>
        <row r="148">
          <cell r="A148" t="str">
            <v>CHANNEL NET REVENUE</v>
          </cell>
          <cell r="C148">
            <v>423143030.5899049</v>
          </cell>
          <cell r="D148">
            <v>75522918.611319929</v>
          </cell>
          <cell r="E148">
            <v>83227056.681133002</v>
          </cell>
          <cell r="F148">
            <v>99747625.053767845</v>
          </cell>
          <cell r="G148">
            <v>43422038.024819657</v>
          </cell>
          <cell r="H148">
            <v>35604448.160357565</v>
          </cell>
          <cell r="I148">
            <v>34930430.479878619</v>
          </cell>
          <cell r="J148">
            <v>17684866.666563831</v>
          </cell>
          <cell r="K148">
            <v>33003646.912064463</v>
          </cell>
          <cell r="M148">
            <v>138982131.9560467</v>
          </cell>
          <cell r="N148">
            <v>28323943.792771816</v>
          </cell>
          <cell r="O148">
            <v>10939165.197927717</v>
          </cell>
          <cell r="P148">
            <v>18583477.259820603</v>
          </cell>
          <cell r="Q148">
            <v>23210476.98064125</v>
          </cell>
          <cell r="R148">
            <v>14365036.518015349</v>
          </cell>
          <cell r="S148">
            <v>13459861.151742287</v>
          </cell>
          <cell r="T148">
            <v>16373515.372528486</v>
          </cell>
          <cell r="U148">
            <v>13726655.682599172</v>
          </cell>
          <cell r="W148">
            <v>121944828.20736977</v>
          </cell>
          <cell r="X148">
            <v>21619819.773674004</v>
          </cell>
          <cell r="Y148">
            <v>22351670.870737776</v>
          </cell>
          <cell r="Z148">
            <v>17126430.216554869</v>
          </cell>
          <cell r="AA148">
            <v>21232984.232745763</v>
          </cell>
          <cell r="AB148">
            <v>6468134.0192885734</v>
          </cell>
          <cell r="AC148">
            <v>14972894.118507525</v>
          </cell>
          <cell r="AD148">
            <v>11233178.534668067</v>
          </cell>
          <cell r="AE148">
            <v>6939716.4411931857</v>
          </cell>
          <cell r="AG148">
            <v>162216070.42648846</v>
          </cell>
          <cell r="AH148">
            <v>13371639.461409604</v>
          </cell>
          <cell r="AI148">
            <v>12207515.583464507</v>
          </cell>
          <cell r="AJ148">
            <v>14226313.136092041</v>
          </cell>
          <cell r="AK148">
            <v>34470993.303076908</v>
          </cell>
          <cell r="AL148">
            <v>14989282.754569847</v>
          </cell>
          <cell r="AM148">
            <v>7997754.2531610169</v>
          </cell>
          <cell r="AN148">
            <v>14264058.35608626</v>
          </cell>
          <cell r="AO148">
            <v>17684866.666563831</v>
          </cell>
          <cell r="AP148">
            <v>33003646.912064463</v>
          </cell>
          <cell r="AS148">
            <v>321457798.43484706</v>
          </cell>
          <cell r="AT148">
            <v>64919129.958082318</v>
          </cell>
          <cell r="AU148">
            <v>52035425.972917579</v>
          </cell>
          <cell r="AV148">
            <v>60701429.181858346</v>
          </cell>
          <cell r="AW148">
            <v>26632770.811245784</v>
          </cell>
          <cell r="AX148">
            <v>28511002.036048234</v>
          </cell>
          <cell r="AY148">
            <v>36717696.676974416</v>
          </cell>
          <cell r="AZ148">
            <v>11890212.488080427</v>
          </cell>
          <cell r="BA148">
            <v>40050131.309639938</v>
          </cell>
          <cell r="BC148">
            <v>87384960.437884986</v>
          </cell>
          <cell r="BD148">
            <v>22284068.347739998</v>
          </cell>
          <cell r="BE148">
            <v>7460318.7681449996</v>
          </cell>
          <cell r="BF148">
            <v>6718719.1446500001</v>
          </cell>
          <cell r="BG148">
            <v>9786529.2573449984</v>
          </cell>
          <cell r="BH148">
            <v>13506851.287250001</v>
          </cell>
          <cell r="BI148">
            <v>5524849.3432049993</v>
          </cell>
          <cell r="BJ148">
            <v>11341858.982900001</v>
          </cell>
          <cell r="BK148">
            <v>10761765.30665</v>
          </cell>
          <cell r="BM148">
            <v>69150539.35804157</v>
          </cell>
          <cell r="BN148">
            <v>15068607.226316957</v>
          </cell>
          <cell r="BO148">
            <v>11497380.038153762</v>
          </cell>
          <cell r="BP148">
            <v>10370238.291687744</v>
          </cell>
          <cell r="BQ148">
            <v>8001577.6567863207</v>
          </cell>
          <cell r="BR148">
            <v>5834519.2311732518</v>
          </cell>
          <cell r="BS148">
            <v>5872106.1826502867</v>
          </cell>
          <cell r="BT148">
            <v>6452604.9610676905</v>
          </cell>
          <cell r="BU148">
            <v>6053505.7702055546</v>
          </cell>
          <cell r="BW148">
            <v>164922298.63892046</v>
          </cell>
          <cell r="BX148">
            <v>10091382.389603963</v>
          </cell>
          <cell r="BY148">
            <v>17475071.994421396</v>
          </cell>
          <cell r="BZ148">
            <v>15988769.730281077</v>
          </cell>
          <cell r="CA148">
            <v>23571951.749303777</v>
          </cell>
          <cell r="CB148">
            <v>15235815.285390496</v>
          </cell>
          <cell r="CC148">
            <v>10716538.092080539</v>
          </cell>
          <cell r="CD148">
            <v>19902425.600118864</v>
          </cell>
          <cell r="CE148">
            <v>11890212.488080427</v>
          </cell>
          <cell r="CF148">
            <v>40050131.309639938</v>
          </cell>
          <cell r="CI148">
            <v>744600829.0247519</v>
          </cell>
          <cell r="CJ148">
            <v>140442048.56940225</v>
          </cell>
          <cell r="CK148">
            <v>135262482.65405059</v>
          </cell>
          <cell r="CL148">
            <v>160449054.23562619</v>
          </cell>
          <cell r="CM148">
            <v>70054808.836065441</v>
          </cell>
          <cell r="CN148">
            <v>64115450.196405798</v>
          </cell>
          <cell r="CO148">
            <v>71648127.156853035</v>
          </cell>
          <cell r="CP148">
            <v>29575079.154644258</v>
          </cell>
          <cell r="CQ148">
            <v>73053778.221704394</v>
          </cell>
          <cell r="CS148">
            <v>226367092.39393169</v>
          </cell>
          <cell r="CT148">
            <v>50608012.140511811</v>
          </cell>
          <cell r="CU148">
            <v>18399483.966072716</v>
          </cell>
          <cell r="CV148">
            <v>25302196.404470604</v>
          </cell>
          <cell r="CW148">
            <v>32997006.237986248</v>
          </cell>
          <cell r="CX148">
            <v>27871887.805265352</v>
          </cell>
          <cell r="CY148">
            <v>18984710.494947284</v>
          </cell>
          <cell r="CZ148">
            <v>27715374.355428487</v>
          </cell>
          <cell r="DA148">
            <v>24488420.98924917</v>
          </cell>
          <cell r="DC148">
            <v>191095367.56541133</v>
          </cell>
          <cell r="DD148">
            <v>36688426.999990962</v>
          </cell>
          <cell r="DE148">
            <v>33849050.908891536</v>
          </cell>
          <cell r="DF148">
            <v>27496668.508242615</v>
          </cell>
          <cell r="DG148">
            <v>29234561.889532082</v>
          </cell>
          <cell r="DH148">
            <v>12302653.250461824</v>
          </cell>
          <cell r="DI148">
            <v>20845000.30115781</v>
          </cell>
          <cell r="DJ148">
            <v>17685783.495735757</v>
          </cell>
          <cell r="DK148">
            <v>12993222.211398739</v>
          </cell>
          <cell r="DM148">
            <v>327138369.06540895</v>
          </cell>
          <cell r="DN148">
            <v>23463021.851013567</v>
          </cell>
          <cell r="DO148">
            <v>29682587.577885903</v>
          </cell>
          <cell r="DP148">
            <v>30215082.866373118</v>
          </cell>
          <cell r="DQ148">
            <v>58042945.052380681</v>
          </cell>
          <cell r="DR148">
            <v>30225098.039960343</v>
          </cell>
          <cell r="DS148">
            <v>18714292.345241554</v>
          </cell>
          <cell r="DT148">
            <v>34166483.956205122</v>
          </cell>
          <cell r="DU148">
            <v>29575079.154644258</v>
          </cell>
          <cell r="DV148">
            <v>73053778.221704394</v>
          </cell>
        </row>
        <row r="149">
          <cell r="A149" t="str">
            <v>Channel Net Price/Unit</v>
          </cell>
          <cell r="C149">
            <v>125.07490299327658</v>
          </cell>
          <cell r="D149">
            <v>132.09889299969379</v>
          </cell>
          <cell r="E149">
            <v>124.67277546592237</v>
          </cell>
          <cell r="F149">
            <v>127.64411978968336</v>
          </cell>
          <cell r="G149">
            <v>125.77749269273339</v>
          </cell>
          <cell r="H149">
            <v>129.56400666791933</v>
          </cell>
          <cell r="I149">
            <v>119.7449169196441</v>
          </cell>
          <cell r="J149">
            <v>111.05794189000146</v>
          </cell>
          <cell r="K149">
            <v>113.25541390988083</v>
          </cell>
          <cell r="M149">
            <v>123.52759459612544</v>
          </cell>
          <cell r="N149">
            <v>128.43287366074236</v>
          </cell>
          <cell r="O149">
            <v>114.84687871840123</v>
          </cell>
          <cell r="P149">
            <v>125.79778141696127</v>
          </cell>
          <cell r="Q149">
            <v>133.01742762213311</v>
          </cell>
          <cell r="R149">
            <v>106.04476914570395</v>
          </cell>
          <cell r="S149">
            <v>123.37177957600629</v>
          </cell>
          <cell r="T149">
            <v>127.02494470541882</v>
          </cell>
          <cell r="U149">
            <v>120.78432749590107</v>
          </cell>
          <cell r="W149">
            <v>135.23130380634296</v>
          </cell>
          <cell r="X149">
            <v>139.40985532511399</v>
          </cell>
          <cell r="Y149">
            <v>136.3189372841795</v>
          </cell>
          <cell r="Z149">
            <v>125.48030373995229</v>
          </cell>
          <cell r="AA149">
            <v>147.36429352636125</v>
          </cell>
          <cell r="AB149">
            <v>114.93388096893177</v>
          </cell>
          <cell r="AC149">
            <v>135.20641965042327</v>
          </cell>
          <cell r="AD149">
            <v>142.12916473294194</v>
          </cell>
          <cell r="AE149">
            <v>123.75114021885919</v>
          </cell>
          <cell r="AG149">
            <v>119.60570188871907</v>
          </cell>
          <cell r="AH149">
            <v>131.74548220037838</v>
          </cell>
          <cell r="AI149">
            <v>129.03941295164537</v>
          </cell>
          <cell r="AJ149">
            <v>114.60263852622963</v>
          </cell>
          <cell r="AK149">
            <v>127.13590389686654</v>
          </cell>
          <cell r="AL149">
            <v>119.54319994393281</v>
          </cell>
          <cell r="AM149">
            <v>119.60689507770674</v>
          </cell>
          <cell r="AN149">
            <v>116.93480530964364</v>
          </cell>
          <cell r="AO149">
            <v>111.05794189000146</v>
          </cell>
          <cell r="AP149">
            <v>113.25541390988083</v>
          </cell>
          <cell r="AS149">
            <v>26.914610409463656</v>
          </cell>
          <cell r="AT149">
            <v>26.959301356904206</v>
          </cell>
          <cell r="AU149">
            <v>28.020159688518952</v>
          </cell>
          <cell r="AV149">
            <v>27.737394373900571</v>
          </cell>
          <cell r="AW149">
            <v>26.732456140192561</v>
          </cell>
          <cell r="AX149">
            <v>27.651054248907219</v>
          </cell>
          <cell r="AY149">
            <v>26.951735366810595</v>
          </cell>
          <cell r="AZ149">
            <v>25.553863073458903</v>
          </cell>
          <cell r="BA149">
            <v>24.494744081000544</v>
          </cell>
          <cell r="BC149">
            <v>28.346550626240575</v>
          </cell>
          <cell r="BD149">
            <v>28.012938342233483</v>
          </cell>
          <cell r="BE149">
            <v>28.01461041507542</v>
          </cell>
          <cell r="BF149">
            <v>28.448656241902022</v>
          </cell>
          <cell r="BG149">
            <v>28.449791877581806</v>
          </cell>
          <cell r="BH149">
            <v>28.671488011314189</v>
          </cell>
          <cell r="BI149">
            <v>28.259954390028692</v>
          </cell>
          <cell r="BJ149">
            <v>28.51862957731959</v>
          </cell>
          <cell r="BK149">
            <v>28.584465209301708</v>
          </cell>
          <cell r="BM149">
            <v>29.751636803989904</v>
          </cell>
          <cell r="BN149">
            <v>29.21121881616159</v>
          </cell>
          <cell r="BO149">
            <v>30.124666032997332</v>
          </cell>
          <cell r="BP149">
            <v>29.697131419495257</v>
          </cell>
          <cell r="BQ149">
            <v>30.02468163897306</v>
          </cell>
          <cell r="BR149">
            <v>29.920611441914112</v>
          </cell>
          <cell r="BS149">
            <v>29.530330312548589</v>
          </cell>
          <cell r="BT149">
            <v>30.082074410571984</v>
          </cell>
          <cell r="BU149">
            <v>29.864359991147285</v>
          </cell>
          <cell r="BW149">
            <v>25.230516480829611</v>
          </cell>
          <cell r="BX149">
            <v>25.121688796624255</v>
          </cell>
          <cell r="BY149">
            <v>25.143988481181864</v>
          </cell>
          <cell r="BZ149">
            <v>25.633709126047837</v>
          </cell>
          <cell r="CA149">
            <v>25.850690079841833</v>
          </cell>
          <cell r="CB149">
            <v>25.312026989285116</v>
          </cell>
          <cell r="CC149">
            <v>25.58256885194686</v>
          </cell>
          <cell r="CD149">
            <v>25.412975126562724</v>
          </cell>
          <cell r="CE149">
            <v>25.553863073458903</v>
          </cell>
          <cell r="CF149">
            <v>24.494744081000544</v>
          </cell>
          <cell r="CI149" t="str">
            <v>N/A</v>
          </cell>
          <cell r="CJ149" t="str">
            <v>N/A</v>
          </cell>
          <cell r="CK149" t="str">
            <v>N/A</v>
          </cell>
          <cell r="CL149" t="str">
            <v>N/A</v>
          </cell>
          <cell r="CM149" t="str">
            <v>N/A</v>
          </cell>
          <cell r="CN149" t="str">
            <v>N/A</v>
          </cell>
          <cell r="CO149" t="str">
            <v>N/A</v>
          </cell>
          <cell r="CP149" t="str">
            <v>N/A</v>
          </cell>
          <cell r="CQ149" t="str">
            <v>N/A</v>
          </cell>
          <cell r="CS149" t="str">
            <v>N/A</v>
          </cell>
          <cell r="CT149" t="str">
            <v>N/A</v>
          </cell>
          <cell r="CU149" t="str">
            <v>N/A</v>
          </cell>
          <cell r="CV149" t="str">
            <v>N/A</v>
          </cell>
          <cell r="CW149" t="str">
            <v>N/A</v>
          </cell>
          <cell r="CX149" t="str">
            <v>N/A</v>
          </cell>
          <cell r="CY149" t="str">
            <v>N/A</v>
          </cell>
          <cell r="CZ149" t="str">
            <v>N/A</v>
          </cell>
          <cell r="DA149" t="str">
            <v>N/A</v>
          </cell>
          <cell r="DC149" t="str">
            <v>N/A</v>
          </cell>
          <cell r="DD149" t="str">
            <v>N/A</v>
          </cell>
          <cell r="DE149" t="str">
            <v>N/A</v>
          </cell>
          <cell r="DF149" t="str">
            <v>N/A</v>
          </cell>
          <cell r="DG149" t="str">
            <v>N/A</v>
          </cell>
          <cell r="DH149" t="str">
            <v>N/A</v>
          </cell>
          <cell r="DI149" t="str">
            <v>N/A</v>
          </cell>
          <cell r="DJ149" t="str">
            <v>N/A</v>
          </cell>
          <cell r="DK149" t="str">
            <v>N/A</v>
          </cell>
          <cell r="DM149" t="str">
            <v>N/A</v>
          </cell>
          <cell r="DN149" t="str">
            <v>N/A</v>
          </cell>
          <cell r="DO149" t="str">
            <v>N/A</v>
          </cell>
          <cell r="DP149" t="str">
            <v>N/A</v>
          </cell>
          <cell r="DQ149" t="str">
            <v>N/A</v>
          </cell>
          <cell r="DR149" t="str">
            <v>N/A</v>
          </cell>
          <cell r="DS149" t="str">
            <v>N/A</v>
          </cell>
          <cell r="DT149" t="str">
            <v>N/A</v>
          </cell>
          <cell r="DU149" t="str">
            <v>N/A</v>
          </cell>
          <cell r="DV149" t="str">
            <v>N/A</v>
          </cell>
        </row>
        <row r="151">
          <cell r="A151" t="str">
            <v>TOTAL LOW-NET DISCOUNT - Corn</v>
          </cell>
          <cell r="C151">
            <v>20637140.04686597</v>
          </cell>
          <cell r="D151">
            <v>4629231.5118959742</v>
          </cell>
          <cell r="E151">
            <v>3706574.0603006529</v>
          </cell>
          <cell r="F151">
            <v>4307417.2359337211</v>
          </cell>
          <cell r="G151">
            <v>1723716.1559608481</v>
          </cell>
          <cell r="H151">
            <v>1671202.8561997353</v>
          </cell>
          <cell r="I151">
            <v>1593566.4082837161</v>
          </cell>
          <cell r="J151">
            <v>521562.08250478678</v>
          </cell>
          <cell r="K151">
            <v>2483869.7357865334</v>
          </cell>
          <cell r="M151">
            <v>4803055.6085261172</v>
          </cell>
          <cell r="N151">
            <v>978841.48972815089</v>
          </cell>
          <cell r="O151">
            <v>378044.41489728144</v>
          </cell>
          <cell r="P151">
            <v>642222.66144921945</v>
          </cell>
          <cell r="Q151">
            <v>802126.21629441844</v>
          </cell>
          <cell r="R151">
            <v>496438.41437369963</v>
          </cell>
          <cell r="S151">
            <v>465156.64053350221</v>
          </cell>
          <cell r="T151">
            <v>565849.03206249909</v>
          </cell>
          <cell r="U151">
            <v>474376.73918734584</v>
          </cell>
          <cell r="W151">
            <v>5333691.2881440194</v>
          </cell>
          <cell r="X151">
            <v>945619.80260446889</v>
          </cell>
          <cell r="Y151">
            <v>977629.91634205007</v>
          </cell>
          <cell r="Z151">
            <v>749085.41006517736</v>
          </cell>
          <cell r="AA151">
            <v>928700.17276100535</v>
          </cell>
          <cell r="AB151">
            <v>282906.87334899598</v>
          </cell>
          <cell r="AC151">
            <v>654892.84041125095</v>
          </cell>
          <cell r="AD151">
            <v>491323.06280869839</v>
          </cell>
          <cell r="AE151">
            <v>303533.20980237314</v>
          </cell>
          <cell r="AG151">
            <v>10500393.15019583</v>
          </cell>
          <cell r="AH151">
            <v>2024099.2335858517</v>
          </cell>
          <cell r="AI151">
            <v>680670.98597750242</v>
          </cell>
          <cell r="AJ151">
            <v>959591.65754692419</v>
          </cell>
          <cell r="AK151">
            <v>1797245.5591556011</v>
          </cell>
          <cell r="AL151">
            <v>603666.67501609505</v>
          </cell>
          <cell r="AM151">
            <v>614030.76132853806</v>
          </cell>
          <cell r="AN151">
            <v>815656.45929399703</v>
          </cell>
          <cell r="AO151">
            <v>521562.08250478678</v>
          </cell>
          <cell r="AP151">
            <v>2483869.7357865334</v>
          </cell>
          <cell r="CI151">
            <v>20637140.04686597</v>
          </cell>
          <cell r="CJ151">
            <v>4629231.5118959742</v>
          </cell>
          <cell r="CK151">
            <v>3706574.0603006529</v>
          </cell>
          <cell r="CL151">
            <v>4307417.2359337211</v>
          </cell>
          <cell r="CM151">
            <v>1723716.1559608481</v>
          </cell>
          <cell r="CN151">
            <v>1671202.8561997353</v>
          </cell>
          <cell r="CO151">
            <v>1593566.4082837161</v>
          </cell>
          <cell r="CP151">
            <v>521562.08250478678</v>
          </cell>
          <cell r="CQ151">
            <v>2483869.7357865334</v>
          </cell>
          <cell r="CS151">
            <v>4803055.6085261172</v>
          </cell>
          <cell r="CT151">
            <v>978841.48972815089</v>
          </cell>
          <cell r="CU151">
            <v>378044.41489728144</v>
          </cell>
          <cell r="CV151">
            <v>642222.66144921945</v>
          </cell>
          <cell r="CW151">
            <v>802126.21629441844</v>
          </cell>
          <cell r="CX151">
            <v>496438.41437369963</v>
          </cell>
          <cell r="CY151">
            <v>465156.64053350221</v>
          </cell>
          <cell r="CZ151">
            <v>565849.03206249909</v>
          </cell>
          <cell r="DA151">
            <v>474376.73918734584</v>
          </cell>
          <cell r="DC151">
            <v>5333691.2881440194</v>
          </cell>
          <cell r="DD151">
            <v>945619.80260446889</v>
          </cell>
          <cell r="DE151">
            <v>977629.91634205007</v>
          </cell>
          <cell r="DF151">
            <v>749085.41006517736</v>
          </cell>
          <cell r="DG151">
            <v>928700.17276100535</v>
          </cell>
          <cell r="DH151">
            <v>282906.87334899598</v>
          </cell>
          <cell r="DI151">
            <v>654892.84041125095</v>
          </cell>
          <cell r="DJ151">
            <v>491323.06280869839</v>
          </cell>
          <cell r="DK151">
            <v>303533.20980237314</v>
          </cell>
          <cell r="DM151">
            <v>10500393.15019583</v>
          </cell>
          <cell r="DN151">
            <v>2024099.2335858517</v>
          </cell>
          <cell r="DO151">
            <v>680670.98597750242</v>
          </cell>
          <cell r="DP151">
            <v>959591.65754692419</v>
          </cell>
          <cell r="DQ151">
            <v>1797245.5591556011</v>
          </cell>
          <cell r="DR151">
            <v>603666.67501609505</v>
          </cell>
          <cell r="DS151">
            <v>614030.76132853806</v>
          </cell>
          <cell r="DT151">
            <v>815656.45929399703</v>
          </cell>
          <cell r="DU151">
            <v>521562.08250478678</v>
          </cell>
          <cell r="DV151">
            <v>2483869.7357865334</v>
          </cell>
        </row>
        <row r="153">
          <cell r="A153" t="str">
            <v>Low-Net Discounts - Corn (Garst)</v>
          </cell>
          <cell r="C153">
            <v>4803055.6085261172</v>
          </cell>
          <cell r="D153">
            <v>978841.48972815089</v>
          </cell>
          <cell r="E153">
            <v>1020267.0763465009</v>
          </cell>
          <cell r="F153">
            <v>1298564.6306681181</v>
          </cell>
          <cell r="G153">
            <v>465156.64053350221</v>
          </cell>
          <cell r="H153">
            <v>565849.03206249909</v>
          </cell>
          <cell r="I153">
            <v>474376.73918734584</v>
          </cell>
          <cell r="J153">
            <v>0</v>
          </cell>
          <cell r="K153">
            <v>0</v>
          </cell>
          <cell r="M153">
            <v>4803055.6085261172</v>
          </cell>
          <cell r="N153">
            <v>978841.48972815089</v>
          </cell>
          <cell r="O153">
            <v>378044.41489728144</v>
          </cell>
          <cell r="P153">
            <v>642222.66144921945</v>
          </cell>
          <cell r="Q153">
            <v>802126.21629441844</v>
          </cell>
          <cell r="R153">
            <v>496438.41437369963</v>
          </cell>
          <cell r="S153">
            <v>465156.64053350221</v>
          </cell>
          <cell r="T153">
            <v>565849.03206249909</v>
          </cell>
          <cell r="U153">
            <v>474376.73918734584</v>
          </cell>
          <cell r="CI153">
            <v>4803055.6085261172</v>
          </cell>
          <cell r="CJ153">
            <v>978841.48972815089</v>
          </cell>
          <cell r="CK153">
            <v>1020267.0763465009</v>
          </cell>
          <cell r="CL153">
            <v>1298564.6306681181</v>
          </cell>
          <cell r="CM153">
            <v>465156.64053350221</v>
          </cell>
          <cell r="CN153">
            <v>565849.03206249909</v>
          </cell>
          <cell r="CO153">
            <v>474376.73918734584</v>
          </cell>
          <cell r="CP153">
            <v>0</v>
          </cell>
          <cell r="CQ153">
            <v>0</v>
          </cell>
          <cell r="CS153">
            <v>4803055.6085261172</v>
          </cell>
          <cell r="CT153">
            <v>978841.48972815089</v>
          </cell>
          <cell r="CU153">
            <v>378044.41489728144</v>
          </cell>
          <cell r="CV153">
            <v>642222.66144921945</v>
          </cell>
          <cell r="CW153">
            <v>802126.21629441844</v>
          </cell>
          <cell r="CX153">
            <v>496438.41437369963</v>
          </cell>
          <cell r="CY153">
            <v>465156.64053350221</v>
          </cell>
          <cell r="CZ153">
            <v>565849.03206249909</v>
          </cell>
          <cell r="DA153">
            <v>474376.73918734584</v>
          </cell>
        </row>
        <row r="154">
          <cell r="A154" t="str">
            <v>Replant</v>
          </cell>
          <cell r="C154">
            <v>3888187.8735687616</v>
          </cell>
          <cell r="D154">
            <v>792395.49168469361</v>
          </cell>
          <cell r="E154">
            <v>825930.49037573882</v>
          </cell>
          <cell r="F154">
            <v>1051218.9867313337</v>
          </cell>
          <cell r="G154">
            <v>376555.37566997798</v>
          </cell>
          <cell r="H154">
            <v>458068.26405059453</v>
          </cell>
          <cell r="I154">
            <v>384019.2650564228</v>
          </cell>
          <cell r="J154">
            <v>0</v>
          </cell>
          <cell r="K154">
            <v>0</v>
          </cell>
          <cell r="M154">
            <v>3888187.8735687616</v>
          </cell>
          <cell r="N154">
            <v>792395.49168469361</v>
          </cell>
          <cell r="O154">
            <v>306035.95491684688</v>
          </cell>
          <cell r="P154">
            <v>519894.535458892</v>
          </cell>
          <cell r="Q154">
            <v>649340.27033357683</v>
          </cell>
          <cell r="R154">
            <v>401878.71639775683</v>
          </cell>
          <cell r="S154">
            <v>376555.37566997798</v>
          </cell>
          <cell r="T154">
            <v>458068.26405059453</v>
          </cell>
          <cell r="U154">
            <v>384019.2650564228</v>
          </cell>
          <cell r="CI154">
            <v>3888187.8735687616</v>
          </cell>
          <cell r="CJ154">
            <v>792395.49168469361</v>
          </cell>
          <cell r="CK154">
            <v>825930.49037573882</v>
          </cell>
          <cell r="CL154">
            <v>1051218.9867313337</v>
          </cell>
          <cell r="CM154">
            <v>376555.37566997798</v>
          </cell>
          <cell r="CN154">
            <v>458068.26405059453</v>
          </cell>
          <cell r="CO154">
            <v>384019.2650564228</v>
          </cell>
          <cell r="CP154">
            <v>0</v>
          </cell>
          <cell r="CQ154">
            <v>0</v>
          </cell>
          <cell r="CS154">
            <v>3888187.8735687616</v>
          </cell>
          <cell r="CT154">
            <v>792395.49168469361</v>
          </cell>
          <cell r="CU154">
            <v>306035.95491684688</v>
          </cell>
          <cell r="CV154">
            <v>519894.535458892</v>
          </cell>
          <cell r="CW154">
            <v>649340.27033357683</v>
          </cell>
          <cell r="CX154">
            <v>401878.71639775683</v>
          </cell>
          <cell r="CY154">
            <v>376555.37566997798</v>
          </cell>
          <cell r="CZ154">
            <v>458068.26405059453</v>
          </cell>
          <cell r="DA154">
            <v>384019.2650564228</v>
          </cell>
        </row>
        <row r="155">
          <cell r="A155" t="str">
            <v>CSCR</v>
          </cell>
          <cell r="C155">
            <v>914867.73495735566</v>
          </cell>
          <cell r="D155">
            <v>186445.99804345728</v>
          </cell>
          <cell r="E155">
            <v>194336.58597076207</v>
          </cell>
          <cell r="F155">
            <v>247345.64393678441</v>
          </cell>
          <cell r="G155">
            <v>88601.264863524266</v>
          </cell>
          <cell r="H155">
            <v>107780.76801190461</v>
          </cell>
          <cell r="I155">
            <v>90357.474130923074</v>
          </cell>
          <cell r="J155">
            <v>0</v>
          </cell>
          <cell r="K155">
            <v>0</v>
          </cell>
          <cell r="M155">
            <v>914867.73495735566</v>
          </cell>
          <cell r="N155">
            <v>186445.99804345728</v>
          </cell>
          <cell r="O155">
            <v>72008.459980434593</v>
          </cell>
          <cell r="P155">
            <v>122328.12599032748</v>
          </cell>
          <cell r="Q155">
            <v>152785.94596084164</v>
          </cell>
          <cell r="R155">
            <v>94559.697975942792</v>
          </cell>
          <cell r="S155">
            <v>88601.264863524266</v>
          </cell>
          <cell r="T155">
            <v>107780.76801190461</v>
          </cell>
          <cell r="U155">
            <v>90357.474130923074</v>
          </cell>
          <cell r="CI155">
            <v>914867.73495735566</v>
          </cell>
          <cell r="CJ155">
            <v>186445.99804345728</v>
          </cell>
          <cell r="CK155">
            <v>194336.58597076207</v>
          </cell>
          <cell r="CL155">
            <v>247345.64393678441</v>
          </cell>
          <cell r="CM155">
            <v>88601.264863524266</v>
          </cell>
          <cell r="CN155">
            <v>107780.76801190461</v>
          </cell>
          <cell r="CO155">
            <v>90357.474130923074</v>
          </cell>
          <cell r="CP155">
            <v>0</v>
          </cell>
          <cell r="CQ155">
            <v>0</v>
          </cell>
          <cell r="CS155">
            <v>914867.73495735566</v>
          </cell>
          <cell r="CT155">
            <v>186445.99804345728</v>
          </cell>
          <cell r="CU155">
            <v>72008.459980434593</v>
          </cell>
          <cell r="CV155">
            <v>122328.12599032748</v>
          </cell>
          <cell r="CW155">
            <v>152785.94596084164</v>
          </cell>
          <cell r="CX155">
            <v>94559.697975942792</v>
          </cell>
          <cell r="CY155">
            <v>88601.264863524266</v>
          </cell>
          <cell r="CZ155">
            <v>107780.76801190461</v>
          </cell>
          <cell r="DA155">
            <v>90357.474130923074</v>
          </cell>
        </row>
        <row r="157">
          <cell r="A157" t="str">
            <v>Low-Net Discounts - Corn (GH)</v>
          </cell>
          <cell r="C157">
            <v>5333691.2881440194</v>
          </cell>
          <cell r="D157">
            <v>945619.80260446889</v>
          </cell>
          <cell r="E157">
            <v>1726715.3264072274</v>
          </cell>
          <cell r="F157">
            <v>1211607.0461100014</v>
          </cell>
          <cell r="G157">
            <v>654892.84041125095</v>
          </cell>
          <cell r="H157">
            <v>491323.06280869839</v>
          </cell>
          <cell r="I157">
            <v>303533.20980237314</v>
          </cell>
          <cell r="J157">
            <v>0</v>
          </cell>
          <cell r="K157">
            <v>0</v>
          </cell>
          <cell r="W157">
            <v>5333691.2881440194</v>
          </cell>
          <cell r="X157">
            <v>945619.80260446889</v>
          </cell>
          <cell r="Y157">
            <v>977629.91634205007</v>
          </cell>
          <cell r="Z157">
            <v>749085.41006517736</v>
          </cell>
          <cell r="AA157">
            <v>928700.17276100535</v>
          </cell>
          <cell r="AB157">
            <v>282906.87334899598</v>
          </cell>
          <cell r="AC157">
            <v>654892.84041125095</v>
          </cell>
          <cell r="AD157">
            <v>491323.06280869839</v>
          </cell>
          <cell r="AE157">
            <v>303533.20980237314</v>
          </cell>
          <cell r="CI157">
            <v>5333691.2881440194</v>
          </cell>
          <cell r="CJ157">
            <v>945619.80260446889</v>
          </cell>
          <cell r="CK157">
            <v>1726715.3264072274</v>
          </cell>
          <cell r="CL157">
            <v>1211607.0461100014</v>
          </cell>
          <cell r="CM157">
            <v>654892.84041125095</v>
          </cell>
          <cell r="CN157">
            <v>491323.06280869839</v>
          </cell>
          <cell r="CO157">
            <v>303533.20980237314</v>
          </cell>
          <cell r="CP157">
            <v>0</v>
          </cell>
          <cell r="CQ157">
            <v>0</v>
          </cell>
          <cell r="DC157">
            <v>5333691.2881440194</v>
          </cell>
          <cell r="DD157">
            <v>945619.80260446889</v>
          </cell>
          <cell r="DE157">
            <v>977629.91634205007</v>
          </cell>
          <cell r="DF157">
            <v>749085.41006517736</v>
          </cell>
          <cell r="DG157">
            <v>928700.17276100535</v>
          </cell>
          <cell r="DH157">
            <v>282906.87334899598</v>
          </cell>
          <cell r="DI157">
            <v>654892.84041125095</v>
          </cell>
          <cell r="DJ157">
            <v>491323.06280869839</v>
          </cell>
          <cell r="DK157">
            <v>303533.20980237314</v>
          </cell>
        </row>
        <row r="158">
          <cell r="A158" t="str">
            <v>Replant</v>
          </cell>
          <cell r="C158">
            <v>4108864.4418431413</v>
          </cell>
          <cell r="D158">
            <v>728468.02946037287</v>
          </cell>
          <cell r="E158">
            <v>1330193.0731594781</v>
          </cell>
          <cell r="F158">
            <v>933374.06315848301</v>
          </cell>
          <cell r="G158">
            <v>504503.49669933598</v>
          </cell>
          <cell r="H158">
            <v>378495.82084354298</v>
          </cell>
          <cell r="I158">
            <v>233829.95852192803</v>
          </cell>
          <cell r="J158">
            <v>0</v>
          </cell>
          <cell r="K158">
            <v>0</v>
          </cell>
          <cell r="W158">
            <v>4108864.4418431409</v>
          </cell>
          <cell r="X158">
            <v>728468.02946037287</v>
          </cell>
          <cell r="Y158">
            <v>753127.35280892556</v>
          </cell>
          <cell r="Z158">
            <v>577065.72035055258</v>
          </cell>
          <cell r="AA158">
            <v>715433.81700276607</v>
          </cell>
          <cell r="AB158">
            <v>217940.24615571692</v>
          </cell>
          <cell r="AC158">
            <v>504503.49669933598</v>
          </cell>
          <cell r="AD158">
            <v>378495.82084354298</v>
          </cell>
          <cell r="AE158">
            <v>233829.95852192803</v>
          </cell>
          <cell r="CI158">
            <v>4108864.4418431413</v>
          </cell>
          <cell r="CJ158">
            <v>728468.02946037287</v>
          </cell>
          <cell r="CK158">
            <v>1330193.0731594781</v>
          </cell>
          <cell r="CL158">
            <v>933374.06315848301</v>
          </cell>
          <cell r="CM158">
            <v>504503.49669933598</v>
          </cell>
          <cell r="CN158">
            <v>378495.82084354298</v>
          </cell>
          <cell r="CO158">
            <v>233829.95852192803</v>
          </cell>
          <cell r="CP158">
            <v>0</v>
          </cell>
          <cell r="CQ158">
            <v>0</v>
          </cell>
          <cell r="DC158">
            <v>4108864.4418431409</v>
          </cell>
          <cell r="DD158">
            <v>728468.02946037287</v>
          </cell>
          <cell r="DE158">
            <v>753127.35280892556</v>
          </cell>
          <cell r="DF158">
            <v>577065.72035055258</v>
          </cell>
          <cell r="DG158">
            <v>715433.81700276607</v>
          </cell>
          <cell r="DH158">
            <v>217940.24615571692</v>
          </cell>
          <cell r="DI158">
            <v>504503.49669933598</v>
          </cell>
          <cell r="DJ158">
            <v>378495.82084354298</v>
          </cell>
          <cell r="DK158">
            <v>233829.95852192803</v>
          </cell>
        </row>
        <row r="159">
          <cell r="A159" t="str">
            <v>CSCR</v>
          </cell>
          <cell r="C159">
            <v>1224826.846300879</v>
          </cell>
          <cell r="D159">
            <v>217151.77314409602</v>
          </cell>
          <cell r="E159">
            <v>396522.25324774929</v>
          </cell>
          <cell r="F159">
            <v>278232.98295151832</v>
          </cell>
          <cell r="G159">
            <v>150389.34371191493</v>
          </cell>
          <cell r="H159">
            <v>112827.24196515541</v>
          </cell>
          <cell r="I159">
            <v>69703.251280445111</v>
          </cell>
          <cell r="J159">
            <v>0</v>
          </cell>
          <cell r="K159">
            <v>0</v>
          </cell>
          <cell r="W159">
            <v>1224826.8463008793</v>
          </cell>
          <cell r="X159">
            <v>217151.77314409602</v>
          </cell>
          <cell r="Y159">
            <v>224502.56353312446</v>
          </cell>
          <cell r="Z159">
            <v>172019.68971462484</v>
          </cell>
          <cell r="AA159">
            <v>213266.35575823925</v>
          </cell>
          <cell r="AB159">
            <v>64966.627193279048</v>
          </cell>
          <cell r="AC159">
            <v>150389.34371191493</v>
          </cell>
          <cell r="AD159">
            <v>112827.24196515541</v>
          </cell>
          <cell r="AE159">
            <v>69703.251280445111</v>
          </cell>
          <cell r="CI159">
            <v>1224826.846300879</v>
          </cell>
          <cell r="CJ159">
            <v>217151.77314409602</v>
          </cell>
          <cell r="CK159">
            <v>396522.25324774929</v>
          </cell>
          <cell r="CL159">
            <v>278232.98295151832</v>
          </cell>
          <cell r="CM159">
            <v>150389.34371191493</v>
          </cell>
          <cell r="CN159">
            <v>112827.24196515541</v>
          </cell>
          <cell r="CO159">
            <v>69703.251280445111</v>
          </cell>
          <cell r="CP159">
            <v>0</v>
          </cell>
          <cell r="CQ159">
            <v>0</v>
          </cell>
          <cell r="DC159">
            <v>1224826.8463008793</v>
          </cell>
          <cell r="DD159">
            <v>217151.77314409602</v>
          </cell>
          <cell r="DE159">
            <v>224502.56353312446</v>
          </cell>
          <cell r="DF159">
            <v>172019.68971462484</v>
          </cell>
          <cell r="DG159">
            <v>213266.35575823925</v>
          </cell>
          <cell r="DH159">
            <v>64966.627193279048</v>
          </cell>
          <cell r="DI159">
            <v>150389.34371191493</v>
          </cell>
          <cell r="DJ159">
            <v>112827.24196515541</v>
          </cell>
          <cell r="DK159">
            <v>69703.251280445111</v>
          </cell>
        </row>
        <row r="161">
          <cell r="A161" t="str">
            <v>Low-Net Discounts - Corn (NK)</v>
          </cell>
          <cell r="C161">
            <v>10500393.15019583</v>
          </cell>
          <cell r="D161">
            <v>2704770.2195633543</v>
          </cell>
          <cell r="E161">
            <v>959591.65754692419</v>
          </cell>
          <cell r="F161">
            <v>1797245.5591556011</v>
          </cell>
          <cell r="G161">
            <v>603666.67501609505</v>
          </cell>
          <cell r="H161">
            <v>614030.76132853806</v>
          </cell>
          <cell r="I161">
            <v>815656.45929399703</v>
          </cell>
          <cell r="J161">
            <v>521562.08250478678</v>
          </cell>
          <cell r="K161">
            <v>2483869.7357865334</v>
          </cell>
          <cell r="AG161">
            <v>10500393.15019583</v>
          </cell>
          <cell r="AH161">
            <v>2024099.2335858517</v>
          </cell>
          <cell r="AI161">
            <v>680670.98597750242</v>
          </cell>
          <cell r="AJ161">
            <v>959591.65754692419</v>
          </cell>
          <cell r="AK161">
            <v>1797245.5591556011</v>
          </cell>
          <cell r="AL161">
            <v>603666.67501609505</v>
          </cell>
          <cell r="AM161">
            <v>614030.76132853806</v>
          </cell>
          <cell r="AN161">
            <v>815656.45929399703</v>
          </cell>
          <cell r="AO161">
            <v>521562.08250478678</v>
          </cell>
          <cell r="AP161">
            <v>2483869.7357865334</v>
          </cell>
          <cell r="CI161">
            <v>10500393.15019583</v>
          </cell>
          <cell r="CJ161">
            <v>2704770.2195633543</v>
          </cell>
          <cell r="CK161">
            <v>959591.65754692419</v>
          </cell>
          <cell r="CL161">
            <v>1797245.5591556011</v>
          </cell>
          <cell r="CM161">
            <v>603666.67501609505</v>
          </cell>
          <cell r="CN161">
            <v>614030.76132853806</v>
          </cell>
          <cell r="CO161">
            <v>815656.45929399703</v>
          </cell>
          <cell r="CP161">
            <v>521562.08250478678</v>
          </cell>
          <cell r="CQ161">
            <v>2483869.7357865334</v>
          </cell>
          <cell r="DM161">
            <v>10500393.15019583</v>
          </cell>
          <cell r="DN161">
            <v>2024099.2335858517</v>
          </cell>
          <cell r="DO161">
            <v>680670.98597750242</v>
          </cell>
          <cell r="DP161">
            <v>959591.65754692419</v>
          </cell>
          <cell r="DQ161">
            <v>1797245.5591556011</v>
          </cell>
          <cell r="DR161">
            <v>603666.67501609505</v>
          </cell>
          <cell r="DS161">
            <v>614030.76132853806</v>
          </cell>
          <cell r="DT161">
            <v>815656.45929399703</v>
          </cell>
          <cell r="DU161">
            <v>521562.08250478678</v>
          </cell>
          <cell r="DV161">
            <v>2483869.7357865334</v>
          </cell>
        </row>
        <row r="162">
          <cell r="A162" t="str">
            <v>Replant</v>
          </cell>
          <cell r="C162">
            <v>6764574.7431748658</v>
          </cell>
          <cell r="D162">
            <v>727167.9982162565</v>
          </cell>
          <cell r="E162">
            <v>442026.04588331602</v>
          </cell>
          <cell r="F162">
            <v>862455.06765183958</v>
          </cell>
          <cell r="G162">
            <v>530767.23996480182</v>
          </cell>
          <cell r="H162">
            <v>497393.36334651679</v>
          </cell>
          <cell r="I162">
            <v>719977.0121017046</v>
          </cell>
          <cell r="J162">
            <v>521562.08250478678</v>
          </cell>
          <cell r="K162">
            <v>2463225.9335056441</v>
          </cell>
          <cell r="AG162">
            <v>6764574.7431748658</v>
          </cell>
          <cell r="AH162">
            <v>219696.42471235537</v>
          </cell>
          <cell r="AI162">
            <v>507471.57350390119</v>
          </cell>
          <cell r="AJ162">
            <v>442026.04588331602</v>
          </cell>
          <cell r="AK162">
            <v>862455.06765183958</v>
          </cell>
          <cell r="AL162">
            <v>530767.23996480182</v>
          </cell>
          <cell r="AM162">
            <v>497393.36334651679</v>
          </cell>
          <cell r="AN162">
            <v>719977.0121017046</v>
          </cell>
          <cell r="AO162">
            <v>521562.08250478678</v>
          </cell>
          <cell r="AP162">
            <v>2463225.9335056441</v>
          </cell>
          <cell r="CI162">
            <v>6764574.7431748658</v>
          </cell>
          <cell r="CJ162">
            <v>727167.9982162565</v>
          </cell>
          <cell r="CK162">
            <v>442026.04588331602</v>
          </cell>
          <cell r="CL162">
            <v>862455.06765183958</v>
          </cell>
          <cell r="CM162">
            <v>530767.23996480182</v>
          </cell>
          <cell r="CN162">
            <v>497393.36334651679</v>
          </cell>
          <cell r="CO162">
            <v>719977.0121017046</v>
          </cell>
          <cell r="CP162">
            <v>521562.08250478678</v>
          </cell>
          <cell r="CQ162">
            <v>2463225.9335056441</v>
          </cell>
          <cell r="DM162">
            <v>6764574.7431748658</v>
          </cell>
          <cell r="DN162">
            <v>219696.42471235537</v>
          </cell>
          <cell r="DO162">
            <v>507471.57350390119</v>
          </cell>
          <cell r="DP162">
            <v>442026.04588331602</v>
          </cell>
          <cell r="DQ162">
            <v>862455.06765183958</v>
          </cell>
          <cell r="DR162">
            <v>530767.23996480182</v>
          </cell>
          <cell r="DS162">
            <v>497393.36334651679</v>
          </cell>
          <cell r="DT162">
            <v>719977.0121017046</v>
          </cell>
          <cell r="DU162">
            <v>521562.08250478678</v>
          </cell>
          <cell r="DV162">
            <v>2463225.9335056441</v>
          </cell>
        </row>
        <row r="163">
          <cell r="A163" t="str">
            <v>CSCR</v>
          </cell>
          <cell r="C163">
            <v>3735818.4070209633</v>
          </cell>
          <cell r="D163">
            <v>1977602.2213470975</v>
          </cell>
          <cell r="E163">
            <v>517565.61166360817</v>
          </cell>
          <cell r="F163">
            <v>934790.49150376162</v>
          </cell>
          <cell r="G163">
            <v>72899.435051293185</v>
          </cell>
          <cell r="H163">
            <v>116637.39798202131</v>
          </cell>
          <cell r="I163">
            <v>95679.447192292399</v>
          </cell>
          <cell r="J163">
            <v>0</v>
          </cell>
          <cell r="K163">
            <v>20643.802280889155</v>
          </cell>
          <cell r="AG163">
            <v>3735818.4070209633</v>
          </cell>
          <cell r="AH163">
            <v>1804402.8088734963</v>
          </cell>
          <cell r="AI163">
            <v>173199.41247360126</v>
          </cell>
          <cell r="AJ163">
            <v>517565.61166360817</v>
          </cell>
          <cell r="AK163">
            <v>934790.49150376162</v>
          </cell>
          <cell r="AL163">
            <v>72899.435051293185</v>
          </cell>
          <cell r="AM163">
            <v>116637.39798202131</v>
          </cell>
          <cell r="AN163">
            <v>95679.447192292399</v>
          </cell>
          <cell r="AO163">
            <v>0</v>
          </cell>
          <cell r="AP163">
            <v>20643.802280889155</v>
          </cell>
          <cell r="CI163">
            <v>3735818.4070209633</v>
          </cell>
          <cell r="CJ163">
            <v>1977602.2213470975</v>
          </cell>
          <cell r="CK163">
            <v>517565.61166360817</v>
          </cell>
          <cell r="CL163">
            <v>934790.49150376162</v>
          </cell>
          <cell r="CM163">
            <v>72899.435051293185</v>
          </cell>
          <cell r="CN163">
            <v>116637.39798202131</v>
          </cell>
          <cell r="CO163">
            <v>95679.447192292399</v>
          </cell>
          <cell r="CP163">
            <v>0</v>
          </cell>
          <cell r="CQ163">
            <v>20643.802280889155</v>
          </cell>
          <cell r="DM163">
            <v>3735818.4070209633</v>
          </cell>
          <cell r="DN163">
            <v>1804402.8088734963</v>
          </cell>
          <cell r="DO163">
            <v>173199.41247360126</v>
          </cell>
          <cell r="DP163">
            <v>517565.61166360817</v>
          </cell>
          <cell r="DQ163">
            <v>934790.49150376162</v>
          </cell>
          <cell r="DR163">
            <v>72899.435051293185</v>
          </cell>
          <cell r="DS163">
            <v>116637.39798202131</v>
          </cell>
          <cell r="DT163">
            <v>95679.447192292399</v>
          </cell>
          <cell r="DU163">
            <v>0</v>
          </cell>
          <cell r="DV163">
            <v>20643.802280889155</v>
          </cell>
        </row>
        <row r="166">
          <cell r="A166" t="str">
            <v>TOTAL LOW-NET DISCOUNT - Soybeans</v>
          </cell>
          <cell r="AS166">
            <v>11154024.398373004</v>
          </cell>
          <cell r="AT166">
            <v>1994675.4207860865</v>
          </cell>
          <cell r="AU166">
            <v>1833267.7921887685</v>
          </cell>
          <cell r="AV166">
            <v>1946036.7977502292</v>
          </cell>
          <cell r="AW166">
            <v>685457.2028340355</v>
          </cell>
          <cell r="AX166">
            <v>983093.77379710309</v>
          </cell>
          <cell r="AY166">
            <v>1884931.6689406135</v>
          </cell>
          <cell r="AZ166">
            <v>183340.6182227133</v>
          </cell>
          <cell r="BA166">
            <v>1643221.1238534553</v>
          </cell>
          <cell r="BC166">
            <v>2732234.6429949999</v>
          </cell>
          <cell r="BD166">
            <v>696748.08137999999</v>
          </cell>
          <cell r="BE166">
            <v>233259.14761499999</v>
          </cell>
          <cell r="BF166">
            <v>210071.81455000001</v>
          </cell>
          <cell r="BG166">
            <v>305991.94801499997</v>
          </cell>
          <cell r="BH166">
            <v>422313.94075000001</v>
          </cell>
          <cell r="BI166">
            <v>172743.50983499998</v>
          </cell>
          <cell r="BJ166">
            <v>354621.89229999995</v>
          </cell>
          <cell r="BK166">
            <v>336484.30854999996</v>
          </cell>
          <cell r="BM166">
            <v>2371480.0944293919</v>
          </cell>
          <cell r="BN166">
            <v>516769.6798858</v>
          </cell>
          <cell r="BO166">
            <v>394296.38802088</v>
          </cell>
          <cell r="BP166">
            <v>355641.67556079995</v>
          </cell>
          <cell r="BQ166">
            <v>274409.74883579195</v>
          </cell>
          <cell r="BR166">
            <v>200091.66010480002</v>
          </cell>
          <cell r="BS166">
            <v>201380.68413940002</v>
          </cell>
          <cell r="BT166">
            <v>221288.57366040006</v>
          </cell>
          <cell r="BU166">
            <v>207601.68422152</v>
          </cell>
          <cell r="BW166">
            <v>6050309.6609486137</v>
          </cell>
          <cell r="BX166">
            <v>431118.66409514495</v>
          </cell>
          <cell r="BY166">
            <v>350038.99542514165</v>
          </cell>
          <cell r="BZ166">
            <v>639998.76644208864</v>
          </cell>
          <cell r="CA166">
            <v>743229.50004463713</v>
          </cell>
          <cell r="CB166">
            <v>311333.00885963556</v>
          </cell>
          <cell r="CC166">
            <v>407183.30783670314</v>
          </cell>
          <cell r="CD166">
            <v>1340845.6761690937</v>
          </cell>
          <cell r="CE166">
            <v>183340.6182227133</v>
          </cell>
          <cell r="CF166">
            <v>1643221.1238534553</v>
          </cell>
          <cell r="CI166">
            <v>11154024.398373004</v>
          </cell>
          <cell r="CJ166">
            <v>1994675.4207860865</v>
          </cell>
          <cell r="CK166">
            <v>1833267.7921887685</v>
          </cell>
          <cell r="CL166">
            <v>1946036.7977502292</v>
          </cell>
          <cell r="CM166">
            <v>685457.2028340355</v>
          </cell>
          <cell r="CN166">
            <v>983093.77379710309</v>
          </cell>
          <cell r="CO166">
            <v>1884931.6689406135</v>
          </cell>
          <cell r="CP166">
            <v>183340.6182227133</v>
          </cell>
          <cell r="CQ166">
            <v>1643221.1238534553</v>
          </cell>
          <cell r="CS166">
            <v>2732234.6429949999</v>
          </cell>
          <cell r="CT166">
            <v>696748.08137999999</v>
          </cell>
          <cell r="CU166">
            <v>233259.14761499999</v>
          </cell>
          <cell r="CV166">
            <v>210071.81455000001</v>
          </cell>
          <cell r="CW166">
            <v>305991.94801499997</v>
          </cell>
          <cell r="CX166">
            <v>422313.94075000001</v>
          </cell>
          <cell r="CY166">
            <v>172743.50983499998</v>
          </cell>
          <cell r="CZ166">
            <v>354621.89229999995</v>
          </cell>
          <cell r="DA166">
            <v>336484.30854999996</v>
          </cell>
          <cell r="DC166">
            <v>2371480.0944293919</v>
          </cell>
          <cell r="DD166">
            <v>516769.6798858</v>
          </cell>
          <cell r="DE166">
            <v>394296.38802088</v>
          </cell>
          <cell r="DF166">
            <v>355641.67556079995</v>
          </cell>
          <cell r="DG166">
            <v>274409.74883579195</v>
          </cell>
          <cell r="DH166">
            <v>200091.66010480002</v>
          </cell>
          <cell r="DI166">
            <v>201380.68413940002</v>
          </cell>
          <cell r="DJ166">
            <v>221288.57366040006</v>
          </cell>
          <cell r="DK166">
            <v>207601.68422152</v>
          </cell>
          <cell r="DM166">
            <v>6050309.6609486137</v>
          </cell>
          <cell r="DN166">
            <v>431118.66409514495</v>
          </cell>
          <cell r="DO166">
            <v>350038.99542514165</v>
          </cell>
          <cell r="DP166">
            <v>639998.76644208864</v>
          </cell>
          <cell r="DQ166">
            <v>743229.50004463713</v>
          </cell>
          <cell r="DR166">
            <v>311333.00885963556</v>
          </cell>
          <cell r="DS166">
            <v>407183.30783670314</v>
          </cell>
          <cell r="DT166">
            <v>1340845.6761690937</v>
          </cell>
          <cell r="DU166">
            <v>183340.6182227133</v>
          </cell>
          <cell r="DV166">
            <v>1643221.1238534553</v>
          </cell>
        </row>
        <row r="168">
          <cell r="A168" t="str">
            <v>Low-Net Discounts - Soybeans (Garst)</v>
          </cell>
          <cell r="AS168">
            <v>2732234.6429949999</v>
          </cell>
          <cell r="AT168">
            <v>696748.08137999999</v>
          </cell>
          <cell r="AU168">
            <v>443330.96216500003</v>
          </cell>
          <cell r="AV168">
            <v>728305.88876500004</v>
          </cell>
          <cell r="AW168">
            <v>172743.50983499998</v>
          </cell>
          <cell r="AX168">
            <v>354621.89229999995</v>
          </cell>
          <cell r="AY168">
            <v>336484.30854999996</v>
          </cell>
          <cell r="AZ168">
            <v>0</v>
          </cell>
          <cell r="BA168">
            <v>0</v>
          </cell>
          <cell r="BC168">
            <v>2732234.6429949999</v>
          </cell>
          <cell r="BD168">
            <v>696748.08137999999</v>
          </cell>
          <cell r="BE168">
            <v>233259.14761499999</v>
          </cell>
          <cell r="BF168">
            <v>210071.81455000001</v>
          </cell>
          <cell r="BG168">
            <v>305991.94801499997</v>
          </cell>
          <cell r="BH168">
            <v>422313.94075000001</v>
          </cell>
          <cell r="BI168">
            <v>172743.50983499998</v>
          </cell>
          <cell r="BJ168">
            <v>354621.89229999995</v>
          </cell>
          <cell r="BK168">
            <v>336484.30854999996</v>
          </cell>
          <cell r="CI168">
            <v>2732234.6429949999</v>
          </cell>
          <cell r="CJ168">
            <v>696748.08137999999</v>
          </cell>
          <cell r="CK168">
            <v>443330.96216500003</v>
          </cell>
          <cell r="CL168">
            <v>728305.88876500004</v>
          </cell>
          <cell r="CM168">
            <v>172743.50983499998</v>
          </cell>
          <cell r="CN168">
            <v>354621.89229999995</v>
          </cell>
          <cell r="CO168">
            <v>336484.30854999996</v>
          </cell>
          <cell r="CP168">
            <v>0</v>
          </cell>
          <cell r="CQ168">
            <v>0</v>
          </cell>
          <cell r="CS168">
            <v>2732234.6429949999</v>
          </cell>
          <cell r="CT168">
            <v>696748.08137999999</v>
          </cell>
          <cell r="CU168">
            <v>233259.14761499999</v>
          </cell>
          <cell r="CV168">
            <v>210071.81455000001</v>
          </cell>
          <cell r="CW168">
            <v>305991.94801499997</v>
          </cell>
          <cell r="CX168">
            <v>422313.94075000001</v>
          </cell>
          <cell r="CY168">
            <v>172743.50983499998</v>
          </cell>
          <cell r="CZ168">
            <v>354621.89229999995</v>
          </cell>
          <cell r="DA168">
            <v>336484.30854999996</v>
          </cell>
        </row>
        <row r="169">
          <cell r="A169" t="str">
            <v>Replant</v>
          </cell>
          <cell r="AS169">
            <v>2115824.4525000001</v>
          </cell>
          <cell r="AT169">
            <v>539557.11</v>
          </cell>
          <cell r="AU169">
            <v>343312.5675</v>
          </cell>
          <cell r="AV169">
            <v>563995.26749999996</v>
          </cell>
          <cell r="AW169">
            <v>133771.4325</v>
          </cell>
          <cell r="AX169">
            <v>274616.84999999998</v>
          </cell>
          <cell r="AY169">
            <v>260571.22500000001</v>
          </cell>
          <cell r="AZ169">
            <v>0</v>
          </cell>
          <cell r="BA169">
            <v>0</v>
          </cell>
          <cell r="BC169">
            <v>2115824.4525000001</v>
          </cell>
          <cell r="BD169">
            <v>539557.11</v>
          </cell>
          <cell r="BE169">
            <v>180634.3425</v>
          </cell>
          <cell r="BF169">
            <v>162678.22500000001</v>
          </cell>
          <cell r="BG169">
            <v>236958.14249999996</v>
          </cell>
          <cell r="BH169">
            <v>327037.125</v>
          </cell>
          <cell r="BI169">
            <v>133771.4325</v>
          </cell>
          <cell r="BJ169">
            <v>274616.84999999998</v>
          </cell>
          <cell r="BK169">
            <v>260571.22500000001</v>
          </cell>
          <cell r="CI169">
            <v>2115824.4525000001</v>
          </cell>
          <cell r="CJ169">
            <v>539557.11</v>
          </cell>
          <cell r="CK169">
            <v>343312.5675</v>
          </cell>
          <cell r="CL169">
            <v>563995.26749999996</v>
          </cell>
          <cell r="CM169">
            <v>133771.4325</v>
          </cell>
          <cell r="CN169">
            <v>274616.84999999998</v>
          </cell>
          <cell r="CO169">
            <v>260571.22500000001</v>
          </cell>
          <cell r="CP169">
            <v>0</v>
          </cell>
          <cell r="CQ169">
            <v>0</v>
          </cell>
          <cell r="CS169">
            <v>2115824.4525000001</v>
          </cell>
          <cell r="CT169">
            <v>539557.11</v>
          </cell>
          <cell r="CU169">
            <v>180634.3425</v>
          </cell>
          <cell r="CV169">
            <v>162678.22500000001</v>
          </cell>
          <cell r="CW169">
            <v>236958.14249999996</v>
          </cell>
          <cell r="CX169">
            <v>327037.125</v>
          </cell>
          <cell r="CY169">
            <v>133771.4325</v>
          </cell>
          <cell r="CZ169">
            <v>274616.84999999998</v>
          </cell>
          <cell r="DA169">
            <v>260571.22500000001</v>
          </cell>
        </row>
        <row r="170">
          <cell r="A170" t="str">
            <v>CSCR</v>
          </cell>
          <cell r="AS170">
            <v>616410.19049499999</v>
          </cell>
          <cell r="AT170">
            <v>157190.97137999997</v>
          </cell>
          <cell r="AU170">
            <v>100018.394665</v>
          </cell>
          <cell r="AV170">
            <v>164310.62126500002</v>
          </cell>
          <cell r="AW170">
            <v>38972.077334999994</v>
          </cell>
          <cell r="AX170">
            <v>80005.042299999986</v>
          </cell>
          <cell r="AY170">
            <v>75913.083549999981</v>
          </cell>
          <cell r="AZ170">
            <v>0</v>
          </cell>
          <cell r="BA170">
            <v>0</v>
          </cell>
          <cell r="BC170">
            <v>616410.19049499999</v>
          </cell>
          <cell r="BD170">
            <v>157190.97137999997</v>
          </cell>
          <cell r="BE170">
            <v>52624.805114999996</v>
          </cell>
          <cell r="BF170">
            <v>47393.589550000004</v>
          </cell>
          <cell r="BG170">
            <v>69033.805515000015</v>
          </cell>
          <cell r="BH170">
            <v>95276.815750000023</v>
          </cell>
          <cell r="BI170">
            <v>38972.077334999994</v>
          </cell>
          <cell r="BJ170">
            <v>80005.042299999986</v>
          </cell>
          <cell r="BK170">
            <v>75913.083549999981</v>
          </cell>
          <cell r="CI170">
            <v>616410.19049499999</v>
          </cell>
          <cell r="CJ170">
            <v>157190.97137999997</v>
          </cell>
          <cell r="CK170">
            <v>100018.394665</v>
          </cell>
          <cell r="CL170">
            <v>164310.62126500002</v>
          </cell>
          <cell r="CM170">
            <v>38972.077334999994</v>
          </cell>
          <cell r="CN170">
            <v>80005.042299999986</v>
          </cell>
          <cell r="CO170">
            <v>75913.083549999981</v>
          </cell>
          <cell r="CP170">
            <v>0</v>
          </cell>
          <cell r="CQ170">
            <v>0</v>
          </cell>
          <cell r="CS170">
            <v>616410.19049499999</v>
          </cell>
          <cell r="CT170">
            <v>157190.97137999997</v>
          </cell>
          <cell r="CU170">
            <v>52624.805114999996</v>
          </cell>
          <cell r="CV170">
            <v>47393.589550000004</v>
          </cell>
          <cell r="CW170">
            <v>69033.805515000015</v>
          </cell>
          <cell r="CX170">
            <v>95276.815750000023</v>
          </cell>
          <cell r="CY170">
            <v>38972.077334999994</v>
          </cell>
          <cell r="CZ170">
            <v>80005.042299999986</v>
          </cell>
          <cell r="DA170">
            <v>75913.083549999981</v>
          </cell>
        </row>
        <row r="172">
          <cell r="A172" t="str">
            <v>Low-Net Discounts - Soybeans (GH)</v>
          </cell>
          <cell r="AS172">
            <v>2371480.0944293919</v>
          </cell>
          <cell r="AT172">
            <v>516769.6798858</v>
          </cell>
          <cell r="AU172">
            <v>749938.06358167995</v>
          </cell>
          <cell r="AV172">
            <v>474501.40894059197</v>
          </cell>
          <cell r="AW172">
            <v>201380.68413940002</v>
          </cell>
          <cell r="AX172">
            <v>221288.57366040006</v>
          </cell>
          <cell r="AY172">
            <v>207601.68422152</v>
          </cell>
          <cell r="AZ172">
            <v>0</v>
          </cell>
          <cell r="BA172">
            <v>0</v>
          </cell>
          <cell r="BM172">
            <v>2371480.0944293919</v>
          </cell>
          <cell r="BN172">
            <v>516769.6798858</v>
          </cell>
          <cell r="BO172">
            <v>394296.38802088</v>
          </cell>
          <cell r="BP172">
            <v>355641.67556079995</v>
          </cell>
          <cell r="BQ172">
            <v>274409.74883579195</v>
          </cell>
          <cell r="BR172">
            <v>200091.66010480002</v>
          </cell>
          <cell r="BS172">
            <v>201380.68413940002</v>
          </cell>
          <cell r="BT172">
            <v>221288.57366040006</v>
          </cell>
          <cell r="BU172">
            <v>207601.68422152</v>
          </cell>
          <cell r="CI172">
            <v>2371480.0944293919</v>
          </cell>
          <cell r="CJ172">
            <v>516769.6798858</v>
          </cell>
          <cell r="CK172">
            <v>749938.06358167995</v>
          </cell>
          <cell r="CL172">
            <v>474501.40894059197</v>
          </cell>
          <cell r="CM172">
            <v>201380.68413940002</v>
          </cell>
          <cell r="CN172">
            <v>221288.57366040006</v>
          </cell>
          <cell r="CO172">
            <v>207601.68422152</v>
          </cell>
          <cell r="CP172">
            <v>0</v>
          </cell>
          <cell r="CQ172">
            <v>0</v>
          </cell>
          <cell r="DC172">
            <v>2371480.0944293919</v>
          </cell>
          <cell r="DD172">
            <v>516769.6798858</v>
          </cell>
          <cell r="DE172">
            <v>394296.38802088</v>
          </cell>
          <cell r="DF172">
            <v>355641.67556079995</v>
          </cell>
          <cell r="DG172">
            <v>274409.74883579195</v>
          </cell>
          <cell r="DH172">
            <v>200091.66010480002</v>
          </cell>
          <cell r="DI172">
            <v>201380.68413940002</v>
          </cell>
          <cell r="DJ172">
            <v>221288.57366040006</v>
          </cell>
          <cell r="DK172">
            <v>207601.68422152</v>
          </cell>
        </row>
        <row r="173">
          <cell r="A173" t="str">
            <v>Replant</v>
          </cell>
          <cell r="AS173">
            <v>2128301.1986245383</v>
          </cell>
          <cell r="AT173">
            <v>463778.520299325</v>
          </cell>
          <cell r="AU173">
            <v>673037.09753427003</v>
          </cell>
          <cell r="AV173">
            <v>425844.56844883796</v>
          </cell>
          <cell r="AW173">
            <v>180730.48660222502</v>
          </cell>
          <cell r="AX173">
            <v>198596.95962435007</v>
          </cell>
          <cell r="AY173">
            <v>186313.56611553</v>
          </cell>
          <cell r="AZ173">
            <v>0</v>
          </cell>
          <cell r="BA173">
            <v>0</v>
          </cell>
          <cell r="BM173">
            <v>2128301.1986245383</v>
          </cell>
          <cell r="BN173">
            <v>463778.520299325</v>
          </cell>
          <cell r="BO173">
            <v>353864.01817557</v>
          </cell>
          <cell r="BP173">
            <v>319173.07935869996</v>
          </cell>
          <cell r="BQ173">
            <v>246270.92537413797</v>
          </cell>
          <cell r="BR173">
            <v>179573.6430747</v>
          </cell>
          <cell r="BS173">
            <v>180730.48660222502</v>
          </cell>
          <cell r="BT173">
            <v>198596.95962435007</v>
          </cell>
          <cell r="BU173">
            <v>186313.56611553</v>
          </cell>
          <cell r="CI173">
            <v>2128301.1986245383</v>
          </cell>
          <cell r="CJ173">
            <v>463778.520299325</v>
          </cell>
          <cell r="CK173">
            <v>673037.09753427003</v>
          </cell>
          <cell r="CL173">
            <v>425844.56844883796</v>
          </cell>
          <cell r="CM173">
            <v>180730.48660222502</v>
          </cell>
          <cell r="CN173">
            <v>198596.95962435007</v>
          </cell>
          <cell r="CO173">
            <v>186313.56611553</v>
          </cell>
          <cell r="CP173">
            <v>0</v>
          </cell>
          <cell r="CQ173">
            <v>0</v>
          </cell>
          <cell r="DC173">
            <v>2128301.1986245383</v>
          </cell>
          <cell r="DD173">
            <v>463778.520299325</v>
          </cell>
          <cell r="DE173">
            <v>353864.01817557</v>
          </cell>
          <cell r="DF173">
            <v>319173.07935869996</v>
          </cell>
          <cell r="DG173">
            <v>246270.92537413797</v>
          </cell>
          <cell r="DH173">
            <v>179573.6430747</v>
          </cell>
          <cell r="DI173">
            <v>180730.48660222502</v>
          </cell>
          <cell r="DJ173">
            <v>198596.95962435007</v>
          </cell>
          <cell r="DK173">
            <v>186313.56611553</v>
          </cell>
        </row>
        <row r="174">
          <cell r="A174" t="str">
            <v>CSCR</v>
          </cell>
          <cell r="AS174">
            <v>243178.89580485399</v>
          </cell>
          <cell r="AT174">
            <v>52991.159586475005</v>
          </cell>
          <cell r="AU174">
            <v>76900.966047410009</v>
          </cell>
          <cell r="AV174">
            <v>48656.840491754003</v>
          </cell>
          <cell r="AW174">
            <v>20650.197537175001</v>
          </cell>
          <cell r="AX174">
            <v>22691.614036049999</v>
          </cell>
          <cell r="AY174">
            <v>21288.118105990001</v>
          </cell>
          <cell r="AZ174">
            <v>0</v>
          </cell>
          <cell r="BA174">
            <v>0</v>
          </cell>
          <cell r="BM174">
            <v>243178.89580485405</v>
          </cell>
          <cell r="BN174">
            <v>52991.159586475005</v>
          </cell>
          <cell r="BO174">
            <v>40432.369845310008</v>
          </cell>
          <cell r="BP174">
            <v>36468.596202100009</v>
          </cell>
          <cell r="BQ174">
            <v>28138.823461654003</v>
          </cell>
          <cell r="BR174">
            <v>20518.017030100003</v>
          </cell>
          <cell r="BS174">
            <v>20650.197537175001</v>
          </cell>
          <cell r="BT174">
            <v>22691.614036049999</v>
          </cell>
          <cell r="BU174">
            <v>21288.118105990001</v>
          </cell>
          <cell r="CI174">
            <v>243178.89580485399</v>
          </cell>
          <cell r="CJ174">
            <v>52991.159586475005</v>
          </cell>
          <cell r="CK174">
            <v>76900.966047410009</v>
          </cell>
          <cell r="CL174">
            <v>48656.840491754003</v>
          </cell>
          <cell r="CM174">
            <v>20650.197537175001</v>
          </cell>
          <cell r="CN174">
            <v>22691.614036049999</v>
          </cell>
          <cell r="CO174">
            <v>21288.118105990001</v>
          </cell>
          <cell r="CP174">
            <v>0</v>
          </cell>
          <cell r="CQ174">
            <v>0</v>
          </cell>
          <cell r="DC174">
            <v>243178.89580485405</v>
          </cell>
          <cell r="DD174">
            <v>52991.159586475005</v>
          </cell>
          <cell r="DE174">
            <v>40432.369845310008</v>
          </cell>
          <cell r="DF174">
            <v>36468.596202100009</v>
          </cell>
          <cell r="DG174">
            <v>28138.823461654003</v>
          </cell>
          <cell r="DH174">
            <v>20518.017030100003</v>
          </cell>
          <cell r="DI174">
            <v>20650.197537175001</v>
          </cell>
          <cell r="DJ174">
            <v>22691.614036049999</v>
          </cell>
          <cell r="DK174">
            <v>21288.118105990001</v>
          </cell>
        </row>
        <row r="176">
          <cell r="A176" t="str">
            <v>Low-Net Discounts - Soybeans (NK)</v>
          </cell>
          <cell r="AS176">
            <v>6050309.6609486137</v>
          </cell>
          <cell r="AT176">
            <v>781157.6595202866</v>
          </cell>
          <cell r="AU176">
            <v>639998.76644208864</v>
          </cell>
          <cell r="AV176">
            <v>743229.50004463713</v>
          </cell>
          <cell r="AW176">
            <v>311333.00885963556</v>
          </cell>
          <cell r="AX176">
            <v>407183.30783670314</v>
          </cell>
          <cell r="AY176">
            <v>1340845.6761690937</v>
          </cell>
          <cell r="AZ176">
            <v>183340.6182227133</v>
          </cell>
          <cell r="BA176">
            <v>1643221.1238534553</v>
          </cell>
          <cell r="BW176">
            <v>6050309.6609486137</v>
          </cell>
          <cell r="BX176">
            <v>431118.66409514495</v>
          </cell>
          <cell r="BY176">
            <v>350038.99542514165</v>
          </cell>
          <cell r="BZ176">
            <v>639998.76644208864</v>
          </cell>
          <cell r="CA176">
            <v>743229.50004463713</v>
          </cell>
          <cell r="CB176">
            <v>311333.00885963556</v>
          </cell>
          <cell r="CC176">
            <v>407183.30783670314</v>
          </cell>
          <cell r="CD176">
            <v>1340845.6761690937</v>
          </cell>
          <cell r="CE176">
            <v>183340.6182227133</v>
          </cell>
          <cell r="CF176">
            <v>1643221.1238534553</v>
          </cell>
          <cell r="CI176">
            <v>6050309.6609486137</v>
          </cell>
          <cell r="CJ176">
            <v>781157.6595202866</v>
          </cell>
          <cell r="CK176">
            <v>639998.76644208864</v>
          </cell>
          <cell r="CL176">
            <v>743229.50004463713</v>
          </cell>
          <cell r="CM176">
            <v>311333.00885963556</v>
          </cell>
          <cell r="CN176">
            <v>407183.30783670314</v>
          </cell>
          <cell r="CO176">
            <v>1340845.6761690937</v>
          </cell>
          <cell r="CP176">
            <v>183340.6182227133</v>
          </cell>
          <cell r="CQ176">
            <v>1643221.1238534553</v>
          </cell>
          <cell r="DM176">
            <v>6050309.6609486137</v>
          </cell>
          <cell r="DN176">
            <v>431118.66409514495</v>
          </cell>
          <cell r="DO176">
            <v>350038.99542514165</v>
          </cell>
          <cell r="DP176">
            <v>639998.76644208864</v>
          </cell>
          <cell r="DQ176">
            <v>743229.50004463713</v>
          </cell>
          <cell r="DR176">
            <v>311333.00885963556</v>
          </cell>
          <cell r="DS176">
            <v>407183.30783670314</v>
          </cell>
          <cell r="DT176">
            <v>1340845.6761690937</v>
          </cell>
          <cell r="DU176">
            <v>183340.6182227133</v>
          </cell>
          <cell r="DV176">
            <v>1643221.1238534553</v>
          </cell>
        </row>
        <row r="177">
          <cell r="A177" t="str">
            <v>Replant</v>
          </cell>
          <cell r="AS177">
            <v>5506410.1708689434</v>
          </cell>
          <cell r="AT177">
            <v>546220.91188303637</v>
          </cell>
          <cell r="AU177">
            <v>580641.82820166706</v>
          </cell>
          <cell r="AV177">
            <v>695158.45469310693</v>
          </cell>
          <cell r="AW177">
            <v>239061.91667229566</v>
          </cell>
          <cell r="AX177">
            <v>395031.26587052667</v>
          </cell>
          <cell r="AY177">
            <v>1235652.0208490861</v>
          </cell>
          <cell r="AZ177">
            <v>183340.6182227133</v>
          </cell>
          <cell r="BA177">
            <v>1631303.1544765111</v>
          </cell>
          <cell r="BW177">
            <v>5506410.1708689434</v>
          </cell>
          <cell r="BX177">
            <v>296962.29508120177</v>
          </cell>
          <cell r="BY177">
            <v>249258.61680183455</v>
          </cell>
          <cell r="BZ177">
            <v>580641.82820166706</v>
          </cell>
          <cell r="CA177">
            <v>695158.45469310693</v>
          </cell>
          <cell r="CB177">
            <v>239061.91667229566</v>
          </cell>
          <cell r="CC177">
            <v>395031.26587052667</v>
          </cell>
          <cell r="CD177">
            <v>1235652.0208490861</v>
          </cell>
          <cell r="CE177">
            <v>183340.6182227133</v>
          </cell>
          <cell r="CF177">
            <v>1631303.1544765111</v>
          </cell>
          <cell r="CI177">
            <v>5506410.1708689434</v>
          </cell>
          <cell r="CJ177">
            <v>546220.91188303637</v>
          </cell>
          <cell r="CK177">
            <v>580641.82820166706</v>
          </cell>
          <cell r="CL177">
            <v>695158.45469310693</v>
          </cell>
          <cell r="CM177">
            <v>239061.91667229566</v>
          </cell>
          <cell r="CN177">
            <v>395031.26587052667</v>
          </cell>
          <cell r="CO177">
            <v>1235652.0208490861</v>
          </cell>
          <cell r="CP177">
            <v>183340.6182227133</v>
          </cell>
          <cell r="CQ177">
            <v>1631303.1544765111</v>
          </cell>
          <cell r="DM177">
            <v>5506410.1708689434</v>
          </cell>
          <cell r="DN177">
            <v>296962.29508120177</v>
          </cell>
          <cell r="DO177">
            <v>249258.61680183455</v>
          </cell>
          <cell r="DP177">
            <v>580641.82820166706</v>
          </cell>
          <cell r="DQ177">
            <v>695158.45469310693</v>
          </cell>
          <cell r="DR177">
            <v>239061.91667229566</v>
          </cell>
          <cell r="DS177">
            <v>395031.26587052667</v>
          </cell>
          <cell r="DT177">
            <v>1235652.0208490861</v>
          </cell>
          <cell r="DU177">
            <v>183340.6182227133</v>
          </cell>
          <cell r="DV177">
            <v>1631303.1544765111</v>
          </cell>
        </row>
        <row r="178">
          <cell r="A178" t="str">
            <v>CSCR</v>
          </cell>
          <cell r="AS178">
            <v>543899.49007967045</v>
          </cell>
          <cell r="AT178">
            <v>234936.74763725032</v>
          </cell>
          <cell r="AU178">
            <v>59356.938240421572</v>
          </cell>
          <cell r="AV178">
            <v>48071.045351530156</v>
          </cell>
          <cell r="AW178">
            <v>72271.09218733992</v>
          </cell>
          <cell r="AX178">
            <v>12152.041966176468</v>
          </cell>
          <cell r="AY178">
            <v>105193.65532000769</v>
          </cell>
          <cell r="AZ178">
            <v>0</v>
          </cell>
          <cell r="BA178">
            <v>11917.969376944329</v>
          </cell>
          <cell r="BW178">
            <v>543899.49007967045</v>
          </cell>
          <cell r="BX178">
            <v>134156.36901394321</v>
          </cell>
          <cell r="BY178">
            <v>100780.3786233071</v>
          </cell>
          <cell r="BZ178">
            <v>59356.938240421572</v>
          </cell>
          <cell r="CA178">
            <v>48071.045351530156</v>
          </cell>
          <cell r="CB178">
            <v>72271.09218733992</v>
          </cell>
          <cell r="CC178">
            <v>12152.041966176468</v>
          </cell>
          <cell r="CD178">
            <v>105193.65532000769</v>
          </cell>
          <cell r="CE178">
            <v>0</v>
          </cell>
          <cell r="CF178">
            <v>11917.969376944329</v>
          </cell>
          <cell r="CI178">
            <v>543899.49007967045</v>
          </cell>
          <cell r="CJ178">
            <v>234936.74763725032</v>
          </cell>
          <cell r="CK178">
            <v>59356.938240421572</v>
          </cell>
          <cell r="CL178">
            <v>48071.045351530156</v>
          </cell>
          <cell r="CM178">
            <v>72271.09218733992</v>
          </cell>
          <cell r="CN178">
            <v>12152.041966176468</v>
          </cell>
          <cell r="CO178">
            <v>105193.65532000769</v>
          </cell>
          <cell r="CP178">
            <v>0</v>
          </cell>
          <cell r="CQ178">
            <v>11917.969376944329</v>
          </cell>
          <cell r="DM178">
            <v>543899.49007967045</v>
          </cell>
          <cell r="DN178">
            <v>134156.36901394321</v>
          </cell>
          <cell r="DO178">
            <v>100780.3786233071</v>
          </cell>
          <cell r="DP178">
            <v>59356.938240421572</v>
          </cell>
          <cell r="DQ178">
            <v>48071.045351530156</v>
          </cell>
          <cell r="DR178">
            <v>72271.09218733992</v>
          </cell>
          <cell r="DS178">
            <v>12152.041966176468</v>
          </cell>
          <cell r="DT178">
            <v>105193.65532000769</v>
          </cell>
          <cell r="DU178">
            <v>0</v>
          </cell>
          <cell r="DV178">
            <v>11917.969376944329</v>
          </cell>
        </row>
        <row r="181">
          <cell r="A181" t="str">
            <v>SYT NET REVENUE</v>
          </cell>
          <cell r="C181">
            <v>402505890.54303896</v>
          </cell>
          <cell r="D181">
            <v>70893687.099423945</v>
          </cell>
          <cell r="E181">
            <v>79520482.620832354</v>
          </cell>
          <cell r="F181">
            <v>95440207.817834124</v>
          </cell>
          <cell r="G181">
            <v>41698321.868858807</v>
          </cell>
          <cell r="H181">
            <v>33933245.304157838</v>
          </cell>
          <cell r="I181">
            <v>33336864.071594901</v>
          </cell>
          <cell r="J181">
            <v>17163304.584059045</v>
          </cell>
          <cell r="K181">
            <v>30519777.176277928</v>
          </cell>
          <cell r="M181">
            <v>134179076.34752056</v>
          </cell>
          <cell r="N181">
            <v>27345102.303043664</v>
          </cell>
          <cell r="O181">
            <v>10561120.783030435</v>
          </cell>
          <cell r="P181">
            <v>17941254.598371383</v>
          </cell>
          <cell r="Q181">
            <v>22408350.764346831</v>
          </cell>
          <cell r="R181">
            <v>13868598.10364165</v>
          </cell>
          <cell r="S181">
            <v>12994704.511208784</v>
          </cell>
          <cell r="T181">
            <v>15807666.340465987</v>
          </cell>
          <cell r="U181">
            <v>13252278.943411827</v>
          </cell>
          <cell r="W181">
            <v>116611136.91922574</v>
          </cell>
          <cell r="X181">
            <v>20674199.971069533</v>
          </cell>
          <cell r="Y181">
            <v>21374040.954395726</v>
          </cell>
          <cell r="Z181">
            <v>16377344.806489691</v>
          </cell>
          <cell r="AA181">
            <v>20304284.059984758</v>
          </cell>
          <cell r="AB181">
            <v>6185227.1459395774</v>
          </cell>
          <cell r="AC181">
            <v>14318001.278096274</v>
          </cell>
          <cell r="AD181">
            <v>10741855.471859369</v>
          </cell>
          <cell r="AE181">
            <v>6636183.2313908124</v>
          </cell>
          <cell r="AG181">
            <v>151715677.27629265</v>
          </cell>
          <cell r="AH181">
            <v>11347540.227823753</v>
          </cell>
          <cell r="AI181">
            <v>11526844.597487004</v>
          </cell>
          <cell r="AJ181">
            <v>13266721.478545116</v>
          </cell>
          <cell r="AK181">
            <v>32673747.743921306</v>
          </cell>
          <cell r="AL181">
            <v>14385616.079553751</v>
          </cell>
          <cell r="AM181">
            <v>7383723.4918324789</v>
          </cell>
          <cell r="AN181">
            <v>13448401.896792263</v>
          </cell>
          <cell r="AO181">
            <v>17163304.584059045</v>
          </cell>
          <cell r="AP181">
            <v>30519777.176277928</v>
          </cell>
          <cell r="AS181">
            <v>310303774.03647405</v>
          </cell>
          <cell r="AT181">
            <v>62924454.537296221</v>
          </cell>
          <cell r="AU181">
            <v>50202158.180728815</v>
          </cell>
          <cell r="AV181">
            <v>58755392.384108126</v>
          </cell>
          <cell r="AW181">
            <v>25947313.608411744</v>
          </cell>
          <cell r="AX181">
            <v>27527908.262251124</v>
          </cell>
          <cell r="AY181">
            <v>34832765.008033805</v>
          </cell>
          <cell r="AZ181">
            <v>11706871.869857714</v>
          </cell>
          <cell r="BA181">
            <v>38406910.185786486</v>
          </cell>
          <cell r="BC181">
            <v>84652725.794890001</v>
          </cell>
          <cell r="BD181">
            <v>21587320.26636</v>
          </cell>
          <cell r="BE181">
            <v>7227059.62053</v>
          </cell>
          <cell r="BF181">
            <v>6508647.3300999999</v>
          </cell>
          <cell r="BG181">
            <v>9480537.3093299977</v>
          </cell>
          <cell r="BH181">
            <v>13084537.346500002</v>
          </cell>
          <cell r="BI181">
            <v>5352105.8333699992</v>
          </cell>
          <cell r="BJ181">
            <v>10987237.090600001</v>
          </cell>
          <cell r="BK181">
            <v>10425280.9981</v>
          </cell>
          <cell r="BM181">
            <v>66779059.263612181</v>
          </cell>
          <cell r="BN181">
            <v>14551837.546431158</v>
          </cell>
          <cell r="BO181">
            <v>11103083.650132881</v>
          </cell>
          <cell r="BP181">
            <v>10014596.616126943</v>
          </cell>
          <cell r="BQ181">
            <v>7727167.9079505289</v>
          </cell>
          <cell r="BR181">
            <v>5634427.5710684517</v>
          </cell>
          <cell r="BS181">
            <v>5670725.4985108869</v>
          </cell>
          <cell r="BT181">
            <v>6231316.3874072907</v>
          </cell>
          <cell r="BU181">
            <v>5845904.0859840345</v>
          </cell>
          <cell r="BW181">
            <v>158871988.97797185</v>
          </cell>
          <cell r="BX181">
            <v>9660263.7255088184</v>
          </cell>
          <cell r="BY181">
            <v>17125032.998996254</v>
          </cell>
          <cell r="BZ181">
            <v>15348770.963838989</v>
          </cell>
          <cell r="CA181">
            <v>22828722.24925914</v>
          </cell>
          <cell r="CB181">
            <v>14924482.27653086</v>
          </cell>
          <cell r="CC181">
            <v>10309354.784243835</v>
          </cell>
          <cell r="CD181">
            <v>18561579.923949771</v>
          </cell>
          <cell r="CE181">
            <v>11706871.869857714</v>
          </cell>
          <cell r="CF181">
            <v>38406910.185786486</v>
          </cell>
          <cell r="CI181">
            <v>712809664.57951307</v>
          </cell>
          <cell r="CJ181">
            <v>133818141.63672017</v>
          </cell>
          <cell r="CK181">
            <v>129722640.80156118</v>
          </cell>
          <cell r="CL181">
            <v>154195600.20194227</v>
          </cell>
          <cell r="CM181">
            <v>67645635.477270544</v>
          </cell>
          <cell r="CN181">
            <v>61461153.566408962</v>
          </cell>
          <cell r="CO181">
            <v>68169629.079628706</v>
          </cell>
          <cell r="CP181">
            <v>28870176.453916758</v>
          </cell>
          <cell r="CQ181">
            <v>68926687.362064421</v>
          </cell>
          <cell r="CS181">
            <v>218831802.14241052</v>
          </cell>
          <cell r="CT181">
            <v>48932422.569403663</v>
          </cell>
          <cell r="CU181">
            <v>17788180.403560437</v>
          </cell>
          <cell r="CV181">
            <v>24449901.928471383</v>
          </cell>
          <cell r="CW181">
            <v>31888888.073676828</v>
          </cell>
          <cell r="CX181">
            <v>26953135.450141653</v>
          </cell>
          <cell r="CY181">
            <v>18346810.344578784</v>
          </cell>
          <cell r="CZ181">
            <v>26794903.431065988</v>
          </cell>
          <cell r="DA181">
            <v>23677559.941511825</v>
          </cell>
          <cell r="DC181">
            <v>183390196.18283793</v>
          </cell>
          <cell r="DD181">
            <v>35226037.517500691</v>
          </cell>
          <cell r="DE181">
            <v>32477124.604528606</v>
          </cell>
          <cell r="DF181">
            <v>26391941.422616635</v>
          </cell>
          <cell r="DG181">
            <v>28031451.967935286</v>
          </cell>
          <cell r="DH181">
            <v>11819654.717008028</v>
          </cell>
          <cell r="DI181">
            <v>19988726.77660716</v>
          </cell>
          <cell r="DJ181">
            <v>16973171.859266661</v>
          </cell>
          <cell r="DK181">
            <v>12482087.317374848</v>
          </cell>
          <cell r="DM181">
            <v>310587666.25426453</v>
          </cell>
          <cell r="DN181">
            <v>21007803.953332573</v>
          </cell>
          <cell r="DO181">
            <v>28651877.59648326</v>
          </cell>
          <cell r="DP181">
            <v>28615492.442384105</v>
          </cell>
          <cell r="DQ181">
            <v>55502469.993180446</v>
          </cell>
          <cell r="DR181">
            <v>29310098.356084611</v>
          </cell>
          <cell r="DS181">
            <v>17693078.276076313</v>
          </cell>
          <cell r="DT181">
            <v>32009981.820742033</v>
          </cell>
          <cell r="DU181">
            <v>28870176.453916758</v>
          </cell>
          <cell r="DV181">
            <v>68926687.362064421</v>
          </cell>
        </row>
        <row r="182">
          <cell r="A182" t="str">
            <v>SYT Net Price/Unit</v>
          </cell>
          <cell r="C182">
            <v>118.97486564698737</v>
          </cell>
          <cell r="D182">
            <v>124.0017965234845</v>
          </cell>
          <cell r="E182">
            <v>119.12038788914974</v>
          </cell>
          <cell r="F182">
            <v>122.13204387457962</v>
          </cell>
          <cell r="G182">
            <v>120.78452815047058</v>
          </cell>
          <cell r="H182">
            <v>123.48252670707578</v>
          </cell>
          <cell r="I182">
            <v>114.28201610381274</v>
          </cell>
          <cell r="J182">
            <v>107.78262110059687</v>
          </cell>
          <cell r="K182">
            <v>104.73175906124357</v>
          </cell>
          <cell r="M182">
            <v>119.25862924293675</v>
          </cell>
          <cell r="N182">
            <v>123.99438775270893</v>
          </cell>
          <cell r="O182">
            <v>110.87790848325916</v>
          </cell>
          <cell r="P182">
            <v>121.45036113299294</v>
          </cell>
          <cell r="Q182">
            <v>128.42050503373696</v>
          </cell>
          <cell r="R182">
            <v>102.37998924895284</v>
          </cell>
          <cell r="S182">
            <v>119.10819900283029</v>
          </cell>
          <cell r="T182">
            <v>122.6351151316213</v>
          </cell>
          <cell r="U182">
            <v>116.61016615993371</v>
          </cell>
          <cell r="W182">
            <v>129.31648119681256</v>
          </cell>
          <cell r="X182">
            <v>133.31226888574056</v>
          </cell>
          <cell r="Y182">
            <v>130.35654315160292</v>
          </cell>
          <cell r="Z182">
            <v>119.99197584011438</v>
          </cell>
          <cell r="AA182">
            <v>140.91879140774375</v>
          </cell>
          <cell r="AB182">
            <v>109.90683842314938</v>
          </cell>
          <cell r="AC182">
            <v>129.29268543806063</v>
          </cell>
          <cell r="AD182">
            <v>135.91263961358095</v>
          </cell>
          <cell r="AE182">
            <v>118.33844344289761</v>
          </cell>
          <cell r="AG182">
            <v>111.86351648418599</v>
          </cell>
          <cell r="AH182">
            <v>111.80283191282172</v>
          </cell>
          <cell r="AI182">
            <v>121.84438757213834</v>
          </cell>
          <cell r="AJ182">
            <v>106.87247437121476</v>
          </cell>
          <cell r="AK182">
            <v>120.50730353484909</v>
          </cell>
          <cell r="AL182">
            <v>114.72881040892072</v>
          </cell>
          <cell r="AM182">
            <v>110.42402817282783</v>
          </cell>
          <cell r="AN182">
            <v>110.24816488192832</v>
          </cell>
          <cell r="AO182">
            <v>107.78262110059687</v>
          </cell>
          <cell r="AP182">
            <v>104.73175906124357</v>
          </cell>
          <cell r="AS182">
            <v>25.980720416308898</v>
          </cell>
          <cell r="AT182">
            <v>26.130962224619097</v>
          </cell>
          <cell r="AU182">
            <v>27.032977296360137</v>
          </cell>
          <cell r="AV182">
            <v>26.848156824590074</v>
          </cell>
          <cell r="AW182">
            <v>26.044433300188146</v>
          </cell>
          <cell r="AX182">
            <v>26.697612513093905</v>
          </cell>
          <cell r="AY182">
            <v>25.568146957855035</v>
          </cell>
          <cell r="AZ182">
            <v>25.159836384822079</v>
          </cell>
          <cell r="BA182">
            <v>23.489746604560402</v>
          </cell>
          <cell r="BC182">
            <v>27.460249056241256</v>
          </cell>
          <cell r="BD182">
            <v>27.137067709492992</v>
          </cell>
          <cell r="BE182">
            <v>27.138687502224926</v>
          </cell>
          <cell r="BF182">
            <v>27.559162171740695</v>
          </cell>
          <cell r="BG182">
            <v>27.560262299901446</v>
          </cell>
          <cell r="BH182">
            <v>27.775026739051988</v>
          </cell>
          <cell r="BI182">
            <v>27.376360393911025</v>
          </cell>
          <cell r="BJ182">
            <v>27.626947675634902</v>
          </cell>
          <cell r="BK182">
            <v>27.690724848203139</v>
          </cell>
          <cell r="BM182">
            <v>28.731320619729367</v>
          </cell>
          <cell r="BN182">
            <v>28.209435972533019</v>
          </cell>
          <cell r="BO182">
            <v>29.091557014444483</v>
          </cell>
          <cell r="BP182">
            <v>28.678684467717478</v>
          </cell>
          <cell r="BQ182">
            <v>28.995001530771216</v>
          </cell>
          <cell r="BR182">
            <v>28.894500364453599</v>
          </cell>
          <cell r="BS182">
            <v>28.517603713909413</v>
          </cell>
          <cell r="BT182">
            <v>29.050426048518837</v>
          </cell>
          <cell r="BU182">
            <v>28.840178026561592</v>
          </cell>
          <cell r="BW182">
            <v>24.304914310143751</v>
          </cell>
          <cell r="BX182">
            <v>24.048453386877814</v>
          </cell>
          <cell r="BY182">
            <v>24.640335250354322</v>
          </cell>
          <cell r="BZ182">
            <v>24.607642549522218</v>
          </cell>
          <cell r="CA182">
            <v>25.035611393605461</v>
          </cell>
          <cell r="CB182">
            <v>24.794793787431651</v>
          </cell>
          <cell r="CC182">
            <v>24.610538993181748</v>
          </cell>
          <cell r="CD182">
            <v>23.700878395155232</v>
          </cell>
          <cell r="CE182">
            <v>25.159836384822079</v>
          </cell>
          <cell r="CF182">
            <v>23.489746604560402</v>
          </cell>
          <cell r="CI182" t="str">
            <v>N/A</v>
          </cell>
          <cell r="CJ182" t="str">
            <v>N/A</v>
          </cell>
          <cell r="CK182" t="str">
            <v>N/A</v>
          </cell>
          <cell r="CL182" t="str">
            <v>N/A</v>
          </cell>
          <cell r="CM182" t="str">
            <v>N/A</v>
          </cell>
          <cell r="CN182" t="str">
            <v>N/A</v>
          </cell>
          <cell r="CO182" t="str">
            <v>N/A</v>
          </cell>
          <cell r="CP182" t="str">
            <v>N/A</v>
          </cell>
          <cell r="CQ182" t="str">
            <v>N/A</v>
          </cell>
          <cell r="CS182" t="str">
            <v>N/A</v>
          </cell>
          <cell r="CT182" t="str">
            <v>N/A</v>
          </cell>
          <cell r="CU182" t="str">
            <v>N/A</v>
          </cell>
          <cell r="CV182" t="str">
            <v>N/A</v>
          </cell>
          <cell r="CW182" t="str">
            <v>N/A</v>
          </cell>
          <cell r="CX182" t="str">
            <v>N/A</v>
          </cell>
          <cell r="CY182" t="str">
            <v>N/A</v>
          </cell>
          <cell r="CZ182" t="str">
            <v>N/A</v>
          </cell>
          <cell r="DA182" t="str">
            <v>N/A</v>
          </cell>
          <cell r="DC182" t="str">
            <v>N/A</v>
          </cell>
          <cell r="DD182" t="str">
            <v>N/A</v>
          </cell>
          <cell r="DE182" t="str">
            <v>N/A</v>
          </cell>
          <cell r="DF182" t="str">
            <v>N/A</v>
          </cell>
          <cell r="DG182" t="str">
            <v>N/A</v>
          </cell>
          <cell r="DH182" t="str">
            <v>N/A</v>
          </cell>
          <cell r="DI182" t="str">
            <v>N/A</v>
          </cell>
          <cell r="DJ182" t="str">
            <v>N/A</v>
          </cell>
          <cell r="DK182" t="str">
            <v>N/A</v>
          </cell>
          <cell r="DM182" t="str">
            <v>N/A</v>
          </cell>
          <cell r="DN182" t="str">
            <v>N/A</v>
          </cell>
          <cell r="DO182" t="str">
            <v>N/A</v>
          </cell>
          <cell r="DP182" t="str">
            <v>N/A</v>
          </cell>
          <cell r="DQ182" t="str">
            <v>N/A</v>
          </cell>
          <cell r="DR182" t="str">
            <v>N/A</v>
          </cell>
          <cell r="DS182" t="str">
            <v>N/A</v>
          </cell>
          <cell r="DT182" t="str">
            <v>N/A</v>
          </cell>
          <cell r="DU182" t="str">
            <v>N/A</v>
          </cell>
          <cell r="DV182" t="str">
            <v>N/A</v>
          </cell>
        </row>
        <row r="184">
          <cell r="A184" t="str">
            <v>Grower Discount</v>
          </cell>
          <cell r="C184">
            <v>0.28114997118755686</v>
          </cell>
          <cell r="D184">
            <v>0.28399363351975937</v>
          </cell>
          <cell r="E184">
            <v>0.2864586781227198</v>
          </cell>
          <cell r="F184">
            <v>0.28758556061310248</v>
          </cell>
          <cell r="G184">
            <v>0.28390549019623246</v>
          </cell>
          <cell r="H184">
            <v>0.28401161442841655</v>
          </cell>
          <cell r="I184">
            <v>0.27988984449654114</v>
          </cell>
          <cell r="J184">
            <v>0.26817932633022423</v>
          </cell>
          <cell r="K184">
            <v>0.24341348553169828</v>
          </cell>
          <cell r="M184">
            <v>0.27423000000000003</v>
          </cell>
          <cell r="N184">
            <v>0.27423000000000003</v>
          </cell>
          <cell r="O184">
            <v>0.27422999999999992</v>
          </cell>
          <cell r="P184">
            <v>0.27422999999999997</v>
          </cell>
          <cell r="Q184">
            <v>0.27422999999999997</v>
          </cell>
          <cell r="R184">
            <v>0.27422999999999992</v>
          </cell>
          <cell r="S184">
            <v>0.27423000000000003</v>
          </cell>
          <cell r="T184">
            <v>0.27422999999999997</v>
          </cell>
          <cell r="U184">
            <v>0.27423000000000003</v>
          </cell>
          <cell r="W184">
            <v>0.29097234799999994</v>
          </cell>
          <cell r="X184">
            <v>0.29097234799999999</v>
          </cell>
          <cell r="Y184">
            <v>0.29097234799999999</v>
          </cell>
          <cell r="Z184">
            <v>0.29097234800000005</v>
          </cell>
          <cell r="AA184">
            <v>0.29097234799999994</v>
          </cell>
          <cell r="AB184">
            <v>0.29097234799999999</v>
          </cell>
          <cell r="AC184">
            <v>0.29097234800000005</v>
          </cell>
          <cell r="AD184">
            <v>0.2909723480000001</v>
          </cell>
          <cell r="AE184">
            <v>0.29097234799999994</v>
          </cell>
          <cell r="AG184">
            <v>0.28017987621476625</v>
          </cell>
          <cell r="AH184">
            <v>0.30811665081926076</v>
          </cell>
          <cell r="AI184">
            <v>0.26608918148350746</v>
          </cell>
          <cell r="AJ184">
            <v>0.29876421411949178</v>
          </cell>
          <cell r="AK184">
            <v>0.29846968413025243</v>
          </cell>
          <cell r="AL184">
            <v>0.28579144329168132</v>
          </cell>
          <cell r="AM184">
            <v>0.29390052790111881</v>
          </cell>
          <cell r="AN184">
            <v>0.28022915452323355</v>
          </cell>
          <cell r="AO184">
            <v>0.26817932633022423</v>
          </cell>
          <cell r="AP184">
            <v>0.24341348553169828</v>
          </cell>
          <cell r="AS184">
            <v>0.27366803497034031</v>
          </cell>
          <cell r="AT184">
            <v>0.26981727631877389</v>
          </cell>
          <cell r="AU184">
            <v>0.26326546816334173</v>
          </cell>
          <cell r="AV184">
            <v>0.26829801507185536</v>
          </cell>
          <cell r="AW184">
            <v>0.27607493752743573</v>
          </cell>
          <cell r="AX184">
            <v>0.26777558671707624</v>
          </cell>
          <cell r="AY184">
            <v>0.27523562305472032</v>
          </cell>
          <cell r="AZ184">
            <v>0.29425884203296854</v>
          </cell>
          <cell r="BA184">
            <v>0.29425884203296859</v>
          </cell>
          <cell r="BC184">
            <v>0.25286999999999998</v>
          </cell>
          <cell r="BD184">
            <v>0.25286999999999998</v>
          </cell>
          <cell r="BE184">
            <v>0.25287000000000004</v>
          </cell>
          <cell r="BF184">
            <v>0.25286999999999998</v>
          </cell>
          <cell r="BG184">
            <v>0.25287000000000004</v>
          </cell>
          <cell r="BH184">
            <v>0.25286999999999993</v>
          </cell>
          <cell r="BI184">
            <v>0.25286999999999998</v>
          </cell>
          <cell r="BJ184">
            <v>0.25286999999999998</v>
          </cell>
          <cell r="BK184">
            <v>0.25286999999999998</v>
          </cell>
          <cell r="BM184">
            <v>0.24388296699999995</v>
          </cell>
          <cell r="BN184">
            <v>0.24388296699999998</v>
          </cell>
          <cell r="BO184">
            <v>0.24388296700000001</v>
          </cell>
          <cell r="BP184">
            <v>0.24388296700000003</v>
          </cell>
          <cell r="BQ184">
            <v>0.24388296700000001</v>
          </cell>
          <cell r="BR184">
            <v>0.24388296699999995</v>
          </cell>
          <cell r="BS184">
            <v>0.24388296699999998</v>
          </cell>
          <cell r="BT184">
            <v>0.24388296699999998</v>
          </cell>
          <cell r="BU184">
            <v>0.24388296699999995</v>
          </cell>
          <cell r="BW184">
            <v>0.29425884203296859</v>
          </cell>
          <cell r="BX184">
            <v>0.29425884203296859</v>
          </cell>
          <cell r="BY184">
            <v>0.29425884203296865</v>
          </cell>
          <cell r="BZ184">
            <v>0.29425884203296859</v>
          </cell>
          <cell r="CA184">
            <v>0.29425884203296865</v>
          </cell>
          <cell r="CB184">
            <v>0.29425884203296859</v>
          </cell>
          <cell r="CC184">
            <v>0.29425884203296848</v>
          </cell>
          <cell r="CD184">
            <v>0.29425884203296859</v>
          </cell>
          <cell r="CE184">
            <v>0.29425884203296854</v>
          </cell>
          <cell r="CF184">
            <v>0.29425884203296859</v>
          </cell>
          <cell r="CI184">
            <v>0.27788346501404715</v>
          </cell>
          <cell r="CJ184">
            <v>0.27741708596412401</v>
          </cell>
          <cell r="CK184">
            <v>0.27749949077100111</v>
          </cell>
          <cell r="CL184">
            <v>0.28030966615162828</v>
          </cell>
          <cell r="CM184">
            <v>0.28087651847565021</v>
          </cell>
          <cell r="CN184">
            <v>0.27675015336499914</v>
          </cell>
          <cell r="CO184">
            <v>0.27748330937554244</v>
          </cell>
          <cell r="CP184">
            <v>0.27895296995727387</v>
          </cell>
          <cell r="CQ184">
            <v>0.27238546241998385</v>
          </cell>
          <cell r="CS184">
            <v>0.26608191183306762</v>
          </cell>
          <cell r="CT184">
            <v>0.26492616174117084</v>
          </cell>
          <cell r="CU184">
            <v>0.26566856208693113</v>
          </cell>
          <cell r="CV184">
            <v>0.2686381779025907</v>
          </cell>
          <cell r="CW184">
            <v>0.26798059645886846</v>
          </cell>
          <cell r="CX184">
            <v>0.26398184252623724</v>
          </cell>
          <cell r="CY184">
            <v>0.26809867530847648</v>
          </cell>
          <cell r="CZ184">
            <v>0.26558848341719704</v>
          </cell>
          <cell r="DA184">
            <v>0.26494456083697454</v>
          </cell>
          <cell r="DC184">
            <v>0.2739991292302239</v>
          </cell>
          <cell r="DD184">
            <v>0.27170184505191969</v>
          </cell>
          <cell r="DE184">
            <v>0.27504248551727395</v>
          </cell>
          <cell r="DF184">
            <v>0.27328070424145701</v>
          </cell>
          <cell r="DG184">
            <v>0.27814127679785916</v>
          </cell>
          <cell r="DH184">
            <v>0.26871236978859941</v>
          </cell>
          <cell r="DI184">
            <v>0.2777655605556727</v>
          </cell>
          <cell r="DJ184">
            <v>0.27385889996311191</v>
          </cell>
          <cell r="DK184">
            <v>0.2691054961311502</v>
          </cell>
          <cell r="DM184">
            <v>0.28736563146298066</v>
          </cell>
          <cell r="DN184">
            <v>0.30224206107046692</v>
          </cell>
          <cell r="DO184">
            <v>0.2830092563607256</v>
          </cell>
          <cell r="DP184">
            <v>0.29638926689574624</v>
          </cell>
          <cell r="DQ184">
            <v>0.29676732789796861</v>
          </cell>
          <cell r="DR184">
            <v>0.29009168072700975</v>
          </cell>
          <cell r="DS184">
            <v>0.29410576918812209</v>
          </cell>
          <cell r="DT184">
            <v>0.28848651812625936</v>
          </cell>
          <cell r="DU184">
            <v>0.27895296995727387</v>
          </cell>
          <cell r="DV184">
            <v>0.27238546241998385</v>
          </cell>
        </row>
        <row r="185">
          <cell r="A185" t="str">
            <v>Dealer Discount</v>
          </cell>
          <cell r="C185">
            <v>0.11663515296748701</v>
          </cell>
          <cell r="D185">
            <v>0.11540922965255011</v>
          </cell>
          <cell r="E185">
            <v>0.10004028377470403</v>
          </cell>
          <cell r="F185">
            <v>0.11629008741923134</v>
          </cell>
          <cell r="G185">
            <v>0.11262473117711655</v>
          </cell>
          <cell r="H185">
            <v>0.11005916123118323</v>
          </cell>
          <cell r="I185">
            <v>0.12192408591372637</v>
          </cell>
          <cell r="J185">
            <v>0.14999754585063774</v>
          </cell>
          <cell r="K185">
            <v>0.14999754585063776</v>
          </cell>
          <cell r="M185">
            <v>0.11811000000000001</v>
          </cell>
          <cell r="N185">
            <v>0.11810999999999998</v>
          </cell>
          <cell r="O185">
            <v>0.11811000000000002</v>
          </cell>
          <cell r="P185">
            <v>0.11811000000000006</v>
          </cell>
          <cell r="Q185">
            <v>0.11811000000000001</v>
          </cell>
          <cell r="R185">
            <v>0.11810999999999998</v>
          </cell>
          <cell r="S185">
            <v>0.11811000000000001</v>
          </cell>
          <cell r="T185">
            <v>0.11811000000000002</v>
          </cell>
          <cell r="U185">
            <v>0.11810999999999998</v>
          </cell>
          <cell r="W185">
            <v>6.4667401999999985E-2</v>
          </cell>
          <cell r="X185">
            <v>6.4667401999999999E-2</v>
          </cell>
          <cell r="Y185">
            <v>6.4667401999999999E-2</v>
          </cell>
          <cell r="Z185">
            <v>6.4667401999999999E-2</v>
          </cell>
          <cell r="AA185">
            <v>6.4667402000000013E-2</v>
          </cell>
          <cell r="AB185">
            <v>6.4667401999999999E-2</v>
          </cell>
          <cell r="AC185">
            <v>6.4667401999999971E-2</v>
          </cell>
          <cell r="AD185">
            <v>6.4667401999999999E-2</v>
          </cell>
          <cell r="AE185">
            <v>6.4667401999999971E-2</v>
          </cell>
          <cell r="AG185">
            <v>0.14999754585063774</v>
          </cell>
          <cell r="AH185">
            <v>0.14999754585063776</v>
          </cell>
          <cell r="AI185">
            <v>0.14999754585063776</v>
          </cell>
          <cell r="AJ185">
            <v>0.14999754585063774</v>
          </cell>
          <cell r="AK185">
            <v>0.14999754585063774</v>
          </cell>
          <cell r="AL185">
            <v>0.14999754585063779</v>
          </cell>
          <cell r="AM185">
            <v>0.14999754585063774</v>
          </cell>
          <cell r="AN185">
            <v>0.14999754585063774</v>
          </cell>
          <cell r="AO185">
            <v>0.14999754585063774</v>
          </cell>
          <cell r="AP185">
            <v>0.14999754585063776</v>
          </cell>
          <cell r="AS185">
            <v>0.13593154718131212</v>
          </cell>
          <cell r="AT185">
            <v>0.13358453174459481</v>
          </cell>
          <cell r="AU185">
            <v>0.12732546315655396</v>
          </cell>
          <cell r="AV185">
            <v>0.13280857692677916</v>
          </cell>
          <cell r="AW185">
            <v>0.13717828846482663</v>
          </cell>
          <cell r="AX185">
            <v>0.13254437086197937</v>
          </cell>
          <cell r="AY185">
            <v>0.13747616281772218</v>
          </cell>
          <cell r="AZ185">
            <v>0.14999780080055081</v>
          </cell>
          <cell r="BA185">
            <v>0.14999780080055083</v>
          </cell>
          <cell r="BC185">
            <v>0.12762000000000001</v>
          </cell>
          <cell r="BD185">
            <v>0.12762000000000004</v>
          </cell>
          <cell r="BE185">
            <v>0.12761999999999998</v>
          </cell>
          <cell r="BF185">
            <v>0.12761999999999998</v>
          </cell>
          <cell r="BG185">
            <v>0.12761999999999998</v>
          </cell>
          <cell r="BH185">
            <v>0.12761999999999998</v>
          </cell>
          <cell r="BI185">
            <v>0.12761999999999998</v>
          </cell>
          <cell r="BJ185">
            <v>0.12762000000000001</v>
          </cell>
          <cell r="BK185">
            <v>0.12761999999999998</v>
          </cell>
          <cell r="BM185">
            <v>0.10778669273206229</v>
          </cell>
          <cell r="BN185">
            <v>0.10778669273206226</v>
          </cell>
          <cell r="BO185">
            <v>0.1077866927320623</v>
          </cell>
          <cell r="BP185">
            <v>0.1077866927320623</v>
          </cell>
          <cell r="BQ185">
            <v>0.10778669273206226</v>
          </cell>
          <cell r="BR185">
            <v>0.10778669273206226</v>
          </cell>
          <cell r="BS185">
            <v>0.10778669273206226</v>
          </cell>
          <cell r="BT185">
            <v>0.10778669273206225</v>
          </cell>
          <cell r="BU185">
            <v>0.10778669273206228</v>
          </cell>
          <cell r="BW185">
            <v>0.14999780080055083</v>
          </cell>
          <cell r="BX185">
            <v>0.14999780080055083</v>
          </cell>
          <cell r="BY185">
            <v>0.14999780080055083</v>
          </cell>
          <cell r="BZ185">
            <v>0.14999780080055083</v>
          </cell>
          <cell r="CA185">
            <v>0.14999780080055078</v>
          </cell>
          <cell r="CB185">
            <v>0.14999780080055083</v>
          </cell>
          <cell r="CC185">
            <v>0.14999780080055081</v>
          </cell>
          <cell r="CD185">
            <v>0.14999780080055081</v>
          </cell>
          <cell r="CE185">
            <v>0.14999780080055081</v>
          </cell>
          <cell r="CF185">
            <v>0.14999780080055083</v>
          </cell>
          <cell r="CI185">
            <v>0.12505968225990394</v>
          </cell>
          <cell r="CJ185">
            <v>0.12384092595165723</v>
          </cell>
          <cell r="CK185">
            <v>0.11058013722471784</v>
          </cell>
          <cell r="CL185">
            <v>0.12252140316974319</v>
          </cell>
          <cell r="CM185">
            <v>0.12212240443337699</v>
          </cell>
          <cell r="CN185">
            <v>0.12011552952148623</v>
          </cell>
          <cell r="CO185">
            <v>0.12996552092961083</v>
          </cell>
          <cell r="CP185">
            <v>0.14999765117235989</v>
          </cell>
          <cell r="CQ185">
            <v>0.1499976911225662</v>
          </cell>
          <cell r="CS185">
            <v>0.12173773026533366</v>
          </cell>
          <cell r="CT185">
            <v>0.12225229877534953</v>
          </cell>
          <cell r="CU185">
            <v>0.1219217637899478</v>
          </cell>
          <cell r="CV185">
            <v>0.12059961742258254</v>
          </cell>
          <cell r="CW185">
            <v>0.12089238893614986</v>
          </cell>
          <cell r="CX185">
            <v>0.12267273303256006</v>
          </cell>
          <cell r="CY185">
            <v>0.12083981731350134</v>
          </cell>
          <cell r="CZ185">
            <v>0.12195741679318614</v>
          </cell>
          <cell r="DA185">
            <v>0.12224410704308854</v>
          </cell>
          <cell r="DC185">
            <v>8.0209614262099341E-2</v>
          </cell>
          <cell r="DD185">
            <v>8.2313215164784168E-2</v>
          </cell>
          <cell r="DE185">
            <v>7.9254223001415075E-2</v>
          </cell>
          <cell r="DF185">
            <v>8.0867469075689383E-2</v>
          </cell>
          <cell r="DG185">
            <v>7.6416689797367737E-2</v>
          </cell>
          <cell r="DH185">
            <v>8.5050648749129071E-2</v>
          </cell>
          <cell r="DI185">
            <v>7.6760729526401311E-2</v>
          </cell>
          <cell r="DJ185">
            <v>8.0338020845693039E-2</v>
          </cell>
          <cell r="DK185">
            <v>8.4690666759582839E-2</v>
          </cell>
          <cell r="DM185">
            <v>0.14999767597437694</v>
          </cell>
          <cell r="DN185">
            <v>0.14999765392877398</v>
          </cell>
          <cell r="DO185">
            <v>0.14999769898601584</v>
          </cell>
          <cell r="DP185">
            <v>0.14999768024410773</v>
          </cell>
          <cell r="DQ185">
            <v>0.1499976489216063</v>
          </cell>
          <cell r="DR185">
            <v>0.14999767532902825</v>
          </cell>
          <cell r="DS185">
            <v>0.14999769188520246</v>
          </cell>
          <cell r="DT185">
            <v>0.14999769590488032</v>
          </cell>
          <cell r="DU185">
            <v>0.14999765117235989</v>
          </cell>
          <cell r="DV185">
            <v>0.1499976911225662</v>
          </cell>
        </row>
        <row r="186">
          <cell r="A186" t="str">
            <v>Low-Net Discount</v>
          </cell>
          <cell r="C186">
            <v>2.9370666258622911E-2</v>
          </cell>
          <cell r="D186">
            <v>3.6814032652341261E-2</v>
          </cell>
          <cell r="E186">
            <v>2.732268957330589E-2</v>
          </cell>
          <cell r="F186">
            <v>2.5742530782474515E-2</v>
          </cell>
          <cell r="G186">
            <v>2.3955821844619533E-2</v>
          </cell>
          <cell r="H186">
            <v>2.8441127519005967E-2</v>
          </cell>
          <cell r="I186">
            <v>2.7289936405180421E-2</v>
          </cell>
          <cell r="J186">
            <v>1.715912751372527E-2</v>
          </cell>
          <cell r="K186">
            <v>4.5652166417421397E-2</v>
          </cell>
          <cell r="M186">
            <v>2.1000000000000001E-2</v>
          </cell>
          <cell r="N186">
            <v>2.1000000000000001E-2</v>
          </cell>
          <cell r="O186">
            <v>2.0999999999999998E-2</v>
          </cell>
          <cell r="P186">
            <v>2.1000000000000001E-2</v>
          </cell>
          <cell r="Q186">
            <v>2.1000000000000001E-2</v>
          </cell>
          <cell r="R186">
            <v>2.0999999999999998E-2</v>
          </cell>
          <cell r="S186">
            <v>2.0999999999999994E-2</v>
          </cell>
          <cell r="T186">
            <v>2.0999999999999998E-2</v>
          </cell>
          <cell r="U186">
            <v>2.1000000000000001E-2</v>
          </cell>
          <cell r="W186">
            <v>2.8183389999999992E-2</v>
          </cell>
          <cell r="X186">
            <v>2.8183390000000003E-2</v>
          </cell>
          <cell r="Y186">
            <v>2.8183390000000003E-2</v>
          </cell>
          <cell r="Z186">
            <v>2.8183389999999992E-2</v>
          </cell>
          <cell r="AA186">
            <v>2.8183390000000003E-2</v>
          </cell>
          <cell r="AB186">
            <v>2.8183389999999996E-2</v>
          </cell>
          <cell r="AC186">
            <v>2.8183389999999996E-2</v>
          </cell>
          <cell r="AD186">
            <v>2.8183389999999996E-2</v>
          </cell>
          <cell r="AE186">
            <v>2.8183390000000003E-2</v>
          </cell>
          <cell r="AG186">
            <v>3.6885131531298201E-2</v>
          </cell>
          <cell r="AH186">
            <v>8.2026638721224329E-2</v>
          </cell>
          <cell r="AI186">
            <v>3.2558043470301265E-2</v>
          </cell>
          <cell r="AJ186">
            <v>3.7182059145846887E-2</v>
          </cell>
          <cell r="AK186">
            <v>2.8755766128652684E-2</v>
          </cell>
          <cell r="AL186">
            <v>2.2722593903173077E-2</v>
          </cell>
          <cell r="AM186">
            <v>4.2694946398923926E-2</v>
          </cell>
          <cell r="AN186">
            <v>3.2581139292311476E-2</v>
          </cell>
          <cell r="AO186">
            <v>1.715912751372527E-2</v>
          </cell>
          <cell r="AP186">
            <v>4.5652166417421397E-2</v>
          </cell>
          <cell r="AS186">
            <v>2.0485863766732663E-2</v>
          </cell>
          <cell r="AT186">
            <v>1.833080249704214E-2</v>
          </cell>
          <cell r="AU186">
            <v>2.1470181073571931E-2</v>
          </cell>
          <cell r="AV186">
            <v>1.9200019268228678E-2</v>
          </cell>
          <cell r="AW186">
            <v>1.5101312789933661E-2</v>
          </cell>
          <cell r="AX186">
            <v>2.067769190395409E-2</v>
          </cell>
          <cell r="AY186">
            <v>3.0148899680267943E-2</v>
          </cell>
          <cell r="AZ186">
            <v>8.569260707343174E-3</v>
          </cell>
          <cell r="BA186">
            <v>2.2801653679407282E-2</v>
          </cell>
          <cell r="BC186">
            <v>1.9369999999999998E-2</v>
          </cell>
          <cell r="BD186">
            <v>1.9369999999999998E-2</v>
          </cell>
          <cell r="BE186">
            <v>1.9369999999999998E-2</v>
          </cell>
          <cell r="BF186">
            <v>1.9370000000000002E-2</v>
          </cell>
          <cell r="BG186">
            <v>1.9369999999999998E-2</v>
          </cell>
          <cell r="BH186">
            <v>1.9370000000000002E-2</v>
          </cell>
          <cell r="BI186">
            <v>1.9369999999999998E-2</v>
          </cell>
          <cell r="BJ186">
            <v>1.9369999999999998E-2</v>
          </cell>
          <cell r="BK186">
            <v>1.9369999999999998E-2</v>
          </cell>
          <cell r="BM186">
            <v>2.2234135999999998E-2</v>
          </cell>
          <cell r="BN186">
            <v>2.2234136000000002E-2</v>
          </cell>
          <cell r="BO186">
            <v>2.2234135999999998E-2</v>
          </cell>
          <cell r="BP186">
            <v>2.2234135999999998E-2</v>
          </cell>
          <cell r="BQ186">
            <v>2.2234135999999995E-2</v>
          </cell>
          <cell r="BR186">
            <v>2.2234136000000002E-2</v>
          </cell>
          <cell r="BS186">
            <v>2.2234136000000002E-2</v>
          </cell>
          <cell r="BT186">
            <v>2.2234136000000005E-2</v>
          </cell>
          <cell r="BU186">
            <v>2.2234136000000002E-2</v>
          </cell>
          <cell r="BW186">
            <v>2.038790042718254E-2</v>
          </cell>
          <cell r="BX186">
            <v>2.3742171733397856E-2</v>
          </cell>
          <cell r="BY186">
            <v>1.1131962518886981E-2</v>
          </cell>
          <cell r="BZ186">
            <v>2.2245305238921594E-2</v>
          </cell>
          <cell r="CA186">
            <v>1.7522726242309199E-2</v>
          </cell>
          <cell r="CB186">
            <v>1.1356218771325234E-2</v>
          </cell>
          <cell r="CC186">
            <v>2.1115906698129367E-2</v>
          </cell>
          <cell r="CD186">
            <v>3.7440967874384182E-2</v>
          </cell>
          <cell r="CE186">
            <v>8.569260707343174E-3</v>
          </cell>
          <cell r="CF186">
            <v>2.2801653679407282E-2</v>
          </cell>
          <cell r="CI186">
            <v>2.5491688765685857E-2</v>
          </cell>
          <cell r="CJ186">
            <v>2.8239485582546256E-2</v>
          </cell>
          <cell r="CK186">
            <v>2.5061953770953473E-2</v>
          </cell>
          <cell r="CL186">
            <v>2.3274480963028445E-2</v>
          </cell>
          <cell r="CM186">
            <v>2.0530768893611925E-2</v>
          </cell>
          <cell r="CN186">
            <v>2.4968979870620793E-2</v>
          </cell>
          <cell r="CO186">
            <v>2.8768206319310641E-2</v>
          </cell>
          <cell r="CP186">
            <v>1.3610589081086919E-2</v>
          </cell>
          <cell r="CQ186">
            <v>3.2631812692206011E-2</v>
          </cell>
          <cell r="CS186">
            <v>2.0378212373029034E-2</v>
          </cell>
          <cell r="CT186">
            <v>2.0290016087926424E-2</v>
          </cell>
          <cell r="CU186">
            <v>2.0346669297832291E-2</v>
          </cell>
          <cell r="CV186">
            <v>2.0573283238821297E-2</v>
          </cell>
          <cell r="CW186">
            <v>2.0523102632394923E-2</v>
          </cell>
          <cell r="CX186">
            <v>2.0217954275176347E-2</v>
          </cell>
          <cell r="CY186">
            <v>2.0532113331124369E-2</v>
          </cell>
          <cell r="CZ186">
            <v>2.034055842556326E-2</v>
          </cell>
          <cell r="DA186">
            <v>2.0291420138776613E-2</v>
          </cell>
          <cell r="DC186">
            <v>2.6039000171240827E-2</v>
          </cell>
          <cell r="DD186">
            <v>2.5748762185591516E-2</v>
          </cell>
          <cell r="DE186">
            <v>2.6170817396957972E-2</v>
          </cell>
          <cell r="DF186">
            <v>2.5948234638813843E-2</v>
          </cell>
          <cell r="DG186">
            <v>2.6562317476799473E-2</v>
          </cell>
          <cell r="DH186">
            <v>2.5371073048666801E-2</v>
          </cell>
          <cell r="DI186">
            <v>2.6514849633535759E-2</v>
          </cell>
          <cell r="DJ186">
            <v>2.6021283660414674E-2</v>
          </cell>
          <cell r="DK186">
            <v>2.5420740477209252E-2</v>
          </cell>
          <cell r="DM186">
            <v>2.8465119257801472E-2</v>
          </cell>
          <cell r="DN186">
            <v>5.7318740267661275E-2</v>
          </cell>
          <cell r="DO186">
            <v>1.9688492082320402E-2</v>
          </cell>
          <cell r="DP186">
            <v>2.9308347154525308E-2</v>
          </cell>
          <cell r="DQ186">
            <v>2.421448079516924E-2</v>
          </cell>
          <cell r="DR186">
            <v>1.6950087689709084E-2</v>
          </cell>
          <cell r="DS186">
            <v>3.0334535556004034E-2</v>
          </cell>
          <cell r="DT186">
            <v>3.5441457572580111E-2</v>
          </cell>
          <cell r="DU186">
            <v>1.3610589081086919E-2</v>
          </cell>
          <cell r="DV186">
            <v>3.2631812692206011E-2</v>
          </cell>
        </row>
        <row r="187">
          <cell r="A187" t="str">
            <v>Total Discount</v>
          </cell>
          <cell r="C187">
            <v>0.42715579041366675</v>
          </cell>
          <cell r="D187">
            <v>0.43621689582465067</v>
          </cell>
          <cell r="E187">
            <v>0.41382165147072975</v>
          </cell>
          <cell r="F187">
            <v>0.42961817881480835</v>
          </cell>
          <cell r="G187">
            <v>0.42048604321796856</v>
          </cell>
          <cell r="H187">
            <v>0.42251190317860571</v>
          </cell>
          <cell r="I187">
            <v>0.42910386681544793</v>
          </cell>
          <cell r="J187">
            <v>0.43533599969458725</v>
          </cell>
          <cell r="K187">
            <v>0.43906319779975744</v>
          </cell>
          <cell r="M187">
            <v>0.41333999999999999</v>
          </cell>
          <cell r="N187">
            <v>0.41334000000000004</v>
          </cell>
          <cell r="O187">
            <v>0.41333999999999999</v>
          </cell>
          <cell r="P187">
            <v>0.41334000000000004</v>
          </cell>
          <cell r="Q187">
            <v>0.41333999999999999</v>
          </cell>
          <cell r="R187">
            <v>0.41333999999999993</v>
          </cell>
          <cell r="S187">
            <v>0.41334000000000004</v>
          </cell>
          <cell r="T187">
            <v>0.41334000000000004</v>
          </cell>
          <cell r="U187">
            <v>0.41334000000000004</v>
          </cell>
          <cell r="W187">
            <v>0.38382313999999995</v>
          </cell>
          <cell r="X187">
            <v>0.38382314000000006</v>
          </cell>
          <cell r="Y187">
            <v>0.38382314000000001</v>
          </cell>
          <cell r="Z187">
            <v>0.38382314000000001</v>
          </cell>
          <cell r="AA187">
            <v>0.3838231399999999</v>
          </cell>
          <cell r="AB187">
            <v>0.38382314000000001</v>
          </cell>
          <cell r="AC187">
            <v>0.38382314000000006</v>
          </cell>
          <cell r="AD187">
            <v>0.38382314000000006</v>
          </cell>
          <cell r="AE187">
            <v>0.3838231399999999</v>
          </cell>
          <cell r="AG187">
            <v>0.46706255359670218</v>
          </cell>
          <cell r="AH187">
            <v>0.5401408353911229</v>
          </cell>
          <cell r="AI187">
            <v>0.44864477080444654</v>
          </cell>
          <cell r="AJ187">
            <v>0.48594381911597639</v>
          </cell>
          <cell r="AK187">
            <v>0.47722299610954289</v>
          </cell>
          <cell r="AL187">
            <v>0.45851158304549222</v>
          </cell>
          <cell r="AM187">
            <v>0.48659302015068051</v>
          </cell>
          <cell r="AN187">
            <v>0.46280783966618277</v>
          </cell>
          <cell r="AO187">
            <v>0.43533599969458725</v>
          </cell>
          <cell r="AP187">
            <v>0.43906319779975744</v>
          </cell>
          <cell r="AS187">
            <v>0.4300854459183851</v>
          </cell>
          <cell r="AT187">
            <v>0.42173261056041084</v>
          </cell>
          <cell r="AU187">
            <v>0.41206111239346765</v>
          </cell>
          <cell r="AV187">
            <v>0.42030661126686314</v>
          </cell>
          <cell r="AW187">
            <v>0.42835453878219598</v>
          </cell>
          <cell r="AX187">
            <v>0.42099764948300966</v>
          </cell>
          <cell r="AY187">
            <v>0.44286068555271046</v>
          </cell>
          <cell r="AZ187">
            <v>0.45282590354086261</v>
          </cell>
          <cell r="BA187">
            <v>0.46705829651292674</v>
          </cell>
          <cell r="BC187">
            <v>0.39985999999999999</v>
          </cell>
          <cell r="BD187">
            <v>0.39985999999999999</v>
          </cell>
          <cell r="BE187">
            <v>0.39985999999999999</v>
          </cell>
          <cell r="BF187">
            <v>0.39985999999999999</v>
          </cell>
          <cell r="BG187">
            <v>0.39986000000000005</v>
          </cell>
          <cell r="BH187">
            <v>0.39985999999999994</v>
          </cell>
          <cell r="BI187">
            <v>0.39985999999999999</v>
          </cell>
          <cell r="BJ187">
            <v>0.39985999999999994</v>
          </cell>
          <cell r="BK187">
            <v>0.39985999999999999</v>
          </cell>
          <cell r="BM187">
            <v>0.37390379573206223</v>
          </cell>
          <cell r="BN187">
            <v>0.37390379573206228</v>
          </cell>
          <cell r="BO187">
            <v>0.37390379573206228</v>
          </cell>
          <cell r="BP187">
            <v>0.37390379573206234</v>
          </cell>
          <cell r="BQ187">
            <v>0.37390379573206223</v>
          </cell>
          <cell r="BR187">
            <v>0.37390379573206217</v>
          </cell>
          <cell r="BS187">
            <v>0.37390379573206223</v>
          </cell>
          <cell r="BT187">
            <v>0.37390379573206223</v>
          </cell>
          <cell r="BU187">
            <v>0.37390379573206223</v>
          </cell>
          <cell r="BW187">
            <v>0.46464454326070193</v>
          </cell>
          <cell r="BX187">
            <v>0.46799881456691733</v>
          </cell>
          <cell r="BY187">
            <v>0.45538860535240644</v>
          </cell>
          <cell r="BZ187">
            <v>0.46650194807244105</v>
          </cell>
          <cell r="CA187">
            <v>0.46177936907582862</v>
          </cell>
          <cell r="CB187">
            <v>0.45561286160484471</v>
          </cell>
          <cell r="CC187">
            <v>0.46537254953164869</v>
          </cell>
          <cell r="CD187">
            <v>0.48169761070790362</v>
          </cell>
          <cell r="CE187">
            <v>0.45282590354086261</v>
          </cell>
          <cell r="CF187">
            <v>0.46705829651292674</v>
          </cell>
          <cell r="CI187">
            <v>0.42843483603963689</v>
          </cell>
          <cell r="CJ187">
            <v>0.42949749749832744</v>
          </cell>
          <cell r="CK187">
            <v>0.41314158176667237</v>
          </cell>
          <cell r="CL187">
            <v>0.42610555028439989</v>
          </cell>
          <cell r="CM187">
            <v>0.42352969180263916</v>
          </cell>
          <cell r="CN187">
            <v>0.42183466275710618</v>
          </cell>
          <cell r="CO187">
            <v>0.43621703662446387</v>
          </cell>
          <cell r="CP187">
            <v>0.44256121021072065</v>
          </cell>
          <cell r="CQ187">
            <v>0.45501496623475601</v>
          </cell>
          <cell r="CS187">
            <v>0.40819785447143025</v>
          </cell>
          <cell r="CT187">
            <v>0.40746847660444679</v>
          </cell>
          <cell r="CU187">
            <v>0.40793699517471116</v>
          </cell>
          <cell r="CV187">
            <v>0.40981107856399462</v>
          </cell>
          <cell r="CW187">
            <v>0.40939608802741329</v>
          </cell>
          <cell r="CX187">
            <v>0.40687252983397365</v>
          </cell>
          <cell r="CY187">
            <v>0.4094706059531022</v>
          </cell>
          <cell r="CZ187">
            <v>0.40788645863594647</v>
          </cell>
          <cell r="DA187">
            <v>0.40748008801883973</v>
          </cell>
          <cell r="DC187">
            <v>0.38024774366356406</v>
          </cell>
          <cell r="DD187">
            <v>0.37976382240229545</v>
          </cell>
          <cell r="DE187">
            <v>0.38046752591564698</v>
          </cell>
          <cell r="DF187">
            <v>0.38009640795596022</v>
          </cell>
          <cell r="DG187">
            <v>0.38112028407202636</v>
          </cell>
          <cell r="DH187">
            <v>0.37913409158639533</v>
          </cell>
          <cell r="DI187">
            <v>0.38104113971560977</v>
          </cell>
          <cell r="DJ187">
            <v>0.38021820446921961</v>
          </cell>
          <cell r="DK187">
            <v>0.37921690336794223</v>
          </cell>
          <cell r="DM187">
            <v>0.46582842669515911</v>
          </cell>
          <cell r="DN187">
            <v>0.50955845526690213</v>
          </cell>
          <cell r="DO187">
            <v>0.45269544742906187</v>
          </cell>
          <cell r="DP187">
            <v>0.47569529429437923</v>
          </cell>
          <cell r="DQ187">
            <v>0.47097945761474413</v>
          </cell>
          <cell r="DR187">
            <v>0.45703944374574701</v>
          </cell>
          <cell r="DS187">
            <v>0.47443799662932862</v>
          </cell>
          <cell r="DT187">
            <v>0.47392567160371984</v>
          </cell>
          <cell r="DU187">
            <v>0.44256121021072065</v>
          </cell>
          <cell r="DV187">
            <v>0.45501496623475601</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
      <sheetName val="Mar"/>
      <sheetName val="Feb"/>
      <sheetName val="Dec"/>
      <sheetName val="GM Report Jan-Apr US"/>
      <sheetName val="GM Report Jan-Apr CA"/>
      <sheetName val="GM Report Jan-Mar US"/>
      <sheetName val="GM Report Jan-Mar CA"/>
      <sheetName val="GM Report Jan-Feb CA"/>
      <sheetName val="GM Report Jan-Feb US"/>
      <sheetName val="GM Report"/>
      <sheetName val="Tech"/>
      <sheetName val="Assoc"/>
      <sheetName val="JE"/>
    </sheetNames>
    <sheetDataSet>
      <sheetData sheetId="0"/>
      <sheetData sheetId="1"/>
      <sheetData sheetId="2"/>
      <sheetData sheetId="3"/>
      <sheetData sheetId="4"/>
      <sheetData sheetId="5"/>
      <sheetData sheetId="6"/>
      <sheetData sheetId="7"/>
      <sheetData sheetId="8"/>
      <sheetData sheetId="9"/>
      <sheetData sheetId="10"/>
      <sheetData sheetId="11" refreshError="1">
        <row r="1">
          <cell r="A1" t="str">
            <v>Variety</v>
          </cell>
          <cell r="B1" t="str">
            <v>Tech</v>
          </cell>
        </row>
        <row r="2">
          <cell r="A2">
            <v>4011</v>
          </cell>
          <cell r="B2" t="str">
            <v>C</v>
          </cell>
        </row>
        <row r="3">
          <cell r="A3">
            <v>4043</v>
          </cell>
          <cell r="B3" t="str">
            <v>C</v>
          </cell>
        </row>
        <row r="4">
          <cell r="A4">
            <v>4064</v>
          </cell>
          <cell r="B4" t="str">
            <v>C</v>
          </cell>
        </row>
        <row r="5">
          <cell r="A5">
            <v>4066</v>
          </cell>
          <cell r="B5" t="str">
            <v>C</v>
          </cell>
        </row>
        <row r="6">
          <cell r="A6">
            <v>4106</v>
          </cell>
          <cell r="B6" t="str">
            <v>C</v>
          </cell>
        </row>
        <row r="7">
          <cell r="A7">
            <v>4146</v>
          </cell>
          <cell r="B7" t="str">
            <v>C</v>
          </cell>
        </row>
        <row r="8">
          <cell r="A8">
            <v>4172</v>
          </cell>
          <cell r="B8" t="str">
            <v>C</v>
          </cell>
        </row>
        <row r="9">
          <cell r="A9">
            <v>4187</v>
          </cell>
          <cell r="B9" t="str">
            <v>C</v>
          </cell>
        </row>
        <row r="10">
          <cell r="A10">
            <v>4286</v>
          </cell>
          <cell r="B10" t="str">
            <v>C</v>
          </cell>
        </row>
        <row r="11">
          <cell r="A11">
            <v>4306</v>
          </cell>
          <cell r="B11" t="str">
            <v>C</v>
          </cell>
        </row>
        <row r="12">
          <cell r="A12">
            <v>4394</v>
          </cell>
          <cell r="B12" t="str">
            <v>C</v>
          </cell>
        </row>
        <row r="13">
          <cell r="A13">
            <v>4494</v>
          </cell>
          <cell r="B13" t="str">
            <v>C</v>
          </cell>
        </row>
        <row r="14">
          <cell r="A14">
            <v>4496</v>
          </cell>
          <cell r="B14" t="str">
            <v>C</v>
          </cell>
        </row>
        <row r="15">
          <cell r="A15">
            <v>4575</v>
          </cell>
          <cell r="B15" t="str">
            <v>C</v>
          </cell>
        </row>
        <row r="16">
          <cell r="A16">
            <v>4625</v>
          </cell>
          <cell r="B16" t="str">
            <v>C</v>
          </cell>
        </row>
        <row r="17">
          <cell r="A17">
            <v>4653</v>
          </cell>
          <cell r="B17" t="str">
            <v>C</v>
          </cell>
        </row>
        <row r="18">
          <cell r="A18">
            <v>4693</v>
          </cell>
          <cell r="B18" t="str">
            <v>C</v>
          </cell>
        </row>
        <row r="19">
          <cell r="A19" t="str">
            <v>100VNS</v>
          </cell>
          <cell r="B19" t="str">
            <v>C</v>
          </cell>
        </row>
        <row r="20">
          <cell r="A20" t="str">
            <v>105VNS</v>
          </cell>
          <cell r="B20" t="str">
            <v>C</v>
          </cell>
        </row>
        <row r="21">
          <cell r="A21" t="str">
            <v>110VNS</v>
          </cell>
          <cell r="B21" t="str">
            <v>C</v>
          </cell>
        </row>
        <row r="22">
          <cell r="A22" t="str">
            <v>115VNS</v>
          </cell>
          <cell r="B22" t="str">
            <v>C</v>
          </cell>
        </row>
        <row r="23">
          <cell r="A23" t="str">
            <v>120VNS</v>
          </cell>
          <cell r="B23" t="str">
            <v>C</v>
          </cell>
        </row>
        <row r="24">
          <cell r="A24" t="str">
            <v>1780W</v>
          </cell>
          <cell r="B24" t="str">
            <v>C</v>
          </cell>
        </row>
        <row r="25">
          <cell r="A25" t="str">
            <v>1790W</v>
          </cell>
          <cell r="B25" t="str">
            <v>C</v>
          </cell>
        </row>
        <row r="26">
          <cell r="A26" t="str">
            <v>1822W</v>
          </cell>
          <cell r="B26" t="str">
            <v>C</v>
          </cell>
        </row>
        <row r="27">
          <cell r="A27" t="str">
            <v>1851W</v>
          </cell>
          <cell r="B27" t="str">
            <v>C</v>
          </cell>
        </row>
        <row r="28">
          <cell r="A28" t="str">
            <v>50P18</v>
          </cell>
          <cell r="B28" t="str">
            <v>C</v>
          </cell>
        </row>
        <row r="29">
          <cell r="A29" t="str">
            <v>6180X</v>
          </cell>
          <cell r="B29" t="str">
            <v>C</v>
          </cell>
        </row>
        <row r="30">
          <cell r="A30" t="str">
            <v>67M77LL</v>
          </cell>
          <cell r="B30" t="str">
            <v>C</v>
          </cell>
        </row>
        <row r="31">
          <cell r="A31" t="str">
            <v>75VNS</v>
          </cell>
          <cell r="B31" t="str">
            <v>C</v>
          </cell>
        </row>
        <row r="32">
          <cell r="A32" t="str">
            <v>80VNS</v>
          </cell>
          <cell r="B32" t="str">
            <v>C</v>
          </cell>
        </row>
        <row r="33">
          <cell r="A33" t="str">
            <v>85VNS</v>
          </cell>
          <cell r="B33" t="str">
            <v>C</v>
          </cell>
        </row>
        <row r="34">
          <cell r="A34" t="str">
            <v>90VNS</v>
          </cell>
          <cell r="B34" t="str">
            <v>C</v>
          </cell>
        </row>
        <row r="35">
          <cell r="A35" t="str">
            <v>95VNS</v>
          </cell>
          <cell r="B35" t="str">
            <v>C</v>
          </cell>
        </row>
        <row r="36">
          <cell r="A36" t="str">
            <v>ENERFEAST</v>
          </cell>
          <cell r="B36" t="str">
            <v>C</v>
          </cell>
        </row>
        <row r="37">
          <cell r="A37" t="str">
            <v>G-4011</v>
          </cell>
          <cell r="B37" t="str">
            <v>C</v>
          </cell>
        </row>
        <row r="38">
          <cell r="A38" t="str">
            <v>G-4015</v>
          </cell>
          <cell r="B38" t="str">
            <v>C</v>
          </cell>
        </row>
        <row r="39">
          <cell r="A39" t="str">
            <v>G-4024</v>
          </cell>
          <cell r="B39" t="str">
            <v>C</v>
          </cell>
        </row>
        <row r="40">
          <cell r="A40" t="str">
            <v>G-4030</v>
          </cell>
          <cell r="B40" t="str">
            <v>C</v>
          </cell>
        </row>
        <row r="41">
          <cell r="A41" t="str">
            <v>G-4043</v>
          </cell>
          <cell r="B41" t="str">
            <v>C</v>
          </cell>
        </row>
        <row r="42">
          <cell r="A42" t="str">
            <v>G-4046</v>
          </cell>
          <cell r="B42" t="str">
            <v>C</v>
          </cell>
        </row>
        <row r="43">
          <cell r="A43" t="str">
            <v>G-4064</v>
          </cell>
          <cell r="B43" t="str">
            <v>C</v>
          </cell>
        </row>
        <row r="44">
          <cell r="A44" t="str">
            <v>G-4066</v>
          </cell>
          <cell r="B44" t="str">
            <v>C</v>
          </cell>
        </row>
        <row r="45">
          <cell r="A45" t="str">
            <v>MC508</v>
          </cell>
          <cell r="B45" t="str">
            <v>C</v>
          </cell>
        </row>
        <row r="46">
          <cell r="A46" t="str">
            <v>N02-K1</v>
          </cell>
          <cell r="B46" t="str">
            <v>C</v>
          </cell>
        </row>
        <row r="47">
          <cell r="A47" t="str">
            <v>N03-L5</v>
          </cell>
          <cell r="B47" t="str">
            <v>C</v>
          </cell>
        </row>
        <row r="48">
          <cell r="A48" t="str">
            <v>N04-T4</v>
          </cell>
          <cell r="B48" t="str">
            <v>C</v>
          </cell>
        </row>
        <row r="49">
          <cell r="A49" t="str">
            <v>N0565</v>
          </cell>
          <cell r="B49" t="str">
            <v>C</v>
          </cell>
        </row>
        <row r="50">
          <cell r="A50" t="str">
            <v>N05-H2</v>
          </cell>
          <cell r="B50" t="str">
            <v>C</v>
          </cell>
        </row>
        <row r="51">
          <cell r="A51" t="str">
            <v>N06-J6</v>
          </cell>
          <cell r="B51" t="str">
            <v>C</v>
          </cell>
        </row>
        <row r="52">
          <cell r="A52" t="str">
            <v>N06-W9</v>
          </cell>
          <cell r="B52" t="str">
            <v>C</v>
          </cell>
        </row>
        <row r="53">
          <cell r="A53" t="str">
            <v>N09-A4</v>
          </cell>
          <cell r="B53" t="str">
            <v>C</v>
          </cell>
        </row>
        <row r="54">
          <cell r="A54" t="str">
            <v>N09-B3</v>
          </cell>
          <cell r="B54" t="str">
            <v>C</v>
          </cell>
        </row>
        <row r="55">
          <cell r="A55" t="str">
            <v>N11-F4</v>
          </cell>
          <cell r="B55" t="str">
            <v>C</v>
          </cell>
        </row>
        <row r="56">
          <cell r="A56" t="str">
            <v>N1500</v>
          </cell>
          <cell r="B56" t="str">
            <v>C</v>
          </cell>
        </row>
        <row r="57">
          <cell r="A57" t="str">
            <v>N15-B4</v>
          </cell>
          <cell r="B57" t="str">
            <v>C</v>
          </cell>
        </row>
        <row r="58">
          <cell r="A58" t="str">
            <v>N15-Z1</v>
          </cell>
          <cell r="B58" t="str">
            <v>C</v>
          </cell>
        </row>
        <row r="59">
          <cell r="A59" t="str">
            <v>N17-J4</v>
          </cell>
          <cell r="B59" t="str">
            <v>C</v>
          </cell>
        </row>
        <row r="60">
          <cell r="A60" t="str">
            <v>N17-K5</v>
          </cell>
          <cell r="B60" t="str">
            <v>C</v>
          </cell>
        </row>
        <row r="61">
          <cell r="A61" t="str">
            <v>N21-V6</v>
          </cell>
          <cell r="B61" t="str">
            <v>C</v>
          </cell>
        </row>
        <row r="62">
          <cell r="A62" t="str">
            <v>N23-C1</v>
          </cell>
          <cell r="B62" t="str">
            <v>C</v>
          </cell>
        </row>
        <row r="63">
          <cell r="A63" t="str">
            <v>N2409</v>
          </cell>
          <cell r="B63" t="str">
            <v>C</v>
          </cell>
        </row>
        <row r="64">
          <cell r="A64" t="str">
            <v>N2522</v>
          </cell>
          <cell r="B64" t="str">
            <v>C</v>
          </cell>
        </row>
        <row r="65">
          <cell r="A65" t="str">
            <v>N2555</v>
          </cell>
          <cell r="B65" t="str">
            <v>C</v>
          </cell>
        </row>
        <row r="66">
          <cell r="A66" t="str">
            <v>N25-Y2</v>
          </cell>
          <cell r="B66" t="str">
            <v>C</v>
          </cell>
        </row>
        <row r="67">
          <cell r="A67" t="str">
            <v>N26-L6</v>
          </cell>
          <cell r="B67" t="str">
            <v>C</v>
          </cell>
        </row>
        <row r="68">
          <cell r="A68" t="str">
            <v>N3030</v>
          </cell>
          <cell r="B68" t="str">
            <v>C</v>
          </cell>
        </row>
        <row r="69">
          <cell r="A69" t="str">
            <v>N31-L4</v>
          </cell>
          <cell r="B69" t="str">
            <v>C</v>
          </cell>
        </row>
        <row r="70">
          <cell r="A70" t="str">
            <v>N31-N6</v>
          </cell>
          <cell r="B70" t="str">
            <v>C</v>
          </cell>
        </row>
        <row r="71">
          <cell r="A71" t="str">
            <v>N31-P8</v>
          </cell>
          <cell r="B71" t="str">
            <v>C</v>
          </cell>
        </row>
        <row r="72">
          <cell r="A72" t="str">
            <v>N33-G2</v>
          </cell>
          <cell r="B72" t="str">
            <v>C</v>
          </cell>
        </row>
        <row r="73">
          <cell r="A73" t="str">
            <v>N33-H6</v>
          </cell>
          <cell r="B73" t="str">
            <v>C</v>
          </cell>
        </row>
        <row r="74">
          <cell r="A74" t="str">
            <v>N35-R7</v>
          </cell>
          <cell r="B74" t="str">
            <v>C</v>
          </cell>
        </row>
        <row r="75">
          <cell r="A75" t="str">
            <v>N4242</v>
          </cell>
          <cell r="B75" t="str">
            <v>C</v>
          </cell>
        </row>
        <row r="76">
          <cell r="A76" t="str">
            <v>N4342WX</v>
          </cell>
          <cell r="B76" t="str">
            <v>C</v>
          </cell>
        </row>
        <row r="77">
          <cell r="A77" t="str">
            <v>N4424</v>
          </cell>
          <cell r="B77" t="str">
            <v>C</v>
          </cell>
        </row>
        <row r="78">
          <cell r="A78" t="str">
            <v>N45-T5</v>
          </cell>
          <cell r="B78" t="str">
            <v>C</v>
          </cell>
        </row>
        <row r="79">
          <cell r="A79" t="str">
            <v>N4640</v>
          </cell>
          <cell r="B79" t="str">
            <v>C</v>
          </cell>
        </row>
        <row r="80">
          <cell r="A80" t="str">
            <v>N47-W1</v>
          </cell>
          <cell r="B80" t="str">
            <v>C</v>
          </cell>
        </row>
        <row r="81">
          <cell r="A81" t="str">
            <v>N48-K2</v>
          </cell>
          <cell r="B81" t="str">
            <v>C</v>
          </cell>
        </row>
        <row r="82">
          <cell r="A82" t="str">
            <v>N48-W5</v>
          </cell>
          <cell r="B82" t="str">
            <v>C</v>
          </cell>
        </row>
        <row r="83">
          <cell r="A83" t="str">
            <v>N52-B2</v>
          </cell>
          <cell r="B83" t="str">
            <v>C</v>
          </cell>
        </row>
        <row r="84">
          <cell r="A84" t="str">
            <v>N57-W4</v>
          </cell>
          <cell r="B84" t="str">
            <v>C</v>
          </cell>
        </row>
        <row r="85">
          <cell r="A85" t="str">
            <v>N5857IMI</v>
          </cell>
          <cell r="B85" t="str">
            <v>C</v>
          </cell>
        </row>
        <row r="86">
          <cell r="A86" t="str">
            <v>N58-F4</v>
          </cell>
          <cell r="B86" t="str">
            <v>C</v>
          </cell>
        </row>
        <row r="87">
          <cell r="A87" t="str">
            <v>N59-Q9</v>
          </cell>
          <cell r="B87" t="str">
            <v>C</v>
          </cell>
        </row>
        <row r="88">
          <cell r="A88" t="str">
            <v>N60-N2</v>
          </cell>
          <cell r="B88" t="str">
            <v>C</v>
          </cell>
        </row>
        <row r="89">
          <cell r="A89" t="str">
            <v>N6330</v>
          </cell>
          <cell r="B89" t="str">
            <v>C</v>
          </cell>
        </row>
        <row r="90">
          <cell r="A90" t="str">
            <v>N63-G7</v>
          </cell>
          <cell r="B90" t="str">
            <v>C</v>
          </cell>
        </row>
        <row r="91">
          <cell r="A91" t="str">
            <v>N6423</v>
          </cell>
          <cell r="B91" t="str">
            <v>C</v>
          </cell>
        </row>
        <row r="92">
          <cell r="A92" t="str">
            <v>N64-L5</v>
          </cell>
          <cell r="B92" t="str">
            <v>C</v>
          </cell>
        </row>
        <row r="93">
          <cell r="A93" t="str">
            <v>N65-M7</v>
          </cell>
          <cell r="B93" t="str">
            <v>C</v>
          </cell>
        </row>
        <row r="94">
          <cell r="A94" t="str">
            <v>N67-H6</v>
          </cell>
          <cell r="B94" t="str">
            <v>C</v>
          </cell>
        </row>
        <row r="95">
          <cell r="A95" t="str">
            <v>N6800</v>
          </cell>
          <cell r="B95" t="str">
            <v>C</v>
          </cell>
        </row>
        <row r="96">
          <cell r="A96" t="str">
            <v>N68-P1</v>
          </cell>
          <cell r="B96" t="str">
            <v>C</v>
          </cell>
        </row>
        <row r="97">
          <cell r="A97" t="str">
            <v>N70-A2</v>
          </cell>
          <cell r="B97" t="str">
            <v>C</v>
          </cell>
        </row>
        <row r="98">
          <cell r="A98" t="str">
            <v>N70-D5</v>
          </cell>
          <cell r="B98" t="str">
            <v>C</v>
          </cell>
        </row>
        <row r="99">
          <cell r="A99" t="str">
            <v>N72-J5</v>
          </cell>
          <cell r="B99" t="str">
            <v>C</v>
          </cell>
        </row>
        <row r="100">
          <cell r="A100" t="str">
            <v>N72-V7</v>
          </cell>
          <cell r="B100" t="str">
            <v>C</v>
          </cell>
        </row>
        <row r="101">
          <cell r="A101" t="str">
            <v>N73-N8</v>
          </cell>
          <cell r="B101" t="str">
            <v>C</v>
          </cell>
        </row>
        <row r="102">
          <cell r="A102" t="str">
            <v>N73-Q3</v>
          </cell>
          <cell r="B102" t="str">
            <v>C</v>
          </cell>
        </row>
        <row r="103">
          <cell r="A103" t="str">
            <v>N75-K6</v>
          </cell>
          <cell r="B103" t="str">
            <v>C</v>
          </cell>
        </row>
        <row r="104">
          <cell r="A104" t="str">
            <v>N7931</v>
          </cell>
          <cell r="B104" t="str">
            <v>C</v>
          </cell>
        </row>
        <row r="105">
          <cell r="A105" t="str">
            <v>N7989</v>
          </cell>
          <cell r="B105" t="str">
            <v>C</v>
          </cell>
        </row>
        <row r="106">
          <cell r="A106" t="str">
            <v>N7992</v>
          </cell>
          <cell r="B106" t="str">
            <v>C</v>
          </cell>
        </row>
        <row r="107">
          <cell r="A107" t="str">
            <v>N79-P4</v>
          </cell>
          <cell r="B107" t="str">
            <v>C</v>
          </cell>
        </row>
        <row r="108">
          <cell r="A108" t="str">
            <v>N8214</v>
          </cell>
          <cell r="B108" t="str">
            <v>C</v>
          </cell>
        </row>
        <row r="109">
          <cell r="A109" t="str">
            <v>N82-E9</v>
          </cell>
          <cell r="B109" t="str">
            <v>C</v>
          </cell>
        </row>
        <row r="110">
          <cell r="A110" t="str">
            <v>N83-N5</v>
          </cell>
          <cell r="B110" t="str">
            <v>C</v>
          </cell>
        </row>
        <row r="111">
          <cell r="A111" t="str">
            <v>N83-R7</v>
          </cell>
          <cell r="B111" t="str">
            <v>C</v>
          </cell>
        </row>
        <row r="112">
          <cell r="A112" t="str">
            <v>N8811</v>
          </cell>
          <cell r="B112" t="str">
            <v>C</v>
          </cell>
        </row>
        <row r="113">
          <cell r="A113" t="str">
            <v>N91-R9</v>
          </cell>
          <cell r="B113" t="str">
            <v>C</v>
          </cell>
        </row>
        <row r="114">
          <cell r="A114" t="str">
            <v>NX1880</v>
          </cell>
          <cell r="B114" t="str">
            <v>C</v>
          </cell>
        </row>
        <row r="115">
          <cell r="A115" t="str">
            <v>NX2319</v>
          </cell>
          <cell r="B115" t="str">
            <v>C</v>
          </cell>
        </row>
        <row r="116">
          <cell r="A116" t="str">
            <v>NX3018</v>
          </cell>
          <cell r="B116" t="str">
            <v>C</v>
          </cell>
        </row>
        <row r="117">
          <cell r="A117" t="str">
            <v>NX3251</v>
          </cell>
          <cell r="B117" t="str">
            <v>C</v>
          </cell>
        </row>
        <row r="118">
          <cell r="A118" t="str">
            <v>NX3261</v>
          </cell>
          <cell r="B118" t="str">
            <v>C</v>
          </cell>
        </row>
        <row r="119">
          <cell r="A119" t="str">
            <v>NX3360</v>
          </cell>
          <cell r="B119" t="str">
            <v>C</v>
          </cell>
        </row>
        <row r="120">
          <cell r="A120" t="str">
            <v>NX4650</v>
          </cell>
          <cell r="B120" t="str">
            <v>C</v>
          </cell>
        </row>
        <row r="121">
          <cell r="A121" t="str">
            <v>NX4831</v>
          </cell>
          <cell r="B121" t="str">
            <v>C</v>
          </cell>
        </row>
        <row r="122">
          <cell r="A122" t="str">
            <v>NX4910</v>
          </cell>
          <cell r="B122" t="str">
            <v>C</v>
          </cell>
        </row>
        <row r="123">
          <cell r="A123" t="str">
            <v>NX4930</v>
          </cell>
          <cell r="B123" t="str">
            <v>C</v>
          </cell>
        </row>
        <row r="124">
          <cell r="A124" t="str">
            <v>NX4931</v>
          </cell>
          <cell r="B124" t="str">
            <v>C</v>
          </cell>
        </row>
        <row r="125">
          <cell r="A125" t="str">
            <v>NX5220</v>
          </cell>
          <cell r="B125" t="str">
            <v>C</v>
          </cell>
        </row>
        <row r="126">
          <cell r="A126" t="str">
            <v>NX5221</v>
          </cell>
          <cell r="B126" t="str">
            <v>C</v>
          </cell>
        </row>
        <row r="127">
          <cell r="A127" t="str">
            <v>NX5818</v>
          </cell>
          <cell r="B127" t="str">
            <v>C</v>
          </cell>
        </row>
        <row r="128">
          <cell r="A128" t="str">
            <v>NX6370</v>
          </cell>
          <cell r="B128" t="str">
            <v>C</v>
          </cell>
        </row>
        <row r="129">
          <cell r="A129" t="str">
            <v>NX6830</v>
          </cell>
          <cell r="B129" t="str">
            <v>C</v>
          </cell>
        </row>
        <row r="130">
          <cell r="A130" t="str">
            <v>NX7121</v>
          </cell>
          <cell r="B130" t="str">
            <v>C</v>
          </cell>
        </row>
        <row r="131">
          <cell r="A131" t="str">
            <v>NX7651</v>
          </cell>
          <cell r="B131" t="str">
            <v>C</v>
          </cell>
        </row>
        <row r="132">
          <cell r="A132" t="str">
            <v>NX8262</v>
          </cell>
          <cell r="B132" t="str">
            <v>C</v>
          </cell>
        </row>
        <row r="133">
          <cell r="A133" t="str">
            <v>NX8901</v>
          </cell>
          <cell r="B133" t="str">
            <v>C</v>
          </cell>
        </row>
        <row r="134">
          <cell r="A134" t="str">
            <v>PX93</v>
          </cell>
          <cell r="B134" t="str">
            <v>C</v>
          </cell>
        </row>
        <row r="135">
          <cell r="A135" t="str">
            <v>PX9903</v>
          </cell>
          <cell r="B135" t="str">
            <v>C</v>
          </cell>
        </row>
        <row r="136">
          <cell r="A136" t="str">
            <v>SB105</v>
          </cell>
          <cell r="B136" t="str">
            <v>C</v>
          </cell>
        </row>
        <row r="137">
          <cell r="A137" t="str">
            <v>SB115</v>
          </cell>
          <cell r="B137" t="str">
            <v>C</v>
          </cell>
        </row>
        <row r="138">
          <cell r="A138" t="str">
            <v>SB22-2500</v>
          </cell>
          <cell r="B138" t="str">
            <v>C</v>
          </cell>
        </row>
        <row r="139">
          <cell r="A139" t="str">
            <v>SB25-2700</v>
          </cell>
          <cell r="B139" t="str">
            <v>C</v>
          </cell>
        </row>
        <row r="140">
          <cell r="A140" t="str">
            <v>SB27-2900</v>
          </cell>
          <cell r="B140" t="str">
            <v>C</v>
          </cell>
        </row>
        <row r="141">
          <cell r="A141" t="str">
            <v>SB2900PL</v>
          </cell>
          <cell r="B141" t="str">
            <v>C</v>
          </cell>
        </row>
        <row r="142">
          <cell r="A142" t="str">
            <v>SB85</v>
          </cell>
          <cell r="B142" t="str">
            <v>C</v>
          </cell>
        </row>
        <row r="143">
          <cell r="A143" t="str">
            <v>SB95</v>
          </cell>
          <cell r="B143" t="str">
            <v>C</v>
          </cell>
        </row>
        <row r="144">
          <cell r="A144" t="str">
            <v>Z62W</v>
          </cell>
          <cell r="B144" t="str">
            <v>C</v>
          </cell>
        </row>
        <row r="145">
          <cell r="A145" t="str">
            <v>Z64W</v>
          </cell>
          <cell r="B145" t="str">
            <v>C</v>
          </cell>
        </row>
        <row r="146">
          <cell r="A146" t="str">
            <v>Z72W</v>
          </cell>
          <cell r="B146" t="str">
            <v>C</v>
          </cell>
        </row>
        <row r="147">
          <cell r="A147" t="str">
            <v>Z74W</v>
          </cell>
          <cell r="B147" t="str">
            <v>C</v>
          </cell>
        </row>
        <row r="148">
          <cell r="A148" t="str">
            <v>Z75</v>
          </cell>
          <cell r="B148" t="str">
            <v>C</v>
          </cell>
        </row>
        <row r="149">
          <cell r="A149" t="str">
            <v>Z75W</v>
          </cell>
          <cell r="B149" t="str">
            <v>C</v>
          </cell>
        </row>
        <row r="150">
          <cell r="A150" t="str">
            <v>Z76W</v>
          </cell>
          <cell r="B150" t="str">
            <v>C</v>
          </cell>
        </row>
        <row r="151">
          <cell r="A151" t="str">
            <v>BP Cust Mgmt    - CO</v>
          </cell>
          <cell r="B151" t="str">
            <v>Disc</v>
          </cell>
        </row>
        <row r="152">
          <cell r="A152" t="str">
            <v>BP GROWTH       - CO</v>
          </cell>
          <cell r="B152" t="str">
            <v>Disc</v>
          </cell>
        </row>
        <row r="153">
          <cell r="A153" t="str">
            <v>BP Invent Mgmt  - CO</v>
          </cell>
          <cell r="B153" t="str">
            <v>Disc</v>
          </cell>
        </row>
        <row r="154">
          <cell r="A154" t="str">
            <v>Corporate Contract A</v>
          </cell>
          <cell r="B154" t="str">
            <v>Disc</v>
          </cell>
        </row>
        <row r="155">
          <cell r="A155" t="str">
            <v>Cust Port Bonus - CO</v>
          </cell>
          <cell r="B155" t="str">
            <v>Disc</v>
          </cell>
        </row>
        <row r="156">
          <cell r="A156" t="str">
            <v>Cust Port Divid - CO</v>
          </cell>
          <cell r="B156" t="str">
            <v>Disc</v>
          </cell>
        </row>
        <row r="157">
          <cell r="A157" t="str">
            <v>Cust Shared Vol - CO</v>
          </cell>
          <cell r="B157" t="str">
            <v>Disc</v>
          </cell>
        </row>
        <row r="158">
          <cell r="A158" t="str">
            <v>Employee Program - C</v>
          </cell>
          <cell r="B158" t="str">
            <v>Disc</v>
          </cell>
        </row>
        <row r="159">
          <cell r="A159" t="str">
            <v>FARM MANAGEMENT PROG</v>
          </cell>
          <cell r="B159" t="str">
            <v>Disc</v>
          </cell>
        </row>
        <row r="160">
          <cell r="A160" t="str">
            <v>Farm Mgmt - Commerce</v>
          </cell>
          <cell r="B160" t="str">
            <v>Disc</v>
          </cell>
        </row>
        <row r="161">
          <cell r="A161" t="str">
            <v>Farm Mgmt Midwest Co</v>
          </cell>
          <cell r="B161" t="str">
            <v>Disc</v>
          </cell>
        </row>
        <row r="162">
          <cell r="A162" t="str">
            <v>Placement Seed - CO</v>
          </cell>
          <cell r="B162" t="str">
            <v>Disc</v>
          </cell>
        </row>
        <row r="163">
          <cell r="A163" t="str">
            <v>Replant - CO</v>
          </cell>
          <cell r="B163" t="str">
            <v>Disc</v>
          </cell>
        </row>
        <row r="164">
          <cell r="A164" t="str">
            <v>Sales Rpt Bonus - CO</v>
          </cell>
          <cell r="B164" t="str">
            <v>Disc</v>
          </cell>
        </row>
        <row r="165">
          <cell r="A165" t="str">
            <v>Service Bonus Agreem</v>
          </cell>
          <cell r="B165" t="str">
            <v>Disc</v>
          </cell>
        </row>
        <row r="166">
          <cell r="A166" t="str">
            <v>Trial Seed - CO</v>
          </cell>
          <cell r="B166" t="str">
            <v>Disc</v>
          </cell>
        </row>
        <row r="167">
          <cell r="A167" t="str">
            <v>Vol Dsct YE Adj - CO</v>
          </cell>
          <cell r="B167" t="str">
            <v>Disc</v>
          </cell>
        </row>
        <row r="168">
          <cell r="A168" t="str">
            <v>MAX007</v>
          </cell>
          <cell r="B168" t="str">
            <v>KN</v>
          </cell>
        </row>
        <row r="169">
          <cell r="A169" t="str">
            <v>MAX127</v>
          </cell>
          <cell r="B169" t="str">
            <v>KN</v>
          </cell>
        </row>
        <row r="170">
          <cell r="A170" t="str">
            <v>MAX21</v>
          </cell>
          <cell r="B170" t="str">
            <v>KN</v>
          </cell>
        </row>
        <row r="171">
          <cell r="A171" t="str">
            <v>MAX23</v>
          </cell>
          <cell r="B171" t="str">
            <v>KN</v>
          </cell>
        </row>
        <row r="172">
          <cell r="A172" t="str">
            <v>MAX357</v>
          </cell>
          <cell r="B172" t="str">
            <v>KN</v>
          </cell>
        </row>
        <row r="173">
          <cell r="A173" t="str">
            <v>MAX40</v>
          </cell>
          <cell r="B173" t="str">
            <v>KN</v>
          </cell>
        </row>
        <row r="174">
          <cell r="A174" t="str">
            <v>MAX454</v>
          </cell>
          <cell r="B174" t="str">
            <v>KN</v>
          </cell>
        </row>
        <row r="175">
          <cell r="A175" t="str">
            <v>MAX496</v>
          </cell>
          <cell r="B175" t="str">
            <v>KN</v>
          </cell>
        </row>
        <row r="176">
          <cell r="A176" t="str">
            <v>MAX607</v>
          </cell>
          <cell r="B176" t="str">
            <v>KN</v>
          </cell>
        </row>
        <row r="177">
          <cell r="A177" t="str">
            <v>MAX747</v>
          </cell>
          <cell r="B177" t="str">
            <v>KN</v>
          </cell>
        </row>
        <row r="178">
          <cell r="A178" t="str">
            <v>MAX78</v>
          </cell>
          <cell r="B178" t="str">
            <v>KN</v>
          </cell>
        </row>
        <row r="179">
          <cell r="A179" t="str">
            <v>MAX86</v>
          </cell>
          <cell r="B179" t="str">
            <v>KN</v>
          </cell>
        </row>
        <row r="180">
          <cell r="A180" t="str">
            <v>MAX88</v>
          </cell>
          <cell r="B180" t="str">
            <v>KN</v>
          </cell>
        </row>
        <row r="181">
          <cell r="A181" t="str">
            <v>MAX88 WRONG</v>
          </cell>
          <cell r="B181" t="str">
            <v>KN</v>
          </cell>
        </row>
        <row r="182">
          <cell r="A182" t="str">
            <v>N17-G7</v>
          </cell>
          <cell r="B182" t="str">
            <v>KN</v>
          </cell>
        </row>
        <row r="183">
          <cell r="A183" t="str">
            <v>N35-N4</v>
          </cell>
          <cell r="B183" t="str">
            <v>KN</v>
          </cell>
        </row>
        <row r="184">
          <cell r="A184" t="str">
            <v>N47-H7</v>
          </cell>
          <cell r="B184" t="str">
            <v>KN</v>
          </cell>
        </row>
        <row r="185">
          <cell r="A185" t="str">
            <v>N53-M1</v>
          </cell>
          <cell r="B185" t="str">
            <v>KN</v>
          </cell>
        </row>
        <row r="186">
          <cell r="A186" t="str">
            <v>N57-E3</v>
          </cell>
          <cell r="B186" t="str">
            <v>KN</v>
          </cell>
        </row>
        <row r="187">
          <cell r="A187" t="str">
            <v>N64-Z4</v>
          </cell>
          <cell r="B187" t="str">
            <v>KN</v>
          </cell>
        </row>
        <row r="188">
          <cell r="A188" t="str">
            <v>N65-R5</v>
          </cell>
          <cell r="B188" t="str">
            <v>KN</v>
          </cell>
        </row>
        <row r="189">
          <cell r="A189" t="str">
            <v>N67-B8</v>
          </cell>
          <cell r="B189" t="str">
            <v>KN</v>
          </cell>
        </row>
        <row r="190">
          <cell r="A190" t="str">
            <v>N75-T2</v>
          </cell>
          <cell r="B190" t="str">
            <v>KN</v>
          </cell>
        </row>
        <row r="191">
          <cell r="A191" t="str">
            <v>L22-H3</v>
          </cell>
          <cell r="B191" t="str">
            <v>RR</v>
          </cell>
        </row>
        <row r="192">
          <cell r="A192" t="str">
            <v>L44-G9</v>
          </cell>
          <cell r="B192" t="str">
            <v>RR</v>
          </cell>
        </row>
        <row r="193">
          <cell r="A193" t="str">
            <v>L45-F3</v>
          </cell>
          <cell r="B193" t="str">
            <v>RR</v>
          </cell>
        </row>
        <row r="194">
          <cell r="A194" t="str">
            <v>L49-Y1</v>
          </cell>
          <cell r="B194" t="str">
            <v>RR</v>
          </cell>
        </row>
        <row r="195">
          <cell r="A195" t="str">
            <v>L59-A3</v>
          </cell>
          <cell r="B195" t="str">
            <v>RR</v>
          </cell>
        </row>
        <row r="196">
          <cell r="A196" t="str">
            <v>L64-C2</v>
          </cell>
          <cell r="B196" t="str">
            <v>RR</v>
          </cell>
        </row>
        <row r="197">
          <cell r="A197" t="str">
            <v>115VNSBT</v>
          </cell>
          <cell r="B197" t="str">
            <v>YG</v>
          </cell>
        </row>
        <row r="198">
          <cell r="A198" t="str">
            <v>50P20LL</v>
          </cell>
          <cell r="B198" t="str">
            <v>YG</v>
          </cell>
        </row>
        <row r="199">
          <cell r="A199" t="str">
            <v>67M78LL</v>
          </cell>
          <cell r="B199" t="str">
            <v>YG</v>
          </cell>
        </row>
        <row r="200">
          <cell r="A200" t="str">
            <v>85P57LL</v>
          </cell>
          <cell r="B200" t="str">
            <v>YG</v>
          </cell>
        </row>
        <row r="201">
          <cell r="A201" t="str">
            <v>85VNSBT</v>
          </cell>
          <cell r="B201" t="str">
            <v>YG</v>
          </cell>
        </row>
        <row r="202">
          <cell r="A202" t="str">
            <v>90M28LL</v>
          </cell>
          <cell r="B202" t="str">
            <v>YG</v>
          </cell>
        </row>
        <row r="203">
          <cell r="A203" t="str">
            <v>95VNSBT</v>
          </cell>
          <cell r="B203" t="str">
            <v>YG</v>
          </cell>
        </row>
        <row r="204">
          <cell r="A204" t="str">
            <v>G110BT</v>
          </cell>
          <cell r="B204" t="str">
            <v>YG</v>
          </cell>
        </row>
        <row r="205">
          <cell r="A205" t="str">
            <v>G95BT</v>
          </cell>
          <cell r="B205" t="str">
            <v>YG</v>
          </cell>
        </row>
        <row r="206">
          <cell r="A206" t="str">
            <v>N03-D8</v>
          </cell>
          <cell r="B206" t="str">
            <v>YG</v>
          </cell>
        </row>
        <row r="207">
          <cell r="A207" t="str">
            <v>N09-A5</v>
          </cell>
          <cell r="B207" t="str">
            <v>YG</v>
          </cell>
        </row>
        <row r="208">
          <cell r="A208" t="str">
            <v>N15-P6</v>
          </cell>
          <cell r="B208" t="str">
            <v>YG</v>
          </cell>
        </row>
        <row r="209">
          <cell r="A209" t="str">
            <v>N16-N7</v>
          </cell>
          <cell r="B209" t="str">
            <v>YG</v>
          </cell>
        </row>
        <row r="210">
          <cell r="A210" t="str">
            <v>N17-C5</v>
          </cell>
          <cell r="B210" t="str">
            <v>YG</v>
          </cell>
        </row>
        <row r="211">
          <cell r="A211" t="str">
            <v>N17-R3</v>
          </cell>
          <cell r="B211" t="str">
            <v>YG</v>
          </cell>
        </row>
        <row r="212">
          <cell r="A212" t="str">
            <v>N18-F7</v>
          </cell>
          <cell r="B212" t="str">
            <v>YG</v>
          </cell>
        </row>
        <row r="213">
          <cell r="A213" t="str">
            <v>N22-T8</v>
          </cell>
          <cell r="B213" t="str">
            <v>YG</v>
          </cell>
        </row>
        <row r="214">
          <cell r="A214" t="str">
            <v>N24-B9</v>
          </cell>
          <cell r="B214" t="str">
            <v>YG</v>
          </cell>
        </row>
        <row r="215">
          <cell r="A215" t="str">
            <v>N2555BT</v>
          </cell>
          <cell r="B215" t="str">
            <v>YG</v>
          </cell>
        </row>
        <row r="216">
          <cell r="A216" t="str">
            <v>N25-D7</v>
          </cell>
          <cell r="B216" t="str">
            <v>YG</v>
          </cell>
        </row>
        <row r="217">
          <cell r="A217" t="str">
            <v>N25-J7</v>
          </cell>
          <cell r="B217" t="str">
            <v>YG</v>
          </cell>
        </row>
        <row r="218">
          <cell r="A218" t="str">
            <v>N27-M3</v>
          </cell>
          <cell r="B218" t="str">
            <v>YG</v>
          </cell>
        </row>
        <row r="219">
          <cell r="A219" t="str">
            <v>N29-F1</v>
          </cell>
          <cell r="B219" t="str">
            <v>YG</v>
          </cell>
        </row>
        <row r="220">
          <cell r="A220" t="str">
            <v>N3030BT</v>
          </cell>
          <cell r="B220" t="str">
            <v>YG</v>
          </cell>
        </row>
        <row r="221">
          <cell r="A221" t="str">
            <v>N32-L3</v>
          </cell>
          <cell r="B221" t="str">
            <v>YG</v>
          </cell>
        </row>
        <row r="222">
          <cell r="A222" t="str">
            <v>N32-L9</v>
          </cell>
          <cell r="B222" t="str">
            <v>YG</v>
          </cell>
        </row>
        <row r="223">
          <cell r="A223" t="str">
            <v>N33-V5</v>
          </cell>
          <cell r="B223" t="str">
            <v>YG</v>
          </cell>
        </row>
        <row r="224">
          <cell r="A224" t="str">
            <v>N4242BT</v>
          </cell>
          <cell r="B224" t="str">
            <v>YG</v>
          </cell>
        </row>
        <row r="225">
          <cell r="A225" t="str">
            <v>N42-B7</v>
          </cell>
          <cell r="B225" t="str">
            <v>YG</v>
          </cell>
        </row>
        <row r="226">
          <cell r="A226" t="str">
            <v>N43-C4</v>
          </cell>
          <cell r="B226" t="str">
            <v>YG</v>
          </cell>
        </row>
        <row r="227">
          <cell r="A227" t="str">
            <v>N43-M9</v>
          </cell>
          <cell r="B227" t="str">
            <v>YG</v>
          </cell>
        </row>
        <row r="228">
          <cell r="A228" t="str">
            <v>N44-P4</v>
          </cell>
          <cell r="B228" t="str">
            <v>YG</v>
          </cell>
        </row>
        <row r="229">
          <cell r="A229" t="str">
            <v>N45-A6</v>
          </cell>
          <cell r="B229" t="str">
            <v>YG</v>
          </cell>
        </row>
        <row r="230">
          <cell r="A230" t="str">
            <v>N4640BT</v>
          </cell>
          <cell r="B230" t="str">
            <v>YG</v>
          </cell>
        </row>
        <row r="231">
          <cell r="A231" t="str">
            <v>N48-V8</v>
          </cell>
          <cell r="B231" t="str">
            <v>YG</v>
          </cell>
        </row>
        <row r="232">
          <cell r="A232" t="str">
            <v>N51-Z7</v>
          </cell>
          <cell r="B232" t="str">
            <v>YG</v>
          </cell>
        </row>
        <row r="233">
          <cell r="A233" t="str">
            <v>N58-D1</v>
          </cell>
          <cell r="B233" t="str">
            <v>YG</v>
          </cell>
        </row>
        <row r="234">
          <cell r="A234" t="str">
            <v>N60-B6</v>
          </cell>
          <cell r="B234" t="str">
            <v>YG</v>
          </cell>
        </row>
        <row r="235">
          <cell r="A235" t="str">
            <v>N64-J9</v>
          </cell>
          <cell r="B235" t="str">
            <v>YG</v>
          </cell>
        </row>
        <row r="236">
          <cell r="A236" t="str">
            <v>N65-A1</v>
          </cell>
          <cell r="B236" t="str">
            <v>YG</v>
          </cell>
        </row>
        <row r="237">
          <cell r="A237" t="str">
            <v>N65-Y3</v>
          </cell>
          <cell r="B237" t="str">
            <v>YG</v>
          </cell>
        </row>
        <row r="238">
          <cell r="A238" t="str">
            <v>N67-T4</v>
          </cell>
          <cell r="B238" t="str">
            <v>YG</v>
          </cell>
        </row>
        <row r="239">
          <cell r="A239" t="str">
            <v>N6800BT</v>
          </cell>
          <cell r="B239" t="str">
            <v>YG</v>
          </cell>
        </row>
        <row r="240">
          <cell r="A240" t="str">
            <v>N68-K7</v>
          </cell>
          <cell r="B240" t="str">
            <v>YG</v>
          </cell>
        </row>
        <row r="241">
          <cell r="A241" t="str">
            <v>N7070BT</v>
          </cell>
          <cell r="B241" t="str">
            <v>YG</v>
          </cell>
        </row>
        <row r="242">
          <cell r="A242" t="str">
            <v>N71-T7</v>
          </cell>
          <cell r="B242" t="str">
            <v>YG</v>
          </cell>
        </row>
        <row r="243">
          <cell r="A243" t="str">
            <v>N7333BT</v>
          </cell>
          <cell r="B243" t="str">
            <v>YG</v>
          </cell>
        </row>
        <row r="244">
          <cell r="A244" t="str">
            <v>N74-H3</v>
          </cell>
          <cell r="B244" t="str">
            <v>YG</v>
          </cell>
        </row>
        <row r="245">
          <cell r="A245" t="str">
            <v>N7590BT</v>
          </cell>
          <cell r="B245" t="str">
            <v>YG</v>
          </cell>
        </row>
        <row r="246">
          <cell r="A246" t="str">
            <v>N7639BT</v>
          </cell>
          <cell r="B246" t="str">
            <v>YG</v>
          </cell>
        </row>
        <row r="247">
          <cell r="A247" t="str">
            <v>N77-N3</v>
          </cell>
          <cell r="B247" t="str">
            <v>YG</v>
          </cell>
        </row>
        <row r="248">
          <cell r="A248" t="str">
            <v>N79-L3</v>
          </cell>
          <cell r="B248" t="str">
            <v>YG</v>
          </cell>
        </row>
        <row r="249">
          <cell r="A249" t="str">
            <v>N82-J6</v>
          </cell>
          <cell r="B249" t="str">
            <v>YG</v>
          </cell>
        </row>
        <row r="250">
          <cell r="A250" t="str">
            <v>N83-Z8</v>
          </cell>
          <cell r="B250" t="str">
            <v>YG</v>
          </cell>
        </row>
        <row r="251">
          <cell r="A251" t="str">
            <v>NX1519</v>
          </cell>
          <cell r="B251" t="str">
            <v>YG</v>
          </cell>
        </row>
        <row r="252">
          <cell r="A252" t="str">
            <v>NX1870</v>
          </cell>
          <cell r="B252" t="str">
            <v>YG</v>
          </cell>
        </row>
        <row r="253">
          <cell r="A253" t="str">
            <v>NX2211</v>
          </cell>
          <cell r="B253" t="str">
            <v>YG</v>
          </cell>
        </row>
        <row r="254">
          <cell r="A254" t="str">
            <v>NX2240</v>
          </cell>
          <cell r="B254" t="str">
            <v>YG</v>
          </cell>
        </row>
        <row r="255">
          <cell r="A255" t="str">
            <v>NX2329</v>
          </cell>
          <cell r="B255" t="str">
            <v>YG</v>
          </cell>
        </row>
        <row r="256">
          <cell r="A256" t="str">
            <v>NX2521</v>
          </cell>
          <cell r="B256" t="str">
            <v>YG</v>
          </cell>
        </row>
        <row r="257">
          <cell r="A257" t="str">
            <v>NX3130</v>
          </cell>
          <cell r="B257" t="str">
            <v>YG</v>
          </cell>
        </row>
        <row r="258">
          <cell r="A258" t="str">
            <v>NX3151</v>
          </cell>
          <cell r="B258" t="str">
            <v>YG</v>
          </cell>
        </row>
        <row r="259">
          <cell r="A259" t="str">
            <v>NX3241</v>
          </cell>
          <cell r="B259" t="str">
            <v>YG</v>
          </cell>
        </row>
        <row r="260">
          <cell r="A260" t="str">
            <v>NX3310</v>
          </cell>
          <cell r="B260" t="str">
            <v>YG</v>
          </cell>
        </row>
        <row r="261">
          <cell r="A261" t="str">
            <v>NX3320</v>
          </cell>
          <cell r="B261" t="str">
            <v>YG</v>
          </cell>
        </row>
        <row r="262">
          <cell r="A262" t="str">
            <v>NX3511</v>
          </cell>
          <cell r="B262" t="str">
            <v>YG</v>
          </cell>
        </row>
        <row r="263">
          <cell r="A263" t="str">
            <v>NX4178</v>
          </cell>
          <cell r="B263" t="str">
            <v>YG</v>
          </cell>
        </row>
        <row r="264">
          <cell r="A264" t="str">
            <v>NX4329</v>
          </cell>
          <cell r="B264" t="str">
            <v>YG</v>
          </cell>
        </row>
        <row r="265">
          <cell r="A265" t="str">
            <v>NX4331</v>
          </cell>
          <cell r="B265" t="str">
            <v>YG</v>
          </cell>
        </row>
        <row r="266">
          <cell r="A266" t="str">
            <v>NX4611</v>
          </cell>
          <cell r="B266" t="str">
            <v>YG</v>
          </cell>
        </row>
        <row r="267">
          <cell r="A267" t="str">
            <v>NX4631</v>
          </cell>
          <cell r="B267" t="str">
            <v>YG</v>
          </cell>
        </row>
        <row r="268">
          <cell r="A268" t="str">
            <v>NX4649</v>
          </cell>
          <cell r="B268" t="str">
            <v>YG</v>
          </cell>
        </row>
        <row r="269">
          <cell r="A269" t="str">
            <v>NX4821</v>
          </cell>
          <cell r="B269" t="str">
            <v>YG</v>
          </cell>
        </row>
        <row r="270">
          <cell r="A270" t="str">
            <v>NX4828</v>
          </cell>
          <cell r="B270" t="str">
            <v>YG</v>
          </cell>
        </row>
        <row r="271">
          <cell r="A271" t="str">
            <v>NX4880</v>
          </cell>
          <cell r="B271" t="str">
            <v>YG</v>
          </cell>
        </row>
        <row r="272">
          <cell r="A272" t="str">
            <v>NX4911</v>
          </cell>
          <cell r="B272" t="str">
            <v>YG</v>
          </cell>
        </row>
        <row r="273">
          <cell r="A273" t="str">
            <v>NX4920</v>
          </cell>
          <cell r="B273" t="str">
            <v>YG</v>
          </cell>
        </row>
        <row r="274">
          <cell r="A274" t="str">
            <v>NX5111</v>
          </cell>
          <cell r="B274" t="str">
            <v>YG</v>
          </cell>
        </row>
        <row r="275">
          <cell r="A275" t="str">
            <v>NX5141</v>
          </cell>
          <cell r="B275" t="str">
            <v>YG</v>
          </cell>
        </row>
        <row r="276">
          <cell r="A276" t="str">
            <v>NX5210</v>
          </cell>
          <cell r="B276" t="str">
            <v>YG</v>
          </cell>
        </row>
        <row r="277">
          <cell r="A277" t="str">
            <v>NX5231</v>
          </cell>
          <cell r="B277" t="str">
            <v>YG</v>
          </cell>
        </row>
        <row r="278">
          <cell r="A278" t="str">
            <v>NX5299</v>
          </cell>
          <cell r="B278" t="str">
            <v>YG</v>
          </cell>
        </row>
        <row r="279">
          <cell r="A279" t="str">
            <v>NX5331</v>
          </cell>
          <cell r="B279" t="str">
            <v>YG</v>
          </cell>
        </row>
        <row r="280">
          <cell r="A280" t="str">
            <v>NX5817</v>
          </cell>
          <cell r="B280" t="str">
            <v>YG</v>
          </cell>
        </row>
        <row r="281">
          <cell r="A281" t="str">
            <v>NX5991</v>
          </cell>
          <cell r="B281" t="str">
            <v>YG</v>
          </cell>
        </row>
        <row r="282">
          <cell r="A282" t="str">
            <v>NX6391</v>
          </cell>
          <cell r="B282" t="str">
            <v>YG</v>
          </cell>
        </row>
        <row r="283">
          <cell r="A283" t="str">
            <v>NX6801</v>
          </cell>
          <cell r="B283" t="str">
            <v>YG</v>
          </cell>
        </row>
        <row r="284">
          <cell r="A284" t="str">
            <v>NX6890</v>
          </cell>
          <cell r="B284" t="str">
            <v>YG</v>
          </cell>
        </row>
        <row r="285">
          <cell r="A285" t="str">
            <v>NX6900</v>
          </cell>
          <cell r="B285" t="str">
            <v>YG</v>
          </cell>
        </row>
        <row r="286">
          <cell r="A286" t="str">
            <v>NX6930</v>
          </cell>
          <cell r="B286" t="str">
            <v>YG</v>
          </cell>
        </row>
        <row r="287">
          <cell r="A287" t="str">
            <v>NX6931</v>
          </cell>
          <cell r="B287" t="str">
            <v>YG</v>
          </cell>
        </row>
        <row r="288">
          <cell r="A288" t="str">
            <v>NX6961</v>
          </cell>
          <cell r="B288" t="str">
            <v>YG</v>
          </cell>
        </row>
        <row r="289">
          <cell r="A289" t="str">
            <v>NX7311</v>
          </cell>
          <cell r="B289" t="str">
            <v>YG</v>
          </cell>
        </row>
        <row r="290">
          <cell r="A290" t="str">
            <v>NX7330</v>
          </cell>
          <cell r="B290" t="str">
            <v>YG</v>
          </cell>
        </row>
        <row r="291">
          <cell r="A291" t="str">
            <v>NX7541</v>
          </cell>
          <cell r="B291" t="str">
            <v>YG</v>
          </cell>
        </row>
        <row r="292">
          <cell r="A292" t="str">
            <v>NX7621</v>
          </cell>
          <cell r="B292" t="str">
            <v>YG</v>
          </cell>
        </row>
        <row r="293">
          <cell r="A293" t="str">
            <v>NX7630</v>
          </cell>
          <cell r="B293" t="str">
            <v>YG</v>
          </cell>
        </row>
        <row r="294">
          <cell r="A294" t="str">
            <v>NX7670</v>
          </cell>
          <cell r="B294" t="str">
            <v>YG</v>
          </cell>
        </row>
        <row r="295">
          <cell r="A295" t="str">
            <v>NX7901</v>
          </cell>
          <cell r="B295" t="str">
            <v>YG</v>
          </cell>
        </row>
        <row r="296">
          <cell r="A296" t="str">
            <v>NX8201</v>
          </cell>
          <cell r="B296" t="str">
            <v>YG</v>
          </cell>
        </row>
        <row r="297">
          <cell r="A297" t="str">
            <v>NX8218</v>
          </cell>
          <cell r="B297" t="str">
            <v>YG</v>
          </cell>
        </row>
        <row r="298">
          <cell r="A298" t="str">
            <v>SB105BT</v>
          </cell>
          <cell r="B298" t="str">
            <v>YG</v>
          </cell>
        </row>
        <row r="299">
          <cell r="A299" t="str">
            <v>SB115BT</v>
          </cell>
          <cell r="B299" t="str">
            <v>YG</v>
          </cell>
        </row>
        <row r="300">
          <cell r="A300" t="str">
            <v>SB85BT</v>
          </cell>
          <cell r="B300" t="str">
            <v>YG</v>
          </cell>
        </row>
        <row r="301">
          <cell r="A301" t="str">
            <v>SB95BT</v>
          </cell>
          <cell r="B301" t="str">
            <v>YG</v>
          </cell>
        </row>
        <row r="302">
          <cell r="A302" t="str">
            <v>X2921</v>
          </cell>
          <cell r="B302" t="str">
            <v>YG</v>
          </cell>
        </row>
      </sheetData>
      <sheetData sheetId="12"/>
      <sheetData sheetId="1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ettings"/>
      <sheetName val="Index"/>
      <sheetName val="Validations 1"/>
      <sheetName val="Validations 2"/>
      <sheetName val="IS01"/>
      <sheetName val="IS02"/>
      <sheetName val="IS03"/>
      <sheetName val="IS04"/>
      <sheetName val="IS04A"/>
      <sheetName val="IS05"/>
      <sheetName val="IS06"/>
      <sheetName val="IS06A"/>
      <sheetName val="IS07"/>
      <sheetName val="IS07A"/>
      <sheetName val="IS08"/>
      <sheetName val="IS09"/>
      <sheetName val="IS10"/>
      <sheetName val="IS11"/>
      <sheetName val="IS12"/>
      <sheetName val="IS13"/>
      <sheetName val="IS14"/>
      <sheetName val="IS16"/>
      <sheetName val="BS01"/>
      <sheetName val="BS04"/>
      <sheetName val="BS05"/>
      <sheetName val="BS06"/>
      <sheetName val="BS07"/>
      <sheetName val="BS08"/>
      <sheetName val="BS09"/>
      <sheetName val="BS10"/>
      <sheetName val="BS11"/>
      <sheetName val="BS12"/>
      <sheetName val="BS13"/>
      <sheetName val="BS14"/>
      <sheetName val="BS15"/>
      <sheetName val="BS16"/>
      <sheetName val="BS17"/>
      <sheetName val="BS18"/>
      <sheetName val="BS19"/>
      <sheetName val="BS20"/>
      <sheetName val="BS21"/>
      <sheetName val="BS22"/>
      <sheetName val="BS23"/>
      <sheetName val="BS24"/>
      <sheetName val="BS25"/>
      <sheetName val="BS26"/>
      <sheetName val="BS27"/>
      <sheetName val="CF01"/>
      <sheetName val="CF02"/>
      <sheetName val="CF03"/>
      <sheetName val="CF04"/>
      <sheetName val="CF02 LOGIC"/>
      <sheetName val="DataSheet"/>
      <sheetName val="Glossary"/>
      <sheetName val="Appendix 1"/>
      <sheetName val="Appendix 2"/>
      <sheetName val="Appendix 3"/>
      <sheetName val="Appendix 4"/>
      <sheetName val="Appendix 5"/>
      <sheetName val="TX01"/>
      <sheetName val="TX02"/>
    </sheetNames>
    <sheetDataSet>
      <sheetData sheetId="0" refreshError="1"/>
      <sheetData sheetId="1" refreshError="1">
        <row r="7">
          <cell r="A7" t="str">
            <v>Version 1.6 -  28 Mar 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og"/>
      <sheetName val="Datasheet"/>
      <sheetName val="Set-up"/>
      <sheetName val="Syngenta IS Actual Lnk"/>
      <sheetName val="Syngenta IS Budget Lnk"/>
      <sheetName val="Crop Protection IS Actual Lnk"/>
      <sheetName val="Crop Protection IS Budget Lnk"/>
      <sheetName val="Seeds IS Actual Lnk"/>
      <sheetName val="Seeds IS Budget Lnk"/>
      <sheetName val="Corp IS Actual Lnk"/>
      <sheetName val="Corp IS Budget Lnk"/>
      <sheetName val="Syngenta Div Var Act (Lnk)"/>
      <sheetName val="Syngenta Div Var Bud (Lnk)"/>
      <sheetName val="Syngenta Div summ Act (Lnk)"/>
      <sheetName val="Syngenta Div summ Bud (Lnk)"/>
      <sheetName val="CP Div summ Var Actual (Lnk)"/>
      <sheetName val="CP Div summ Var Budget (Lnk)"/>
      <sheetName val="CP Div summ Actual Lnk"/>
      <sheetName val="CP Div summ Budget Lnk"/>
      <sheetName val="CP Div summ Regions Actual Lnk"/>
      <sheetName val="CP Div summ Regions Budget Lnk"/>
      <sheetName val="CP Expenses Actual Lnk"/>
      <sheetName val="CP Expenses Budget Lnk"/>
      <sheetName val="Syngenta BS Actual Lnk"/>
      <sheetName val="Syngenta BS Budget Lnk"/>
      <sheetName val="Syngenta CF Actual Lnk"/>
      <sheetName val="BS Syngenta Act Lnk"/>
      <sheetName val="BS Syngenta Bud Lnk"/>
      <sheetName val="CFlow Ytd Actual Lnk"/>
      <sheetName val="CFlow Ytd Div Actual Lnk"/>
      <sheetName val="Syngenta IC Actual Lnk"/>
      <sheetName val="WC Actual Lnk"/>
      <sheetName val="WC Budget Lnk"/>
      <sheetName val="CO&amp;GS Summary Act Lnk"/>
      <sheetName val="CO&amp;GS Summary Bud Lnk"/>
      <sheetName val="COGS Fixed costs Act Lnk"/>
      <sheetName val="COGS Fixed costs Bud Lnk"/>
      <sheetName val="COGS Variable Lnk"/>
      <sheetName val="JA's CP IS Actual ....."/>
      <sheetName val="JA's CP IS Budget ....."/>
      <sheetName val="Syn Territorial Sales Act Lnk"/>
      <sheetName val="Syn Territorial Sales Bud Lnk"/>
      <sheetName val="CP Territorial Sales Act Lnk"/>
      <sheetName val="CP Territorial Sales Bud Lnk"/>
      <sheetName val="Seeds Territorial Sales Act Lnk"/>
      <sheetName val="Seeds Territorial Sales Bud Lnk"/>
      <sheetName val="Product Sales Actual Lnk"/>
      <sheetName val="Product Sales Budget Lnk"/>
      <sheetName val="Auto Macros"/>
      <sheetName val="Navigation Macros"/>
      <sheetName val="Print Macros"/>
      <sheetName val="Set-up Macros"/>
      <sheetName val="Jan 2001 IS"/>
      <sheetName val="WC Act胬м_x0000__x0004__x0000__x0000__x0000_"/>
    </sheetNames>
    <sheetDataSet>
      <sheetData sheetId="0" refreshError="1"/>
      <sheetData sheetId="1" refreshError="1"/>
      <sheetData sheetId="2" refreshError="1">
        <row r="27">
          <cell r="D27">
            <v>2001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18"/>
  <sheetViews>
    <sheetView showGridLines="0" workbookViewId="0">
      <selection activeCell="D11" sqref="D11:R11"/>
    </sheetView>
  </sheetViews>
  <sheetFormatPr defaultRowHeight="13.2" x14ac:dyDescent="0.25"/>
  <cols>
    <col min="2" max="2" width="2.33203125" customWidth="1"/>
    <col min="3" max="3" width="2.6640625" style="6" customWidth="1"/>
  </cols>
  <sheetData>
    <row r="2" spans="2:18" ht="13.8" thickBot="1" x14ac:dyDescent="0.3"/>
    <row r="3" spans="2:18" x14ac:dyDescent="0.25">
      <c r="B3" s="9"/>
      <c r="C3" s="10"/>
      <c r="D3" s="11"/>
      <c r="E3" s="11"/>
      <c r="F3" s="11"/>
      <c r="G3" s="11"/>
      <c r="H3" s="11"/>
      <c r="I3" s="11"/>
      <c r="J3" s="11"/>
      <c r="K3" s="11"/>
      <c r="L3" s="11"/>
      <c r="M3" s="11"/>
      <c r="N3" s="11"/>
      <c r="O3" s="11"/>
      <c r="P3" s="11"/>
      <c r="Q3" s="11"/>
      <c r="R3" s="12"/>
    </row>
    <row r="4" spans="2:18" x14ac:dyDescent="0.25">
      <c r="B4" s="13"/>
      <c r="D4" s="68" t="s">
        <v>0</v>
      </c>
      <c r="E4" s="68"/>
      <c r="F4" s="68"/>
      <c r="G4" s="68"/>
      <c r="H4" s="68"/>
      <c r="I4" s="68"/>
      <c r="J4" s="68"/>
      <c r="K4" s="68"/>
      <c r="L4" s="68"/>
      <c r="M4" s="68"/>
      <c r="N4" s="68"/>
      <c r="O4" s="68"/>
      <c r="P4" s="68"/>
      <c r="Q4" s="68"/>
      <c r="R4" s="69"/>
    </row>
    <row r="5" spans="2:18" x14ac:dyDescent="0.25">
      <c r="B5" s="13"/>
      <c r="D5" s="68"/>
      <c r="E5" s="68"/>
      <c r="F5" s="68"/>
      <c r="G5" s="68"/>
      <c r="H5" s="68"/>
      <c r="I5" s="68"/>
      <c r="J5" s="68"/>
      <c r="K5" s="68"/>
      <c r="L5" s="68"/>
      <c r="M5" s="68"/>
      <c r="N5" s="68"/>
      <c r="O5" s="68"/>
      <c r="P5" s="68"/>
      <c r="Q5" s="68"/>
      <c r="R5" s="69"/>
    </row>
    <row r="6" spans="2:18" x14ac:dyDescent="0.25">
      <c r="B6" s="13"/>
      <c r="R6" s="14"/>
    </row>
    <row r="7" spans="2:18" x14ac:dyDescent="0.25">
      <c r="B7" s="13"/>
      <c r="R7" s="14"/>
    </row>
    <row r="8" spans="2:18" x14ac:dyDescent="0.25">
      <c r="B8" s="13"/>
      <c r="R8" s="14"/>
    </row>
    <row r="9" spans="2:18" s="7" customFormat="1" ht="21" x14ac:dyDescent="0.35">
      <c r="B9" s="20"/>
      <c r="C9" s="19">
        <v>1</v>
      </c>
      <c r="D9" s="66" t="s">
        <v>1</v>
      </c>
      <c r="E9" s="66"/>
      <c r="F9" s="66"/>
      <c r="G9" s="66"/>
      <c r="H9" s="66"/>
      <c r="I9" s="66"/>
      <c r="J9" s="66"/>
      <c r="K9" s="66"/>
      <c r="L9" s="66"/>
      <c r="M9" s="66"/>
      <c r="N9" s="66"/>
      <c r="O9" s="66"/>
      <c r="P9" s="66"/>
      <c r="Q9" s="66"/>
      <c r="R9" s="67"/>
    </row>
    <row r="10" spans="2:18" s="7" customFormat="1" ht="21" x14ac:dyDescent="0.35">
      <c r="B10" s="20"/>
      <c r="C10" s="19">
        <v>2</v>
      </c>
      <c r="D10" s="66" t="s">
        <v>2</v>
      </c>
      <c r="E10" s="66"/>
      <c r="F10" s="66"/>
      <c r="G10" s="66"/>
      <c r="H10" s="66"/>
      <c r="I10" s="66"/>
      <c r="J10" s="66"/>
      <c r="K10" s="66"/>
      <c r="L10" s="66"/>
      <c r="M10" s="66"/>
      <c r="N10" s="66"/>
      <c r="O10" s="66"/>
      <c r="P10" s="66"/>
      <c r="Q10" s="66"/>
      <c r="R10" s="67"/>
    </row>
    <row r="11" spans="2:18" s="7" customFormat="1" ht="21" x14ac:dyDescent="0.35">
      <c r="B11" s="20"/>
      <c r="C11" s="19">
        <v>3</v>
      </c>
      <c r="D11" s="66" t="s">
        <v>3</v>
      </c>
      <c r="E11" s="66"/>
      <c r="F11" s="66"/>
      <c r="G11" s="66"/>
      <c r="H11" s="66"/>
      <c r="I11" s="66"/>
      <c r="J11" s="66"/>
      <c r="K11" s="66"/>
      <c r="L11" s="66"/>
      <c r="M11" s="66"/>
      <c r="N11" s="66"/>
      <c r="O11" s="66"/>
      <c r="P11" s="66"/>
      <c r="Q11" s="66"/>
      <c r="R11" s="67"/>
    </row>
    <row r="12" spans="2:18" s="7" customFormat="1" ht="21" x14ac:dyDescent="0.35">
      <c r="B12" s="20"/>
      <c r="C12" s="19">
        <v>4</v>
      </c>
      <c r="D12" s="66" t="s">
        <v>4</v>
      </c>
      <c r="E12" s="66"/>
      <c r="F12" s="66"/>
      <c r="G12" s="66"/>
      <c r="H12" s="66"/>
      <c r="I12" s="66"/>
      <c r="J12" s="66"/>
      <c r="K12" s="66"/>
      <c r="L12" s="66"/>
      <c r="M12" s="66"/>
      <c r="N12" s="66"/>
      <c r="O12" s="66"/>
      <c r="P12" s="66"/>
      <c r="Q12" s="66"/>
      <c r="R12" s="67"/>
    </row>
    <row r="13" spans="2:18" s="7" customFormat="1" ht="21.6" thickBot="1" x14ac:dyDescent="0.4">
      <c r="B13" s="15"/>
      <c r="C13" s="16"/>
      <c r="D13" s="17"/>
      <c r="E13" s="17"/>
      <c r="F13" s="17"/>
      <c r="G13" s="17"/>
      <c r="H13" s="17"/>
      <c r="I13" s="17"/>
      <c r="J13" s="17"/>
      <c r="K13" s="17"/>
      <c r="L13" s="17"/>
      <c r="M13" s="17"/>
      <c r="N13" s="17"/>
      <c r="O13" s="17"/>
      <c r="P13" s="17"/>
      <c r="Q13" s="17"/>
      <c r="R13" s="18"/>
    </row>
    <row r="14" spans="2:18" s="7" customFormat="1" ht="21" x14ac:dyDescent="0.35">
      <c r="C14" s="8"/>
    </row>
    <row r="15" spans="2:18" s="7" customFormat="1" ht="21" x14ac:dyDescent="0.35">
      <c r="C15" s="8"/>
    </row>
    <row r="16" spans="2:18" s="7" customFormat="1" ht="21" x14ac:dyDescent="0.35">
      <c r="C16" s="8"/>
    </row>
    <row r="17" spans="3:3" s="7" customFormat="1" ht="21" x14ac:dyDescent="0.35">
      <c r="C17" s="8"/>
    </row>
    <row r="18" spans="3:3" s="7" customFormat="1" ht="21" x14ac:dyDescent="0.35">
      <c r="C18" s="8"/>
    </row>
  </sheetData>
  <mergeCells count="5">
    <mergeCell ref="D9:R9"/>
    <mergeCell ref="D10:R10"/>
    <mergeCell ref="D11:R11"/>
    <mergeCell ref="D12:R12"/>
    <mergeCell ref="D4:R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5"/>
  <sheetViews>
    <sheetView tabSelected="1" zoomScaleNormal="100" zoomScaleSheetLayoutView="110" workbookViewId="0">
      <pane ySplit="5" topLeftCell="A12" activePane="bottomLeft" state="frozen"/>
      <selection pane="bottomLeft" activeCell="D18" sqref="D18"/>
    </sheetView>
  </sheetViews>
  <sheetFormatPr defaultColWidth="11.33203125" defaultRowHeight="13.2" x14ac:dyDescent="0.25"/>
  <cols>
    <col min="1" max="1" width="11.33203125" customWidth="1"/>
    <col min="2" max="2" width="20.109375" customWidth="1"/>
    <col min="3" max="3" width="105.21875" customWidth="1"/>
    <col min="4" max="4" width="38.77734375" customWidth="1"/>
    <col min="5" max="5" width="43" customWidth="1"/>
    <col min="6" max="6" width="34.21875" customWidth="1"/>
  </cols>
  <sheetData>
    <row r="1" spans="1:6" x14ac:dyDescent="0.25">
      <c r="B1" s="65" t="s">
        <v>5</v>
      </c>
      <c r="C1" s="65"/>
      <c r="D1" s="65"/>
    </row>
    <row r="2" spans="1:6" x14ac:dyDescent="0.25">
      <c r="B2" s="65"/>
      <c r="C2" s="65"/>
      <c r="D2" s="65"/>
    </row>
    <row r="5" spans="1:6" s="1" customFormat="1" ht="15.6" x14ac:dyDescent="0.3">
      <c r="A5" s="2" t="s">
        <v>6</v>
      </c>
      <c r="B5" s="2" t="s">
        <v>7</v>
      </c>
      <c r="C5" s="2" t="s">
        <v>8</v>
      </c>
      <c r="D5" s="2" t="s">
        <v>9</v>
      </c>
    </row>
    <row r="6" spans="1:6" x14ac:dyDescent="0.25">
      <c r="D6" s="5"/>
    </row>
    <row r="7" spans="1:6" ht="28.8" x14ac:dyDescent="0.25">
      <c r="A7" s="3">
        <v>1</v>
      </c>
      <c r="B7" s="23">
        <v>3.4</v>
      </c>
      <c r="C7" s="24" t="s">
        <v>10</v>
      </c>
      <c r="D7" s="25" t="s">
        <v>23</v>
      </c>
    </row>
    <row r="8" spans="1:6" ht="79.2" x14ac:dyDescent="0.25">
      <c r="A8" s="3">
        <v>2</v>
      </c>
      <c r="B8" s="23">
        <v>1.1000000000000001</v>
      </c>
      <c r="C8" s="21" t="s">
        <v>11</v>
      </c>
      <c r="D8" s="25" t="s">
        <v>27</v>
      </c>
      <c r="E8" s="26"/>
    </row>
    <row r="9" spans="1:6" ht="66" x14ac:dyDescent="0.25">
      <c r="A9" s="3">
        <v>3</v>
      </c>
      <c r="B9" s="23">
        <v>2.2000000000000002</v>
      </c>
      <c r="C9" s="64" t="s">
        <v>12</v>
      </c>
      <c r="D9" s="25" t="s">
        <v>24</v>
      </c>
    </row>
    <row r="10" spans="1:6" ht="250.8" x14ac:dyDescent="0.25">
      <c r="A10" s="3">
        <v>4</v>
      </c>
      <c r="B10" s="23">
        <v>4.2</v>
      </c>
      <c r="C10" s="22" t="s">
        <v>13</v>
      </c>
      <c r="D10" s="25" t="s">
        <v>28</v>
      </c>
      <c r="E10" s="26"/>
    </row>
    <row r="11" spans="1:6" ht="66" x14ac:dyDescent="0.25">
      <c r="A11" s="3">
        <v>5</v>
      </c>
      <c r="B11" s="23">
        <v>5.2</v>
      </c>
      <c r="C11" s="22" t="s">
        <v>14</v>
      </c>
      <c r="D11" s="25" t="s">
        <v>24</v>
      </c>
    </row>
    <row r="12" spans="1:6" ht="79.2" x14ac:dyDescent="0.25">
      <c r="A12" s="3">
        <v>6</v>
      </c>
      <c r="B12" s="23">
        <v>7.1</v>
      </c>
      <c r="C12" s="22" t="s">
        <v>21</v>
      </c>
      <c r="D12" s="25" t="s">
        <v>25</v>
      </c>
    </row>
    <row r="13" spans="1:6" ht="66" x14ac:dyDescent="0.25">
      <c r="A13" s="3">
        <v>7</v>
      </c>
      <c r="B13" s="23">
        <v>9.1</v>
      </c>
      <c r="C13" s="22" t="s">
        <v>15</v>
      </c>
      <c r="D13" s="25" t="s">
        <v>29</v>
      </c>
      <c r="E13" s="26"/>
      <c r="F13" s="26"/>
    </row>
    <row r="14" spans="1:6" ht="28.8" x14ac:dyDescent="0.25">
      <c r="A14" s="3">
        <v>8</v>
      </c>
      <c r="B14" s="23">
        <v>11.1</v>
      </c>
      <c r="C14" s="22" t="s">
        <v>16</v>
      </c>
      <c r="D14" s="25" t="s">
        <v>30</v>
      </c>
      <c r="E14" s="26"/>
    </row>
    <row r="15" spans="1:6" ht="28.8" x14ac:dyDescent="0.25">
      <c r="A15" s="3">
        <v>9</v>
      </c>
      <c r="B15" s="23">
        <v>13.1</v>
      </c>
      <c r="C15" s="22" t="s">
        <v>17</v>
      </c>
      <c r="D15" s="25" t="s">
        <v>26</v>
      </c>
    </row>
    <row r="16" spans="1:6" ht="28.8" x14ac:dyDescent="0.25">
      <c r="A16" s="3">
        <v>10</v>
      </c>
      <c r="B16" s="23">
        <v>14.1</v>
      </c>
      <c r="C16" s="22" t="s">
        <v>18</v>
      </c>
      <c r="D16" s="25" t="s">
        <v>30</v>
      </c>
      <c r="E16" s="26"/>
    </row>
    <row r="17" spans="1:4" ht="39.6" x14ac:dyDescent="0.25">
      <c r="A17" s="3">
        <v>11</v>
      </c>
      <c r="B17" s="23">
        <v>15.1</v>
      </c>
      <c r="C17" s="22" t="s">
        <v>19</v>
      </c>
      <c r="D17" s="25" t="s">
        <v>33</v>
      </c>
    </row>
    <row r="18" spans="1:4" ht="52.8" x14ac:dyDescent="0.25">
      <c r="A18" s="3">
        <v>12</v>
      </c>
      <c r="B18" s="23">
        <v>17.100000000000001</v>
      </c>
      <c r="C18" s="22" t="s">
        <v>20</v>
      </c>
      <c r="D18" s="25" t="s">
        <v>32</v>
      </c>
    </row>
    <row r="19" spans="1:4" ht="145.19999999999999" x14ac:dyDescent="0.25">
      <c r="A19" s="3">
        <v>13</v>
      </c>
      <c r="B19" s="23">
        <v>19.100000000000001</v>
      </c>
      <c r="C19" s="22" t="s">
        <v>22</v>
      </c>
      <c r="D19" s="25" t="s">
        <v>31</v>
      </c>
    </row>
    <row r="20" spans="1:4" ht="66" x14ac:dyDescent="0.25">
      <c r="A20" s="3"/>
      <c r="B20" s="27" t="s">
        <v>34</v>
      </c>
      <c r="C20" s="28" t="s">
        <v>35</v>
      </c>
      <c r="D20" s="25" t="s">
        <v>36</v>
      </c>
    </row>
    <row r="21" spans="1:4" ht="28.8" x14ac:dyDescent="0.25">
      <c r="A21" s="3"/>
      <c r="B21" s="27" t="s">
        <v>37</v>
      </c>
      <c r="C21" s="28" t="s">
        <v>38</v>
      </c>
      <c r="D21" s="25" t="s">
        <v>39</v>
      </c>
    </row>
    <row r="22" spans="1:4" ht="57.6" x14ac:dyDescent="0.25">
      <c r="A22" s="3"/>
      <c r="B22" s="29" t="s">
        <v>40</v>
      </c>
      <c r="C22" s="28" t="s">
        <v>41</v>
      </c>
      <c r="D22" s="25" t="s">
        <v>39</v>
      </c>
    </row>
    <row r="23" spans="1:4" ht="92.4" x14ac:dyDescent="0.25">
      <c r="A23" s="3"/>
      <c r="B23" s="28" t="s">
        <v>42</v>
      </c>
      <c r="C23" s="28" t="s">
        <v>43</v>
      </c>
      <c r="D23" s="25" t="s">
        <v>44</v>
      </c>
    </row>
    <row r="24" spans="1:4" ht="66" x14ac:dyDescent="0.25">
      <c r="A24" s="3"/>
      <c r="B24" s="28" t="s">
        <v>45</v>
      </c>
      <c r="C24" s="28" t="s">
        <v>46</v>
      </c>
      <c r="D24" s="25" t="s">
        <v>47</v>
      </c>
    </row>
    <row r="25" spans="1:4" ht="72" x14ac:dyDescent="0.25">
      <c r="A25" s="3"/>
      <c r="B25" s="28" t="s">
        <v>48</v>
      </c>
      <c r="C25" s="28" t="s">
        <v>41</v>
      </c>
      <c r="D25" s="25" t="s">
        <v>39</v>
      </c>
    </row>
    <row r="26" spans="1:4" ht="92.4" x14ac:dyDescent="0.25">
      <c r="A26" s="3"/>
      <c r="B26" s="28" t="s">
        <v>49</v>
      </c>
      <c r="C26" s="28" t="s">
        <v>50</v>
      </c>
      <c r="D26" s="25" t="s">
        <v>51</v>
      </c>
    </row>
    <row r="27" spans="1:4" ht="92.4" x14ac:dyDescent="0.25">
      <c r="A27" s="3"/>
      <c r="B27" s="28" t="s">
        <v>52</v>
      </c>
      <c r="C27" s="28" t="s">
        <v>53</v>
      </c>
      <c r="D27" s="25" t="s">
        <v>51</v>
      </c>
    </row>
    <row r="28" spans="1:4" ht="52.8" x14ac:dyDescent="0.25">
      <c r="A28" s="3"/>
      <c r="B28" s="27" t="s">
        <v>54</v>
      </c>
      <c r="C28" s="28" t="s">
        <v>55</v>
      </c>
      <c r="D28" s="25" t="s">
        <v>56</v>
      </c>
    </row>
    <row r="29" spans="1:4" ht="92.4" x14ac:dyDescent="0.25">
      <c r="A29" s="3"/>
      <c r="B29" s="28" t="s">
        <v>57</v>
      </c>
      <c r="C29" s="28" t="s">
        <v>58</v>
      </c>
      <c r="D29" s="25" t="s">
        <v>51</v>
      </c>
    </row>
    <row r="30" spans="1:4" ht="105.6" x14ac:dyDescent="0.25">
      <c r="A30" s="3"/>
      <c r="B30" s="28" t="s">
        <v>59</v>
      </c>
      <c r="C30" s="28" t="s">
        <v>60</v>
      </c>
      <c r="D30" s="25" t="s">
        <v>61</v>
      </c>
    </row>
    <row r="31" spans="1:4" ht="39.6" x14ac:dyDescent="0.25">
      <c r="A31" s="3"/>
      <c r="B31" s="27" t="s">
        <v>62</v>
      </c>
      <c r="C31" s="28" t="s">
        <v>63</v>
      </c>
      <c r="D31" s="25" t="s">
        <v>64</v>
      </c>
    </row>
    <row r="32" spans="1:4" ht="158.4" x14ac:dyDescent="0.25">
      <c r="A32" s="4"/>
      <c r="B32" s="28" t="s">
        <v>65</v>
      </c>
      <c r="C32" s="28" t="s">
        <v>66</v>
      </c>
      <c r="D32" s="25" t="s">
        <v>67</v>
      </c>
    </row>
    <row r="33" spans="1:4" ht="66" x14ac:dyDescent="0.25">
      <c r="A33" s="4"/>
      <c r="B33" s="28" t="s">
        <v>68</v>
      </c>
      <c r="C33" s="28" t="s">
        <v>69</v>
      </c>
      <c r="D33" s="25" t="s">
        <v>70</v>
      </c>
    </row>
    <row r="34" spans="1:4" ht="79.2" x14ac:dyDescent="0.25">
      <c r="A34" s="4"/>
      <c r="B34" s="28" t="s">
        <v>71</v>
      </c>
      <c r="C34" s="27" t="s">
        <v>72</v>
      </c>
      <c r="D34" s="25" t="s">
        <v>73</v>
      </c>
    </row>
    <row r="35" spans="1:4" ht="72" x14ac:dyDescent="0.25">
      <c r="A35" s="4"/>
      <c r="B35" s="30" t="s">
        <v>74</v>
      </c>
      <c r="C35" s="27" t="s">
        <v>75</v>
      </c>
      <c r="D35" s="25" t="s">
        <v>76</v>
      </c>
    </row>
    <row r="36" spans="1:4" ht="52.8" x14ac:dyDescent="0.25">
      <c r="A36" s="4"/>
      <c r="B36" s="29" t="s">
        <v>77</v>
      </c>
      <c r="C36" s="31" t="s">
        <v>78</v>
      </c>
      <c r="D36" s="25" t="s">
        <v>79</v>
      </c>
    </row>
    <row r="37" spans="1:4" ht="105.6" x14ac:dyDescent="0.25">
      <c r="A37" s="4"/>
      <c r="B37" s="29" t="s">
        <v>80</v>
      </c>
      <c r="C37" s="31" t="s">
        <v>81</v>
      </c>
      <c r="D37" s="25" t="s">
        <v>82</v>
      </c>
    </row>
    <row r="38" spans="1:4" ht="14.4" x14ac:dyDescent="0.25">
      <c r="A38" s="4"/>
      <c r="B38" s="29"/>
      <c r="C38" s="31"/>
      <c r="D38" s="5"/>
    </row>
    <row r="39" spans="1:4" ht="57.6" x14ac:dyDescent="0.25">
      <c r="A39" s="4"/>
      <c r="B39" s="29" t="s">
        <v>83</v>
      </c>
      <c r="C39" s="31" t="s">
        <v>84</v>
      </c>
      <c r="D39" s="25" t="s">
        <v>85</v>
      </c>
    </row>
    <row r="40" spans="1:4" ht="14.4" x14ac:dyDescent="0.25">
      <c r="A40" s="4"/>
      <c r="B40" s="32"/>
      <c r="C40" s="31"/>
      <c r="D40" s="5"/>
    </row>
    <row r="41" spans="1:4" ht="39.6" x14ac:dyDescent="0.25">
      <c r="A41" s="4"/>
      <c r="B41" s="29" t="s">
        <v>86</v>
      </c>
      <c r="C41" s="31" t="s">
        <v>87</v>
      </c>
      <c r="D41" s="25" t="s">
        <v>88</v>
      </c>
    </row>
    <row r="42" spans="1:4" ht="52.8" x14ac:dyDescent="0.25">
      <c r="A42" s="4"/>
      <c r="B42" s="60" t="s">
        <v>147</v>
      </c>
      <c r="C42" s="61" t="s">
        <v>148</v>
      </c>
      <c r="D42" s="25" t="s">
        <v>149</v>
      </c>
    </row>
    <row r="43" spans="1:4" ht="57.6" x14ac:dyDescent="0.25">
      <c r="A43" s="4"/>
      <c r="B43" s="60" t="s">
        <v>150</v>
      </c>
      <c r="C43" s="61" t="s">
        <v>151</v>
      </c>
      <c r="D43" s="25" t="s">
        <v>152</v>
      </c>
    </row>
    <row r="44" spans="1:4" ht="52.8" x14ac:dyDescent="0.25">
      <c r="A44" s="4"/>
      <c r="B44" s="62" t="s">
        <v>153</v>
      </c>
      <c r="C44" s="61" t="s">
        <v>154</v>
      </c>
      <c r="D44" s="25" t="s">
        <v>155</v>
      </c>
    </row>
    <row r="45" spans="1:4" ht="57.6" x14ac:dyDescent="0.25">
      <c r="A45" s="4"/>
      <c r="B45" s="63" t="s">
        <v>156</v>
      </c>
      <c r="C45" s="61" t="str">
        <f ca="1">IFERROR(__xludf.DUMMYFUNCTION("GOOGLETRANSLATE(C9,""pt"",""en"")"),"Please send details of the data to be imported.")</f>
        <v>Please send details of the data to be imported.</v>
      </c>
      <c r="D45" s="25" t="s">
        <v>157</v>
      </c>
    </row>
    <row r="46" spans="1:4" ht="52.8" x14ac:dyDescent="0.25">
      <c r="A46" s="4"/>
      <c r="B46" s="62" t="s">
        <v>158</v>
      </c>
      <c r="C46" s="61" t="str">
        <f ca="1">IFERROR(__xludf.DUMMYFUNCTION("GOOGLETRANSLATE(C10,""pt"",""en"")"),"Please send examples of quality data that we should link to the contract.")</f>
        <v>Please send examples of quality data that we should link to the contract.</v>
      </c>
      <c r="D46" s="25" t="s">
        <v>159</v>
      </c>
    </row>
    <row r="47" spans="1:4" ht="52.8" x14ac:dyDescent="0.25">
      <c r="A47" s="4"/>
      <c r="B47" s="62" t="s">
        <v>160</v>
      </c>
      <c r="C47" s="61" t="str">
        <f ca="1">IFERROR(__xludf.DUMMYFUNCTION("GOOGLETRANSLATE(C11,""pt"",""en"")"),"Please send examples of the field files that we should link to the contract.")</f>
        <v>Please send examples of the field files that we should link to the contract.</v>
      </c>
      <c r="D47" s="25" t="s">
        <v>161</v>
      </c>
    </row>
    <row r="48" spans="1:4" ht="92.4" x14ac:dyDescent="0.25">
      <c r="A48" s="4"/>
      <c r="B48" s="63" t="s">
        <v>162</v>
      </c>
      <c r="C48" s="61" t="str">
        <f ca="1">IFERROR(__xludf.DUMMYFUNCTION("GOOGLETRANSLATE(C12,""pt"",""en"")"),"Please send details of the variety data for upload.")</f>
        <v>Please send details of the variety data for upload.</v>
      </c>
      <c r="D48" s="25" t="s">
        <v>163</v>
      </c>
    </row>
    <row r="49" spans="1:4" ht="92.4" x14ac:dyDescent="0.25">
      <c r="A49" s="4"/>
      <c r="B49" s="62" t="s">
        <v>164</v>
      </c>
      <c r="C49" s="61" t="s">
        <v>165</v>
      </c>
      <c r="D49" s="25" t="s">
        <v>51</v>
      </c>
    </row>
    <row r="50" spans="1:4" ht="57.6" x14ac:dyDescent="0.25">
      <c r="A50" s="4"/>
      <c r="B50" s="62" t="s">
        <v>166</v>
      </c>
      <c r="C50" s="61" t="str">
        <f ca="1">IFERROR(__xludf.DUMMYFUNCTION("GOOGLETRANSLATE(C14,""pt"",""en"")"),"Please send examples of this process.")</f>
        <v>Please send examples of this process.</v>
      </c>
      <c r="D50" s="25" t="s">
        <v>167</v>
      </c>
    </row>
    <row r="51" spans="1:4" ht="66" x14ac:dyDescent="0.25">
      <c r="A51" s="4"/>
      <c r="B51" s="62" t="s">
        <v>168</v>
      </c>
      <c r="C51" s="61" t="s">
        <v>169</v>
      </c>
      <c r="D51" s="25" t="s">
        <v>170</v>
      </c>
    </row>
    <row r="52" spans="1:4" ht="43.2" x14ac:dyDescent="0.25">
      <c r="A52" s="4"/>
      <c r="B52" s="62" t="s">
        <v>171</v>
      </c>
      <c r="C52" s="61" t="s">
        <v>172</v>
      </c>
      <c r="D52" s="25" t="s">
        <v>173</v>
      </c>
    </row>
    <row r="53" spans="1:4" ht="66" x14ac:dyDescent="0.25">
      <c r="A53" s="4"/>
      <c r="B53" s="62" t="s">
        <v>174</v>
      </c>
      <c r="C53" s="61" t="s">
        <v>175</v>
      </c>
      <c r="D53" s="25" t="s">
        <v>176</v>
      </c>
    </row>
    <row r="54" spans="1:4" ht="57.6" x14ac:dyDescent="0.25">
      <c r="A54" s="4"/>
      <c r="B54" s="62" t="s">
        <v>177</v>
      </c>
      <c r="C54" s="61" t="s">
        <v>178</v>
      </c>
      <c r="D54" s="25" t="s">
        <v>179</v>
      </c>
    </row>
    <row r="55" spans="1:4" ht="43.2" x14ac:dyDescent="0.25">
      <c r="A55" s="4"/>
      <c r="B55" s="62" t="s">
        <v>180</v>
      </c>
      <c r="C55" s="61" t="s">
        <v>181</v>
      </c>
      <c r="D55" s="25" t="s">
        <v>182</v>
      </c>
    </row>
    <row r="56" spans="1:4" ht="52.8" x14ac:dyDescent="0.25">
      <c r="A56" s="4"/>
      <c r="B56" s="62" t="s">
        <v>183</v>
      </c>
      <c r="C56" s="61" t="s">
        <v>184</v>
      </c>
      <c r="D56" s="25" t="s">
        <v>185</v>
      </c>
    </row>
    <row r="57" spans="1:4" ht="52.8" x14ac:dyDescent="0.25">
      <c r="A57" s="4"/>
      <c r="B57" s="62" t="s">
        <v>186</v>
      </c>
      <c r="C57" s="61" t="s">
        <v>187</v>
      </c>
      <c r="D57" s="25" t="s">
        <v>188</v>
      </c>
    </row>
    <row r="58" spans="1:4" ht="57.6" x14ac:dyDescent="0.25">
      <c r="A58" s="4"/>
      <c r="B58" s="62" t="s">
        <v>189</v>
      </c>
      <c r="C58" s="61" t="s">
        <v>190</v>
      </c>
      <c r="D58" s="25" t="s">
        <v>191</v>
      </c>
    </row>
    <row r="59" spans="1:4" ht="118.8" x14ac:dyDescent="0.25">
      <c r="A59" s="4"/>
      <c r="B59" s="62" t="s">
        <v>192</v>
      </c>
      <c r="C59" s="61" t="str">
        <f ca="1">IFERROR(__xludf.DUMMYFUNCTION("GOOGLETRANSLATE(C23,""pt"",""en"")"),"Which languages?")</f>
        <v>Which languages?</v>
      </c>
      <c r="D59" s="25" t="s">
        <v>193</v>
      </c>
    </row>
    <row r="60" spans="1:4" ht="105.6" x14ac:dyDescent="0.25">
      <c r="A60" s="4"/>
      <c r="B60" s="62" t="s">
        <v>194</v>
      </c>
      <c r="C60" s="61" t="s">
        <v>195</v>
      </c>
      <c r="D60" s="25" t="s">
        <v>196</v>
      </c>
    </row>
    <row r="61" spans="1:4" ht="86.4" x14ac:dyDescent="0.25">
      <c r="A61" s="4"/>
      <c r="B61" s="62" t="s">
        <v>197</v>
      </c>
      <c r="C61" s="61" t="str">
        <f ca="1">IFERROR(__xludf.DUMMYFUNCTION("GOOGLETRANSLATE(C25,""pt"",""en"")"),"Please provide more details about this process.")</f>
        <v>Please provide more details about this process.</v>
      </c>
      <c r="D61" s="25" t="s">
        <v>198</v>
      </c>
    </row>
    <row r="62" spans="1:4" ht="79.2" x14ac:dyDescent="0.25">
      <c r="A62" s="4"/>
      <c r="B62" s="61" t="s">
        <v>199</v>
      </c>
      <c r="C62" s="61" t="s">
        <v>200</v>
      </c>
      <c r="D62" s="25" t="s">
        <v>201</v>
      </c>
    </row>
    <row r="63" spans="1:4" x14ac:dyDescent="0.25">
      <c r="A63" s="4"/>
    </row>
    <row r="64" spans="1:4" x14ac:dyDescent="0.25">
      <c r="A64" s="4"/>
    </row>
    <row r="65" spans="1:1" x14ac:dyDescent="0.25">
      <c r="A65" s="4"/>
    </row>
    <row r="66" spans="1:1" x14ac:dyDescent="0.25">
      <c r="A66" s="4"/>
    </row>
    <row r="67" spans="1:1" x14ac:dyDescent="0.25">
      <c r="A67" s="4"/>
    </row>
    <row r="68" spans="1:1" x14ac:dyDescent="0.25">
      <c r="A68" s="4"/>
    </row>
    <row r="69" spans="1:1" x14ac:dyDescent="0.25">
      <c r="A69" s="4"/>
    </row>
    <row r="70" spans="1:1" x14ac:dyDescent="0.25">
      <c r="A70" s="4"/>
    </row>
    <row r="71" spans="1:1" x14ac:dyDescent="0.25">
      <c r="A71" s="4"/>
    </row>
    <row r="72" spans="1:1" x14ac:dyDescent="0.25">
      <c r="A72" s="4"/>
    </row>
    <row r="73" spans="1:1" x14ac:dyDescent="0.25">
      <c r="A73" s="4"/>
    </row>
    <row r="74" spans="1:1" x14ac:dyDescent="0.25">
      <c r="A74" s="4"/>
    </row>
    <row r="75" spans="1:1" x14ac:dyDescent="0.25">
      <c r="A75" s="4"/>
    </row>
    <row r="76" spans="1:1" x14ac:dyDescent="0.25">
      <c r="A76" s="4"/>
    </row>
    <row r="77" spans="1:1" x14ac:dyDescent="0.25">
      <c r="A77" s="4"/>
    </row>
    <row r="78" spans="1:1" x14ac:dyDescent="0.25">
      <c r="A78" s="4"/>
    </row>
    <row r="79" spans="1:1" x14ac:dyDescent="0.25">
      <c r="A79" s="4"/>
    </row>
    <row r="80" spans="1:1" x14ac:dyDescent="0.25">
      <c r="A80" s="4"/>
    </row>
    <row r="81" spans="1:1" x14ac:dyDescent="0.25">
      <c r="A81" s="4"/>
    </row>
    <row r="82" spans="1:1" x14ac:dyDescent="0.25">
      <c r="A82" s="4"/>
    </row>
    <row r="83" spans="1:1" x14ac:dyDescent="0.25">
      <c r="A83" s="4"/>
    </row>
    <row r="84" spans="1:1" x14ac:dyDescent="0.25">
      <c r="A84" s="4"/>
    </row>
    <row r="85" spans="1:1" x14ac:dyDescent="0.25">
      <c r="A85" s="4"/>
    </row>
    <row r="86" spans="1:1" x14ac:dyDescent="0.25">
      <c r="A86" s="4"/>
    </row>
    <row r="87" spans="1:1" x14ac:dyDescent="0.25">
      <c r="A87" s="4"/>
    </row>
    <row r="88" spans="1:1" x14ac:dyDescent="0.25">
      <c r="A88" s="4"/>
    </row>
    <row r="89" spans="1:1" x14ac:dyDescent="0.25">
      <c r="A89" s="4"/>
    </row>
    <row r="90" spans="1:1" x14ac:dyDescent="0.25">
      <c r="A90" s="4"/>
    </row>
    <row r="91" spans="1:1" x14ac:dyDescent="0.25">
      <c r="A91" s="4"/>
    </row>
    <row r="92" spans="1:1" x14ac:dyDescent="0.25">
      <c r="A92" s="4"/>
    </row>
    <row r="93" spans="1:1" x14ac:dyDescent="0.25">
      <c r="A93" s="4"/>
    </row>
    <row r="94" spans="1:1" x14ac:dyDescent="0.25">
      <c r="A94" s="4"/>
    </row>
    <row r="95" spans="1:1" x14ac:dyDescent="0.25">
      <c r="A95" s="4"/>
    </row>
    <row r="96" spans="1:1" x14ac:dyDescent="0.25">
      <c r="A96" s="4"/>
    </row>
    <row r="97" spans="1:1" x14ac:dyDescent="0.25">
      <c r="A97" s="4"/>
    </row>
    <row r="98" spans="1:1" x14ac:dyDescent="0.25">
      <c r="A98" s="4"/>
    </row>
    <row r="99" spans="1:1" x14ac:dyDescent="0.25">
      <c r="A99" s="4"/>
    </row>
    <row r="100" spans="1:1" x14ac:dyDescent="0.25">
      <c r="A100" s="4"/>
    </row>
    <row r="101" spans="1:1" x14ac:dyDescent="0.25">
      <c r="A101" s="4"/>
    </row>
    <row r="102" spans="1:1" x14ac:dyDescent="0.25">
      <c r="A102" s="4"/>
    </row>
    <row r="103" spans="1:1" x14ac:dyDescent="0.25">
      <c r="A103" s="4"/>
    </row>
    <row r="104" spans="1:1" x14ac:dyDescent="0.25">
      <c r="A104" s="4"/>
    </row>
    <row r="105" spans="1:1" x14ac:dyDescent="0.25">
      <c r="A105" s="4"/>
    </row>
  </sheetData>
  <customSheetViews>
    <customSheetView guid="{23E5B992-ADF4-4D6D-BBFD-1C3DE4F861E4}" scale="120" showPageBreaks="1" view="pageBreakPreview" topLeftCell="A41">
      <selection activeCell="A43" sqref="A41:IV43"/>
      <pageMargins left="0" right="0" top="0" bottom="0" header="0" footer="0"/>
      <pageSetup paperSize="9" orientation="landscape" r:id="rId1"/>
      <headerFooter alignWithMargins="0">
        <oddHeader>&amp;C&amp;"Arial,Fett"&amp;12Fragen und Antworten zur Submission "Reinigung Werke WMU, WRO und WST"</oddHeader>
        <oddFooter>&amp;L&amp;D, Syngenta Site Management&amp;Cgunnar.jentzen@syngenta.com&amp;RSeite &amp;P von &amp;N Seiten</oddFooter>
      </headerFooter>
    </customSheetView>
    <customSheetView guid="{F1D20CCB-6081-4AC7-8BFC-751690FE41B2}" scale="120" showPageBreaks="1" view="pageBreakPreview" topLeftCell="A38">
      <selection activeCell="C40" sqref="C40"/>
      <pageMargins left="0" right="0" top="0" bottom="0" header="0" footer="0"/>
      <pageSetup paperSize="9" orientation="landscape" r:id="rId2"/>
      <headerFooter alignWithMargins="0">
        <oddHeader>&amp;C&amp;"Arial,Fett"&amp;12Fragen und Antworten zur Submission "Reinigung Werke WMU, WRO und WST"</oddHeader>
        <oddFooter>&amp;L&amp;D, Syngenta Site Management&amp;Cgunnar.jentzen@syngenta.com&amp;RSeite &amp;P von &amp;N Seiten</oddFooter>
      </headerFooter>
    </customSheetView>
  </customSheetViews>
  <mergeCells count="1">
    <mergeCell ref="B1:D2"/>
  </mergeCells>
  <phoneticPr fontId="8" type="noConversion"/>
  <pageMargins left="0.74803149606299213" right="0.74803149606299213" top="0.98425196850393704" bottom="0.98425196850393704" header="0.51181102362204722" footer="0.51181102362204722"/>
  <pageSetup paperSize="9" orientation="landscape" r:id="rId3"/>
  <headerFooter alignWithMargins="0">
    <oddHeader>&amp;C&amp;"Arial,Fett"&amp;12Fragen und Antworten zur Submission "Reinigung Werke WMU, WRO und WST"</oddHeader>
    <oddFooter>&amp;L&amp;D, Syngenta Site Management&amp;Cgunnar.jentzen@syngenta.com&amp;RSeite &amp;P von &amp;N Seiten</oddFoot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436D8-5347-4188-A631-735B79E56CB9}">
  <dimension ref="A1:AD1"/>
  <sheetViews>
    <sheetView workbookViewId="0"/>
  </sheetViews>
  <sheetFormatPr defaultColWidth="8.77734375" defaultRowHeight="13.2" x14ac:dyDescent="0.25"/>
  <sheetData>
    <row r="1" spans="1:30" ht="39.6" x14ac:dyDescent="0.25">
      <c r="A1" s="33" t="s">
        <v>89</v>
      </c>
      <c r="B1" s="33" t="s">
        <v>90</v>
      </c>
      <c r="C1" s="33" t="s">
        <v>91</v>
      </c>
      <c r="D1" s="33" t="s">
        <v>92</v>
      </c>
      <c r="E1" s="33" t="s">
        <v>93</v>
      </c>
      <c r="F1" s="33" t="s">
        <v>94</v>
      </c>
      <c r="G1" s="33" t="s">
        <v>95</v>
      </c>
      <c r="H1" s="33" t="s">
        <v>96</v>
      </c>
      <c r="I1" s="33" t="s">
        <v>97</v>
      </c>
      <c r="J1" s="33" t="s">
        <v>98</v>
      </c>
      <c r="K1" s="33" t="s">
        <v>99</v>
      </c>
      <c r="L1" s="34" t="s">
        <v>100</v>
      </c>
      <c r="M1" s="33" t="s">
        <v>101</v>
      </c>
      <c r="N1" s="33" t="s">
        <v>102</v>
      </c>
      <c r="O1" s="33" t="s">
        <v>97</v>
      </c>
      <c r="P1" s="33" t="s">
        <v>103</v>
      </c>
      <c r="Q1" s="33" t="s">
        <v>104</v>
      </c>
      <c r="R1" s="33" t="s">
        <v>105</v>
      </c>
      <c r="S1" s="33" t="s">
        <v>106</v>
      </c>
      <c r="T1" s="33" t="s">
        <v>107</v>
      </c>
      <c r="U1" s="33" t="s">
        <v>108</v>
      </c>
      <c r="V1" s="33" t="s">
        <v>109</v>
      </c>
      <c r="W1" s="34" t="s">
        <v>110</v>
      </c>
      <c r="X1" s="34" t="s">
        <v>111</v>
      </c>
      <c r="Y1" s="33" t="s">
        <v>112</v>
      </c>
      <c r="Z1" s="33" t="s">
        <v>113</v>
      </c>
      <c r="AA1" s="33" t="s">
        <v>114</v>
      </c>
      <c r="AB1" s="33" t="s">
        <v>115</v>
      </c>
      <c r="AC1" s="33" t="s">
        <v>116</v>
      </c>
      <c r="AD1" s="33"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DB0FA-F4D4-45FC-9A1A-48AEE75591EB}">
  <sheetPr>
    <tabColor rgb="FF00B050"/>
    <pageSetUpPr fitToPage="1"/>
  </sheetPr>
  <dimension ref="A1:XFD137"/>
  <sheetViews>
    <sheetView zoomScaleNormal="90" workbookViewId="0">
      <pane xSplit="3" ySplit="1" topLeftCell="D2" activePane="bottomRight" state="frozen"/>
      <selection pane="topRight" activeCell="D1" sqref="D1"/>
      <selection pane="bottomLeft" activeCell="A2" sqref="A2"/>
      <selection pane="bottomRight" sqref="A1:XFD1048576"/>
    </sheetView>
  </sheetViews>
  <sheetFormatPr defaultColWidth="9.109375" defaultRowHeight="13.2" x14ac:dyDescent="0.25"/>
  <cols>
    <col min="1" max="1" width="9.44140625" style="35" bestFit="1" customWidth="1"/>
    <col min="2" max="2" width="26.88671875" style="35" customWidth="1"/>
    <col min="3" max="3" width="25.5546875" style="35" customWidth="1"/>
    <col min="4" max="11" width="15.5546875" style="35" customWidth="1"/>
    <col min="12" max="12" width="16.88671875" style="35" customWidth="1"/>
    <col min="13" max="20" width="15.5546875" style="35" customWidth="1"/>
    <col min="21" max="16384" width="9.109375" style="35"/>
  </cols>
  <sheetData>
    <row r="1" spans="1:20" x14ac:dyDescent="0.25">
      <c r="D1" s="35">
        <v>1</v>
      </c>
      <c r="E1" s="35">
        <v>2</v>
      </c>
      <c r="F1" s="35">
        <v>3</v>
      </c>
      <c r="G1" s="35">
        <v>4</v>
      </c>
      <c r="H1" s="35">
        <v>5</v>
      </c>
      <c r="I1" s="35">
        <v>6</v>
      </c>
      <c r="J1" s="35">
        <v>7</v>
      </c>
      <c r="K1" s="35">
        <v>8</v>
      </c>
      <c r="L1" s="35">
        <v>9</v>
      </c>
      <c r="M1" s="35">
        <v>10</v>
      </c>
      <c r="N1" s="35">
        <v>11</v>
      </c>
      <c r="O1" s="35">
        <v>12</v>
      </c>
    </row>
    <row r="2" spans="1:20" s="36" customFormat="1" x14ac:dyDescent="0.25">
      <c r="D2" s="37">
        <v>46023</v>
      </c>
      <c r="E2" s="37">
        <v>46054</v>
      </c>
      <c r="F2" s="37">
        <v>46082</v>
      </c>
      <c r="G2" s="37">
        <v>46113</v>
      </c>
      <c r="H2" s="37">
        <v>46143</v>
      </c>
      <c r="I2" s="37">
        <v>46174</v>
      </c>
      <c r="J2" s="37">
        <v>46204</v>
      </c>
      <c r="K2" s="37">
        <v>46235</v>
      </c>
      <c r="L2" s="37">
        <v>46266</v>
      </c>
      <c r="M2" s="37">
        <v>46296</v>
      </c>
      <c r="N2" s="37">
        <v>46327</v>
      </c>
      <c r="O2" s="37">
        <v>46357</v>
      </c>
      <c r="P2" s="37"/>
      <c r="Q2" s="37"/>
      <c r="R2" s="37"/>
      <c r="S2" s="37"/>
      <c r="T2" s="37"/>
    </row>
    <row r="3" spans="1:20" ht="12.75" customHeight="1" collapsed="1" x14ac:dyDescent="0.25">
      <c r="A3" s="38"/>
      <c r="B3" s="38"/>
    </row>
    <row r="4" spans="1:20" x14ac:dyDescent="0.25">
      <c r="A4" s="38" t="s">
        <v>118</v>
      </c>
      <c r="B4" s="38" t="s">
        <v>119</v>
      </c>
      <c r="C4" s="35" t="s">
        <v>120</v>
      </c>
      <c r="D4" s="39">
        <v>1350274.26</v>
      </c>
      <c r="E4" s="39">
        <v>2040493.1600000001</v>
      </c>
      <c r="F4" s="39">
        <v>2228807.56</v>
      </c>
      <c r="G4" s="39"/>
      <c r="H4" s="39"/>
      <c r="I4" s="39"/>
      <c r="J4" s="39"/>
      <c r="K4" s="39"/>
      <c r="L4" s="39"/>
      <c r="M4" s="39"/>
      <c r="N4" s="39"/>
      <c r="O4" s="39"/>
      <c r="P4" s="39"/>
      <c r="Q4" s="39"/>
      <c r="R4" s="39"/>
      <c r="S4" s="39"/>
      <c r="T4" s="39"/>
    </row>
    <row r="5" spans="1:20" ht="12.75" customHeight="1" x14ac:dyDescent="0.25">
      <c r="A5" s="38" t="s">
        <v>118</v>
      </c>
      <c r="B5" s="38" t="s">
        <v>119</v>
      </c>
      <c r="D5" s="39"/>
      <c r="E5" s="39"/>
      <c r="F5" s="39"/>
      <c r="G5" s="39"/>
      <c r="H5" s="39"/>
      <c r="I5" s="39"/>
      <c r="J5" s="39"/>
      <c r="K5" s="39"/>
      <c r="L5" s="39"/>
      <c r="M5" s="39"/>
      <c r="N5" s="39"/>
      <c r="O5" s="39"/>
      <c r="P5" s="39"/>
      <c r="Q5" s="39"/>
      <c r="R5" s="39"/>
      <c r="S5" s="39"/>
      <c r="T5" s="39"/>
    </row>
    <row r="6" spans="1:20" ht="12.75" customHeight="1" x14ac:dyDescent="0.25">
      <c r="A6" s="38" t="s">
        <v>118</v>
      </c>
      <c r="B6" s="38" t="s">
        <v>119</v>
      </c>
      <c r="C6" s="35" t="s">
        <v>121</v>
      </c>
      <c r="D6" s="39">
        <v>68662.5</v>
      </c>
      <c r="E6" s="39">
        <v>353512.5</v>
      </c>
      <c r="F6" s="39">
        <v>-213137.5</v>
      </c>
      <c r="G6" s="39"/>
      <c r="H6" s="39"/>
      <c r="I6" s="39"/>
      <c r="J6" s="39"/>
      <c r="K6" s="39"/>
      <c r="L6" s="39"/>
      <c r="M6" s="39"/>
      <c r="N6" s="39"/>
      <c r="O6" s="39"/>
      <c r="P6" s="39"/>
      <c r="Q6" s="39"/>
      <c r="R6" s="39"/>
      <c r="S6" s="39"/>
      <c r="T6" s="39"/>
    </row>
    <row r="7" spans="1:20" ht="12.75" customHeight="1" x14ac:dyDescent="0.25">
      <c r="A7" s="38" t="s">
        <v>118</v>
      </c>
      <c r="B7" s="38" t="s">
        <v>119</v>
      </c>
      <c r="C7" s="35" t="s">
        <v>122</v>
      </c>
      <c r="D7" s="40">
        <v>1000000.0000000001</v>
      </c>
      <c r="E7" s="41">
        <v>0</v>
      </c>
      <c r="F7" s="41">
        <v>0</v>
      </c>
      <c r="G7" s="41"/>
      <c r="H7" s="41"/>
      <c r="I7" s="41"/>
      <c r="J7" s="41"/>
      <c r="K7" s="41"/>
      <c r="L7" s="41"/>
      <c r="M7" s="41"/>
      <c r="N7" s="41"/>
      <c r="O7" s="41"/>
      <c r="P7" s="39"/>
      <c r="Q7" s="39"/>
      <c r="R7" s="39"/>
      <c r="S7" s="39"/>
      <c r="T7" s="39"/>
    </row>
    <row r="8" spans="1:20" ht="12.75" customHeight="1" x14ac:dyDescent="0.25">
      <c r="A8" s="38" t="s">
        <v>118</v>
      </c>
      <c r="B8" s="38" t="s">
        <v>119</v>
      </c>
      <c r="C8" s="35" t="s">
        <v>123</v>
      </c>
      <c r="D8" s="42">
        <v>-24612.5</v>
      </c>
      <c r="E8" s="42">
        <v>-369875</v>
      </c>
      <c r="F8" s="42">
        <v>154550</v>
      </c>
      <c r="G8" s="42"/>
      <c r="H8" s="42"/>
      <c r="I8" s="42"/>
      <c r="J8" s="42"/>
      <c r="K8" s="42"/>
      <c r="L8" s="42"/>
      <c r="M8" s="42"/>
      <c r="N8" s="42"/>
      <c r="O8" s="42"/>
      <c r="P8" s="39"/>
      <c r="Q8" s="39"/>
      <c r="R8" s="39"/>
      <c r="S8" s="39"/>
      <c r="T8" s="39"/>
    </row>
    <row r="9" spans="1:20" ht="12.75" customHeight="1" x14ac:dyDescent="0.25">
      <c r="A9" s="38" t="s">
        <v>118</v>
      </c>
      <c r="B9" s="38" t="s">
        <v>119</v>
      </c>
      <c r="C9" s="35" t="s">
        <v>124</v>
      </c>
      <c r="D9" s="42">
        <v>-318.59999999999997</v>
      </c>
      <c r="E9" s="42">
        <v>-8460.6</v>
      </c>
      <c r="F9" s="42">
        <v>-1398.3000000000004</v>
      </c>
      <c r="G9" s="42"/>
      <c r="H9" s="42"/>
      <c r="I9" s="42"/>
      <c r="J9" s="42"/>
      <c r="K9" s="42"/>
      <c r="L9" s="42"/>
      <c r="M9" s="42"/>
      <c r="N9" s="42"/>
      <c r="O9" s="42"/>
      <c r="P9" s="39"/>
      <c r="Q9" s="39"/>
      <c r="R9" s="39"/>
      <c r="S9" s="39"/>
      <c r="T9" s="39"/>
    </row>
    <row r="10" spans="1:20" ht="12.75" customHeight="1" x14ac:dyDescent="0.3">
      <c r="A10" s="38" t="s">
        <v>118</v>
      </c>
      <c r="B10" s="38" t="s">
        <v>119</v>
      </c>
      <c r="C10" s="35" t="s">
        <v>125</v>
      </c>
      <c r="D10" s="39">
        <v>-353512.5</v>
      </c>
      <c r="E10" s="39">
        <v>213137.5</v>
      </c>
      <c r="F10" s="39">
        <v>265362.5</v>
      </c>
      <c r="G10" s="43"/>
      <c r="H10" s="43"/>
      <c r="I10" s="43"/>
      <c r="J10" s="43"/>
      <c r="K10" s="43"/>
      <c r="L10" s="43"/>
      <c r="M10" s="39"/>
      <c r="N10" s="39"/>
      <c r="O10" s="39"/>
      <c r="P10" s="39"/>
      <c r="Q10" s="39"/>
      <c r="R10" s="39"/>
      <c r="S10" s="39"/>
      <c r="T10" s="39"/>
    </row>
    <row r="11" spans="1:20" x14ac:dyDescent="0.25">
      <c r="A11" s="38" t="s">
        <v>118</v>
      </c>
      <c r="B11" s="38" t="s">
        <v>119</v>
      </c>
      <c r="C11" s="35" t="s">
        <v>126</v>
      </c>
      <c r="D11" s="44">
        <v>2040493.1600000001</v>
      </c>
      <c r="E11" s="44">
        <v>2228807.56</v>
      </c>
      <c r="F11" s="44">
        <v>2434184.2600000002</v>
      </c>
      <c r="G11" s="44"/>
      <c r="H11" s="44"/>
      <c r="I11" s="44"/>
      <c r="J11" s="44"/>
      <c r="K11" s="44"/>
      <c r="L11" s="44"/>
      <c r="M11" s="44"/>
      <c r="N11" s="44"/>
      <c r="O11" s="44"/>
      <c r="P11" s="44"/>
      <c r="Q11" s="44"/>
      <c r="R11" s="44"/>
      <c r="S11" s="44"/>
      <c r="T11" s="44"/>
    </row>
    <row r="12" spans="1:20" ht="12.75" customHeight="1" x14ac:dyDescent="0.25">
      <c r="A12" s="38"/>
      <c r="B12" s="38"/>
    </row>
    <row r="13" spans="1:20" x14ac:dyDescent="0.25">
      <c r="A13" s="38" t="s">
        <v>127</v>
      </c>
      <c r="B13" s="38" t="s">
        <v>128</v>
      </c>
      <c r="C13" s="35" t="s">
        <v>120</v>
      </c>
      <c r="D13" s="39">
        <v>1.4713350537931547E-9</v>
      </c>
      <c r="E13" s="39">
        <v>1.4713350537931547E-9</v>
      </c>
      <c r="F13" s="39"/>
      <c r="G13" s="39"/>
      <c r="H13" s="39"/>
      <c r="I13" s="39"/>
      <c r="J13" s="39"/>
      <c r="K13" s="39"/>
      <c r="L13" s="39"/>
      <c r="M13" s="39"/>
      <c r="N13" s="39"/>
      <c r="O13" s="39"/>
      <c r="P13" s="39"/>
      <c r="Q13" s="39"/>
      <c r="R13" s="39"/>
      <c r="S13" s="39"/>
      <c r="T13" s="39"/>
    </row>
    <row r="14" spans="1:20" ht="12.75" customHeight="1" x14ac:dyDescent="0.25">
      <c r="A14" s="38" t="s">
        <v>127</v>
      </c>
      <c r="B14" s="38" t="s">
        <v>128</v>
      </c>
      <c r="D14" s="39"/>
      <c r="E14" s="39"/>
      <c r="F14" s="39"/>
      <c r="G14" s="39"/>
      <c r="H14" s="39"/>
      <c r="I14" s="39"/>
      <c r="J14" s="39"/>
      <c r="K14" s="39"/>
      <c r="L14" s="39"/>
      <c r="M14" s="39"/>
      <c r="N14" s="39"/>
      <c r="O14" s="39"/>
      <c r="P14" s="39"/>
      <c r="Q14" s="39"/>
      <c r="R14" s="39"/>
      <c r="S14" s="39"/>
      <c r="T14" s="39"/>
    </row>
    <row r="15" spans="1:20" ht="12.75" customHeight="1" x14ac:dyDescent="0.25">
      <c r="A15" s="38" t="s">
        <v>127</v>
      </c>
      <c r="B15" s="38" t="s">
        <v>128</v>
      </c>
      <c r="C15" s="35" t="s">
        <v>121</v>
      </c>
      <c r="D15" s="39">
        <v>0</v>
      </c>
      <c r="E15" s="39">
        <v>0</v>
      </c>
      <c r="F15" s="39"/>
      <c r="G15" s="39"/>
      <c r="H15" s="39"/>
      <c r="I15" s="39"/>
      <c r="J15" s="39"/>
      <c r="K15" s="39"/>
      <c r="L15" s="39"/>
      <c r="M15" s="39"/>
      <c r="N15" s="39"/>
      <c r="O15" s="39"/>
      <c r="P15" s="39"/>
      <c r="Q15" s="39"/>
      <c r="R15" s="39"/>
      <c r="S15" s="39"/>
      <c r="T15" s="39"/>
    </row>
    <row r="16" spans="1:20" ht="13.5" customHeight="1" x14ac:dyDescent="0.25">
      <c r="A16" s="38" t="s">
        <v>127</v>
      </c>
      <c r="B16" s="38" t="s">
        <v>128</v>
      </c>
      <c r="C16" s="35" t="s">
        <v>122</v>
      </c>
      <c r="D16" s="39"/>
      <c r="E16" s="39"/>
      <c r="F16" s="39"/>
      <c r="G16" s="41"/>
      <c r="H16" s="41"/>
      <c r="I16" s="41"/>
      <c r="J16" s="41"/>
      <c r="K16" s="41"/>
      <c r="L16" s="41"/>
      <c r="M16" s="41"/>
      <c r="N16" s="41"/>
      <c r="O16" s="41"/>
      <c r="P16" s="39"/>
      <c r="Q16" s="39"/>
      <c r="R16" s="39"/>
      <c r="S16" s="39"/>
      <c r="T16" s="39"/>
    </row>
    <row r="17" spans="1:20" ht="13.5" customHeight="1" x14ac:dyDescent="0.25">
      <c r="A17" s="38" t="s">
        <v>127</v>
      </c>
      <c r="B17" s="38" t="s">
        <v>128</v>
      </c>
      <c r="C17" s="35" t="s">
        <v>123</v>
      </c>
      <c r="D17" s="42"/>
      <c r="E17" s="42"/>
      <c r="F17" s="42"/>
      <c r="G17" s="42"/>
      <c r="H17" s="42"/>
      <c r="I17" s="42"/>
      <c r="J17" s="42"/>
      <c r="K17" s="42"/>
      <c r="L17" s="42"/>
      <c r="M17" s="42"/>
      <c r="N17" s="42"/>
      <c r="O17" s="42"/>
      <c r="P17" s="39"/>
      <c r="Q17" s="39"/>
      <c r="R17" s="39"/>
      <c r="S17" s="39"/>
      <c r="T17" s="39"/>
    </row>
    <row r="18" spans="1:20" ht="12.75" customHeight="1" x14ac:dyDescent="0.25">
      <c r="A18" s="38" t="s">
        <v>127</v>
      </c>
      <c r="B18" s="38" t="s">
        <v>128</v>
      </c>
      <c r="C18" s="35" t="s">
        <v>124</v>
      </c>
      <c r="D18" s="42"/>
      <c r="E18" s="42"/>
      <c r="F18" s="42"/>
      <c r="G18" s="42"/>
      <c r="H18" s="42"/>
      <c r="I18" s="42"/>
      <c r="J18" s="42"/>
      <c r="K18" s="42"/>
      <c r="L18" s="42"/>
      <c r="M18" s="42"/>
      <c r="N18" s="42"/>
      <c r="O18" s="42"/>
      <c r="P18" s="39"/>
      <c r="Q18" s="39"/>
      <c r="R18" s="39"/>
      <c r="S18" s="39"/>
      <c r="T18" s="39"/>
    </row>
    <row r="19" spans="1:20" ht="12.75" customHeight="1" x14ac:dyDescent="0.25">
      <c r="A19" s="38" t="s">
        <v>127</v>
      </c>
      <c r="B19" s="38" t="s">
        <v>128</v>
      </c>
      <c r="C19" s="35" t="s">
        <v>125</v>
      </c>
      <c r="D19" s="39"/>
      <c r="E19" s="39"/>
      <c r="F19" s="39"/>
      <c r="G19" s="39"/>
      <c r="H19" s="39"/>
      <c r="I19" s="39"/>
      <c r="J19" s="39"/>
      <c r="K19" s="39"/>
      <c r="L19" s="39"/>
      <c r="M19" s="39"/>
      <c r="N19" s="39"/>
      <c r="O19" s="39"/>
      <c r="P19" s="39"/>
      <c r="Q19" s="39"/>
      <c r="R19" s="39"/>
      <c r="S19" s="39"/>
      <c r="T19" s="39"/>
    </row>
    <row r="20" spans="1:20" x14ac:dyDescent="0.25">
      <c r="A20" s="38" t="s">
        <v>127</v>
      </c>
      <c r="B20" s="38" t="s">
        <v>128</v>
      </c>
      <c r="C20" s="35" t="s">
        <v>126</v>
      </c>
      <c r="D20" s="44">
        <v>1.4713350537931547E-9</v>
      </c>
      <c r="E20" s="44">
        <v>1.4713350537931547E-9</v>
      </c>
      <c r="F20" s="44"/>
      <c r="G20" s="44"/>
      <c r="H20" s="44"/>
      <c r="I20" s="44"/>
      <c r="J20" s="44"/>
      <c r="K20" s="44"/>
      <c r="L20" s="44"/>
      <c r="M20" s="44"/>
      <c r="N20" s="44"/>
      <c r="O20" s="44"/>
      <c r="P20" s="44"/>
      <c r="Q20" s="44"/>
      <c r="R20" s="44"/>
      <c r="S20" s="44"/>
      <c r="T20" s="44"/>
    </row>
    <row r="21" spans="1:20" ht="12.75" customHeight="1" x14ac:dyDescent="0.25">
      <c r="A21" s="38"/>
      <c r="B21" s="38"/>
    </row>
    <row r="22" spans="1:20" x14ac:dyDescent="0.25">
      <c r="A22" s="38" t="s">
        <v>129</v>
      </c>
      <c r="B22" s="38" t="s">
        <v>130</v>
      </c>
      <c r="C22" s="35" t="s">
        <v>120</v>
      </c>
      <c r="D22" s="39">
        <v>1125036.3200000003</v>
      </c>
      <c r="E22" s="39">
        <v>1039280.3700000003</v>
      </c>
      <c r="F22" s="39">
        <v>1639488.7700000005</v>
      </c>
      <c r="G22" s="39"/>
      <c r="H22" s="39"/>
      <c r="I22" s="39"/>
      <c r="J22" s="39"/>
      <c r="K22" s="39"/>
      <c r="L22" s="39"/>
      <c r="M22" s="39"/>
      <c r="N22" s="39"/>
      <c r="O22" s="39"/>
      <c r="P22" s="39"/>
      <c r="Q22" s="39"/>
      <c r="R22" s="39"/>
      <c r="S22" s="39"/>
      <c r="T22" s="39"/>
    </row>
    <row r="23" spans="1:20" ht="12.75" customHeight="1" x14ac:dyDescent="0.25">
      <c r="A23" s="38" t="s">
        <v>129</v>
      </c>
      <c r="B23" s="38" t="s">
        <v>130</v>
      </c>
      <c r="E23" s="39"/>
      <c r="F23" s="39"/>
      <c r="G23" s="39"/>
      <c r="H23" s="39"/>
      <c r="I23" s="39"/>
      <c r="J23" s="39"/>
      <c r="K23" s="39"/>
      <c r="L23" s="39"/>
      <c r="M23" s="39"/>
      <c r="N23" s="39"/>
      <c r="O23" s="39"/>
      <c r="P23" s="39"/>
      <c r="Q23" s="39"/>
      <c r="R23" s="39"/>
      <c r="S23" s="39"/>
      <c r="T23" s="39"/>
    </row>
    <row r="24" spans="1:20" ht="12.75" customHeight="1" x14ac:dyDescent="0.25">
      <c r="A24" s="38" t="s">
        <v>129</v>
      </c>
      <c r="B24" s="38" t="s">
        <v>130</v>
      </c>
      <c r="C24" s="35" t="s">
        <v>121</v>
      </c>
      <c r="D24" s="39">
        <v>-131775</v>
      </c>
      <c r="E24" s="39">
        <v>-55200</v>
      </c>
      <c r="F24" s="39">
        <v>-655050</v>
      </c>
      <c r="G24" s="39"/>
      <c r="H24" s="39"/>
      <c r="I24" s="39"/>
      <c r="J24" s="39"/>
      <c r="K24" s="39"/>
      <c r="L24" s="39"/>
      <c r="M24" s="39"/>
      <c r="N24" s="39"/>
      <c r="O24" s="39"/>
      <c r="P24" s="39"/>
      <c r="Q24" s="39"/>
      <c r="R24" s="39"/>
      <c r="S24" s="39"/>
      <c r="T24" s="39"/>
    </row>
    <row r="25" spans="1:20" ht="13.5" customHeight="1" x14ac:dyDescent="0.25">
      <c r="A25" s="38" t="s">
        <v>129</v>
      </c>
      <c r="B25" s="38" t="s">
        <v>130</v>
      </c>
      <c r="C25" s="35" t="s">
        <v>122</v>
      </c>
      <c r="D25" s="39"/>
      <c r="E25" s="39"/>
      <c r="F25" s="39"/>
      <c r="G25" s="39"/>
      <c r="H25" s="39"/>
      <c r="I25" s="39"/>
      <c r="J25" s="45"/>
      <c r="K25" s="45"/>
      <c r="L25" s="45"/>
      <c r="M25" s="45"/>
      <c r="N25" s="45"/>
      <c r="O25" s="45"/>
      <c r="P25" s="39"/>
      <c r="Q25" s="39"/>
      <c r="R25" s="39"/>
      <c r="S25" s="39"/>
      <c r="T25" s="39"/>
    </row>
    <row r="26" spans="1:20" ht="13.5" customHeight="1" x14ac:dyDescent="0.25">
      <c r="A26" s="38" t="s">
        <v>129</v>
      </c>
      <c r="B26" s="38" t="s">
        <v>130</v>
      </c>
      <c r="C26" s="35" t="s">
        <v>123</v>
      </c>
      <c r="D26" s="42">
        <v>-5225</v>
      </c>
      <c r="E26" s="42">
        <v>500</v>
      </c>
      <c r="F26" s="42">
        <v>125212.5</v>
      </c>
      <c r="G26" s="42"/>
      <c r="H26" s="42"/>
      <c r="I26" s="42"/>
      <c r="J26" s="42"/>
      <c r="K26" s="42"/>
      <c r="L26" s="42"/>
      <c r="M26" s="42"/>
      <c r="N26" s="42"/>
      <c r="O26" s="42"/>
      <c r="P26" s="39"/>
      <c r="Q26" s="39"/>
      <c r="R26" s="39"/>
      <c r="S26" s="39"/>
      <c r="T26" s="39"/>
    </row>
    <row r="27" spans="1:20" ht="12.75" customHeight="1" x14ac:dyDescent="0.25">
      <c r="A27" s="38" t="s">
        <v>129</v>
      </c>
      <c r="B27" s="38" t="s">
        <v>130</v>
      </c>
      <c r="C27" s="35" t="s">
        <v>124</v>
      </c>
      <c r="D27" s="42">
        <v>-3955.95</v>
      </c>
      <c r="E27" s="42">
        <v>-141.6</v>
      </c>
      <c r="F27" s="42">
        <v>-1336.35</v>
      </c>
      <c r="G27" s="42"/>
      <c r="H27" s="42"/>
      <c r="I27" s="42"/>
      <c r="J27" s="42"/>
      <c r="K27" s="42"/>
      <c r="L27" s="42"/>
      <c r="M27" s="42"/>
      <c r="N27" s="42"/>
      <c r="O27" s="42"/>
      <c r="P27" s="39"/>
      <c r="Q27" s="39"/>
      <c r="R27" s="39"/>
      <c r="S27" s="39"/>
      <c r="T27" s="39"/>
    </row>
    <row r="28" spans="1:20" ht="12.75" customHeight="1" x14ac:dyDescent="0.3">
      <c r="A28" s="38" t="s">
        <v>129</v>
      </c>
      <c r="B28" s="38" t="s">
        <v>130</v>
      </c>
      <c r="C28" s="35" t="s">
        <v>125</v>
      </c>
      <c r="D28" s="39">
        <v>55200</v>
      </c>
      <c r="E28" s="39">
        <v>655050</v>
      </c>
      <c r="F28" s="39">
        <v>1145737.5</v>
      </c>
      <c r="G28" s="39"/>
      <c r="H28" s="39"/>
      <c r="I28" s="39"/>
      <c r="J28" s="43"/>
      <c r="K28" s="43"/>
      <c r="L28" s="39"/>
      <c r="M28" s="39"/>
      <c r="N28" s="39"/>
      <c r="O28" s="39"/>
      <c r="P28" s="39"/>
      <c r="Q28" s="39"/>
      <c r="R28" s="39"/>
      <c r="S28" s="39"/>
      <c r="T28" s="39"/>
    </row>
    <row r="29" spans="1:20" x14ac:dyDescent="0.25">
      <c r="A29" s="38" t="s">
        <v>129</v>
      </c>
      <c r="B29" s="38" t="s">
        <v>130</v>
      </c>
      <c r="C29" s="35" t="s">
        <v>126</v>
      </c>
      <c r="D29" s="44">
        <v>1039280.3700000003</v>
      </c>
      <c r="E29" s="44">
        <v>1639488.7700000005</v>
      </c>
      <c r="F29" s="44">
        <v>2254052.4200000004</v>
      </c>
      <c r="G29" s="44"/>
      <c r="H29" s="44"/>
      <c r="I29" s="44"/>
      <c r="J29" s="44"/>
      <c r="K29" s="44"/>
      <c r="L29" s="44"/>
      <c r="M29" s="44"/>
      <c r="N29" s="44"/>
      <c r="O29" s="44"/>
      <c r="P29" s="44"/>
      <c r="Q29" s="44"/>
      <c r="R29" s="44"/>
      <c r="S29" s="44"/>
      <c r="T29" s="44"/>
    </row>
    <row r="30" spans="1:20" ht="12.75" customHeight="1" x14ac:dyDescent="0.25">
      <c r="D30" s="46"/>
      <c r="E30" s="46"/>
      <c r="F30" s="46"/>
      <c r="G30" s="46"/>
      <c r="H30" s="46"/>
      <c r="I30" s="46"/>
      <c r="J30" s="46"/>
      <c r="K30" s="46"/>
      <c r="L30" s="46"/>
      <c r="M30" s="46"/>
      <c r="N30" s="46"/>
      <c r="O30" s="46"/>
      <c r="P30" s="46"/>
      <c r="Q30" s="46"/>
      <c r="R30" s="46"/>
      <c r="S30" s="46"/>
      <c r="T30" s="46"/>
    </row>
    <row r="31" spans="1:20" ht="12.75" customHeight="1" x14ac:dyDescent="0.25">
      <c r="D31" s="46"/>
      <c r="E31" s="46"/>
      <c r="F31" s="47"/>
      <c r="G31" s="46"/>
      <c r="H31" s="46"/>
      <c r="I31" s="46"/>
      <c r="J31" s="46"/>
      <c r="K31" s="46"/>
      <c r="L31" s="46"/>
      <c r="M31" s="46"/>
      <c r="N31" s="46"/>
      <c r="O31" s="46"/>
      <c r="P31" s="46"/>
      <c r="Q31" s="46"/>
      <c r="R31" s="46"/>
      <c r="S31" s="46"/>
      <c r="T31" s="46"/>
    </row>
    <row r="32" spans="1:20" ht="12.75" customHeight="1" x14ac:dyDescent="0.25">
      <c r="A32" s="38" t="s">
        <v>131</v>
      </c>
      <c r="B32" s="38" t="s">
        <v>132</v>
      </c>
      <c r="C32" s="35" t="s">
        <v>120</v>
      </c>
      <c r="D32" s="39"/>
      <c r="E32" s="39"/>
      <c r="F32" s="39"/>
      <c r="G32" s="39"/>
      <c r="H32" s="39"/>
      <c r="I32" s="39"/>
      <c r="J32" s="39"/>
      <c r="K32" s="39"/>
      <c r="L32" s="39"/>
      <c r="M32" s="39"/>
      <c r="N32" s="39"/>
      <c r="O32" s="39"/>
      <c r="P32" s="46"/>
      <c r="Q32" s="46"/>
      <c r="R32" s="46"/>
      <c r="S32" s="46"/>
      <c r="T32" s="46"/>
    </row>
    <row r="33" spans="1:20" ht="12.75" customHeight="1" x14ac:dyDescent="0.25">
      <c r="A33" s="38" t="s">
        <v>131</v>
      </c>
      <c r="B33" s="38" t="s">
        <v>132</v>
      </c>
      <c r="D33" s="46"/>
      <c r="E33" s="39"/>
      <c r="F33" s="39"/>
      <c r="G33" s="39"/>
      <c r="H33" s="39"/>
      <c r="I33" s="39"/>
      <c r="J33" s="39"/>
      <c r="K33" s="39"/>
      <c r="L33" s="46"/>
      <c r="M33" s="39"/>
      <c r="N33" s="39"/>
      <c r="O33" s="46"/>
      <c r="P33" s="46"/>
      <c r="Q33" s="46"/>
      <c r="R33" s="46"/>
      <c r="S33" s="46"/>
      <c r="T33" s="46"/>
    </row>
    <row r="34" spans="1:20" ht="12.75" customHeight="1" x14ac:dyDescent="0.25">
      <c r="A34" s="38" t="s">
        <v>131</v>
      </c>
      <c r="B34" s="38" t="s">
        <v>132</v>
      </c>
      <c r="C34" s="35" t="s">
        <v>121</v>
      </c>
      <c r="D34" s="39"/>
      <c r="E34" s="39"/>
      <c r="F34" s="39"/>
      <c r="G34" s="39"/>
      <c r="H34" s="39"/>
      <c r="I34" s="39"/>
      <c r="J34" s="39"/>
      <c r="K34" s="39"/>
      <c r="L34" s="39"/>
      <c r="M34" s="39"/>
      <c r="N34" s="39"/>
      <c r="O34" s="39"/>
      <c r="P34" s="46"/>
      <c r="Q34" s="46"/>
      <c r="R34" s="46"/>
      <c r="S34" s="46"/>
      <c r="T34" s="46"/>
    </row>
    <row r="35" spans="1:20" ht="13.5" customHeight="1" x14ac:dyDescent="0.25">
      <c r="A35" s="38" t="s">
        <v>131</v>
      </c>
      <c r="B35" s="38" t="s">
        <v>132</v>
      </c>
      <c r="C35" s="35" t="s">
        <v>122</v>
      </c>
      <c r="D35" s="39"/>
      <c r="E35" s="39"/>
      <c r="F35" s="39"/>
      <c r="G35" s="39"/>
      <c r="H35" s="39"/>
      <c r="I35" s="39"/>
      <c r="J35" s="39"/>
      <c r="K35" s="39"/>
      <c r="L35" s="39"/>
      <c r="M35" s="39"/>
      <c r="N35" s="39"/>
      <c r="O35" s="39"/>
      <c r="P35" s="39"/>
      <c r="Q35" s="39"/>
      <c r="R35" s="39"/>
      <c r="S35" s="39"/>
      <c r="T35" s="39"/>
    </row>
    <row r="36" spans="1:20" ht="13.5" customHeight="1" x14ac:dyDescent="0.25">
      <c r="A36" s="38" t="s">
        <v>131</v>
      </c>
      <c r="B36" s="38" t="s">
        <v>132</v>
      </c>
      <c r="C36" s="35" t="s">
        <v>123</v>
      </c>
      <c r="D36" s="42"/>
      <c r="E36" s="42"/>
      <c r="F36" s="42"/>
      <c r="G36" s="42"/>
      <c r="H36" s="42"/>
      <c r="I36" s="42"/>
      <c r="J36" s="42"/>
      <c r="K36" s="42"/>
      <c r="L36" s="42"/>
      <c r="M36" s="42"/>
      <c r="N36" s="42"/>
      <c r="O36" s="42"/>
      <c r="P36" s="39"/>
      <c r="Q36" s="39"/>
      <c r="R36" s="39"/>
      <c r="S36" s="39"/>
      <c r="T36" s="39"/>
    </row>
    <row r="37" spans="1:20" ht="12.75" customHeight="1" x14ac:dyDescent="0.25">
      <c r="A37" s="38" t="s">
        <v>131</v>
      </c>
      <c r="B37" s="38" t="s">
        <v>132</v>
      </c>
      <c r="C37" s="35" t="s">
        <v>124</v>
      </c>
      <c r="D37" s="48"/>
      <c r="E37" s="42"/>
      <c r="F37" s="48"/>
      <c r="G37" s="48"/>
      <c r="H37" s="48"/>
      <c r="I37" s="48"/>
      <c r="J37" s="48"/>
      <c r="K37" s="48"/>
      <c r="L37" s="48"/>
      <c r="M37" s="48"/>
      <c r="N37" s="48"/>
      <c r="O37" s="48"/>
      <c r="P37" s="46"/>
      <c r="Q37" s="46"/>
      <c r="R37" s="46"/>
      <c r="S37" s="46"/>
      <c r="T37" s="46"/>
    </row>
    <row r="38" spans="1:20" ht="12.75" customHeight="1" x14ac:dyDescent="0.3">
      <c r="A38" s="38" t="s">
        <v>131</v>
      </c>
      <c r="B38" s="38" t="s">
        <v>132</v>
      </c>
      <c r="C38" s="35" t="s">
        <v>125</v>
      </c>
      <c r="D38" s="46"/>
      <c r="E38" s="43"/>
      <c r="F38" s="46"/>
      <c r="G38" s="46"/>
      <c r="H38" s="43"/>
      <c r="I38" s="46"/>
      <c r="J38" s="46"/>
      <c r="K38" s="46"/>
      <c r="L38" s="46"/>
      <c r="M38" s="46"/>
      <c r="N38" s="46"/>
      <c r="O38" s="46"/>
      <c r="P38" s="46"/>
      <c r="Q38" s="46"/>
      <c r="R38" s="46"/>
      <c r="S38" s="46"/>
      <c r="T38" s="46"/>
    </row>
    <row r="39" spans="1:20" x14ac:dyDescent="0.25">
      <c r="A39" s="38" t="s">
        <v>131</v>
      </c>
      <c r="B39" s="38" t="s">
        <v>132</v>
      </c>
      <c r="C39" s="35" t="s">
        <v>126</v>
      </c>
      <c r="D39" s="44">
        <v>0</v>
      </c>
      <c r="E39" s="44">
        <v>0</v>
      </c>
      <c r="F39" s="44"/>
      <c r="G39" s="44"/>
      <c r="H39" s="44"/>
      <c r="I39" s="44"/>
      <c r="J39" s="44"/>
      <c r="K39" s="44"/>
      <c r="L39" s="44"/>
      <c r="M39" s="44"/>
      <c r="N39" s="44"/>
      <c r="O39" s="44"/>
      <c r="P39" s="44"/>
      <c r="Q39" s="44"/>
      <c r="R39" s="44"/>
      <c r="S39" s="44"/>
      <c r="T39" s="44"/>
    </row>
    <row r="40" spans="1:20" ht="12.75" customHeight="1" x14ac:dyDescent="0.25">
      <c r="A40" s="38"/>
      <c r="B40" s="38"/>
      <c r="D40" s="46"/>
      <c r="E40" s="46"/>
      <c r="F40" s="46"/>
      <c r="G40" s="46"/>
      <c r="H40" s="46"/>
      <c r="I40" s="46"/>
      <c r="J40" s="46"/>
      <c r="K40" s="46"/>
      <c r="L40" s="46"/>
      <c r="M40" s="46"/>
      <c r="N40" s="46"/>
      <c r="O40" s="46"/>
      <c r="P40" s="46"/>
      <c r="Q40" s="46"/>
      <c r="R40" s="46"/>
      <c r="S40" s="46"/>
      <c r="T40" s="46"/>
    </row>
    <row r="41" spans="1:20" ht="12.75" customHeight="1" x14ac:dyDescent="0.25">
      <c r="A41" s="38" t="s">
        <v>133</v>
      </c>
      <c r="B41" s="38" t="s">
        <v>134</v>
      </c>
      <c r="C41" s="35" t="s">
        <v>120</v>
      </c>
      <c r="D41" s="39"/>
      <c r="E41" s="39"/>
      <c r="F41" s="39"/>
      <c r="G41" s="39"/>
      <c r="H41" s="39"/>
      <c r="I41" s="39"/>
      <c r="J41" s="39"/>
      <c r="K41" s="39"/>
      <c r="L41" s="39"/>
      <c r="M41" s="39"/>
      <c r="N41" s="39"/>
      <c r="O41" s="39"/>
      <c r="P41" s="46"/>
      <c r="Q41" s="46"/>
      <c r="R41" s="46"/>
      <c r="S41" s="46"/>
      <c r="T41" s="46"/>
    </row>
    <row r="42" spans="1:20" ht="12.75" customHeight="1" x14ac:dyDescent="0.25">
      <c r="A42" s="38" t="s">
        <v>133</v>
      </c>
      <c r="B42" s="38" t="s">
        <v>134</v>
      </c>
      <c r="D42" s="46"/>
      <c r="E42" s="39"/>
      <c r="F42" s="39"/>
      <c r="G42" s="39"/>
      <c r="H42" s="39"/>
      <c r="I42" s="39"/>
      <c r="J42" s="39"/>
      <c r="K42" s="39"/>
      <c r="L42" s="39"/>
      <c r="M42" s="39"/>
      <c r="N42" s="39"/>
      <c r="O42" s="39"/>
      <c r="P42" s="46"/>
      <c r="Q42" s="46"/>
      <c r="R42" s="46"/>
      <c r="S42" s="46"/>
      <c r="T42" s="46"/>
    </row>
    <row r="43" spans="1:20" ht="12.75" customHeight="1" x14ac:dyDescent="0.25">
      <c r="A43" s="38" t="s">
        <v>133</v>
      </c>
      <c r="B43" s="38" t="s">
        <v>134</v>
      </c>
      <c r="C43" s="35" t="s">
        <v>121</v>
      </c>
      <c r="D43" s="39"/>
      <c r="E43" s="39"/>
      <c r="F43" s="39"/>
      <c r="G43" s="39"/>
      <c r="H43" s="39"/>
      <c r="I43" s="39"/>
      <c r="J43" s="39"/>
      <c r="K43" s="39"/>
      <c r="L43" s="39"/>
      <c r="M43" s="39"/>
      <c r="N43" s="39"/>
      <c r="O43" s="39"/>
      <c r="P43" s="46"/>
      <c r="Q43" s="46"/>
      <c r="R43" s="46"/>
      <c r="S43" s="46"/>
      <c r="T43" s="46"/>
    </row>
    <row r="44" spans="1:20" ht="13.5" customHeight="1" x14ac:dyDescent="0.25">
      <c r="A44" s="38" t="s">
        <v>133</v>
      </c>
      <c r="B44" s="38" t="s">
        <v>134</v>
      </c>
      <c r="C44" s="35" t="s">
        <v>122</v>
      </c>
      <c r="D44" s="39"/>
      <c r="E44" s="39"/>
      <c r="F44" s="39"/>
      <c r="G44" s="39"/>
      <c r="H44" s="39"/>
      <c r="I44" s="39"/>
      <c r="J44" s="39"/>
      <c r="K44" s="39"/>
      <c r="L44" s="39"/>
      <c r="M44" s="45"/>
      <c r="N44" s="45"/>
      <c r="O44" s="45"/>
      <c r="P44" s="39"/>
      <c r="Q44" s="39"/>
      <c r="R44" s="39"/>
      <c r="S44" s="39"/>
      <c r="T44" s="39"/>
    </row>
    <row r="45" spans="1:20" ht="13.5" customHeight="1" x14ac:dyDescent="0.25">
      <c r="A45" s="38" t="s">
        <v>133</v>
      </c>
      <c r="B45" s="38" t="s">
        <v>134</v>
      </c>
      <c r="C45" s="35" t="s">
        <v>123</v>
      </c>
      <c r="D45" s="42"/>
      <c r="E45" s="42"/>
      <c r="F45" s="42"/>
      <c r="G45" s="42"/>
      <c r="H45" s="42"/>
      <c r="I45" s="42"/>
      <c r="J45" s="42"/>
      <c r="K45" s="42"/>
      <c r="L45" s="42"/>
      <c r="M45" s="42"/>
      <c r="N45" s="42"/>
      <c r="O45" s="42"/>
      <c r="P45" s="39"/>
      <c r="Q45" s="39"/>
      <c r="R45" s="39"/>
      <c r="S45" s="39"/>
      <c r="T45" s="39"/>
    </row>
    <row r="46" spans="1:20" ht="12.75" customHeight="1" x14ac:dyDescent="0.25">
      <c r="A46" s="38" t="s">
        <v>133</v>
      </c>
      <c r="B46" s="38" t="s">
        <v>134</v>
      </c>
      <c r="C46" s="35" t="s">
        <v>124</v>
      </c>
      <c r="D46" s="42"/>
      <c r="E46" s="42"/>
      <c r="F46" s="42"/>
      <c r="G46" s="42"/>
      <c r="H46" s="42"/>
      <c r="I46" s="42"/>
      <c r="J46" s="42"/>
      <c r="K46" s="42"/>
      <c r="L46" s="42"/>
      <c r="M46" s="42"/>
      <c r="N46" s="42"/>
      <c r="O46" s="42"/>
      <c r="P46" s="46"/>
      <c r="Q46" s="46"/>
      <c r="R46" s="46"/>
      <c r="S46" s="46"/>
      <c r="T46" s="46"/>
    </row>
    <row r="47" spans="1:20" ht="12.75" customHeight="1" x14ac:dyDescent="0.25">
      <c r="A47" s="38" t="s">
        <v>133</v>
      </c>
      <c r="B47" s="38" t="s">
        <v>134</v>
      </c>
      <c r="C47" s="35" t="s">
        <v>125</v>
      </c>
      <c r="D47" s="46">
        <v>0</v>
      </c>
      <c r="E47" s="46">
        <v>0</v>
      </c>
      <c r="F47" s="46"/>
      <c r="G47" s="46"/>
      <c r="H47" s="46"/>
      <c r="I47" s="46"/>
      <c r="J47" s="46"/>
      <c r="K47" s="46"/>
      <c r="L47" s="46"/>
      <c r="M47" s="46"/>
      <c r="N47" s="46"/>
      <c r="O47" s="46"/>
      <c r="P47" s="46"/>
      <c r="Q47" s="46"/>
      <c r="R47" s="46"/>
      <c r="S47" s="46"/>
      <c r="T47" s="46"/>
    </row>
    <row r="48" spans="1:20" x14ac:dyDescent="0.25">
      <c r="A48" s="38" t="s">
        <v>133</v>
      </c>
      <c r="B48" s="38" t="s">
        <v>134</v>
      </c>
      <c r="C48" s="35" t="s">
        <v>126</v>
      </c>
      <c r="D48" s="44">
        <v>0</v>
      </c>
      <c r="E48" s="44">
        <v>0</v>
      </c>
      <c r="F48" s="44"/>
      <c r="G48" s="44"/>
      <c r="H48" s="44"/>
      <c r="I48" s="44"/>
      <c r="J48" s="44"/>
      <c r="K48" s="44"/>
      <c r="L48" s="44"/>
      <c r="M48" s="44"/>
      <c r="N48" s="44"/>
      <c r="O48" s="44"/>
      <c r="P48" s="44"/>
      <c r="Q48" s="44"/>
      <c r="R48" s="44"/>
      <c r="S48" s="44"/>
      <c r="T48" s="44"/>
    </row>
    <row r="49" spans="1:20 16384:16384" ht="12.75" customHeight="1" x14ac:dyDescent="0.25">
      <c r="A49" s="38"/>
      <c r="B49" s="38"/>
      <c r="D49" s="46"/>
      <c r="E49" s="46"/>
      <c r="F49" s="46"/>
      <c r="G49" s="46"/>
      <c r="H49" s="46"/>
      <c r="I49" s="46"/>
      <c r="J49" s="46"/>
      <c r="K49" s="46"/>
      <c r="L49" s="46"/>
      <c r="M49" s="46"/>
      <c r="N49" s="46"/>
      <c r="O49" s="46"/>
      <c r="P49" s="46"/>
      <c r="Q49" s="46"/>
      <c r="R49" s="46"/>
      <c r="S49" s="46"/>
      <c r="T49" s="46"/>
    </row>
    <row r="50" spans="1:20 16384:16384" ht="12.75" customHeight="1" x14ac:dyDescent="0.25">
      <c r="A50" s="38" t="s">
        <v>135</v>
      </c>
      <c r="B50" s="38" t="s">
        <v>136</v>
      </c>
      <c r="C50" s="35" t="s">
        <v>120</v>
      </c>
      <c r="D50" s="39">
        <v>832611.73999999976</v>
      </c>
      <c r="E50" s="39">
        <v>-2.5625013222452253E-10</v>
      </c>
      <c r="F50" s="39">
        <v>-2.5625013222452253E-10</v>
      </c>
      <c r="G50" s="39"/>
      <c r="H50" s="39"/>
      <c r="I50" s="39"/>
      <c r="J50" s="39"/>
      <c r="K50" s="39"/>
      <c r="L50" s="39"/>
      <c r="M50" s="39"/>
      <c r="N50" s="39"/>
      <c r="O50" s="39"/>
      <c r="P50" s="46"/>
      <c r="Q50" s="46"/>
      <c r="R50" s="46"/>
      <c r="S50" s="46"/>
      <c r="T50" s="46"/>
    </row>
    <row r="51" spans="1:20 16384:16384" ht="12.75" customHeight="1" x14ac:dyDescent="0.25">
      <c r="A51" s="38" t="s">
        <v>135</v>
      </c>
      <c r="B51" s="38" t="s">
        <v>136</v>
      </c>
      <c r="D51" s="47"/>
      <c r="E51" s="39"/>
      <c r="F51" s="39"/>
      <c r="G51" s="39"/>
      <c r="H51" s="39"/>
      <c r="I51" s="39"/>
      <c r="J51" s="39"/>
      <c r="K51" s="39"/>
      <c r="L51" s="39"/>
      <c r="M51" s="39"/>
      <c r="N51" s="39"/>
      <c r="O51" s="39"/>
      <c r="P51" s="46"/>
      <c r="Q51" s="46"/>
      <c r="R51" s="46"/>
      <c r="S51" s="46"/>
      <c r="T51" s="46"/>
    </row>
    <row r="52" spans="1:20 16384:16384" ht="12.75" customHeight="1" x14ac:dyDescent="0.25">
      <c r="A52" s="38" t="s">
        <v>135</v>
      </c>
      <c r="B52" s="38" t="s">
        <v>136</v>
      </c>
      <c r="C52" s="35" t="s">
        <v>121</v>
      </c>
      <c r="D52" s="39">
        <v>141950</v>
      </c>
      <c r="E52" s="39">
        <v>0</v>
      </c>
      <c r="F52" s="39">
        <v>0</v>
      </c>
      <c r="G52" s="39"/>
      <c r="H52" s="39"/>
      <c r="I52" s="39"/>
      <c r="J52" s="39"/>
      <c r="K52" s="39"/>
      <c r="L52" s="39"/>
      <c r="M52" s="39"/>
      <c r="N52" s="39"/>
      <c r="O52" s="39"/>
      <c r="P52" s="46"/>
      <c r="Q52" s="46"/>
      <c r="R52" s="46"/>
      <c r="S52" s="46"/>
      <c r="T52" s="46"/>
      <c r="XFD52" s="39"/>
    </row>
    <row r="53" spans="1:20 16384:16384" ht="13.5" customHeight="1" x14ac:dyDescent="0.25">
      <c r="A53" s="38" t="s">
        <v>135</v>
      </c>
      <c r="B53" s="38" t="s">
        <v>136</v>
      </c>
      <c r="C53" s="35" t="s">
        <v>122</v>
      </c>
      <c r="D53" s="39">
        <v>-872302.64</v>
      </c>
      <c r="E53" s="39"/>
      <c r="F53" s="39"/>
      <c r="G53" s="41"/>
      <c r="H53" s="41"/>
      <c r="I53" s="41"/>
      <c r="J53" s="41"/>
      <c r="K53" s="41"/>
      <c r="L53" s="41"/>
      <c r="M53" s="41"/>
      <c r="N53" s="41"/>
      <c r="O53" s="41"/>
      <c r="P53" s="39"/>
      <c r="Q53" s="39"/>
      <c r="R53" s="39"/>
      <c r="S53" s="39"/>
      <c r="T53" s="39"/>
    </row>
    <row r="54" spans="1:20 16384:16384" ht="13.5" customHeight="1" x14ac:dyDescent="0.25">
      <c r="A54" s="38" t="s">
        <v>135</v>
      </c>
      <c r="B54" s="38" t="s">
        <v>136</v>
      </c>
      <c r="C54" s="35" t="s">
        <v>123</v>
      </c>
      <c r="D54" s="39">
        <v>-101675</v>
      </c>
      <c r="E54" s="39">
        <v>0</v>
      </c>
      <c r="F54" s="39">
        <v>0</v>
      </c>
      <c r="G54" s="42"/>
      <c r="H54" s="42"/>
      <c r="I54" s="42"/>
      <c r="J54" s="42"/>
      <c r="K54" s="42"/>
      <c r="L54" s="42"/>
      <c r="M54" s="42"/>
      <c r="N54" s="42"/>
      <c r="O54" s="42"/>
      <c r="P54" s="39"/>
      <c r="Q54" s="39"/>
      <c r="R54" s="39"/>
      <c r="S54" s="39"/>
      <c r="T54" s="39"/>
    </row>
    <row r="55" spans="1:20 16384:16384" ht="12.75" customHeight="1" x14ac:dyDescent="0.25">
      <c r="A55" s="38" t="s">
        <v>135</v>
      </c>
      <c r="B55" s="38" t="s">
        <v>136</v>
      </c>
      <c r="C55" s="35" t="s">
        <v>124</v>
      </c>
      <c r="D55" s="39">
        <v>-584.10000000000014</v>
      </c>
      <c r="E55" s="39">
        <v>0</v>
      </c>
      <c r="F55" s="39">
        <v>0</v>
      </c>
      <c r="G55" s="42"/>
      <c r="H55" s="42"/>
      <c r="I55" s="42"/>
      <c r="J55" s="42"/>
      <c r="K55" s="42"/>
      <c r="L55" s="42"/>
      <c r="M55" s="42"/>
      <c r="N55" s="42"/>
      <c r="O55" s="42"/>
      <c r="P55" s="46"/>
      <c r="Q55" s="46"/>
      <c r="R55" s="46"/>
      <c r="S55" s="46"/>
      <c r="T55" s="46"/>
    </row>
    <row r="56" spans="1:20 16384:16384" ht="12.75" customHeight="1" x14ac:dyDescent="0.3">
      <c r="A56" s="38" t="s">
        <v>135</v>
      </c>
      <c r="B56" s="38" t="s">
        <v>136</v>
      </c>
      <c r="C56" s="35" t="s">
        <v>125</v>
      </c>
      <c r="D56" s="47"/>
      <c r="E56" s="49"/>
      <c r="F56" s="49"/>
      <c r="G56" s="49"/>
      <c r="H56" s="49"/>
      <c r="I56" s="49"/>
      <c r="J56" s="43"/>
      <c r="K56" s="43"/>
      <c r="L56" s="46"/>
      <c r="M56" s="46"/>
      <c r="N56" s="46"/>
      <c r="O56" s="46"/>
      <c r="P56" s="46"/>
      <c r="Q56" s="46"/>
      <c r="R56" s="46"/>
      <c r="S56" s="46"/>
      <c r="T56" s="46"/>
    </row>
    <row r="57" spans="1:20 16384:16384" x14ac:dyDescent="0.25">
      <c r="A57" s="38" t="s">
        <v>135</v>
      </c>
      <c r="B57" s="38" t="s">
        <v>136</v>
      </c>
      <c r="C57" s="35" t="s">
        <v>126</v>
      </c>
      <c r="D57" s="44">
        <v>-2.5625013222452253E-10</v>
      </c>
      <c r="E57" s="44">
        <v>-2.5625013222452253E-10</v>
      </c>
      <c r="F57" s="44"/>
      <c r="G57" s="44"/>
      <c r="H57" s="44"/>
      <c r="I57" s="44"/>
      <c r="J57" s="44"/>
      <c r="K57" s="44"/>
      <c r="L57" s="44"/>
      <c r="M57" s="44"/>
      <c r="N57" s="44"/>
      <c r="O57" s="44"/>
      <c r="P57" s="44"/>
      <c r="Q57" s="44"/>
      <c r="R57" s="44"/>
      <c r="S57" s="44"/>
      <c r="T57" s="44"/>
    </row>
    <row r="58" spans="1:20 16384:16384" ht="12.75" customHeight="1" x14ac:dyDescent="0.25">
      <c r="A58" s="38"/>
      <c r="B58" s="38"/>
      <c r="D58" s="46"/>
      <c r="E58" s="46"/>
      <c r="F58" s="46"/>
      <c r="G58" s="46"/>
      <c r="H58" s="46"/>
      <c r="I58" s="46"/>
      <c r="J58" s="46"/>
      <c r="K58" s="46"/>
      <c r="L58" s="46"/>
      <c r="M58" s="46"/>
      <c r="N58" s="46"/>
      <c r="O58" s="46"/>
      <c r="P58" s="46"/>
      <c r="Q58" s="46"/>
      <c r="R58" s="46"/>
      <c r="S58" s="46"/>
      <c r="T58" s="46"/>
    </row>
    <row r="59" spans="1:20 16384:16384" ht="12.75" customHeight="1" x14ac:dyDescent="0.25">
      <c r="D59" s="46"/>
      <c r="E59" s="46"/>
      <c r="F59" s="46"/>
      <c r="G59" s="46"/>
      <c r="H59" s="46"/>
      <c r="I59" s="46"/>
      <c r="J59" s="46"/>
      <c r="K59" s="46"/>
      <c r="L59" s="46"/>
      <c r="M59" s="46"/>
      <c r="N59" s="46"/>
      <c r="O59" s="46"/>
      <c r="P59" s="46"/>
      <c r="Q59" s="46"/>
      <c r="R59" s="46"/>
      <c r="S59" s="46"/>
      <c r="T59" s="46"/>
    </row>
    <row r="60" spans="1:20 16384:16384" x14ac:dyDescent="0.25">
      <c r="A60" s="38" t="s">
        <v>131</v>
      </c>
      <c r="B60" s="38" t="s">
        <v>137</v>
      </c>
      <c r="C60" s="35" t="s">
        <v>120</v>
      </c>
      <c r="D60" s="39">
        <v>-319428.32</v>
      </c>
      <c r="E60" s="39">
        <v>697372.67</v>
      </c>
      <c r="F60" s="39">
        <v>704521.47000000009</v>
      </c>
      <c r="G60" s="39"/>
      <c r="H60" s="39"/>
      <c r="I60" s="39"/>
      <c r="J60" s="39"/>
      <c r="K60" s="39"/>
      <c r="L60" s="39"/>
      <c r="M60" s="39"/>
      <c r="N60" s="39"/>
      <c r="O60" s="39"/>
      <c r="P60" s="50"/>
      <c r="Q60" s="50"/>
      <c r="R60" s="50"/>
      <c r="S60" s="50"/>
      <c r="T60" s="50"/>
    </row>
    <row r="61" spans="1:20 16384:16384" x14ac:dyDescent="0.25">
      <c r="A61" s="38" t="s">
        <v>131</v>
      </c>
      <c r="B61" s="38" t="s">
        <v>137</v>
      </c>
      <c r="D61" s="39"/>
      <c r="E61" s="39"/>
      <c r="F61" s="39"/>
      <c r="G61" s="39"/>
      <c r="H61" s="39"/>
      <c r="I61" s="39"/>
      <c r="J61" s="39"/>
      <c r="K61" s="39"/>
      <c r="L61" s="39"/>
      <c r="M61" s="39"/>
      <c r="N61" s="39"/>
      <c r="O61" s="39"/>
      <c r="P61" s="50"/>
      <c r="Q61" s="50"/>
      <c r="R61" s="50"/>
      <c r="S61" s="50"/>
      <c r="T61" s="50"/>
    </row>
    <row r="62" spans="1:20 16384:16384" x14ac:dyDescent="0.25">
      <c r="A62" s="38" t="s">
        <v>131</v>
      </c>
      <c r="B62" s="38" t="s">
        <v>137</v>
      </c>
      <c r="C62" s="35" t="s">
        <v>121</v>
      </c>
      <c r="D62" s="39">
        <v>318537.5</v>
      </c>
      <c r="E62" s="39">
        <v>-30600</v>
      </c>
      <c r="F62" s="39">
        <v>152737.5</v>
      </c>
      <c r="G62" s="39"/>
      <c r="H62" s="39"/>
      <c r="I62" s="39"/>
      <c r="J62" s="39"/>
      <c r="K62" s="39"/>
      <c r="L62" s="39"/>
      <c r="M62" s="39"/>
      <c r="N62" s="39"/>
      <c r="O62" s="39"/>
      <c r="P62" s="50"/>
      <c r="Q62" s="50"/>
      <c r="R62" s="50"/>
      <c r="S62" s="50"/>
      <c r="T62" s="50"/>
    </row>
    <row r="63" spans="1:20 16384:16384" x14ac:dyDescent="0.25">
      <c r="A63" s="38" t="s">
        <v>131</v>
      </c>
      <c r="B63" s="38" t="s">
        <v>137</v>
      </c>
      <c r="C63" s="35" t="s">
        <v>122</v>
      </c>
      <c r="D63" s="40">
        <v>872302.64</v>
      </c>
      <c r="E63" s="39"/>
      <c r="F63" s="39"/>
      <c r="G63" s="39"/>
      <c r="H63" s="39"/>
      <c r="I63" s="39"/>
      <c r="J63" s="39"/>
      <c r="K63" s="41"/>
      <c r="L63" s="41"/>
      <c r="M63" s="41"/>
      <c r="N63" s="41"/>
      <c r="O63" s="41"/>
      <c r="P63" s="50"/>
      <c r="Q63" s="50"/>
      <c r="R63" s="50"/>
      <c r="S63" s="50"/>
      <c r="T63" s="50"/>
    </row>
    <row r="64" spans="1:20 16384:16384" x14ac:dyDescent="0.25">
      <c r="A64" s="38" t="s">
        <v>131</v>
      </c>
      <c r="B64" s="38" t="s">
        <v>137</v>
      </c>
      <c r="C64" s="35" t="s">
        <v>123</v>
      </c>
      <c r="D64" s="42">
        <v>-202612.5</v>
      </c>
      <c r="E64" s="42">
        <v>196787.5</v>
      </c>
      <c r="F64" s="42">
        <v>-113725</v>
      </c>
      <c r="G64" s="42"/>
      <c r="H64" s="42"/>
      <c r="I64" s="42"/>
      <c r="J64" s="42"/>
      <c r="K64" s="42"/>
      <c r="L64" s="42"/>
      <c r="M64" s="42"/>
      <c r="N64" s="42"/>
      <c r="O64" s="42"/>
      <c r="P64" s="50"/>
      <c r="Q64" s="50"/>
      <c r="R64" s="50"/>
      <c r="S64" s="50"/>
      <c r="T64" s="50"/>
    </row>
    <row r="65" spans="1:20" x14ac:dyDescent="0.25">
      <c r="A65" s="38" t="s">
        <v>131</v>
      </c>
      <c r="B65" s="38" t="s">
        <v>137</v>
      </c>
      <c r="C65" s="35" t="s">
        <v>124</v>
      </c>
      <c r="D65" s="42">
        <v>-2026.6499999999999</v>
      </c>
      <c r="E65" s="42">
        <v>-6301.2</v>
      </c>
      <c r="F65" s="42">
        <v>-2221.3499999999995</v>
      </c>
      <c r="G65" s="42"/>
      <c r="H65" s="42"/>
      <c r="I65" s="42"/>
      <c r="J65" s="42"/>
      <c r="K65" s="42"/>
      <c r="L65" s="42"/>
      <c r="M65" s="42"/>
      <c r="N65" s="42"/>
      <c r="O65" s="42"/>
      <c r="P65" s="50"/>
      <c r="Q65" s="50"/>
      <c r="R65" s="50"/>
      <c r="S65" s="50"/>
      <c r="T65" s="50"/>
    </row>
    <row r="66" spans="1:20" ht="14.4" x14ac:dyDescent="0.3">
      <c r="A66" s="38" t="s">
        <v>131</v>
      </c>
      <c r="B66" s="38" t="s">
        <v>137</v>
      </c>
      <c r="C66" s="35" t="s">
        <v>125</v>
      </c>
      <c r="D66" s="39">
        <v>30600</v>
      </c>
      <c r="E66" s="43">
        <v>-152737.5</v>
      </c>
      <c r="F66" s="43">
        <v>5900</v>
      </c>
      <c r="G66" s="43"/>
      <c r="H66" s="43"/>
      <c r="I66" s="43"/>
      <c r="J66" s="39"/>
      <c r="K66" s="39"/>
      <c r="L66" s="39"/>
      <c r="M66" s="46"/>
      <c r="N66" s="46"/>
      <c r="O66" s="39"/>
      <c r="P66" s="50"/>
      <c r="Q66" s="50"/>
      <c r="R66" s="50"/>
      <c r="S66" s="50"/>
      <c r="T66" s="50"/>
    </row>
    <row r="67" spans="1:20" x14ac:dyDescent="0.25">
      <c r="A67" s="38" t="s">
        <v>131</v>
      </c>
      <c r="B67" s="38" t="s">
        <v>137</v>
      </c>
      <c r="C67" s="35" t="s">
        <v>126</v>
      </c>
      <c r="D67" s="44">
        <v>697372.67</v>
      </c>
      <c r="E67" s="44">
        <v>704521.47000000009</v>
      </c>
      <c r="F67" s="44">
        <v>747212.62000000011</v>
      </c>
      <c r="G67" s="44"/>
      <c r="H67" s="44"/>
      <c r="I67" s="44"/>
      <c r="J67" s="44"/>
      <c r="K67" s="44"/>
      <c r="L67" s="44"/>
      <c r="M67" s="44"/>
      <c r="N67" s="44"/>
      <c r="O67" s="44"/>
      <c r="P67" s="50"/>
      <c r="Q67" s="50"/>
      <c r="R67" s="50"/>
      <c r="S67" s="50"/>
      <c r="T67" s="50"/>
    </row>
    <row r="68" spans="1:20" x14ac:dyDescent="0.25">
      <c r="D68" s="39"/>
      <c r="E68" s="39"/>
      <c r="F68" s="51"/>
      <c r="G68" s="51"/>
      <c r="H68" s="51"/>
      <c r="I68" s="51"/>
      <c r="J68" s="51"/>
      <c r="K68" s="51"/>
      <c r="L68" s="51"/>
      <c r="M68" s="51"/>
      <c r="N68" s="51"/>
      <c r="O68" s="51"/>
      <c r="P68" s="51"/>
      <c r="Q68" s="51"/>
      <c r="R68" s="51"/>
      <c r="S68" s="51"/>
      <c r="T68" s="51"/>
    </row>
    <row r="69" spans="1:20" ht="12.75" customHeight="1" x14ac:dyDescent="0.25">
      <c r="D69" s="46"/>
      <c r="E69" s="46"/>
      <c r="F69" s="46"/>
      <c r="G69" s="46"/>
      <c r="H69" s="46"/>
      <c r="I69" s="46"/>
      <c r="J69" s="46"/>
      <c r="K69" s="46"/>
      <c r="L69" s="46"/>
      <c r="M69" s="46"/>
      <c r="N69" s="46"/>
      <c r="O69" s="46"/>
      <c r="P69" s="46"/>
      <c r="Q69" s="46"/>
      <c r="R69" s="46"/>
      <c r="S69" s="46"/>
      <c r="T69" s="46"/>
    </row>
    <row r="70" spans="1:20" x14ac:dyDescent="0.25">
      <c r="A70" s="38" t="s">
        <v>138</v>
      </c>
      <c r="B70" s="38" t="s">
        <v>137</v>
      </c>
      <c r="C70" s="35" t="s">
        <v>120</v>
      </c>
      <c r="D70" s="39">
        <v>339847.30000000005</v>
      </c>
      <c r="E70" s="39">
        <v>915176.3</v>
      </c>
      <c r="F70" s="39">
        <v>600551.30000000005</v>
      </c>
      <c r="G70" s="39"/>
      <c r="H70" s="39"/>
      <c r="I70" s="39"/>
      <c r="J70" s="39"/>
      <c r="K70" s="39"/>
      <c r="L70" s="39"/>
      <c r="M70" s="39"/>
      <c r="N70" s="39"/>
      <c r="O70" s="39"/>
      <c r="P70" s="50"/>
      <c r="Q70" s="50"/>
      <c r="R70" s="50"/>
      <c r="S70" s="50"/>
      <c r="T70" s="50"/>
    </row>
    <row r="71" spans="1:20" x14ac:dyDescent="0.25">
      <c r="A71" s="38" t="s">
        <v>138</v>
      </c>
      <c r="B71" s="38" t="s">
        <v>137</v>
      </c>
      <c r="D71" s="39"/>
      <c r="E71" s="39"/>
      <c r="F71" s="39"/>
      <c r="G71" s="39"/>
      <c r="H71" s="39"/>
      <c r="I71" s="39"/>
      <c r="J71" s="39"/>
      <c r="K71" s="39"/>
      <c r="L71" s="39"/>
      <c r="M71" s="39"/>
      <c r="N71" s="39"/>
      <c r="O71" s="39"/>
      <c r="P71" s="50"/>
      <c r="Q71" s="50"/>
      <c r="R71" s="50"/>
      <c r="S71" s="50"/>
      <c r="T71" s="50"/>
    </row>
    <row r="72" spans="1:20" x14ac:dyDescent="0.25">
      <c r="A72" s="38" t="s">
        <v>138</v>
      </c>
      <c r="B72" s="38" t="s">
        <v>137</v>
      </c>
      <c r="C72" s="35" t="s">
        <v>121</v>
      </c>
      <c r="D72" s="39">
        <v>-344125</v>
      </c>
      <c r="E72" s="39">
        <v>-921312.5</v>
      </c>
      <c r="F72" s="39">
        <v>-2606687.5</v>
      </c>
      <c r="G72" s="39"/>
      <c r="H72" s="39"/>
      <c r="I72" s="39"/>
      <c r="J72" s="39"/>
      <c r="K72" s="39"/>
      <c r="L72" s="39"/>
      <c r="M72" s="39"/>
      <c r="N72" s="39"/>
      <c r="O72" s="39"/>
      <c r="P72" s="50"/>
      <c r="Q72" s="50"/>
      <c r="R72" s="50"/>
      <c r="S72" s="50"/>
      <c r="T72" s="50"/>
    </row>
    <row r="73" spans="1:20" x14ac:dyDescent="0.25">
      <c r="A73" s="38" t="s">
        <v>138</v>
      </c>
      <c r="B73" s="38" t="s">
        <v>137</v>
      </c>
      <c r="C73" s="35" t="s">
        <v>122</v>
      </c>
      <c r="D73" s="39"/>
      <c r="E73" s="40">
        <v>-2000000</v>
      </c>
      <c r="F73" s="40">
        <v>-2000000</v>
      </c>
      <c r="G73" s="39"/>
      <c r="H73" s="39"/>
      <c r="I73" s="39"/>
      <c r="J73" s="39"/>
      <c r="K73" s="39"/>
      <c r="L73" s="39"/>
      <c r="M73" s="39"/>
      <c r="N73" s="39"/>
      <c r="O73" s="39"/>
      <c r="P73" s="50"/>
      <c r="Q73" s="50"/>
      <c r="R73" s="50"/>
      <c r="S73" s="50"/>
      <c r="T73" s="50"/>
    </row>
    <row r="74" spans="1:20" x14ac:dyDescent="0.25">
      <c r="A74" s="38" t="s">
        <v>138</v>
      </c>
      <c r="B74" s="38" t="s">
        <v>137</v>
      </c>
      <c r="C74" s="35" t="s">
        <v>123</v>
      </c>
      <c r="D74" s="42"/>
      <c r="E74" s="42"/>
      <c r="F74" s="42">
        <v>855600</v>
      </c>
      <c r="G74" s="42"/>
      <c r="H74" s="42"/>
      <c r="I74" s="42"/>
      <c r="J74" s="42"/>
      <c r="K74" s="42"/>
      <c r="L74" s="42"/>
      <c r="M74" s="42"/>
      <c r="N74" s="42"/>
      <c r="O74" s="42"/>
      <c r="P74" s="50"/>
      <c r="Q74" s="50"/>
      <c r="R74" s="50"/>
      <c r="S74" s="50"/>
      <c r="T74" s="50"/>
    </row>
    <row r="75" spans="1:20" x14ac:dyDescent="0.25">
      <c r="A75" s="38" t="s">
        <v>138</v>
      </c>
      <c r="B75" s="38" t="s">
        <v>137</v>
      </c>
      <c r="C75" s="35" t="s">
        <v>124</v>
      </c>
      <c r="D75" s="42">
        <v>-1858.5</v>
      </c>
      <c r="E75" s="42">
        <v>0</v>
      </c>
      <c r="F75" s="42">
        <v>-3663.9</v>
      </c>
      <c r="G75" s="42"/>
      <c r="H75" s="42"/>
      <c r="I75" s="42"/>
      <c r="J75" s="42"/>
      <c r="K75" s="42"/>
      <c r="L75" s="42"/>
      <c r="M75" s="42"/>
      <c r="N75" s="42"/>
      <c r="O75" s="42"/>
      <c r="P75" s="50"/>
      <c r="Q75" s="50"/>
      <c r="R75" s="50"/>
      <c r="S75" s="50"/>
      <c r="T75" s="50"/>
    </row>
    <row r="76" spans="1:20" ht="14.4" x14ac:dyDescent="0.3">
      <c r="A76" s="38" t="s">
        <v>138</v>
      </c>
      <c r="B76" s="38" t="s">
        <v>137</v>
      </c>
      <c r="C76" s="35" t="s">
        <v>125</v>
      </c>
      <c r="D76" s="39">
        <v>921312.5</v>
      </c>
      <c r="E76" s="39">
        <v>2606687.5</v>
      </c>
      <c r="F76" s="39">
        <v>2759875</v>
      </c>
      <c r="G76" s="39"/>
      <c r="H76" s="39"/>
      <c r="I76" s="39"/>
      <c r="J76" s="43"/>
      <c r="K76" s="43"/>
      <c r="L76" s="39"/>
      <c r="M76" s="39"/>
      <c r="N76" s="39"/>
      <c r="O76" s="39"/>
      <c r="P76" s="50"/>
      <c r="Q76" s="50"/>
      <c r="R76" s="50"/>
      <c r="S76" s="50"/>
      <c r="T76" s="50"/>
    </row>
    <row r="77" spans="1:20" x14ac:dyDescent="0.25">
      <c r="A77" s="38" t="s">
        <v>138</v>
      </c>
      <c r="B77" s="38" t="s">
        <v>137</v>
      </c>
      <c r="C77" s="35" t="s">
        <v>126</v>
      </c>
      <c r="D77" s="44">
        <v>915176.3</v>
      </c>
      <c r="E77" s="44">
        <v>600551.30000000005</v>
      </c>
      <c r="F77" s="44">
        <v>-394325.10000000009</v>
      </c>
      <c r="G77" s="44"/>
      <c r="H77" s="44"/>
      <c r="I77" s="44"/>
      <c r="J77" s="44"/>
      <c r="K77" s="44"/>
      <c r="L77" s="44"/>
      <c r="M77" s="44"/>
      <c r="N77" s="44"/>
      <c r="O77" s="44"/>
      <c r="P77" s="50"/>
      <c r="Q77" s="50"/>
      <c r="R77" s="50"/>
      <c r="S77" s="50"/>
      <c r="T77" s="50"/>
    </row>
    <row r="78" spans="1:20" ht="12" customHeight="1" x14ac:dyDescent="0.25">
      <c r="D78" s="39"/>
      <c r="E78" s="39"/>
      <c r="F78" s="51"/>
      <c r="G78" s="51"/>
      <c r="H78" s="51"/>
      <c r="I78" s="51"/>
      <c r="J78" s="51"/>
      <c r="K78" s="51"/>
      <c r="L78" s="51"/>
      <c r="M78" s="51"/>
      <c r="N78" s="51"/>
      <c r="O78" s="51"/>
      <c r="P78" s="51"/>
      <c r="Q78" s="51"/>
      <c r="R78" s="51"/>
      <c r="S78" s="51"/>
      <c r="T78" s="51"/>
    </row>
    <row r="79" spans="1:20" x14ac:dyDescent="0.25">
      <c r="B79" s="35" t="s">
        <v>139</v>
      </c>
      <c r="C79" s="35" t="s">
        <v>140</v>
      </c>
      <c r="D79" s="51">
        <v>3079773.5300000021</v>
      </c>
      <c r="E79" s="51">
        <v>3868296.3300000019</v>
      </c>
      <c r="F79" s="51">
        <v>4688236.6800000006</v>
      </c>
      <c r="G79" s="51"/>
      <c r="H79" s="51"/>
      <c r="I79" s="51"/>
      <c r="J79" s="51"/>
      <c r="K79" s="51"/>
      <c r="L79" s="51"/>
      <c r="M79" s="51"/>
      <c r="N79" s="51"/>
      <c r="O79" s="51"/>
      <c r="P79" s="51"/>
      <c r="Q79" s="51"/>
      <c r="R79" s="51"/>
      <c r="S79" s="51"/>
      <c r="T79" s="51"/>
    </row>
    <row r="80" spans="1:20" ht="13.8" thickBot="1" x14ac:dyDescent="0.3">
      <c r="C80" s="35" t="s">
        <v>141</v>
      </c>
      <c r="D80" s="51">
        <v>1612548.97</v>
      </c>
      <c r="E80" s="51">
        <v>1305072.7699999998</v>
      </c>
      <c r="F80" s="51">
        <v>352887.52</v>
      </c>
      <c r="G80" s="51"/>
      <c r="H80" s="51"/>
      <c r="I80" s="51"/>
      <c r="J80" s="51"/>
      <c r="K80" s="51"/>
      <c r="L80" s="51"/>
      <c r="M80" s="51"/>
      <c r="N80" s="51"/>
      <c r="O80" s="51"/>
      <c r="P80" s="51"/>
      <c r="Q80" s="51"/>
      <c r="R80" s="51"/>
      <c r="S80" s="51"/>
      <c r="T80" s="51"/>
    </row>
    <row r="81" spans="1:20" ht="13.8" thickBot="1" x14ac:dyDescent="0.3">
      <c r="D81" s="52">
        <v>4692322.5000000019</v>
      </c>
      <c r="E81" s="52">
        <v>5173369.1000000015</v>
      </c>
      <c r="F81" s="52">
        <v>5041124.2000000011</v>
      </c>
      <c r="G81" s="52"/>
      <c r="H81" s="52"/>
      <c r="I81" s="52"/>
      <c r="J81" s="52"/>
      <c r="K81" s="52"/>
      <c r="L81" s="52"/>
      <c r="M81" s="52"/>
      <c r="N81" s="52"/>
      <c r="O81" s="52"/>
      <c r="P81" s="52"/>
      <c r="Q81" s="52"/>
      <c r="R81" s="52"/>
      <c r="S81" s="52"/>
      <c r="T81" s="52"/>
    </row>
    <row r="82" spans="1:20" x14ac:dyDescent="0.25">
      <c r="A82" s="35">
        <v>11481100</v>
      </c>
      <c r="B82" s="35" t="s">
        <v>142</v>
      </c>
      <c r="C82" s="35" t="s">
        <v>140</v>
      </c>
      <c r="D82" s="51">
        <v>5087336.03</v>
      </c>
      <c r="E82" s="53">
        <v>5868296.8300000001</v>
      </c>
      <c r="F82" s="51">
        <v>3688237.1799999997</v>
      </c>
      <c r="G82" s="51"/>
      <c r="H82" s="51"/>
      <c r="I82" s="51"/>
      <c r="J82" s="51"/>
      <c r="K82" s="39"/>
      <c r="L82" s="51"/>
      <c r="M82" s="51"/>
      <c r="N82" s="51"/>
      <c r="O82" s="51"/>
      <c r="P82" s="51"/>
      <c r="Q82" s="51"/>
      <c r="R82" s="51"/>
      <c r="S82" s="51"/>
      <c r="T82" s="51"/>
    </row>
    <row r="83" spans="1:20" ht="13.8" thickBot="1" x14ac:dyDescent="0.3">
      <c r="C83" s="35" t="s">
        <v>141</v>
      </c>
      <c r="D83" s="51">
        <v>-387451.03</v>
      </c>
      <c r="E83" s="53">
        <v>-694927.23</v>
      </c>
      <c r="F83" s="51">
        <v>1352887.52</v>
      </c>
      <c r="G83" s="51"/>
      <c r="H83" s="51"/>
      <c r="I83" s="51"/>
      <c r="J83" s="51"/>
      <c r="K83" s="39"/>
      <c r="L83" s="51"/>
      <c r="M83" s="51"/>
      <c r="N83" s="51"/>
      <c r="O83" s="51"/>
      <c r="P83" s="51"/>
      <c r="Q83" s="51"/>
      <c r="R83" s="51"/>
      <c r="S83" s="51"/>
      <c r="T83" s="51"/>
    </row>
    <row r="84" spans="1:20" ht="13.8" thickBot="1" x14ac:dyDescent="0.3">
      <c r="D84" s="52">
        <v>4699885</v>
      </c>
      <c r="E84" s="52">
        <v>5173369.5999999996</v>
      </c>
      <c r="F84" s="52">
        <v>5041124.6999999993</v>
      </c>
      <c r="G84" s="52"/>
      <c r="H84" s="52"/>
      <c r="I84" s="52"/>
      <c r="J84" s="52"/>
      <c r="K84" s="52"/>
      <c r="L84" s="52"/>
      <c r="M84" s="52"/>
      <c r="N84" s="52"/>
      <c r="O84" s="52"/>
      <c r="P84" s="52"/>
      <c r="Q84" s="52"/>
      <c r="R84" s="52"/>
      <c r="S84" s="52"/>
      <c r="T84" s="52"/>
    </row>
    <row r="85" spans="1:20" x14ac:dyDescent="0.25">
      <c r="B85" s="35" t="s">
        <v>143</v>
      </c>
      <c r="C85" s="35" t="s">
        <v>140</v>
      </c>
      <c r="D85" s="51">
        <v>-2007562.4999999981</v>
      </c>
      <c r="E85" s="51">
        <v>-2000000.4999999981</v>
      </c>
      <c r="F85" s="51">
        <v>999999.50000000093</v>
      </c>
      <c r="G85" s="39"/>
      <c r="H85" s="51"/>
      <c r="I85" s="51"/>
      <c r="J85" s="51"/>
      <c r="K85" s="39"/>
      <c r="L85" s="51"/>
      <c r="M85" s="51"/>
      <c r="N85" s="51"/>
      <c r="O85" s="51"/>
      <c r="P85" s="51"/>
      <c r="Q85" s="51"/>
      <c r="R85" s="51"/>
      <c r="S85" s="51"/>
      <c r="T85" s="51"/>
    </row>
    <row r="86" spans="1:20" x14ac:dyDescent="0.25">
      <c r="C86" s="35" t="s">
        <v>141</v>
      </c>
      <c r="D86" s="51">
        <v>2000000</v>
      </c>
      <c r="E86" s="51">
        <v>1999999.9999999998</v>
      </c>
      <c r="F86" s="51">
        <v>-1000000</v>
      </c>
      <c r="G86" s="39"/>
      <c r="H86" s="51"/>
      <c r="I86" s="51"/>
      <c r="J86" s="51"/>
      <c r="K86" s="39"/>
      <c r="L86" s="51"/>
      <c r="M86" s="51"/>
      <c r="N86" s="51"/>
      <c r="O86" s="51"/>
      <c r="P86" s="51"/>
      <c r="Q86" s="51"/>
      <c r="R86" s="51"/>
      <c r="S86" s="51"/>
      <c r="T86" s="51"/>
    </row>
    <row r="87" spans="1:20" ht="12" customHeight="1" x14ac:dyDescent="0.25">
      <c r="D87" s="39"/>
      <c r="E87" s="39"/>
      <c r="F87" s="51"/>
      <c r="G87" s="53"/>
      <c r="H87" s="51"/>
      <c r="I87" s="51"/>
      <c r="J87" s="51"/>
      <c r="K87" s="51"/>
      <c r="L87" s="51"/>
      <c r="M87" s="51"/>
      <c r="N87" s="51"/>
      <c r="O87" s="51"/>
      <c r="P87" s="51"/>
      <c r="Q87" s="51"/>
      <c r="R87" s="51"/>
      <c r="S87" s="51"/>
      <c r="T87" s="51"/>
    </row>
    <row r="88" spans="1:20" ht="12" customHeight="1" x14ac:dyDescent="0.25">
      <c r="D88" s="54">
        <v>-7562.4999999981374</v>
      </c>
      <c r="E88" s="54">
        <v>-0.49999999837018549</v>
      </c>
      <c r="F88" s="54">
        <v>-0.49999999906867743</v>
      </c>
      <c r="G88" s="51"/>
      <c r="H88" s="51"/>
      <c r="I88" s="51"/>
      <c r="J88" s="51"/>
      <c r="K88" s="51"/>
      <c r="L88" s="51"/>
      <c r="M88" s="51"/>
      <c r="N88" s="51"/>
      <c r="O88" s="51"/>
      <c r="P88" s="51"/>
      <c r="Q88" s="51"/>
      <c r="R88" s="51"/>
      <c r="S88" s="51"/>
      <c r="T88" s="51"/>
    </row>
    <row r="89" spans="1:20" x14ac:dyDescent="0.25">
      <c r="D89" s="53" t="s">
        <v>144</v>
      </c>
      <c r="E89" s="53" t="s">
        <v>144</v>
      </c>
      <c r="F89" s="53" t="s">
        <v>144</v>
      </c>
      <c r="G89" s="51"/>
      <c r="H89" s="51"/>
      <c r="I89" s="51"/>
      <c r="J89" s="51"/>
      <c r="K89" s="51"/>
      <c r="L89" s="51"/>
      <c r="M89" s="51"/>
      <c r="N89" s="51"/>
      <c r="O89" s="51"/>
      <c r="P89" s="51"/>
      <c r="Q89" s="51"/>
      <c r="R89" s="51"/>
      <c r="S89" s="51"/>
      <c r="T89" s="51"/>
    </row>
    <row r="90" spans="1:20" x14ac:dyDescent="0.25">
      <c r="D90" s="55"/>
      <c r="E90" s="51"/>
      <c r="F90" s="51"/>
      <c r="G90" s="51"/>
      <c r="H90" s="51"/>
      <c r="I90" s="51"/>
      <c r="J90" s="51"/>
      <c r="K90" s="51"/>
      <c r="L90" s="51"/>
      <c r="M90" s="51"/>
      <c r="N90" s="51"/>
      <c r="O90" s="51"/>
      <c r="P90" s="51"/>
      <c r="Q90" s="51"/>
      <c r="R90" s="51"/>
      <c r="S90" s="51"/>
      <c r="T90" s="51"/>
    </row>
    <row r="91" spans="1:20" x14ac:dyDescent="0.25">
      <c r="B91" s="56" t="s">
        <v>145</v>
      </c>
      <c r="D91" s="51"/>
      <c r="E91" s="51"/>
      <c r="F91" s="51"/>
      <c r="G91" s="51"/>
      <c r="H91" s="51"/>
      <c r="I91" s="51"/>
      <c r="J91" s="51"/>
      <c r="K91" s="51"/>
      <c r="L91" s="51"/>
      <c r="M91" s="51"/>
      <c r="N91" s="51"/>
      <c r="O91" s="51"/>
      <c r="P91" s="51"/>
      <c r="Q91" s="51"/>
      <c r="R91" s="51"/>
      <c r="S91" s="51"/>
      <c r="T91" s="51"/>
    </row>
    <row r="92" spans="1:20" x14ac:dyDescent="0.25">
      <c r="C92" s="35" t="s">
        <v>146</v>
      </c>
      <c r="D92" s="57">
        <v>11481100</v>
      </c>
      <c r="E92" s="51"/>
      <c r="F92" s="51"/>
      <c r="G92" s="51"/>
      <c r="H92" s="51"/>
      <c r="I92" s="51"/>
      <c r="J92" s="51"/>
      <c r="K92" s="51"/>
      <c r="L92" s="51"/>
      <c r="M92" s="51"/>
      <c r="N92" s="51"/>
      <c r="O92" s="51"/>
      <c r="P92" s="51"/>
      <c r="Q92" s="51"/>
      <c r="R92" s="51"/>
      <c r="S92" s="51"/>
      <c r="T92" s="51"/>
    </row>
    <row r="93" spans="1:20" x14ac:dyDescent="0.25">
      <c r="D93" s="51"/>
      <c r="E93" s="51"/>
      <c r="F93" s="51"/>
      <c r="G93" s="51"/>
      <c r="H93" s="51"/>
      <c r="I93" s="51"/>
      <c r="J93" s="51"/>
      <c r="K93" s="51"/>
      <c r="L93" s="51"/>
      <c r="M93" s="51"/>
      <c r="N93" s="51"/>
      <c r="O93" s="51"/>
      <c r="P93" s="51"/>
      <c r="Q93" s="51"/>
      <c r="R93" s="51"/>
      <c r="S93" s="51"/>
      <c r="T93" s="51"/>
    </row>
    <row r="94" spans="1:20" x14ac:dyDescent="0.25">
      <c r="D94" s="51"/>
      <c r="E94" s="51"/>
      <c r="F94" s="51"/>
      <c r="G94" s="51"/>
      <c r="H94" s="51"/>
      <c r="I94" s="51"/>
      <c r="J94" s="51"/>
      <c r="K94" s="51"/>
      <c r="L94" s="51"/>
      <c r="M94" s="51"/>
      <c r="N94" s="51"/>
      <c r="O94" s="51"/>
      <c r="P94" s="51"/>
      <c r="Q94" s="51"/>
      <c r="R94" s="51"/>
      <c r="S94" s="51"/>
      <c r="T94" s="51"/>
    </row>
    <row r="95" spans="1:20" x14ac:dyDescent="0.25">
      <c r="D95" s="51"/>
      <c r="E95" s="51"/>
      <c r="F95" s="51"/>
      <c r="G95" s="51"/>
      <c r="H95" s="51"/>
      <c r="I95" s="51"/>
      <c r="J95" s="51"/>
      <c r="K95" s="51"/>
      <c r="L95" s="51"/>
      <c r="M95" s="51"/>
      <c r="N95" s="51"/>
      <c r="O95" s="51"/>
      <c r="P95" s="51"/>
      <c r="Q95" s="51"/>
      <c r="R95" s="51"/>
      <c r="S95" s="51"/>
      <c r="T95" s="51"/>
    </row>
    <row r="96" spans="1:20" x14ac:dyDescent="0.25">
      <c r="D96" s="55"/>
      <c r="E96" s="51"/>
      <c r="F96" s="51"/>
      <c r="G96" s="51"/>
      <c r="H96" s="51"/>
      <c r="I96" s="51"/>
      <c r="J96" s="51"/>
      <c r="K96" s="51"/>
      <c r="L96" s="51"/>
      <c r="M96" s="51"/>
      <c r="N96" s="51"/>
      <c r="O96" s="51"/>
      <c r="P96" s="51"/>
      <c r="Q96" s="51"/>
      <c r="R96" s="51"/>
      <c r="S96" s="51"/>
      <c r="T96" s="51"/>
    </row>
    <row r="97" spans="4:20" x14ac:dyDescent="0.25">
      <c r="D97" s="51"/>
      <c r="E97" s="51"/>
      <c r="F97" s="51"/>
      <c r="G97" s="51"/>
      <c r="H97" s="51"/>
      <c r="I97" s="51"/>
      <c r="J97" s="51"/>
      <c r="K97" s="51"/>
      <c r="L97" s="51"/>
      <c r="M97" s="51"/>
      <c r="N97" s="51"/>
      <c r="O97" s="51"/>
      <c r="P97" s="51"/>
      <c r="Q97" s="51"/>
      <c r="R97" s="51"/>
      <c r="S97" s="51"/>
      <c r="T97" s="51"/>
    </row>
    <row r="98" spans="4:20" x14ac:dyDescent="0.25">
      <c r="D98" s="51"/>
      <c r="E98" s="51"/>
      <c r="F98" s="51"/>
      <c r="G98" s="51"/>
      <c r="H98" s="51"/>
      <c r="I98" s="51"/>
      <c r="J98" s="51"/>
      <c r="K98" s="51"/>
      <c r="L98" s="51"/>
      <c r="M98" s="51"/>
      <c r="N98" s="51"/>
      <c r="O98" s="51"/>
      <c r="P98" s="51"/>
      <c r="Q98" s="51"/>
      <c r="R98" s="51"/>
      <c r="S98" s="51"/>
      <c r="T98" s="51"/>
    </row>
    <row r="99" spans="4:20" x14ac:dyDescent="0.25">
      <c r="D99" s="51"/>
      <c r="E99" s="51"/>
      <c r="F99" s="51"/>
      <c r="G99" s="51"/>
      <c r="H99" s="51"/>
      <c r="I99" s="51"/>
      <c r="J99" s="51"/>
      <c r="K99" s="51"/>
      <c r="L99" s="51"/>
      <c r="M99" s="51"/>
      <c r="N99" s="51"/>
      <c r="O99" s="51"/>
      <c r="P99" s="51"/>
      <c r="Q99" s="51"/>
      <c r="R99" s="51"/>
      <c r="S99" s="51"/>
      <c r="T99" s="51"/>
    </row>
    <row r="100" spans="4:20" x14ac:dyDescent="0.25">
      <c r="D100" s="51"/>
      <c r="E100" s="51"/>
      <c r="F100" s="51"/>
      <c r="G100" s="51"/>
      <c r="H100" s="51"/>
      <c r="I100" s="51"/>
      <c r="J100" s="51"/>
      <c r="K100" s="51"/>
      <c r="L100" s="51"/>
      <c r="M100" s="51"/>
      <c r="N100" s="51"/>
      <c r="O100" s="51"/>
      <c r="P100" s="51"/>
      <c r="Q100" s="51"/>
      <c r="R100" s="51"/>
      <c r="S100" s="51"/>
      <c r="T100" s="51"/>
    </row>
    <row r="101" spans="4:20" x14ac:dyDescent="0.25">
      <c r="D101" s="51"/>
      <c r="E101" s="51"/>
      <c r="F101" s="51"/>
      <c r="G101" s="51"/>
      <c r="H101" s="51"/>
      <c r="I101" s="51"/>
      <c r="J101" s="51"/>
      <c r="K101" s="51"/>
      <c r="L101" s="51"/>
      <c r="M101" s="51"/>
      <c r="N101" s="51"/>
      <c r="O101" s="51"/>
      <c r="P101" s="51"/>
      <c r="Q101" s="51"/>
      <c r="R101" s="51"/>
      <c r="S101" s="51"/>
      <c r="T101" s="51"/>
    </row>
    <row r="102" spans="4:20" x14ac:dyDescent="0.25">
      <c r="D102" s="51"/>
      <c r="E102" s="51"/>
      <c r="F102" s="51"/>
      <c r="G102" s="51"/>
      <c r="H102" s="51"/>
      <c r="I102" s="51"/>
      <c r="J102" s="51"/>
      <c r="K102" s="51"/>
      <c r="L102" s="51"/>
      <c r="M102" s="51"/>
      <c r="N102" s="51"/>
      <c r="O102" s="51"/>
      <c r="P102" s="51"/>
      <c r="Q102" s="51"/>
      <c r="R102" s="51"/>
      <c r="S102" s="51"/>
      <c r="T102" s="51"/>
    </row>
    <row r="124" spans="15:15" x14ac:dyDescent="0.25">
      <c r="O124" s="58"/>
    </row>
    <row r="125" spans="15:15" x14ac:dyDescent="0.25">
      <c r="O125" s="58"/>
    </row>
    <row r="126" spans="15:15" x14ac:dyDescent="0.25">
      <c r="O126" s="58"/>
    </row>
    <row r="130" spans="4:20" x14ac:dyDescent="0.25">
      <c r="O130" s="59"/>
    </row>
    <row r="137" spans="4:20" x14ac:dyDescent="0.25">
      <c r="D137" s="51"/>
      <c r="E137" s="51"/>
      <c r="F137" s="51"/>
      <c r="G137" s="51"/>
      <c r="H137" s="51"/>
      <c r="I137" s="51"/>
      <c r="J137" s="51"/>
      <c r="K137" s="51"/>
      <c r="L137" s="51"/>
      <c r="M137" s="51"/>
      <c r="N137" s="51"/>
      <c r="O137" s="51"/>
      <c r="P137" s="51"/>
      <c r="Q137" s="51"/>
      <c r="R137" s="51"/>
      <c r="S137" s="51"/>
      <c r="T137" s="51"/>
    </row>
  </sheetData>
  <autoFilter ref="A2:T89" xr:uid="{00000000-0009-0000-0000-000006000000}"/>
  <printOptions headings="1" gridLines="1"/>
  <pageMargins left="0.70866141732283472" right="0.70866141732283472" top="0.74803149606299213" bottom="0.74803149606299213" header="0.31496062992125984" footer="0.31496062992125984"/>
  <pageSetup paperSize="9" scale="43" fitToHeight="2"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0471FC737B9E49A8226406EFEA30FF" ma:contentTypeVersion="21" ma:contentTypeDescription="Create a new document." ma:contentTypeScope="" ma:versionID="f94ca629baeab58306f0b610de7cd3ef">
  <xsd:schema xmlns:xsd="http://www.w3.org/2001/XMLSchema" xmlns:xs="http://www.w3.org/2001/XMLSchema" xmlns:p="http://schemas.microsoft.com/office/2006/metadata/properties" xmlns:ns2="ab0018f3-0356-448a-aa5f-ca4bf7ac8584" xmlns:ns3="21d773d4-41be-48cf-bc3b-7bceb5ce60a0" targetNamespace="http://schemas.microsoft.com/office/2006/metadata/properties" ma:root="true" ma:fieldsID="735dea5817fc8b232743119d7727f445" ns2:_="" ns3:_="">
    <xsd:import namespace="ab0018f3-0356-448a-aa5f-ca4bf7ac8584"/>
    <xsd:import namespace="21d773d4-41be-48cf-bc3b-7bceb5ce60a0"/>
    <xsd:element name="properties">
      <xsd:complexType>
        <xsd:sequence>
          <xsd:element name="documentManagement">
            <xsd:complexType>
              <xsd:all>
                <xsd:element ref="ns2:Status" minOccurs="0"/>
                <xsd:element ref="ns2:Workstream" minOccurs="0"/>
                <xsd:element ref="ns2:USDD_x002d_ID"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element ref="ns2:USDD_x002d_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0018f3-0356-448a-aa5f-ca4bf7ac8584" elementFormDefault="qualified">
    <xsd:import namespace="http://schemas.microsoft.com/office/2006/documentManagement/types"/>
    <xsd:import namespace="http://schemas.microsoft.com/office/infopath/2007/PartnerControls"/>
    <xsd:element name="Status" ma:index="2" nillable="true" ma:displayName="Status" ma:format="Dropdown" ma:internalName="Status">
      <xsd:simpleType>
        <xsd:restriction base="dms:Choice">
          <xsd:enumeration value="In progress"/>
          <xsd:enumeration value="Ready to use"/>
          <xsd:enumeration value="Obsolete"/>
          <xsd:enumeration value="Draft"/>
          <xsd:enumeration value="Peer Reviewed"/>
        </xsd:restriction>
      </xsd:simpleType>
    </xsd:element>
    <xsd:element name="Workstream" ma:index="3" nillable="true" ma:displayName="Workstream" ma:format="Dropdown" ma:indexed="true" ma:internalName="Workstream" ma:readOnly="false">
      <xsd:simpleType>
        <xsd:restriction base="dms:Choice">
          <xsd:enumeration value="General"/>
          <xsd:enumeration value="Plan"/>
          <xsd:enumeration value="Field"/>
          <xsd:enumeration value="Source"/>
          <xsd:enumeration value="Plant"/>
          <xsd:enumeration value="Deliver"/>
          <xsd:enumeration value="Quality"/>
          <xsd:enumeration value="Commercial Ops"/>
          <xsd:enumeration value="Finance"/>
          <xsd:enumeration value="Product Data"/>
          <xsd:enumeration value="Business Partner"/>
        </xsd:restriction>
      </xsd:simpleType>
    </xsd:element>
    <xsd:element name="USDD_x002d_ID" ma:index="4" nillable="true" ma:displayName="USDD-ID" ma:format="Dropdown" ma:internalName="USDD_x002d_ID"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62b72aa-f2ad-421f-b636-7f0f87e2f2b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USDD_x002d_Name" ma:index="24" nillable="true" ma:displayName="USDD - Name" ma:description="n" ma:format="Dropdown" ma:internalName="USDD_x002d_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1d773d4-41be-48cf-bc3b-7bceb5ce60a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f2fa2e6-1677-472c-a740-820d45c42ba3}" ma:internalName="TaxCatchAll" ma:readOnly="false" ma:showField="CatchAllData" ma:web="21d773d4-41be-48cf-bc3b-7bceb5ce60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0018f3-0356-448a-aa5f-ca4bf7ac8584">
      <Terms xmlns="http://schemas.microsoft.com/office/infopath/2007/PartnerControls"/>
    </lcf76f155ced4ddcb4097134ff3c332f>
    <USDD_x002d_Name xmlns="ab0018f3-0356-448a-aa5f-ca4bf7ac8584" xsi:nil="true"/>
    <Status xmlns="ab0018f3-0356-448a-aa5f-ca4bf7ac8584" xsi:nil="true"/>
    <USDD_x002d_ID xmlns="ab0018f3-0356-448a-aa5f-ca4bf7ac8584" xsi:nil="true"/>
    <Workstream xmlns="ab0018f3-0356-448a-aa5f-ca4bf7ac8584" xsi:nil="true"/>
    <TaxCatchAll xmlns="21d773d4-41be-48cf-bc3b-7bceb5ce60a0" xsi:nil="true"/>
  </documentManagement>
</p:properties>
</file>

<file path=customXml/itemProps1.xml><?xml version="1.0" encoding="utf-8"?>
<ds:datastoreItem xmlns:ds="http://schemas.openxmlformats.org/officeDocument/2006/customXml" ds:itemID="{706A58FF-7236-4067-AD95-DA5E812435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0018f3-0356-448a-aa5f-ca4bf7ac8584"/>
    <ds:schemaRef ds:uri="21d773d4-41be-48cf-bc3b-7bceb5ce60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D210B5-870A-427B-9629-579BA97B4DD7}">
  <ds:schemaRefs>
    <ds:schemaRef ds:uri="http://schemas.microsoft.com/sharepoint/v3/contenttype/forms"/>
  </ds:schemaRefs>
</ds:datastoreItem>
</file>

<file path=customXml/itemProps3.xml><?xml version="1.0" encoding="utf-8"?>
<ds:datastoreItem xmlns:ds="http://schemas.openxmlformats.org/officeDocument/2006/customXml" ds:itemID="{DF5A5758-2783-4301-983C-28BE05A68C63}">
  <ds:schemaRefs>
    <ds:schemaRef ds:uri="http://purl.org/dc/elements/1.1/"/>
    <ds:schemaRef ds:uri="http://www.w3.org/XML/1998/namespace"/>
    <ds:schemaRef ds:uri="ab0018f3-0356-448a-aa5f-ca4bf7ac8584"/>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21d773d4-41be-48cf-bc3b-7bceb5ce60a0"/>
    <ds:schemaRef ds:uri="http://purl.org/dc/dcmitype/"/>
  </ds:schemaRefs>
</ds:datastoreItem>
</file>

<file path=docMetadata/LabelInfo.xml><?xml version="1.0" encoding="utf-8"?>
<clbl:labelList xmlns:clbl="http://schemas.microsoft.com/office/2020/mipLabelMetadata">
  <clbl:label id="{ed006307-e4a9-430f-af16-eea280431306}" enabled="1" method="Standard" siteId="{06219a4a-a835-44d5-afaf-3926343bfb8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Q&amp;A</vt:lpstr>
      <vt:lpstr>Grower Accural Header</vt:lpstr>
      <vt:lpstr>Hedging Reconcilation</vt:lpstr>
      <vt:lpstr>'Hedging Reconcilation'!Print_Area</vt:lpstr>
      <vt:lpstr>'Q&amp;A'!Print_Titles</vt:lpstr>
    </vt:vector>
  </TitlesOfParts>
  <Manager>Peter Riebli</Manager>
  <Company>Syngenta Crop Protection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RFP Q&amp;As</dc:title>
  <dc:subject>RFP IWMS</dc:subject>
  <dc:creator>Balazs.Kadar@SYNGENTA.COM</dc:creator>
  <cp:keywords/>
  <dc:description/>
  <cp:lastModifiedBy>Dan Heesome</cp:lastModifiedBy>
  <cp:revision/>
  <dcterms:created xsi:type="dcterms:W3CDTF">2009-05-06T20:48:26Z</dcterms:created>
  <dcterms:modified xsi:type="dcterms:W3CDTF">2026-05-08T13:00:39Z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itor">
    <vt:lpwstr>gunnar.jentzen@syngenta.com</vt:lpwstr>
  </property>
  <property fmtid="{D5CDD505-2E9C-101B-9397-08002B2CF9AE}" pid="3" name="ContentTypeId">
    <vt:lpwstr>0x010100840471FC737B9E49A8226406EFEA30FF</vt:lpwstr>
  </property>
  <property fmtid="{D5CDD505-2E9C-101B-9397-08002B2CF9AE}" pid="4" name="Order">
    <vt:r8>7212300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